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comments26.xml" ContentType="application/vnd.openxmlformats-officedocument.spreadsheetml.comments+xml"/>
  <Override PartName="/xl/comments27.xml" ContentType="application/vnd.openxmlformats-officedocument.spreadsheetml.comments+xml"/>
  <Override PartName="/xl/comments28.xml" ContentType="application/vnd.openxmlformats-officedocument.spreadsheetml.comments+xml"/>
  <Override PartName="/xl/comments29.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workbookPr codeName="ThisWorkbook"/>
  <mc:AlternateContent xmlns:mc="http://schemas.openxmlformats.org/markup-compatibility/2006">
    <mc:Choice Requires="x15">
      <x15ac:absPath xmlns:x15ac="http://schemas.microsoft.com/office/spreadsheetml/2010/11/ac" url="C:\Users\usa.cgender\Desktop\"/>
    </mc:Choice>
  </mc:AlternateContent>
  <xr:revisionPtr revIDLastSave="0" documentId="8_{0E1D4BBE-7E9F-41EC-AA5C-9F65D7D5904C}" xr6:coauthVersionLast="46" xr6:coauthVersionMax="46" xr10:uidLastSave="{00000000-0000-0000-0000-000000000000}"/>
  <bookViews>
    <workbookView xWindow="-120" yWindow="-120" windowWidth="29040" windowHeight="15840" tabRatio="877" activeTab="1" xr2:uid="{00000000-000D-0000-FFFF-FFFF00000000}"/>
  </bookViews>
  <sheets>
    <sheet name="Boiler Plate" sheetId="131" r:id="rId1"/>
    <sheet name="Cover" sheetId="4" r:id="rId2"/>
    <sheet name="MQC" sheetId="42" r:id="rId3"/>
    <sheet name="APPENDIX A-1 (USWC-ASIA)" sheetId="95" r:id="rId4"/>
    <sheet name="APPENDIX A-2 (USEC &amp; USGC-ASIA)" sheetId="96" r:id="rId5"/>
    <sheet name="APPENDIX B-1  (FE - USWC)" sheetId="57" r:id="rId6"/>
    <sheet name="APPENDIX B-2  (FE - USEC&amp;GC)" sheetId="98" r:id="rId7"/>
    <sheet name="APPENDIX C-1 (USA-MED)" sheetId="101" r:id="rId8"/>
    <sheet name="APPENDIX C-2 (USA-GULF&amp;RED SEA)" sheetId="102" r:id="rId9"/>
    <sheet name="APPENDIX C-3 (USWC-MEG &amp; MED)" sheetId="103" r:id="rId10"/>
    <sheet name="APPENDIX C-5 (USA-E &amp; W AFRICA)" sheetId="105" r:id="rId11"/>
    <sheet name="APPENDIX D-1 MED-US" sheetId="108" r:id="rId12"/>
    <sheet name="APPENDIX D-2 MED-USWC" sheetId="109" r:id="rId13"/>
    <sheet name="APPENDIX D-5 E &amp; W AFRICA-USA" sheetId="140" r:id="rId14"/>
    <sheet name="APPENDIX E-1 (USEC-ISC)" sheetId="106" r:id="rId15"/>
    <sheet name="APPENDIX E-2 (USWC-ISC)" sheetId="107" r:id="rId16"/>
    <sheet name="APPENDIX F-1 ISC-US" sheetId="112" r:id="rId17"/>
    <sheet name="APPENDIX F-2 ISC-USWC" sheetId="111" r:id="rId18"/>
    <sheet name="APPENDIX F-3 (ISC-USVI PR)" sheetId="110" r:id="rId19"/>
    <sheet name="APPENDIX G-1 (USA - N. Europe)" sheetId="113" r:id="rId20"/>
    <sheet name="APPENDIX H-1 NE-USEC" sheetId="115" r:id="rId21"/>
    <sheet name="APPENDIX H-2 NE-USWC" sheetId="116" r:id="rId22"/>
    <sheet name="APPENDIX I-1 (USWC-AUST &amp; NZD)" sheetId="118" r:id="rId23"/>
    <sheet name="APPENDIX I-2 (USEC-AUST &amp; NZD)" sheetId="119" r:id="rId24"/>
    <sheet name="APPENDIX J-1 RTW TO USA" sheetId="120" r:id="rId25"/>
    <sheet name="APPENDIX N-1 (ASIA - CARIBBEAN)" sheetId="129" r:id="rId26"/>
    <sheet name="APPENDIX P-1 (USA-CARIB LATAM) " sheetId="133" r:id="rId27"/>
    <sheet name="APPENDIX P-2 (CARIB LATAM-USA)" sheetId="134" r:id="rId28"/>
    <sheet name="APPENDIX P-3 (PRICO&amp;USVI-LATAM)" sheetId="138" r:id="rId29"/>
    <sheet name="APPENDIX P-4 (LATM-PRICO&amp;USVI) " sheetId="139" r:id="rId30"/>
    <sheet name="FOREIGN TO FOREIGN" sheetId="132" state="hidden" r:id="rId31"/>
    <sheet name="Affiliates" sheetId="47" r:id="rId32"/>
    <sheet name="Listes" sheetId="44" state="hidden" r:id="rId33"/>
    <sheet name="SOF BR" sheetId="141" state="hidden" r:id="rId34"/>
  </sheets>
  <definedNames>
    <definedName name="_xlnm._FilterDatabase" localSheetId="3" hidden="1">'APPENDIX A-1 (USWC-ASIA)'!$A$30:$AB$30</definedName>
    <definedName name="_xlnm._FilterDatabase" localSheetId="4" hidden="1">'APPENDIX A-2 (USEC &amp; USGC-ASIA)'!$A$30:$AB$30</definedName>
    <definedName name="_xlnm._FilterDatabase" localSheetId="5" hidden="1">'APPENDIX B-1  (FE - USWC)'!$A$34:$AB$34</definedName>
    <definedName name="_xlnm._FilterDatabase" localSheetId="6" hidden="1">'APPENDIX B-2  (FE - USEC&amp;GC)'!$A$35:$AB$35</definedName>
    <definedName name="_xlnm._FilterDatabase" localSheetId="7" hidden="1">'APPENDIX C-1 (USA-MED)'!$A$36:$AB$36</definedName>
    <definedName name="_xlnm._FilterDatabase" localSheetId="8" hidden="1">'APPENDIX C-2 (USA-GULF&amp;RED SEA)'!$A$30:$AB$30</definedName>
    <definedName name="_xlnm._FilterDatabase" localSheetId="9" hidden="1">'APPENDIX C-3 (USWC-MEG &amp; MED)'!$A$30:$AB$30</definedName>
    <definedName name="_xlnm._FilterDatabase" localSheetId="10" hidden="1">'APPENDIX C-5 (USA-E &amp; W AFRICA)'!$A$30:$Y$31</definedName>
    <definedName name="_xlnm._FilterDatabase" localSheetId="11" hidden="1">'APPENDIX D-1 MED-US'!$A$31:$AB$31</definedName>
    <definedName name="_xlnm._FilterDatabase" localSheetId="12" hidden="1">'APPENDIX D-2 MED-USWC'!$A$30:$AB$30</definedName>
    <definedName name="_xlnm._FilterDatabase" localSheetId="13" hidden="1">'APPENDIX D-5 E &amp; W AFRICA-USA'!$A$30:$AB$30</definedName>
    <definedName name="_xlnm._FilterDatabase" localSheetId="14" hidden="1">'APPENDIX E-1 (USEC-ISC)'!$A$30:$AB$30</definedName>
    <definedName name="_xlnm._FilterDatabase" localSheetId="15" hidden="1">'APPENDIX E-2 (USWC-ISC)'!$A$30:$AB$30</definedName>
    <definedName name="_xlnm._FilterDatabase" localSheetId="16" hidden="1">'APPENDIX F-1 ISC-US'!$A$30:$AB$30</definedName>
    <definedName name="_xlnm._FilterDatabase" localSheetId="17" hidden="1">'APPENDIX F-2 ISC-USWC'!$A$30:$AB$30</definedName>
    <definedName name="_xlnm._FilterDatabase" localSheetId="18" hidden="1">'APPENDIX F-3 (ISC-USVI PR)'!$A$30:$AB$30</definedName>
    <definedName name="_xlnm._FilterDatabase" localSheetId="19" hidden="1">'APPENDIX G-1 (USA - N. Europe)'!$A$30:$AB$30</definedName>
    <definedName name="_xlnm._FilterDatabase" localSheetId="20" hidden="1">'APPENDIX H-1 NE-USEC'!$A$32:$AB$32</definedName>
    <definedName name="_xlnm._FilterDatabase" localSheetId="21" hidden="1">'APPENDIX H-2 NE-USWC'!$A$30:$AB$30</definedName>
    <definedName name="_xlnm._FilterDatabase" localSheetId="22" hidden="1">'APPENDIX I-1 (USWC-AUST &amp; NZD)'!$A$30:$AB$30</definedName>
    <definedName name="_xlnm._FilterDatabase" localSheetId="23" hidden="1">'APPENDIX I-2 (USEC-AUST &amp; NZD)'!$A$34:$AB$34</definedName>
    <definedName name="_xlnm._FilterDatabase" localSheetId="24" hidden="1">'APPENDIX J-1 RTW TO USA'!$A$31:$AB$31</definedName>
    <definedName name="_xlnm._FilterDatabase" localSheetId="25" hidden="1">'APPENDIX N-1 (ASIA - CARIBBEAN)'!$A$30:$AB$30</definedName>
    <definedName name="_xlnm._FilterDatabase" localSheetId="26" hidden="1">'APPENDIX P-1 (USA-CARIB LATAM) '!$A$30:$BB$30</definedName>
    <definedName name="_xlnm._FilterDatabase" localSheetId="27" hidden="1">'APPENDIX P-2 (CARIB LATAM-USA)'!$A$30:$AB$30</definedName>
    <definedName name="_xlnm._FilterDatabase" localSheetId="28" hidden="1">'APPENDIX P-3 (PRICO&amp;USVI-LATAM)'!$A$30:$AB$30</definedName>
    <definedName name="_xlnm._FilterDatabase" localSheetId="29" hidden="1">'APPENDIX P-4 (LATM-PRICO&amp;USVI) '!$A$30:$AB$30</definedName>
    <definedName name="_xlnm._FilterDatabase" localSheetId="30" hidden="1">'FOREIGN TO FOREIGN'!$A$30:$AB$30</definedName>
    <definedName name="ArbMode">Listes!$B$322:$B$328</definedName>
    <definedName name="Autom">Listes!$B$370:$B$371</definedName>
    <definedName name="BULLET" localSheetId="3">'APPENDIX A-1 (USWC-ASIA)'!$N$13:$N$18</definedName>
    <definedName name="BULLET" localSheetId="4">'APPENDIX A-2 (USEC &amp; USGC-ASIA)'!$N$13:$N$18</definedName>
    <definedName name="BULLET" localSheetId="6">'APPENDIX B-2  (FE - USEC&amp;GC)'!$N$13:$N$18</definedName>
    <definedName name="BULLET" localSheetId="7">'APPENDIX C-1 (USA-MED)'!$N$13:$N$18</definedName>
    <definedName name="BULLET" localSheetId="8">'APPENDIX C-2 (USA-GULF&amp;RED SEA)'!$N$13:$N$18</definedName>
    <definedName name="BULLET" localSheetId="9">'APPENDIX C-3 (USWC-MEG &amp; MED)'!$N$13:$N$18</definedName>
    <definedName name="BULLET" localSheetId="10">'APPENDIX C-5 (USA-E &amp; W AFRICA)'!$N$13:$N$18</definedName>
    <definedName name="BULLET" localSheetId="11">'APPENDIX D-1 MED-US'!$N$13:$N$18</definedName>
    <definedName name="BULLET" localSheetId="12">'APPENDIX D-2 MED-USWC'!$N$13:$N$18</definedName>
    <definedName name="BULLET" localSheetId="13">'APPENDIX D-5 E &amp; W AFRICA-USA'!$N$13:$N$18</definedName>
    <definedName name="BULLET" localSheetId="14">'APPENDIX E-1 (USEC-ISC)'!$N$13:$N$18</definedName>
    <definedName name="BULLET" localSheetId="15">'APPENDIX E-2 (USWC-ISC)'!$N$13:$N$18</definedName>
    <definedName name="BULLET" localSheetId="16">'APPENDIX F-1 ISC-US'!$N$13:$N$18</definedName>
    <definedName name="BULLET" localSheetId="17">'APPENDIX F-2 ISC-USWC'!$N$13:$N$18</definedName>
    <definedName name="BULLET" localSheetId="18">'APPENDIX F-3 (ISC-USVI PR)'!$N$13:$N$18</definedName>
    <definedName name="BULLET" localSheetId="19">'APPENDIX G-1 (USA - N. Europe)'!$N$13:$N$18</definedName>
    <definedName name="BULLET" localSheetId="20">'APPENDIX H-1 NE-USEC'!$N$13:$N$18</definedName>
    <definedName name="BULLET" localSheetId="21">'APPENDIX H-2 NE-USWC'!$N$13:$N$18</definedName>
    <definedName name="BULLET" localSheetId="22">'APPENDIX I-1 (USWC-AUST &amp; NZD)'!$N$13:$N$18</definedName>
    <definedName name="BULLET" localSheetId="23">'APPENDIX I-2 (USEC-AUST &amp; NZD)'!$N$13:$N$18</definedName>
    <definedName name="BULLET" localSheetId="24">'APPENDIX J-1 RTW TO USA'!$N$13:$N$18</definedName>
    <definedName name="BULLET" localSheetId="25">'APPENDIX N-1 (ASIA - CARIBBEAN)'!$N$13:$N$18</definedName>
    <definedName name="BULLET" localSheetId="26">'APPENDIX P-1 (USA-CARIB LATAM) '!$N$13:$N$18</definedName>
    <definedName name="BULLET" localSheetId="27">'APPENDIX P-2 (CARIB LATAM-USA)'!$N$13:$N$18</definedName>
    <definedName name="BULLET" localSheetId="28">'APPENDIX P-3 (PRICO&amp;USVI-LATAM)'!$N$13:$N$18</definedName>
    <definedName name="BULLET" localSheetId="29">'APPENDIX P-4 (LATM-PRICO&amp;USVI) '!$N$13:$N$18</definedName>
    <definedName name="BULLET" localSheetId="30">'FOREIGN TO FOREIGN'!$N$13:$N$18</definedName>
    <definedName name="BULLET">'APPENDIX B-1  (FE - USWC)'!$N$13:$N$18</definedName>
    <definedName name="Charges">Listes!$A$3:$A$193</definedName>
    <definedName name="Container">Listes!$B$208:$B$217</definedName>
    <definedName name="CST">Listes!$B$394:$B$400</definedName>
    <definedName name="CURRENCY">Listes!$B$443:$B$578</definedName>
    <definedName name="DAYS">Listes!$B$409:$B$410</definedName>
    <definedName name="DDTARIFF">Listes!$B$414:$B$417</definedName>
    <definedName name="DDTARIFFUS">Listes!$B$421:$B$423</definedName>
    <definedName name="DDTARIFFUSE">Listes!$B$426:$B$427</definedName>
    <definedName name="DDTARIFFUSI">Listes!$B$421:$B$423</definedName>
    <definedName name="droppull">Listes!$B$255:$B$256</definedName>
    <definedName name="EQTYPE">Listes!$B$431:$B$434</definedName>
    <definedName name="Equip">Listes!$B$337:$B$357</definedName>
    <definedName name="Exceptions">Listes!$H$3:$H$194</definedName>
    <definedName name="EXPIMP">Listes!$B$404:$B$405</definedName>
    <definedName name="GRIPSS">Listes!$B$331:$B$334</definedName>
    <definedName name="GRIPSS_EQ">Listes!$B$375:$B$390</definedName>
    <definedName name="Mode">Listes!$B$259:$B$307</definedName>
    <definedName name="MQCType">Listes!$B$360:$B$362</definedName>
    <definedName name="OLE_LINK1" localSheetId="0">'Boiler Plate'!$A$348</definedName>
    <definedName name="OOG">Listes!$B$318:$B$319</definedName>
    <definedName name="OPREEFER">Listes!$B$438:$B$439</definedName>
    <definedName name="_xlnm.Print_Area" localSheetId="3">'APPENDIX A-1 (USWC-ASIA)'!$A$1:$AC$204</definedName>
    <definedName name="_xlnm.Print_Area" localSheetId="4">'APPENDIX A-2 (USEC &amp; USGC-ASIA)'!$A$1:$AC$204</definedName>
    <definedName name="_xlnm.Print_Area" localSheetId="5">'APPENDIX B-1  (FE - USWC)'!$A$1:$AC$201</definedName>
    <definedName name="_xlnm.Print_Area" localSheetId="6">'APPENDIX B-2  (FE - USEC&amp;GC)'!$A$1:$AC$207</definedName>
    <definedName name="_xlnm.Print_Area" localSheetId="7">'APPENDIX C-1 (USA-MED)'!$A$1:$AC$214</definedName>
    <definedName name="_xlnm.Print_Area" localSheetId="8">'APPENDIX C-2 (USA-GULF&amp;RED SEA)'!$A$1:$AC$205</definedName>
    <definedName name="_xlnm.Print_Area" localSheetId="9">'APPENDIX C-3 (USWC-MEG &amp; MED)'!$A$1:$AC$209</definedName>
    <definedName name="_xlnm.Print_Area" localSheetId="10">'APPENDIX C-5 (USA-E &amp; W AFRICA)'!$A$1:$AA$211</definedName>
    <definedName name="_xlnm.Print_Area" localSheetId="11">'APPENDIX D-1 MED-US'!$A$1:$AC$205</definedName>
    <definedName name="_xlnm.Print_Area" localSheetId="12">'APPENDIX D-2 MED-USWC'!$A$1:$AC$203</definedName>
    <definedName name="_xlnm.Print_Area" localSheetId="13">'APPENDIX D-5 E &amp; W AFRICA-USA'!$A$1:$AC$208</definedName>
    <definedName name="_xlnm.Print_Area" localSheetId="14">'APPENDIX E-1 (USEC-ISC)'!$A$1:$AC$203</definedName>
    <definedName name="_xlnm.Print_Area" localSheetId="15">'APPENDIX E-2 (USWC-ISC)'!$A$1:$AC$204</definedName>
    <definedName name="_xlnm.Print_Area" localSheetId="16">'APPENDIX F-1 ISC-US'!$A$1:$AC$206</definedName>
    <definedName name="_xlnm.Print_Area" localSheetId="17">'APPENDIX F-2 ISC-USWC'!$A$1:$AC$205</definedName>
    <definedName name="_xlnm.Print_Area" localSheetId="18">'APPENDIX F-3 (ISC-USVI PR)'!$A$1:$AC$197</definedName>
    <definedName name="_xlnm.Print_Area" localSheetId="19">'APPENDIX G-1 (USA - N. Europe)'!$A$1:$AC$206</definedName>
    <definedName name="_xlnm.Print_Area" localSheetId="20">'APPENDIX H-1 NE-USEC'!$A$1:$AC$203</definedName>
    <definedName name="_xlnm.Print_Area" localSheetId="21">'APPENDIX H-2 NE-USWC'!$A$1:$AC$198</definedName>
    <definedName name="_xlnm.Print_Area" localSheetId="22">'APPENDIX I-1 (USWC-AUST &amp; NZD)'!$A$1:$AC$198</definedName>
    <definedName name="_xlnm.Print_Area" localSheetId="23">'APPENDIX I-2 (USEC-AUST &amp; NZD)'!$A$1:$AC$211</definedName>
    <definedName name="_xlnm.Print_Area" localSheetId="24">'APPENDIX J-1 RTW TO USA'!$A$1:$AC$204</definedName>
    <definedName name="_xlnm.Print_Area" localSheetId="25">'APPENDIX N-1 (ASIA - CARIBBEAN)'!$A$1:$AC$201</definedName>
    <definedName name="_xlnm.Print_Area" localSheetId="26">'APPENDIX P-1 (USA-CARIB LATAM) '!$A$1:$AC$233</definedName>
    <definedName name="_xlnm.Print_Area" localSheetId="27">'APPENDIX P-2 (CARIB LATAM-USA)'!$A$1:$AC$233</definedName>
    <definedName name="_xlnm.Print_Area" localSheetId="28">'APPENDIX P-3 (PRICO&amp;USVI-LATAM)'!$A$1:$AC$229</definedName>
    <definedName name="_xlnm.Print_Area" localSheetId="29">'APPENDIX P-4 (LATM-PRICO&amp;USVI) '!$A$1:$AC$228</definedName>
    <definedName name="_xlnm.Print_Area" localSheetId="1">Cover!$A$1:$E$59</definedName>
    <definedName name="_xlnm.Print_Area" localSheetId="30">'FOREIGN TO FOREIGN'!$A$1:$AC$151</definedName>
    <definedName name="_xlnm.Print_Area" localSheetId="32">Listes!$A$2:$C$193</definedName>
    <definedName name="Reefer">Listes!$B$221:$B$227</definedName>
    <definedName name="SDD">Listes!$B$197:$B$200</definedName>
    <definedName name="shipper">Cover!$B$7</definedName>
    <definedName name="ShipperCert">Listes!$B$365:$B$366</definedName>
    <definedName name="ShipperOwn">Listes!$B$314:$B$315</definedName>
    <definedName name="Type_note2">Listes!$B$230:$B$252</definedName>
    <definedName name="YesNo">Listes!$B$310:$B$311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48" i="131" l="1"/>
  <c r="B118" i="129" l="1"/>
  <c r="B141" i="133"/>
  <c r="B144" i="134"/>
  <c r="B140" i="138"/>
  <c r="B141" i="139"/>
  <c r="A50" i="131"/>
  <c r="B130" i="103"/>
  <c r="B124" i="103"/>
  <c r="B125" i="102"/>
  <c r="B119" i="102"/>
  <c r="B124" i="105"/>
  <c r="B128" i="101"/>
  <c r="B114" i="105"/>
  <c r="B105" i="129" l="1"/>
  <c r="B94" i="129"/>
  <c r="B132" i="133"/>
  <c r="B130" i="138"/>
  <c r="B130" i="139"/>
  <c r="B102" i="129" l="1"/>
  <c r="B101" i="110"/>
  <c r="B102" i="111"/>
  <c r="B103" i="112"/>
  <c r="B108" i="140"/>
  <c r="B107" i="109"/>
  <c r="B108" i="98"/>
  <c r="B106" i="57"/>
  <c r="B107" i="108"/>
  <c r="B116" i="106" l="1"/>
  <c r="B132" i="139" l="1"/>
  <c r="B131" i="139"/>
  <c r="B132" i="138"/>
  <c r="B131" i="138"/>
  <c r="B134" i="134"/>
  <c r="B133" i="134"/>
  <c r="B135" i="133"/>
  <c r="B134" i="133"/>
  <c r="B108" i="129"/>
  <c r="B107" i="129"/>
  <c r="B110" i="120"/>
  <c r="B109" i="120"/>
  <c r="B117" i="119"/>
  <c r="B116" i="119"/>
  <c r="B110" i="118"/>
  <c r="B109" i="118"/>
  <c r="B112" i="116"/>
  <c r="B111" i="116"/>
  <c r="B113" i="115"/>
  <c r="B112" i="115"/>
  <c r="B113" i="113"/>
  <c r="B112" i="113"/>
  <c r="B105" i="110"/>
  <c r="B104" i="110"/>
  <c r="B109" i="111"/>
  <c r="B108" i="111"/>
  <c r="B111" i="112"/>
  <c r="B110" i="112"/>
  <c r="B114" i="107"/>
  <c r="B113" i="107"/>
  <c r="B111" i="106"/>
  <c r="B110" i="106"/>
  <c r="B116" i="140"/>
  <c r="B115" i="140"/>
  <c r="B115" i="109"/>
  <c r="B114" i="109"/>
  <c r="B115" i="108"/>
  <c r="B114" i="108"/>
  <c r="B117" i="105"/>
  <c r="B116" i="105"/>
  <c r="B115" i="103"/>
  <c r="B114" i="103"/>
  <c r="B111" i="102"/>
  <c r="B110" i="102"/>
  <c r="B121" i="101"/>
  <c r="B120" i="101"/>
  <c r="B114" i="98"/>
  <c r="B113" i="98"/>
  <c r="B112" i="57"/>
  <c r="B111" i="57"/>
  <c r="B115" i="96"/>
  <c r="B114" i="96"/>
  <c r="B115" i="95"/>
  <c r="B114" i="95"/>
  <c r="B100" i="116" l="1"/>
  <c r="B102" i="115"/>
  <c r="B118" i="120" l="1"/>
  <c r="B141" i="134"/>
  <c r="B117" i="129"/>
  <c r="B122" i="98"/>
  <c r="B319" i="131" l="1"/>
  <c r="A3" i="131" l="1"/>
  <c r="A52" i="131"/>
  <c r="B39" i="131" l="1"/>
  <c r="A54" i="131" l="1"/>
  <c r="B134" i="139" l="1"/>
  <c r="B134" i="138"/>
  <c r="B136" i="134"/>
  <c r="B137" i="133"/>
  <c r="B119" i="119"/>
  <c r="B112" i="118"/>
  <c r="B114" i="116"/>
  <c r="B115" i="115"/>
  <c r="B115" i="113"/>
  <c r="B116" i="107"/>
  <c r="B113" i="106"/>
  <c r="B118" i="140"/>
  <c r="B117" i="109"/>
  <c r="B117" i="108" l="1"/>
  <c r="B119" i="105"/>
  <c r="B117" i="103"/>
  <c r="B113" i="102"/>
  <c r="B123" i="101"/>
  <c r="B117" i="96"/>
  <c r="B117" i="95"/>
  <c r="B107" i="110" l="1"/>
  <c r="B111" i="111"/>
  <c r="B113" i="112"/>
  <c r="B110" i="129" l="1"/>
  <c r="B112" i="120"/>
  <c r="B116" i="98"/>
  <c r="B114" i="57"/>
  <c r="B103" i="111" l="1"/>
  <c r="B104" i="112"/>
  <c r="B107" i="107"/>
  <c r="B105" i="106"/>
  <c r="B108" i="105"/>
  <c r="B108" i="103"/>
  <c r="B105" i="102"/>
  <c r="B114" i="101"/>
  <c r="B151" i="139" l="1"/>
  <c r="B152" i="138"/>
  <c r="B155" i="134"/>
  <c r="B155" i="133"/>
  <c r="B122" i="129"/>
  <c r="B126" i="113"/>
  <c r="B124" i="106"/>
  <c r="B126" i="102"/>
  <c r="B135" i="101"/>
  <c r="B128" i="98"/>
  <c r="B123" i="57"/>
  <c r="B102" i="95" l="1"/>
  <c r="B102" i="96"/>
  <c r="B136" i="139"/>
  <c r="B114" i="139"/>
  <c r="B111" i="139"/>
  <c r="B144" i="138"/>
  <c r="B114" i="138"/>
  <c r="B111" i="138"/>
  <c r="B138" i="134"/>
  <c r="B115" i="134"/>
  <c r="B112" i="134"/>
  <c r="B144" i="133"/>
  <c r="B116" i="133"/>
  <c r="B113" i="133"/>
  <c r="B112" i="129"/>
  <c r="B98" i="129"/>
  <c r="B95" i="129"/>
  <c r="B114" i="120"/>
  <c r="B99" i="120"/>
  <c r="B96" i="120"/>
  <c r="B127" i="119"/>
  <c r="B105" i="119"/>
  <c r="B101" i="119"/>
  <c r="B116" i="118"/>
  <c r="B100" i="118"/>
  <c r="B97" i="118"/>
  <c r="B116" i="116"/>
  <c r="B99" i="116"/>
  <c r="B96" i="116"/>
  <c r="B117" i="115"/>
  <c r="B101" i="115"/>
  <c r="B98" i="115"/>
  <c r="B120" i="113"/>
  <c r="B100" i="113"/>
  <c r="B97" i="113"/>
  <c r="B109" i="110"/>
  <c r="B94" i="110"/>
  <c r="B97" i="110"/>
  <c r="B113" i="111"/>
  <c r="B95" i="111"/>
  <c r="B98" i="111"/>
  <c r="B115" i="112"/>
  <c r="B99" i="112"/>
  <c r="B96" i="112"/>
  <c r="B122" i="107"/>
  <c r="B98" i="107"/>
  <c r="B120" i="106"/>
  <c r="B97" i="106"/>
  <c r="B120" i="140"/>
  <c r="B102" i="140"/>
  <c r="B99" i="140"/>
  <c r="B118" i="109"/>
  <c r="B100" i="109"/>
  <c r="B97" i="109"/>
  <c r="B119" i="108"/>
  <c r="B100" i="108"/>
  <c r="B97" i="108"/>
  <c r="B125" i="105"/>
  <c r="B102" i="105"/>
  <c r="B125" i="103"/>
  <c r="B100" i="103"/>
  <c r="B98" i="103"/>
  <c r="B120" i="102"/>
  <c r="B97" i="102"/>
  <c r="B100" i="102"/>
  <c r="B129" i="101"/>
  <c r="B102" i="101"/>
  <c r="B105" i="101"/>
  <c r="B118" i="98"/>
  <c r="B104" i="98"/>
  <c r="B101" i="98"/>
  <c r="B116" i="57"/>
  <c r="B99" i="57"/>
  <c r="B102" i="57"/>
  <c r="B122" i="96"/>
  <c r="B96" i="96"/>
  <c r="B96" i="95"/>
  <c r="B124" i="95"/>
  <c r="B129" i="105" l="1"/>
  <c r="B128" i="105"/>
  <c r="B99" i="105"/>
  <c r="B123" i="139" l="1"/>
  <c r="B124" i="134"/>
  <c r="B105" i="107"/>
  <c r="B123" i="138" l="1"/>
  <c r="B125" i="133"/>
  <c r="B103" i="116"/>
  <c r="B103" i="113"/>
  <c r="N14" i="107"/>
  <c r="B103" i="106"/>
  <c r="B105" i="140"/>
  <c r="B104" i="109"/>
  <c r="B104" i="108"/>
  <c r="B104" i="103"/>
  <c r="B103" i="102"/>
  <c r="B109" i="101"/>
  <c r="B106" i="96"/>
  <c r="B106" i="95"/>
  <c r="B135" i="138" l="1"/>
  <c r="B143" i="138"/>
  <c r="B143" i="133"/>
  <c r="B126" i="119"/>
  <c r="B115" i="118"/>
  <c r="B119" i="113"/>
  <c r="B121" i="107"/>
  <c r="B119" i="106"/>
  <c r="B135" i="139"/>
  <c r="B137" i="134"/>
  <c r="B111" i="129"/>
  <c r="B113" i="120"/>
  <c r="B115" i="116"/>
  <c r="B116" i="115"/>
  <c r="B108" i="110"/>
  <c r="B112" i="111"/>
  <c r="B114" i="112"/>
  <c r="B119" i="140"/>
  <c r="B119" i="109"/>
  <c r="B118" i="108"/>
  <c r="B123" i="105"/>
  <c r="B123" i="103"/>
  <c r="B118" i="102"/>
  <c r="B127" i="101"/>
  <c r="B117" i="98"/>
  <c r="B115" i="57"/>
  <c r="B121" i="96"/>
  <c r="B123" i="95"/>
  <c r="B105" i="105"/>
  <c r="B104" i="105"/>
  <c r="B103" i="109"/>
  <c r="B103" i="108"/>
  <c r="B103" i="103"/>
  <c r="B102" i="102"/>
  <c r="B108" i="101"/>
  <c r="B154" i="134"/>
  <c r="B154" i="133"/>
  <c r="B127" i="103"/>
  <c r="B105" i="103"/>
  <c r="B131" i="101"/>
  <c r="B110" i="101"/>
  <c r="B125" i="98"/>
  <c r="B121" i="57"/>
  <c r="B94" i="140"/>
  <c r="B94" i="105"/>
  <c r="B119" i="115"/>
  <c r="B114" i="113"/>
  <c r="B124" i="112"/>
  <c r="B123" i="112"/>
  <c r="B122" i="112"/>
  <c r="B121" i="112"/>
  <c r="B120" i="112"/>
  <c r="B119" i="112"/>
  <c r="B102" i="112"/>
  <c r="B106" i="116"/>
  <c r="B109" i="109"/>
  <c r="B104" i="119"/>
  <c r="B101" i="103"/>
  <c r="B106" i="101"/>
  <c r="B101" i="109"/>
  <c r="B99" i="108"/>
  <c r="B108" i="96"/>
  <c r="B104" i="111"/>
  <c r="B105" i="111"/>
  <c r="B109" i="98"/>
  <c r="B108" i="57"/>
  <c r="B109" i="57"/>
  <c r="B139" i="134"/>
  <c r="B122" i="105"/>
  <c r="B126" i="105"/>
  <c r="B110" i="107"/>
  <c r="B120" i="107"/>
  <c r="B125" i="107"/>
  <c r="B126" i="107"/>
  <c r="B116" i="103"/>
  <c r="B119" i="103"/>
  <c r="B121" i="103"/>
  <c r="B129" i="103"/>
  <c r="B131" i="103"/>
  <c r="B116" i="95"/>
  <c r="B125" i="95"/>
  <c r="B112" i="106"/>
  <c r="B115" i="106"/>
  <c r="B122" i="102"/>
  <c r="B117" i="102"/>
  <c r="B101" i="105"/>
  <c r="B130" i="105"/>
  <c r="B113" i="105"/>
  <c r="B112" i="105"/>
  <c r="B107" i="105"/>
  <c r="B118" i="139"/>
  <c r="B121" i="138"/>
  <c r="B118" i="138"/>
  <c r="B118" i="134"/>
  <c r="B149" i="133"/>
  <c r="B109" i="129"/>
  <c r="B105" i="120"/>
  <c r="B107" i="119"/>
  <c r="B104" i="118"/>
  <c r="B107" i="116"/>
  <c r="B106" i="115"/>
  <c r="B96" i="113"/>
  <c r="B106" i="110"/>
  <c r="B117" i="111"/>
  <c r="B106" i="112"/>
  <c r="B106" i="107"/>
  <c r="B109" i="108"/>
  <c r="B106" i="105"/>
  <c r="B109" i="103"/>
  <c r="B101" i="102"/>
  <c r="B107" i="101"/>
  <c r="B109" i="96"/>
  <c r="B107" i="95"/>
  <c r="B106" i="109"/>
  <c r="B113" i="140"/>
  <c r="B114" i="140"/>
  <c r="B109" i="140"/>
  <c r="B110" i="140"/>
  <c r="B111" i="140"/>
  <c r="B112" i="140"/>
  <c r="B107" i="140"/>
  <c r="B115" i="105"/>
  <c r="B111" i="105"/>
  <c r="B110" i="105"/>
  <c r="B97" i="140"/>
  <c r="B96" i="140"/>
  <c r="B93" i="140"/>
  <c r="B98" i="140"/>
  <c r="B100" i="140"/>
  <c r="B101" i="140"/>
  <c r="B103" i="140"/>
  <c r="B104" i="140"/>
  <c r="B106" i="140"/>
  <c r="B117" i="140"/>
  <c r="B121" i="140"/>
  <c r="B122" i="140"/>
  <c r="B124" i="140"/>
  <c r="B125" i="140"/>
  <c r="B126" i="140"/>
  <c r="B127" i="140"/>
  <c r="B128" i="140"/>
  <c r="B129" i="140"/>
  <c r="B130" i="140"/>
  <c r="B95" i="140"/>
  <c r="B131" i="140"/>
  <c r="B123" i="140"/>
  <c r="C4" i="140"/>
  <c r="C3" i="140"/>
  <c r="C1" i="140"/>
  <c r="N14" i="140"/>
  <c r="N15" i="140"/>
  <c r="N16" i="140"/>
  <c r="N17" i="140"/>
  <c r="N18" i="140"/>
  <c r="B42" i="131"/>
  <c r="B70" i="131"/>
  <c r="B71" i="131"/>
  <c r="B76" i="131"/>
  <c r="B77" i="131"/>
  <c r="B78" i="131"/>
  <c r="B80" i="131"/>
  <c r="B81" i="131"/>
  <c r="B82" i="131"/>
  <c r="B140" i="133"/>
  <c r="B119" i="139"/>
  <c r="B123" i="134"/>
  <c r="B125" i="134"/>
  <c r="B136" i="133"/>
  <c r="B138" i="133"/>
  <c r="B104" i="129"/>
  <c r="B106" i="129"/>
  <c r="B103" i="120"/>
  <c r="B104" i="120"/>
  <c r="B109" i="119"/>
  <c r="B108" i="119"/>
  <c r="B102" i="118"/>
  <c r="B103" i="118"/>
  <c r="B105" i="116"/>
  <c r="B104" i="115"/>
  <c r="B105" i="115"/>
  <c r="B105" i="113"/>
  <c r="B106" i="113"/>
  <c r="B119" i="111"/>
  <c r="B118" i="111"/>
  <c r="B105" i="112"/>
  <c r="B104" i="107"/>
  <c r="B103" i="107"/>
  <c r="B95" i="106"/>
  <c r="B99" i="106"/>
  <c r="B100" i="106"/>
  <c r="B123" i="106"/>
  <c r="B105" i="109"/>
  <c r="B102" i="109"/>
  <c r="B108" i="108"/>
  <c r="B105" i="108"/>
  <c r="B106" i="108"/>
  <c r="B103" i="105"/>
  <c r="B102" i="103"/>
  <c r="B99" i="102"/>
  <c r="B113" i="101"/>
  <c r="B115" i="101"/>
  <c r="B124" i="98"/>
  <c r="B126" i="98"/>
  <c r="B120" i="57"/>
  <c r="B122" i="57"/>
  <c r="B105" i="96"/>
  <c r="B107" i="96"/>
  <c r="B104" i="95"/>
  <c r="B105" i="95"/>
  <c r="B101" i="96"/>
  <c r="B99" i="96"/>
  <c r="B103" i="95"/>
  <c r="B99" i="95"/>
  <c r="B99" i="111"/>
  <c r="B100" i="111"/>
  <c r="B101" i="111"/>
  <c r="B106" i="98"/>
  <c r="B107" i="98"/>
  <c r="B107" i="57"/>
  <c r="B119" i="110"/>
  <c r="B125" i="109"/>
  <c r="B126" i="108"/>
  <c r="B120" i="116"/>
  <c r="B124" i="115"/>
  <c r="B127" i="108"/>
  <c r="B127" i="113"/>
  <c r="B136" i="101"/>
  <c r="B99" i="113"/>
  <c r="B95" i="107"/>
  <c r="B93" i="106"/>
  <c r="B95" i="103"/>
  <c r="B95" i="102"/>
  <c r="B101" i="101"/>
  <c r="B95" i="95"/>
  <c r="B123" i="119"/>
  <c r="B124" i="119"/>
  <c r="B125" i="119"/>
  <c r="B128" i="119"/>
  <c r="B127" i="107"/>
  <c r="B117" i="139"/>
  <c r="B117" i="134"/>
  <c r="B116" i="139"/>
  <c r="B117" i="138"/>
  <c r="B116" i="134"/>
  <c r="B130" i="133"/>
  <c r="B105" i="118"/>
  <c r="B105" i="98"/>
  <c r="B104" i="57"/>
  <c r="B105" i="57"/>
  <c r="B98" i="110"/>
  <c r="B96" i="111"/>
  <c r="B100" i="57"/>
  <c r="B153" i="133"/>
  <c r="B147" i="133"/>
  <c r="B148" i="133"/>
  <c r="B146" i="133"/>
  <c r="B121" i="133"/>
  <c r="B126" i="95"/>
  <c r="B126" i="96"/>
  <c r="B149" i="139"/>
  <c r="B150" i="138"/>
  <c r="B153" i="134"/>
  <c r="B140" i="139"/>
  <c r="B139" i="138"/>
  <c r="B142" i="134"/>
  <c r="B147" i="134"/>
  <c r="B157" i="133"/>
  <c r="B148" i="134"/>
  <c r="B110" i="133"/>
  <c r="B144" i="139"/>
  <c r="B145" i="138"/>
  <c r="B146" i="134"/>
  <c r="B139" i="133"/>
  <c r="B112" i="139"/>
  <c r="B115" i="138"/>
  <c r="B127" i="112"/>
  <c r="B113" i="134"/>
  <c r="B152" i="139"/>
  <c r="B150" i="139"/>
  <c r="B148" i="139"/>
  <c r="B147" i="139"/>
  <c r="B146" i="139"/>
  <c r="B145" i="139"/>
  <c r="B143" i="139"/>
  <c r="B142" i="139"/>
  <c r="B139" i="139"/>
  <c r="B138" i="139"/>
  <c r="B137" i="139"/>
  <c r="B133" i="139"/>
  <c r="B129" i="139"/>
  <c r="B128" i="139"/>
  <c r="B115" i="139"/>
  <c r="B127" i="139"/>
  <c r="B126" i="139"/>
  <c r="B125" i="139"/>
  <c r="B124" i="139"/>
  <c r="B122" i="139"/>
  <c r="B121" i="139"/>
  <c r="B120" i="139"/>
  <c r="B110" i="139"/>
  <c r="B113" i="139"/>
  <c r="B109" i="139"/>
  <c r="N18" i="139"/>
  <c r="N17" i="139"/>
  <c r="N16" i="139"/>
  <c r="N15" i="139"/>
  <c r="N14" i="139"/>
  <c r="C4" i="139"/>
  <c r="C3" i="139"/>
  <c r="C1" i="139"/>
  <c r="B153" i="138"/>
  <c r="B151" i="138"/>
  <c r="B149" i="138"/>
  <c r="B148" i="138"/>
  <c r="B147" i="138"/>
  <c r="B146" i="138"/>
  <c r="B142" i="138"/>
  <c r="B141" i="138"/>
  <c r="B138" i="138"/>
  <c r="B137" i="138"/>
  <c r="B136" i="138"/>
  <c r="B133" i="138"/>
  <c r="B129" i="138"/>
  <c r="B128" i="138"/>
  <c r="B113" i="138"/>
  <c r="B112" i="138"/>
  <c r="B127" i="138"/>
  <c r="B126" i="138"/>
  <c r="B125" i="138"/>
  <c r="B124" i="138"/>
  <c r="B122" i="138"/>
  <c r="B120" i="138"/>
  <c r="B119" i="138"/>
  <c r="B110" i="138"/>
  <c r="B116" i="138"/>
  <c r="B109" i="138"/>
  <c r="N18" i="138"/>
  <c r="N17" i="138"/>
  <c r="N16" i="138"/>
  <c r="N15" i="138"/>
  <c r="N14" i="138"/>
  <c r="C4" i="138"/>
  <c r="C3" i="138"/>
  <c r="C1" i="138"/>
  <c r="B157" i="134"/>
  <c r="B156" i="134"/>
  <c r="B152" i="134"/>
  <c r="B151" i="134"/>
  <c r="B150" i="134"/>
  <c r="B149" i="134"/>
  <c r="B145" i="134"/>
  <c r="B143" i="134"/>
  <c r="B140" i="134"/>
  <c r="B135" i="134"/>
  <c r="B132" i="134"/>
  <c r="B131" i="134"/>
  <c r="B130" i="134"/>
  <c r="B129" i="134"/>
  <c r="B111" i="134"/>
  <c r="B128" i="134"/>
  <c r="B127" i="134"/>
  <c r="B126" i="134"/>
  <c r="B122" i="134"/>
  <c r="B121" i="134"/>
  <c r="B120" i="134"/>
  <c r="B119" i="134"/>
  <c r="B110" i="134"/>
  <c r="B114" i="134"/>
  <c r="B109" i="134"/>
  <c r="N18" i="134"/>
  <c r="N17" i="134"/>
  <c r="N16" i="134"/>
  <c r="N15" i="134"/>
  <c r="N14" i="134"/>
  <c r="C4" i="134"/>
  <c r="C3" i="134"/>
  <c r="C1" i="134"/>
  <c r="B156" i="133"/>
  <c r="B150" i="133"/>
  <c r="B152" i="133"/>
  <c r="B126" i="133"/>
  <c r="B124" i="133"/>
  <c r="B151" i="133"/>
  <c r="B123" i="133"/>
  <c r="B120" i="133"/>
  <c r="B119" i="133"/>
  <c r="B118" i="133"/>
  <c r="B117" i="133"/>
  <c r="B115" i="133"/>
  <c r="B114" i="133"/>
  <c r="B127" i="133"/>
  <c r="B145" i="133"/>
  <c r="B122" i="133"/>
  <c r="B111" i="133"/>
  <c r="B142" i="133"/>
  <c r="B112" i="133"/>
  <c r="B131" i="133"/>
  <c r="B133" i="133"/>
  <c r="B129" i="133"/>
  <c r="B128" i="133"/>
  <c r="B109" i="133"/>
  <c r="N18" i="133"/>
  <c r="N17" i="133"/>
  <c r="N16" i="133"/>
  <c r="N15" i="133"/>
  <c r="N14" i="133"/>
  <c r="C4" i="133"/>
  <c r="C3" i="133"/>
  <c r="C1" i="133"/>
  <c r="B128" i="112"/>
  <c r="B98" i="119"/>
  <c r="B121" i="129"/>
  <c r="B114" i="118"/>
  <c r="B108" i="116"/>
  <c r="B121" i="115"/>
  <c r="B107" i="113"/>
  <c r="B110" i="110"/>
  <c r="B114" i="111"/>
  <c r="B107" i="112"/>
  <c r="B104" i="106"/>
  <c r="B120" i="108"/>
  <c r="B118" i="103"/>
  <c r="B118" i="101"/>
  <c r="B99" i="98"/>
  <c r="B110" i="96"/>
  <c r="B111" i="95"/>
  <c r="B121" i="119"/>
  <c r="B100" i="132"/>
  <c r="B99" i="132"/>
  <c r="B120" i="129"/>
  <c r="B124" i="120"/>
  <c r="B115" i="119"/>
  <c r="B111" i="118"/>
  <c r="B104" i="116"/>
  <c r="B118" i="115"/>
  <c r="B104" i="113"/>
  <c r="B114" i="110"/>
  <c r="B113" i="110"/>
  <c r="B112" i="110"/>
  <c r="B125" i="111"/>
  <c r="B115" i="107"/>
  <c r="B102" i="106"/>
  <c r="B112" i="109"/>
  <c r="B116" i="108"/>
  <c r="B112" i="103"/>
  <c r="B106" i="102"/>
  <c r="B117" i="101"/>
  <c r="B113" i="96"/>
  <c r="B110" i="95"/>
  <c r="B123" i="120"/>
  <c r="B102" i="116"/>
  <c r="B114" i="115"/>
  <c r="B124" i="111"/>
  <c r="B118" i="112"/>
  <c r="B111" i="109"/>
  <c r="B113" i="108"/>
  <c r="B114" i="119"/>
  <c r="B108" i="118"/>
  <c r="B102" i="113"/>
  <c r="B112" i="107"/>
  <c r="B101" i="106"/>
  <c r="B120" i="105"/>
  <c r="B111" i="103"/>
  <c r="B104" i="102"/>
  <c r="B116" i="101"/>
  <c r="B112" i="96"/>
  <c r="B109" i="95"/>
  <c r="B124" i="102"/>
  <c r="B111" i="101"/>
  <c r="B107" i="120"/>
  <c r="B122" i="119"/>
  <c r="B125" i="113"/>
  <c r="B127" i="96"/>
  <c r="B127" i="95"/>
  <c r="B103" i="98"/>
  <c r="B103" i="57"/>
  <c r="B120" i="119"/>
  <c r="B123" i="113"/>
  <c r="B123" i="98"/>
  <c r="B119" i="57"/>
  <c r="B119" i="116"/>
  <c r="B97" i="116"/>
  <c r="B125" i="115"/>
  <c r="B100" i="110"/>
  <c r="B118" i="110"/>
  <c r="B117" i="110"/>
  <c r="B102" i="110"/>
  <c r="B127" i="111"/>
  <c r="B128" i="111"/>
  <c r="B126" i="111"/>
  <c r="B120" i="111"/>
  <c r="B121" i="111"/>
  <c r="B125" i="112"/>
  <c r="B124" i="109"/>
  <c r="B123" i="109"/>
  <c r="B122" i="111"/>
  <c r="B122" i="109"/>
  <c r="B98" i="109"/>
  <c r="B101" i="108"/>
  <c r="B121" i="120"/>
  <c r="B119" i="120"/>
  <c r="B120" i="120"/>
  <c r="B117" i="120"/>
  <c r="B100" i="129"/>
  <c r="B123" i="129"/>
  <c r="B124" i="96"/>
  <c r="B121" i="95"/>
  <c r="B97" i="111"/>
  <c r="B102" i="98"/>
  <c r="B110" i="111"/>
  <c r="B121" i="98"/>
  <c r="B117" i="57"/>
  <c r="B98" i="96"/>
  <c r="B126" i="101"/>
  <c r="B114" i="102"/>
  <c r="B98" i="105"/>
  <c r="B110" i="108"/>
  <c r="B108" i="106"/>
  <c r="B109" i="112"/>
  <c r="B117" i="113"/>
  <c r="B108" i="115"/>
  <c r="B103" i="119"/>
  <c r="B111" i="120"/>
  <c r="B113" i="116"/>
  <c r="B120" i="109"/>
  <c r="B130" i="119"/>
  <c r="B95" i="113"/>
  <c r="B106" i="103"/>
  <c r="B104" i="101"/>
  <c r="B100" i="96"/>
  <c r="B101" i="95"/>
  <c r="B126" i="112"/>
  <c r="B98" i="112"/>
  <c r="B111" i="98"/>
  <c r="B120" i="96"/>
  <c r="B119" i="95"/>
  <c r="A1" i="131"/>
  <c r="B111" i="113"/>
  <c r="B94" i="113"/>
  <c r="B126" i="103"/>
  <c r="B123" i="102"/>
  <c r="B100" i="112"/>
  <c r="B121" i="105"/>
  <c r="B127" i="105"/>
  <c r="B103" i="101"/>
  <c r="C1" i="132"/>
  <c r="C3" i="132"/>
  <c r="C4" i="132"/>
  <c r="N14" i="132"/>
  <c r="N15" i="132"/>
  <c r="N16" i="132"/>
  <c r="N17" i="132"/>
  <c r="N18" i="132"/>
  <c r="B89" i="132"/>
  <c r="B90" i="132"/>
  <c r="B91" i="132"/>
  <c r="B92" i="132"/>
  <c r="B93" i="132"/>
  <c r="B94" i="132"/>
  <c r="B95" i="132"/>
  <c r="B96" i="132"/>
  <c r="B97" i="132"/>
  <c r="B98" i="132"/>
  <c r="B101" i="132"/>
  <c r="B102" i="132"/>
  <c r="B103" i="132"/>
  <c r="B104" i="132"/>
  <c r="B105" i="132"/>
  <c r="B98" i="120"/>
  <c r="B100" i="119"/>
  <c r="B110" i="119"/>
  <c r="B111" i="119"/>
  <c r="B112" i="119"/>
  <c r="B97" i="119"/>
  <c r="B36" i="131"/>
  <c r="B35" i="131"/>
  <c r="E8" i="42"/>
  <c r="C1" i="129"/>
  <c r="C3" i="129"/>
  <c r="C4" i="129"/>
  <c r="N14" i="129"/>
  <c r="N15" i="129"/>
  <c r="N16" i="129"/>
  <c r="N17" i="129"/>
  <c r="N18" i="129"/>
  <c r="B114" i="129"/>
  <c r="B99" i="129"/>
  <c r="B101" i="129"/>
  <c r="B93" i="129"/>
  <c r="B103" i="129"/>
  <c r="B96" i="129"/>
  <c r="B97" i="129"/>
  <c r="B113" i="129"/>
  <c r="B115" i="129"/>
  <c r="B116" i="129"/>
  <c r="B119" i="129"/>
  <c r="B124" i="129"/>
  <c r="B113" i="119"/>
  <c r="B118" i="119"/>
  <c r="C1" i="120"/>
  <c r="C3" i="120"/>
  <c r="C4" i="120"/>
  <c r="N14" i="120"/>
  <c r="N15" i="120"/>
  <c r="N16" i="120"/>
  <c r="N17" i="120"/>
  <c r="N18" i="120"/>
  <c r="B94" i="120"/>
  <c r="B100" i="120"/>
  <c r="B101" i="120"/>
  <c r="B102" i="120"/>
  <c r="B106" i="120"/>
  <c r="B97" i="120"/>
  <c r="B108" i="120"/>
  <c r="B115" i="120"/>
  <c r="B116" i="120"/>
  <c r="B122" i="120"/>
  <c r="B125" i="120"/>
  <c r="B126" i="120"/>
  <c r="B95" i="120"/>
  <c r="B127" i="120"/>
  <c r="C1" i="119"/>
  <c r="C3" i="119"/>
  <c r="C4" i="119"/>
  <c r="N14" i="119"/>
  <c r="N15" i="119"/>
  <c r="N16" i="119"/>
  <c r="N17" i="119"/>
  <c r="N18" i="119"/>
  <c r="B99" i="119"/>
  <c r="B102" i="119"/>
  <c r="B106" i="119"/>
  <c r="B129" i="119"/>
  <c r="B131" i="119"/>
  <c r="B132" i="119"/>
  <c r="B133" i="119"/>
  <c r="B134" i="119"/>
  <c r="C1" i="118"/>
  <c r="C3" i="118"/>
  <c r="C4" i="118"/>
  <c r="N14" i="118"/>
  <c r="N15" i="118"/>
  <c r="N16" i="118"/>
  <c r="N17" i="118"/>
  <c r="N18" i="118"/>
  <c r="B93" i="118"/>
  <c r="B95" i="118"/>
  <c r="B99" i="118"/>
  <c r="B98" i="118"/>
  <c r="B101" i="118"/>
  <c r="B106" i="118"/>
  <c r="B94" i="118"/>
  <c r="B107" i="118"/>
  <c r="B113" i="118"/>
  <c r="B96" i="118"/>
  <c r="B117" i="118"/>
  <c r="B118" i="118"/>
  <c r="B119" i="118"/>
  <c r="B120" i="118"/>
  <c r="B121" i="118"/>
  <c r="C1" i="116"/>
  <c r="C3" i="116"/>
  <c r="C4" i="116"/>
  <c r="N14" i="116"/>
  <c r="N15" i="116"/>
  <c r="N16" i="116"/>
  <c r="N17" i="116"/>
  <c r="N18" i="116"/>
  <c r="B118" i="116"/>
  <c r="B95" i="116"/>
  <c r="B93" i="116"/>
  <c r="B98" i="116"/>
  <c r="B101" i="116"/>
  <c r="B109" i="116"/>
  <c r="B110" i="116"/>
  <c r="B117" i="116"/>
  <c r="B94" i="116"/>
  <c r="B121" i="116"/>
  <c r="C1" i="115"/>
  <c r="C3" i="115"/>
  <c r="C4" i="115"/>
  <c r="N14" i="115"/>
  <c r="N15" i="115"/>
  <c r="N16" i="115"/>
  <c r="N17" i="115"/>
  <c r="N18" i="115"/>
  <c r="B120" i="115"/>
  <c r="B97" i="115"/>
  <c r="B99" i="115"/>
  <c r="B100" i="115"/>
  <c r="B95" i="115"/>
  <c r="B96" i="115"/>
  <c r="B103" i="115"/>
  <c r="B107" i="115"/>
  <c r="B109" i="115"/>
  <c r="B110" i="115"/>
  <c r="B111" i="115"/>
  <c r="B122" i="115"/>
  <c r="B123" i="115"/>
  <c r="B126" i="115"/>
  <c r="C1" i="113"/>
  <c r="C3" i="113"/>
  <c r="C4" i="113"/>
  <c r="N14" i="113"/>
  <c r="N15" i="113"/>
  <c r="N16" i="113"/>
  <c r="N17" i="113"/>
  <c r="N18" i="113"/>
  <c r="B118" i="113"/>
  <c r="B93" i="113"/>
  <c r="B98" i="113"/>
  <c r="B101" i="113"/>
  <c r="B108" i="113"/>
  <c r="B109" i="113"/>
  <c r="B110" i="113"/>
  <c r="B116" i="113"/>
  <c r="B122" i="113"/>
  <c r="B121" i="113"/>
  <c r="B124" i="113"/>
  <c r="B128" i="113"/>
  <c r="B129" i="113"/>
  <c r="C1" i="112"/>
  <c r="C3" i="112"/>
  <c r="C4" i="112"/>
  <c r="N14" i="112"/>
  <c r="N15" i="112"/>
  <c r="N16" i="112"/>
  <c r="N17" i="112"/>
  <c r="N18" i="112"/>
  <c r="B117" i="112"/>
  <c r="B97" i="112"/>
  <c r="B93" i="112"/>
  <c r="B101" i="112"/>
  <c r="B94" i="112"/>
  <c r="B95" i="112"/>
  <c r="B108" i="112"/>
  <c r="B112" i="112"/>
  <c r="B116" i="112"/>
  <c r="B129" i="112"/>
  <c r="C1" i="111"/>
  <c r="C3" i="111"/>
  <c r="C4" i="111"/>
  <c r="N14" i="111"/>
  <c r="N15" i="111"/>
  <c r="N16" i="111"/>
  <c r="N17" i="111"/>
  <c r="N18" i="111"/>
  <c r="B115" i="111"/>
  <c r="B94" i="111"/>
  <c r="B106" i="111"/>
  <c r="B93" i="111"/>
  <c r="B107" i="111"/>
  <c r="B116" i="111"/>
  <c r="B123" i="111"/>
  <c r="C1" i="110"/>
  <c r="C3" i="110"/>
  <c r="C4" i="110"/>
  <c r="N14" i="110"/>
  <c r="N15" i="110"/>
  <c r="N16" i="110"/>
  <c r="N17" i="110"/>
  <c r="N18" i="110"/>
  <c r="B111" i="110"/>
  <c r="B96" i="110"/>
  <c r="B99" i="110"/>
  <c r="B93" i="110"/>
  <c r="B103" i="110"/>
  <c r="B95" i="110"/>
  <c r="B115" i="110"/>
  <c r="B116" i="110"/>
  <c r="B120" i="110"/>
  <c r="B118" i="107"/>
  <c r="B119" i="107"/>
  <c r="B122" i="106"/>
  <c r="B125" i="106"/>
  <c r="B126" i="106"/>
  <c r="C1" i="109"/>
  <c r="C3" i="109"/>
  <c r="C4" i="109"/>
  <c r="N14" i="109"/>
  <c r="N15" i="109"/>
  <c r="N16" i="109"/>
  <c r="N17" i="109"/>
  <c r="N18" i="109"/>
  <c r="B121" i="109"/>
  <c r="B96" i="109"/>
  <c r="B95" i="109"/>
  <c r="B93" i="109"/>
  <c r="B99" i="109"/>
  <c r="B108" i="109"/>
  <c r="B110" i="109"/>
  <c r="B113" i="109"/>
  <c r="B116" i="109"/>
  <c r="B94" i="109"/>
  <c r="B126" i="109"/>
  <c r="C1" i="108"/>
  <c r="C3" i="108"/>
  <c r="C4" i="108"/>
  <c r="N14" i="108"/>
  <c r="N15" i="108"/>
  <c r="N16" i="108"/>
  <c r="N17" i="108"/>
  <c r="N18" i="108"/>
  <c r="B121" i="108"/>
  <c r="B96" i="108"/>
  <c r="B94" i="108"/>
  <c r="B98" i="108"/>
  <c r="B102" i="108"/>
  <c r="B111" i="108"/>
  <c r="B112" i="108"/>
  <c r="B122" i="108"/>
  <c r="B123" i="108"/>
  <c r="B124" i="108"/>
  <c r="B125" i="108"/>
  <c r="B95" i="108"/>
  <c r="B128" i="108"/>
  <c r="C1" i="107"/>
  <c r="C3" i="107"/>
  <c r="C4" i="107"/>
  <c r="N15" i="107"/>
  <c r="N16" i="107"/>
  <c r="N17" i="107"/>
  <c r="N18" i="107"/>
  <c r="B97" i="107"/>
  <c r="B99" i="107"/>
  <c r="B100" i="107"/>
  <c r="B101" i="107"/>
  <c r="B93" i="107"/>
  <c r="B102" i="107"/>
  <c r="B94" i="107"/>
  <c r="B96" i="107"/>
  <c r="B108" i="107"/>
  <c r="B109" i="107"/>
  <c r="B111" i="107"/>
  <c r="B117" i="107"/>
  <c r="B123" i="107"/>
  <c r="B124" i="107"/>
  <c r="C1" i="106"/>
  <c r="C3" i="106"/>
  <c r="C4" i="106"/>
  <c r="N14" i="106"/>
  <c r="N15" i="106"/>
  <c r="N16" i="106"/>
  <c r="N17" i="106"/>
  <c r="N18" i="106"/>
  <c r="B94" i="106"/>
  <c r="B96" i="106"/>
  <c r="B98" i="106"/>
  <c r="B106" i="106"/>
  <c r="B121" i="106"/>
  <c r="B107" i="106"/>
  <c r="B114" i="106"/>
  <c r="B117" i="106"/>
  <c r="B118" i="106"/>
  <c r="B109" i="106"/>
  <c r="B100" i="105"/>
  <c r="B96" i="105"/>
  <c r="C1" i="105"/>
  <c r="C3" i="105"/>
  <c r="C4" i="105"/>
  <c r="N14" i="105"/>
  <c r="N15" i="105"/>
  <c r="N16" i="105"/>
  <c r="N17" i="105"/>
  <c r="N18" i="105"/>
  <c r="B93" i="105"/>
  <c r="B97" i="105"/>
  <c r="B95" i="105"/>
  <c r="B109" i="105"/>
  <c r="B118" i="105"/>
  <c r="B131" i="105"/>
  <c r="B132" i="105"/>
  <c r="B133" i="105"/>
  <c r="B134" i="105"/>
  <c r="C1" i="103"/>
  <c r="C3" i="103"/>
  <c r="C4" i="103"/>
  <c r="N14" i="103"/>
  <c r="N15" i="103"/>
  <c r="N16" i="103"/>
  <c r="N17" i="103"/>
  <c r="N18" i="103"/>
  <c r="B93" i="103"/>
  <c r="B99" i="103"/>
  <c r="B97" i="103"/>
  <c r="B107" i="103"/>
  <c r="B94" i="103"/>
  <c r="B110" i="103"/>
  <c r="B113" i="103"/>
  <c r="B96" i="103"/>
  <c r="B120" i="103"/>
  <c r="B122" i="103"/>
  <c r="B128" i="103"/>
  <c r="B132" i="103"/>
  <c r="C1" i="102"/>
  <c r="C3" i="102"/>
  <c r="C4" i="102"/>
  <c r="N14" i="102"/>
  <c r="N15" i="102"/>
  <c r="N16" i="102"/>
  <c r="N17" i="102"/>
  <c r="N18" i="102"/>
  <c r="B116" i="102"/>
  <c r="B96" i="102"/>
  <c r="B98" i="102"/>
  <c r="B94" i="102"/>
  <c r="B107" i="102"/>
  <c r="B108" i="102"/>
  <c r="B109" i="102"/>
  <c r="B112" i="102"/>
  <c r="B115" i="102"/>
  <c r="B93" i="102"/>
  <c r="B121" i="102"/>
  <c r="B127" i="102"/>
  <c r="B128" i="102"/>
  <c r="C1" i="101"/>
  <c r="C3" i="101"/>
  <c r="C4" i="101"/>
  <c r="N14" i="101"/>
  <c r="N15" i="101"/>
  <c r="N16" i="101"/>
  <c r="N17" i="101"/>
  <c r="N18" i="101"/>
  <c r="B125" i="101"/>
  <c r="B100" i="101"/>
  <c r="B112" i="101"/>
  <c r="B119" i="101"/>
  <c r="B122" i="101"/>
  <c r="B124" i="101"/>
  <c r="B130" i="101"/>
  <c r="B99" i="101"/>
  <c r="B132" i="101"/>
  <c r="B133" i="101"/>
  <c r="B134" i="101"/>
  <c r="B137" i="101"/>
  <c r="C1" i="98"/>
  <c r="C3" i="98"/>
  <c r="C4" i="98"/>
  <c r="N14" i="98"/>
  <c r="N15" i="98"/>
  <c r="N16" i="98"/>
  <c r="N17" i="98"/>
  <c r="N18" i="98"/>
  <c r="B120" i="98"/>
  <c r="B98" i="98"/>
  <c r="B110" i="98"/>
  <c r="B112" i="98"/>
  <c r="B115" i="98"/>
  <c r="B119" i="98"/>
  <c r="B100" i="98"/>
  <c r="B127" i="98"/>
  <c r="B129" i="98"/>
  <c r="B130" i="98"/>
  <c r="B104" i="96"/>
  <c r="B95" i="96"/>
  <c r="C1" i="96"/>
  <c r="C3" i="96"/>
  <c r="C4" i="96"/>
  <c r="N14" i="96"/>
  <c r="N15" i="96"/>
  <c r="N16" i="96"/>
  <c r="N17" i="96"/>
  <c r="N18" i="96"/>
  <c r="B97" i="96"/>
  <c r="B94" i="96"/>
  <c r="B103" i="96"/>
  <c r="B111" i="96"/>
  <c r="B116" i="96"/>
  <c r="B93" i="96"/>
  <c r="B118" i="96"/>
  <c r="B119" i="96"/>
  <c r="B123" i="96"/>
  <c r="B125" i="96"/>
  <c r="C1" i="95"/>
  <c r="C3" i="95"/>
  <c r="C4" i="95"/>
  <c r="N14" i="95"/>
  <c r="N15" i="95"/>
  <c r="N16" i="95"/>
  <c r="N17" i="95"/>
  <c r="N18" i="95"/>
  <c r="B93" i="95"/>
  <c r="B98" i="95"/>
  <c r="B100" i="95"/>
  <c r="B97" i="95"/>
  <c r="B94" i="95"/>
  <c r="B108" i="95"/>
  <c r="B112" i="95"/>
  <c r="B113" i="95"/>
  <c r="B118" i="95"/>
  <c r="B120" i="95"/>
  <c r="B122" i="95"/>
  <c r="N18" i="57"/>
  <c r="N15" i="57"/>
  <c r="N16" i="57"/>
  <c r="N17" i="57"/>
  <c r="N14" i="57"/>
  <c r="B4" i="47"/>
  <c r="B3" i="47"/>
  <c r="B1" i="47"/>
  <c r="C4" i="57"/>
  <c r="C3" i="57"/>
  <c r="C1" i="57"/>
  <c r="B5" i="47"/>
  <c r="E38" i="4"/>
  <c r="E56" i="4"/>
  <c r="E55" i="4"/>
  <c r="E54" i="4"/>
  <c r="E53" i="4"/>
  <c r="E52" i="4"/>
  <c r="E51" i="4"/>
  <c r="E50" i="4"/>
  <c r="E49" i="4"/>
  <c r="E48" i="4"/>
  <c r="E47" i="4"/>
  <c r="E46" i="4"/>
  <c r="E45" i="4"/>
  <c r="E43" i="4"/>
  <c r="E42" i="4"/>
  <c r="E41" i="4"/>
  <c r="E40" i="4"/>
  <c r="E39" i="4"/>
  <c r="E37" i="4"/>
  <c r="E36" i="4"/>
  <c r="B118" i="57"/>
  <c r="B98" i="57"/>
  <c r="B110" i="57"/>
  <c r="B101" i="57"/>
  <c r="B113" i="57"/>
  <c r="B97" i="57"/>
  <c r="B124" i="57"/>
  <c r="E35" i="4"/>
  <c r="E34" i="4"/>
  <c r="B4" i="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ext.obouge</author>
    <author>William MALLOL</author>
    <author>usa.gewan</author>
    <author>GENDER Charlie - NOR</author>
  </authors>
  <commentList>
    <comment ref="B13" authorId="0" shapeId="0" xr:uid="{00000000-0006-0000-0300-000001000000}">
      <text>
        <r>
          <rPr>
            <b/>
            <sz val="12"/>
            <color indexed="81"/>
            <rFont val="Tahoma"/>
            <family val="2"/>
          </rPr>
          <t>Please use comma to separate commodities.</t>
        </r>
      </text>
    </comment>
    <comment ref="A20" authorId="1" shapeId="0" xr:uid="{00000000-0006-0000-0300-000002000000}">
      <text>
        <r>
          <rPr>
            <b/>
            <sz val="14"/>
            <color indexed="81"/>
            <rFont val="Tahoma"/>
            <family val="2"/>
          </rPr>
          <t>Port Group Codes can be used to group any two or more valid seaports that are common rated.
Port Group Codes cannot be used for inland locations.</t>
        </r>
      </text>
    </comment>
    <comment ref="B20" authorId="0" shapeId="0" xr:uid="{00000000-0006-0000-0300-000003000000}">
      <text>
        <r>
          <rPr>
            <b/>
            <sz val="14"/>
            <color indexed="81"/>
            <rFont val="Tahoma"/>
            <family val="2"/>
          </rPr>
          <t>Please use comma to separate ports.
Only valid sea ports may be included.</t>
        </r>
      </text>
    </comment>
    <comment ref="A30" authorId="1" shapeId="0" xr:uid="{00000000-0006-0000-0300-000004000000}">
      <text>
        <r>
          <rPr>
            <b/>
            <sz val="14"/>
            <color indexed="81"/>
            <rFont val="Tahoma"/>
            <family val="2"/>
          </rPr>
          <t>Please use FAK/ Bullets defined above.</t>
        </r>
      </text>
    </comment>
    <comment ref="B30" authorId="1" shapeId="0" xr:uid="{00000000-0006-0000-0300-000005000000}">
      <text>
        <r>
          <rPr>
            <b/>
            <sz val="14"/>
            <color indexed="81"/>
            <rFont val="Tahoma"/>
            <family val="2"/>
          </rPr>
          <t>City, State / ZIP Code</t>
        </r>
      </text>
    </comment>
    <comment ref="C30" authorId="1" shapeId="0" xr:uid="{00000000-0006-0000-0300-000006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D30" authorId="1" shapeId="0" xr:uid="{00000000-0006-0000-0300-000007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E30" authorId="1" shapeId="0" xr:uid="{00000000-0006-0000-0300-000008000000}">
      <text>
        <r>
          <rPr>
            <b/>
            <sz val="14"/>
            <color indexed="81"/>
            <rFont val="Tahoma"/>
            <family val="2"/>
          </rPr>
          <t>City, State / ZIP Code</t>
        </r>
      </text>
    </comment>
    <comment ref="F30" authorId="2" shapeId="0" xr:uid="{00000000-0006-0000-0300-000009000000}">
      <text>
        <r>
          <rPr>
            <b/>
            <sz val="14"/>
            <color indexed="81"/>
            <rFont val="Tahoma"/>
            <family val="2"/>
          </rPr>
          <t>Indicate the mode of transportation at origin and destination.
Mode cannot begin with CY if there is a location listed as place of receipt.
Mode cannot end with CY if there is a location is listed as place of delivery</t>
        </r>
      </text>
    </comment>
    <comment ref="G30" authorId="2" shapeId="0" xr:uid="{00000000-0006-0000-0300-00000A000000}">
      <text>
        <r>
          <rPr>
            <b/>
            <sz val="14"/>
            <color indexed="81"/>
            <rFont val="Tahoma"/>
            <family val="2"/>
          </rPr>
          <t>Indicate whether or not door service is included at origin and destination</t>
        </r>
      </text>
    </comment>
    <comment ref="M30" authorId="2" shapeId="0" xr:uid="{00000000-0006-0000-0300-00000B000000}">
      <text>
        <r>
          <rPr>
            <b/>
            <sz val="14"/>
            <color indexed="81"/>
            <rFont val="Tahoma"/>
            <family val="2"/>
          </rPr>
          <t>Use these columns for exceptions to surcharge applicability in note 2</t>
        </r>
      </text>
    </comment>
    <comment ref="AA30" authorId="2" shapeId="0" xr:uid="{00000000-0006-0000-0300-00000C000000}">
      <text>
        <r>
          <rPr>
            <b/>
            <sz val="14"/>
            <color indexed="81"/>
            <rFont val="Tahoma"/>
            <family val="2"/>
          </rPr>
          <t>This field controls construction using Arbitraries and Inland Tariffs
Y = allowed in US, N = not allowed in US, 
E = allowed at origin, I = allowed at destination,
B = allowed at both origin and destination
X = not allowed at either origin or destination</t>
        </r>
      </text>
    </comment>
    <comment ref="A39" authorId="1" shapeId="0" xr:uid="{00000000-0006-0000-0300-00000D000000}">
      <text>
        <r>
          <rPr>
            <b/>
            <sz val="14"/>
            <color indexed="81"/>
            <rFont val="Tahoma"/>
            <family val="2"/>
          </rPr>
          <t>Please use FAK/ Bullets defined above.</t>
        </r>
      </text>
    </comment>
    <comment ref="B39" authorId="1" shapeId="0" xr:uid="{00000000-0006-0000-0300-00000E000000}">
      <text>
        <r>
          <rPr>
            <b/>
            <sz val="14"/>
            <color indexed="81"/>
            <rFont val="Tahoma"/>
            <family val="2"/>
          </rPr>
          <t>City, State / ZIP Code</t>
        </r>
      </text>
    </comment>
    <comment ref="C39" authorId="1" shapeId="0" xr:uid="{00000000-0006-0000-0300-00000F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D39" authorId="1" shapeId="0" xr:uid="{00000000-0006-0000-0300-000010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E39" authorId="1" shapeId="0" xr:uid="{00000000-0006-0000-0300-000011000000}">
      <text>
        <r>
          <rPr>
            <b/>
            <sz val="14"/>
            <color indexed="81"/>
            <rFont val="Tahoma"/>
            <family val="2"/>
          </rPr>
          <t>City, State / ZIP Code</t>
        </r>
      </text>
    </comment>
    <comment ref="F39" authorId="2" shapeId="0" xr:uid="{00000000-0006-0000-0300-000012000000}">
      <text>
        <r>
          <rPr>
            <b/>
            <sz val="14"/>
            <color indexed="81"/>
            <rFont val="Tahoma"/>
            <family val="2"/>
          </rPr>
          <t>Indicate the mode of transportation at origin and destination.
Mode cannot begin with CY if there is a location listed as place of receipt.
Mode cannot end with CY if there is a location is listed as place of delivery</t>
        </r>
      </text>
    </comment>
    <comment ref="G39" authorId="2" shapeId="0" xr:uid="{00000000-0006-0000-0300-000013000000}">
      <text>
        <r>
          <rPr>
            <b/>
            <sz val="14"/>
            <color indexed="81"/>
            <rFont val="Tahoma"/>
            <family val="2"/>
          </rPr>
          <t>Indicate whether or not door service is included at origin and destination</t>
        </r>
      </text>
    </comment>
    <comment ref="O39" authorId="2" shapeId="0" xr:uid="{00000000-0006-0000-0300-000014000000}">
      <text>
        <r>
          <rPr>
            <b/>
            <sz val="14"/>
            <color indexed="81"/>
            <rFont val="Tahoma"/>
            <family val="2"/>
          </rPr>
          <t>Use these columns for exceptions to surcharge applicability in note 2</t>
        </r>
      </text>
    </comment>
    <comment ref="AA39" authorId="2" shapeId="0" xr:uid="{00000000-0006-0000-0300-000015000000}">
      <text>
        <r>
          <rPr>
            <b/>
            <sz val="14"/>
            <color indexed="81"/>
            <rFont val="Tahoma"/>
            <family val="2"/>
          </rPr>
          <t>This field controls construction using Arbitraries and Inland Tariffs
Y = allowed in US, N = not allowed in US, 
E = allowed at origin, I = allowed at destination,
B = allowed at both origin and destination
X = not allowed at either origin or destination</t>
        </r>
      </text>
    </comment>
    <comment ref="A48" authorId="1" shapeId="0" xr:uid="{00000000-0006-0000-0300-000016000000}">
      <text>
        <r>
          <rPr>
            <b/>
            <sz val="14"/>
            <color indexed="81"/>
            <rFont val="Tahoma"/>
            <family val="2"/>
          </rPr>
          <t>Please use FAK/ Bullets defined above.</t>
        </r>
      </text>
    </comment>
    <comment ref="B48" authorId="1" shapeId="0" xr:uid="{00000000-0006-0000-0300-000017000000}">
      <text>
        <r>
          <rPr>
            <b/>
            <sz val="14"/>
            <color indexed="81"/>
            <rFont val="Tahoma"/>
            <family val="2"/>
          </rPr>
          <t>City, State / ZIP Code</t>
        </r>
      </text>
    </comment>
    <comment ref="C48" authorId="1" shapeId="0" xr:uid="{00000000-0006-0000-0300-000018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D48" authorId="1" shapeId="0" xr:uid="{00000000-0006-0000-0300-000019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E48" authorId="1" shapeId="0" xr:uid="{00000000-0006-0000-0300-00001A000000}">
      <text>
        <r>
          <rPr>
            <b/>
            <sz val="14"/>
            <color indexed="81"/>
            <rFont val="Tahoma"/>
            <family val="2"/>
          </rPr>
          <t>City, State / ZIP Code</t>
        </r>
      </text>
    </comment>
    <comment ref="F48" authorId="2" shapeId="0" xr:uid="{00000000-0006-0000-0300-00001B000000}">
      <text>
        <r>
          <rPr>
            <b/>
            <sz val="14"/>
            <color indexed="81"/>
            <rFont val="Tahoma"/>
            <family val="2"/>
          </rPr>
          <t>Indicate the mode of transportation at origin and destination.
Mode cannot begin with CY if there is a location listed as place of receipt.
Mode cannot end with CY if there is a location is listed as place of delivery</t>
        </r>
      </text>
    </comment>
    <comment ref="G48" authorId="2" shapeId="0" xr:uid="{00000000-0006-0000-0300-00001C000000}">
      <text>
        <r>
          <rPr>
            <b/>
            <sz val="14"/>
            <color indexed="81"/>
            <rFont val="Tahoma"/>
            <family val="2"/>
          </rPr>
          <t>Indicate whether or not door service is included at origin and destination</t>
        </r>
      </text>
    </comment>
    <comment ref="Q48" authorId="2" shapeId="0" xr:uid="{00000000-0006-0000-0300-00001D000000}">
      <text>
        <r>
          <rPr>
            <b/>
            <sz val="14"/>
            <color indexed="81"/>
            <rFont val="Tahoma"/>
            <family val="2"/>
          </rPr>
          <t>Use these columns for exceptions to surcharge applicability in note 2</t>
        </r>
      </text>
    </comment>
    <comment ref="AC48" authorId="2" shapeId="0" xr:uid="{00000000-0006-0000-0300-00001E000000}">
      <text>
        <r>
          <rPr>
            <b/>
            <sz val="14"/>
            <color indexed="81"/>
            <rFont val="Tahoma"/>
            <family val="2"/>
          </rPr>
          <t>This field controls construction using Arbitraries and Inland Tariffs
Y = allowed in US, N = not allowed in US, 
E = allowed at origin, I = allowed at destination,
B = allowed at both origin and destination
X = not allowed at either origin or destination</t>
        </r>
      </text>
    </comment>
    <comment ref="B65" authorId="2" shapeId="0" xr:uid="{00000000-0006-0000-0300-00001F000000}">
      <text>
        <r>
          <rPr>
            <b/>
            <sz val="14"/>
            <color indexed="81"/>
            <rFont val="Tahoma"/>
            <family val="2"/>
          </rPr>
          <t>Place of Origin - may be an outport for feeder (CY) arbitraries or an inland origin
Format is:  City, State or ZIP Code</t>
        </r>
      </text>
    </comment>
    <comment ref="E65" authorId="2" shapeId="0" xr:uid="{00000000-0006-0000-0300-000020000000}">
      <text>
        <r>
          <rPr>
            <b/>
            <sz val="14"/>
            <color indexed="81"/>
            <rFont val="Tahoma"/>
            <family val="2"/>
          </rPr>
          <t xml:space="preserve">Please use only one port or a group of ports (Port groups must be defined in the Port Group Codes table).
Arbitrary construction can only occur with rate conditions which show these ports as the POL.
</t>
        </r>
        <r>
          <rPr>
            <b/>
            <i/>
            <sz val="14"/>
            <color indexed="81"/>
            <rFont val="Tahoma"/>
            <family val="2"/>
          </rPr>
          <t>All ports must be valid SEA ports.</t>
        </r>
      </text>
    </comment>
    <comment ref="F65" authorId="2" shapeId="0" xr:uid="{00000000-0006-0000-0300-000021000000}">
      <text>
        <r>
          <rPr>
            <b/>
            <sz val="14"/>
            <color indexed="81"/>
            <rFont val="Tahoma"/>
            <family val="2"/>
          </rPr>
          <t>Indicate the mode of transportation between the arbitrary place of receipt and arbitrary POL.
CY modes can only be used when the mode of transportation is by Feeder.
Use of CY mode requires both the locations to be valid SEA ports.</t>
        </r>
      </text>
    </comment>
    <comment ref="G65" authorId="2" shapeId="0" xr:uid="{00000000-0006-0000-0300-000022000000}">
      <text>
        <r>
          <rPr>
            <b/>
            <sz val="14"/>
            <color indexed="81"/>
            <rFont val="Tahoma"/>
            <family val="2"/>
          </rPr>
          <t>Indicate whether or not door service is included in the arbitrary rate</t>
        </r>
      </text>
    </comment>
    <comment ref="H65" authorId="2" shapeId="0" xr:uid="{00000000-0006-0000-0300-000023000000}">
      <text>
        <r>
          <rPr>
            <b/>
            <sz val="14"/>
            <color indexed="81"/>
            <rFont val="Tahoma"/>
            <family val="2"/>
          </rPr>
          <t>Input the rate in this field when the same amount applies for all container sizes</t>
        </r>
      </text>
    </comment>
    <comment ref="N65" authorId="2" shapeId="0" xr:uid="{00000000-0006-0000-0300-000024000000}">
      <text>
        <r>
          <rPr>
            <b/>
            <sz val="14"/>
            <color indexed="81"/>
            <rFont val="Tahoma"/>
            <family val="2"/>
          </rPr>
          <t>Each Arbitrary applies only to FAK / Bullets as specifically listed in this field.</t>
        </r>
      </text>
    </comment>
    <comment ref="B80" authorId="2" shapeId="0" xr:uid="{00000000-0006-0000-0300-000025000000}">
      <text>
        <r>
          <rPr>
            <b/>
            <sz val="14"/>
            <color indexed="81"/>
            <rFont val="Tahoma"/>
            <family val="2"/>
          </rPr>
          <t>Place of Destination - may be an outport for feeder (CY) arbitraries or an inland destination
Format is:  City, State or ZIP Code</t>
        </r>
      </text>
    </comment>
    <comment ref="E80" authorId="2" shapeId="0" xr:uid="{00000000-0006-0000-0300-000026000000}">
      <text>
        <r>
          <rPr>
            <b/>
            <sz val="14"/>
            <color indexed="81"/>
            <rFont val="Tahoma"/>
            <family val="2"/>
          </rPr>
          <t xml:space="preserve">Please use only one port or a group of ports (Port groups must be defined in the Port Group Codes table).
Arbitrary construction can only occur with rate conditions which show these ports as the POD.
</t>
        </r>
        <r>
          <rPr>
            <b/>
            <i/>
            <sz val="14"/>
            <color indexed="81"/>
            <rFont val="Tahoma"/>
            <family val="2"/>
          </rPr>
          <t>All ports must be valid SEA ports.</t>
        </r>
      </text>
    </comment>
    <comment ref="F80" authorId="2" shapeId="0" xr:uid="{00000000-0006-0000-0300-000027000000}">
      <text>
        <r>
          <rPr>
            <b/>
            <sz val="14"/>
            <color indexed="81"/>
            <rFont val="Tahoma"/>
            <family val="2"/>
          </rPr>
          <t>Indicate the mode of transportation between the arbitrary POD and arbitrary place of delivery.
CY modes can only be used when the mode of transportation is by Feeder.
Use of CY mode requires both the locations to be valid SEA ports.</t>
        </r>
      </text>
    </comment>
    <comment ref="G80" authorId="2" shapeId="0" xr:uid="{00000000-0006-0000-0300-000028000000}">
      <text>
        <r>
          <rPr>
            <b/>
            <sz val="14"/>
            <color indexed="81"/>
            <rFont val="Tahoma"/>
            <family val="2"/>
          </rPr>
          <t>Indicate whether or not door service is included in the arbitrary rate</t>
        </r>
      </text>
    </comment>
    <comment ref="H80" authorId="2" shapeId="0" xr:uid="{00000000-0006-0000-0300-000029000000}">
      <text>
        <r>
          <rPr>
            <b/>
            <sz val="14"/>
            <color indexed="81"/>
            <rFont val="Tahoma"/>
            <family val="2"/>
          </rPr>
          <t>Input the rate in this field when the same amount applies for all container sizes</t>
        </r>
      </text>
    </comment>
    <comment ref="N80" authorId="2" shapeId="0" xr:uid="{00000000-0006-0000-0300-00002A000000}">
      <text>
        <r>
          <rPr>
            <b/>
            <sz val="14"/>
            <color indexed="81"/>
            <rFont val="Tahoma"/>
            <family val="2"/>
          </rPr>
          <t>Each Arbitrary applies only to FAK / Bullets as specifically listed in this field.</t>
        </r>
      </text>
    </comment>
    <comment ref="L90" authorId="2" shapeId="0" xr:uid="{00000000-0006-0000-0300-00002B000000}">
      <text>
        <r>
          <rPr>
            <b/>
            <sz val="14"/>
            <color indexed="81"/>
            <rFont val="Tahoma"/>
            <family val="2"/>
          </rPr>
          <t>Surcharge applicability mentioned on any row applies specifically to the individual port mentioned in this field.
If the Applicable Port field is blank, then the  surcharge applicability stated on that row applies to all ports.</t>
        </r>
      </text>
    </comment>
    <comment ref="A181" authorId="2" shapeId="0" xr:uid="{00000000-0006-0000-0300-00002C000000}">
      <text>
        <r>
          <rPr>
            <sz val="12"/>
            <color indexed="81"/>
            <rFont val="Tahoma"/>
            <family val="2"/>
          </rPr>
          <t>Select the bullet for which the exception applies.
If exception applies to all bullets, select "ALL".</t>
        </r>
      </text>
    </comment>
    <comment ref="B181" authorId="2" shapeId="0" xr:uid="{00000000-0006-0000-0300-00002D000000}">
      <text>
        <r>
          <rPr>
            <sz val="12"/>
            <color indexed="81"/>
            <rFont val="Tahoma"/>
            <family val="2"/>
          </rPr>
          <t xml:space="preserve">Specify if Free Time condition applies to Export or Import:
</t>
        </r>
        <r>
          <rPr>
            <b/>
            <sz val="12"/>
            <color indexed="81"/>
            <rFont val="Tahoma"/>
            <family val="2"/>
          </rPr>
          <t xml:space="preserve">E </t>
        </r>
        <r>
          <rPr>
            <sz val="12"/>
            <color indexed="81"/>
            <rFont val="Tahoma"/>
            <family val="2"/>
          </rPr>
          <t xml:space="preserve">(Export) = applies at origin
</t>
        </r>
        <r>
          <rPr>
            <b/>
            <sz val="12"/>
            <color indexed="81"/>
            <rFont val="Tahoma"/>
            <family val="2"/>
          </rPr>
          <t xml:space="preserve">I </t>
        </r>
        <r>
          <rPr>
            <sz val="12"/>
            <color indexed="81"/>
            <rFont val="Tahoma"/>
            <family val="2"/>
          </rPr>
          <t>(Import) = applies at destination</t>
        </r>
      </text>
    </comment>
    <comment ref="C181" authorId="2" shapeId="0" xr:uid="{00000000-0006-0000-0300-00002E000000}">
      <text>
        <r>
          <rPr>
            <sz val="12"/>
            <color indexed="81"/>
            <rFont val="Tahoma"/>
            <family val="2"/>
          </rPr>
          <t>Enter Type of Free Time:</t>
        </r>
        <r>
          <rPr>
            <u/>
            <sz val="12"/>
            <color indexed="81"/>
            <rFont val="Tahoma"/>
            <family val="2"/>
          </rPr>
          <t xml:space="preserve">
</t>
        </r>
        <r>
          <rPr>
            <sz val="12"/>
            <color indexed="81"/>
            <rFont val="Tahoma"/>
            <family val="2"/>
          </rPr>
          <t xml:space="preserve">
</t>
        </r>
        <r>
          <rPr>
            <b/>
            <sz val="12"/>
            <color indexed="81"/>
            <rFont val="Tahoma"/>
            <family val="2"/>
          </rPr>
          <t>Detention
Demurrage
Merged</t>
        </r>
      </text>
    </comment>
    <comment ref="F181" authorId="2" shapeId="0" xr:uid="{00000000-0006-0000-0300-00002F000000}">
      <text>
        <r>
          <rPr>
            <sz val="12"/>
            <color indexed="81"/>
            <rFont val="Tahoma"/>
            <family val="2"/>
          </rPr>
          <t xml:space="preserve">Specify Equipment Type (blank field indicates applicability to all Eq Types):
</t>
        </r>
        <r>
          <rPr>
            <b/>
            <sz val="12"/>
            <color indexed="81"/>
            <rFont val="Tahoma"/>
            <family val="2"/>
          </rPr>
          <t>D</t>
        </r>
        <r>
          <rPr>
            <sz val="12"/>
            <color indexed="81"/>
            <rFont val="Tahoma"/>
            <family val="2"/>
          </rPr>
          <t xml:space="preserve"> = Dry
</t>
        </r>
        <r>
          <rPr>
            <b/>
            <sz val="12"/>
            <color indexed="81"/>
            <rFont val="Tahoma"/>
            <family val="2"/>
          </rPr>
          <t>R</t>
        </r>
        <r>
          <rPr>
            <sz val="12"/>
            <color indexed="81"/>
            <rFont val="Tahoma"/>
            <family val="2"/>
          </rPr>
          <t xml:space="preserve"> = Reefer
</t>
        </r>
        <r>
          <rPr>
            <b/>
            <sz val="12"/>
            <color indexed="81"/>
            <rFont val="Tahoma"/>
            <family val="2"/>
          </rPr>
          <t>OT</t>
        </r>
        <r>
          <rPr>
            <sz val="12"/>
            <color indexed="81"/>
            <rFont val="Tahoma"/>
            <family val="2"/>
          </rPr>
          <t xml:space="preserve"> = Open Top
</t>
        </r>
        <r>
          <rPr>
            <b/>
            <sz val="12"/>
            <color indexed="81"/>
            <rFont val="Tahoma"/>
            <family val="2"/>
          </rPr>
          <t>FR</t>
        </r>
        <r>
          <rPr>
            <sz val="12"/>
            <color indexed="81"/>
            <rFont val="Tahoma"/>
            <family val="2"/>
          </rPr>
          <t xml:space="preserve"> = Flat Rack</t>
        </r>
      </text>
    </comment>
    <comment ref="G181" authorId="2" shapeId="0" xr:uid="{00000000-0006-0000-0300-000030000000}">
      <text>
        <r>
          <rPr>
            <sz val="12"/>
            <color indexed="81"/>
            <rFont val="Tahoma"/>
            <family val="2"/>
          </rPr>
          <t>Select "OR" from the drop down list if condition applies to Operating Reefers</t>
        </r>
      </text>
    </comment>
    <comment ref="H181" authorId="2" shapeId="0" xr:uid="{00000000-0006-0000-0300-000031000000}">
      <text>
        <r>
          <rPr>
            <sz val="12"/>
            <color indexed="81"/>
            <rFont val="Tahoma"/>
            <family val="2"/>
          </rPr>
          <t xml:space="preserve">Specify the Place of Receipt if necessary.  </t>
        </r>
        <r>
          <rPr>
            <u/>
            <sz val="12"/>
            <color indexed="81"/>
            <rFont val="Tahoma"/>
            <family val="2"/>
          </rPr>
          <t>Do not</t>
        </r>
        <r>
          <rPr>
            <sz val="12"/>
            <color indexed="81"/>
            <rFont val="Tahoma"/>
            <family val="2"/>
          </rPr>
          <t xml:space="preserve"> use "ALL".
Only 1 location may be entered per row.</t>
        </r>
      </text>
    </comment>
    <comment ref="I181" authorId="2" shapeId="0" xr:uid="{00000000-0006-0000-0300-000032000000}">
      <text>
        <r>
          <rPr>
            <sz val="12"/>
            <color indexed="81"/>
            <rFont val="Tahoma"/>
            <family val="2"/>
          </rPr>
          <t xml:space="preserve">Enter the POL if necessary.  </t>
        </r>
        <r>
          <rPr>
            <u/>
            <sz val="12"/>
            <color indexed="81"/>
            <rFont val="Tahoma"/>
            <family val="2"/>
          </rPr>
          <t>Do not</t>
        </r>
        <r>
          <rPr>
            <sz val="12"/>
            <color indexed="81"/>
            <rFont val="Tahoma"/>
            <family val="2"/>
          </rPr>
          <t xml:space="preserve"> use "ALL".
Only 1 location is allowed per row and must be a valid seaport.</t>
        </r>
      </text>
    </comment>
    <comment ref="J181" authorId="2" shapeId="0" xr:uid="{00000000-0006-0000-0300-000033000000}">
      <text>
        <r>
          <rPr>
            <sz val="12"/>
            <color indexed="81"/>
            <rFont val="Tahoma"/>
            <family val="2"/>
          </rPr>
          <t xml:space="preserve">Enter the POD if necessary.  </t>
        </r>
        <r>
          <rPr>
            <u/>
            <sz val="12"/>
            <color indexed="81"/>
            <rFont val="Tahoma"/>
            <family val="2"/>
          </rPr>
          <t>Do not</t>
        </r>
        <r>
          <rPr>
            <sz val="12"/>
            <color indexed="81"/>
            <rFont val="Tahoma"/>
            <family val="2"/>
          </rPr>
          <t xml:space="preserve"> use "ALL".
Only 1 location is allowed per row and must be a valid seaport.</t>
        </r>
      </text>
    </comment>
    <comment ref="K181" authorId="2" shapeId="0" xr:uid="{00000000-0006-0000-0300-000034000000}">
      <text>
        <r>
          <rPr>
            <sz val="12"/>
            <color indexed="81"/>
            <rFont val="Tahoma"/>
            <family val="2"/>
          </rPr>
          <t xml:space="preserve">Specify the Place of Delivery if necessary.  </t>
        </r>
        <r>
          <rPr>
            <u/>
            <sz val="12"/>
            <color indexed="81"/>
            <rFont val="Tahoma"/>
            <family val="2"/>
          </rPr>
          <t>Do not</t>
        </r>
        <r>
          <rPr>
            <sz val="12"/>
            <color indexed="81"/>
            <rFont val="Tahoma"/>
            <family val="2"/>
          </rPr>
          <t xml:space="preserve"> use "ALL".
Only 1 location may be entered per row.</t>
        </r>
      </text>
    </comment>
    <comment ref="L181" authorId="3" shapeId="0" xr:uid="{B16600FC-DC2E-4AED-9647-EDDE3D4367B0}">
      <text>
        <r>
          <rPr>
            <sz val="12"/>
            <color indexed="81"/>
            <rFont val="Tahoma"/>
            <family val="2"/>
          </rPr>
          <t xml:space="preserve">Enter the Country Code ONLY.  </t>
        </r>
        <r>
          <rPr>
            <u/>
            <sz val="12"/>
            <color indexed="81"/>
            <rFont val="Tahoma"/>
            <family val="2"/>
          </rPr>
          <t>Cannot</t>
        </r>
        <r>
          <rPr>
            <sz val="12"/>
            <color indexed="81"/>
            <rFont val="Tahoma"/>
            <family val="2"/>
          </rPr>
          <t xml:space="preserve"> use "ALL" or country name</t>
        </r>
      </text>
    </comment>
    <comment ref="M181" authorId="2" shapeId="0" xr:uid="{00000000-0006-0000-0300-000035000000}">
      <text>
        <r>
          <rPr>
            <sz val="12"/>
            <color indexed="81"/>
            <rFont val="Tahoma"/>
            <family val="2"/>
          </rPr>
          <t xml:space="preserve">Enter additional notes only when absolutely necessary.  
</t>
        </r>
        <r>
          <rPr>
            <u/>
            <sz val="12"/>
            <color indexed="81"/>
            <rFont val="Tahoma"/>
            <family val="2"/>
          </rPr>
          <t>IMPORTANT</t>
        </r>
        <r>
          <rPr>
            <sz val="12"/>
            <color indexed="81"/>
            <rFont val="Tahoma"/>
            <family val="2"/>
          </rPr>
          <t xml:space="preserve">:  Named accounts and specific commodities </t>
        </r>
        <r>
          <rPr>
            <b/>
            <u/>
            <sz val="12"/>
            <color indexed="81"/>
            <rFont val="Tahoma"/>
            <family val="2"/>
          </rPr>
          <t>may not</t>
        </r>
        <r>
          <rPr>
            <sz val="12"/>
            <color indexed="81"/>
            <rFont val="Tahoma"/>
            <family val="2"/>
          </rPr>
          <t xml:space="preserve"> be listed as Notes.</t>
        </r>
      </text>
    </comment>
    <comment ref="A194" authorId="2" shapeId="0" xr:uid="{00000000-0006-0000-0300-000036000000}">
      <text>
        <r>
          <rPr>
            <sz val="12"/>
            <color indexed="81"/>
            <rFont val="Tahoma"/>
            <family val="2"/>
          </rPr>
          <t>Select the bullet for which the exception applies.
If exception applies to all bullets, select "ALL".</t>
        </r>
      </text>
    </comment>
    <comment ref="B194" authorId="2" shapeId="0" xr:uid="{00000000-0006-0000-0300-000037000000}">
      <text>
        <r>
          <rPr>
            <sz val="12"/>
            <color indexed="81"/>
            <rFont val="Tahoma"/>
            <family val="2"/>
          </rPr>
          <t xml:space="preserve">Specify if Free Time condition applies to Export or Import:
</t>
        </r>
        <r>
          <rPr>
            <b/>
            <sz val="12"/>
            <color indexed="81"/>
            <rFont val="Tahoma"/>
            <family val="2"/>
          </rPr>
          <t xml:space="preserve">E </t>
        </r>
        <r>
          <rPr>
            <sz val="12"/>
            <color indexed="81"/>
            <rFont val="Tahoma"/>
            <family val="2"/>
          </rPr>
          <t xml:space="preserve">(Export) = applies at origin
</t>
        </r>
        <r>
          <rPr>
            <b/>
            <sz val="12"/>
            <color indexed="81"/>
            <rFont val="Tahoma"/>
            <family val="2"/>
          </rPr>
          <t xml:space="preserve">I </t>
        </r>
        <r>
          <rPr>
            <sz val="12"/>
            <color indexed="81"/>
            <rFont val="Tahoma"/>
            <family val="2"/>
          </rPr>
          <t>(Import) = applies at destination</t>
        </r>
      </text>
    </comment>
    <comment ref="C194" authorId="2" shapeId="0" xr:uid="{00000000-0006-0000-0300-000038000000}">
      <text>
        <r>
          <rPr>
            <sz val="12"/>
            <color indexed="81"/>
            <rFont val="Tahoma"/>
            <family val="2"/>
          </rPr>
          <t>Enter Type of Free Time:</t>
        </r>
        <r>
          <rPr>
            <u/>
            <sz val="12"/>
            <color indexed="81"/>
            <rFont val="Tahoma"/>
            <family val="2"/>
          </rPr>
          <t xml:space="preserve">
</t>
        </r>
        <r>
          <rPr>
            <sz val="12"/>
            <color indexed="81"/>
            <rFont val="Tahoma"/>
            <family val="2"/>
          </rPr>
          <t xml:space="preserve">
</t>
        </r>
        <r>
          <rPr>
            <b/>
            <sz val="12"/>
            <color indexed="81"/>
            <rFont val="Tahoma"/>
            <family val="2"/>
          </rPr>
          <t>Detention
Demurrage
Merged</t>
        </r>
      </text>
    </comment>
    <comment ref="F194" authorId="2" shapeId="0" xr:uid="{00000000-0006-0000-0300-000039000000}">
      <text>
        <r>
          <rPr>
            <sz val="12"/>
            <color indexed="81"/>
            <rFont val="Tahoma"/>
            <family val="2"/>
          </rPr>
          <t>If any exceptional charges are offered, then the currency is required to be shown.</t>
        </r>
      </text>
    </comment>
    <comment ref="W194" authorId="2" shapeId="0" xr:uid="{00000000-0006-0000-0300-00003A000000}">
      <text>
        <r>
          <rPr>
            <sz val="12"/>
            <color indexed="81"/>
            <rFont val="Tahoma"/>
            <family val="2"/>
          </rPr>
          <t xml:space="preserve">Specify Equipment Type (blank field indicates applicability to all Eq Types):
</t>
        </r>
        <r>
          <rPr>
            <b/>
            <sz val="12"/>
            <color indexed="81"/>
            <rFont val="Tahoma"/>
            <family val="2"/>
          </rPr>
          <t>D</t>
        </r>
        <r>
          <rPr>
            <sz val="12"/>
            <color indexed="81"/>
            <rFont val="Tahoma"/>
            <family val="2"/>
          </rPr>
          <t xml:space="preserve"> = Dry
</t>
        </r>
        <r>
          <rPr>
            <b/>
            <sz val="12"/>
            <color indexed="81"/>
            <rFont val="Tahoma"/>
            <family val="2"/>
          </rPr>
          <t>R</t>
        </r>
        <r>
          <rPr>
            <sz val="12"/>
            <color indexed="81"/>
            <rFont val="Tahoma"/>
            <family val="2"/>
          </rPr>
          <t xml:space="preserve"> = Reefer
</t>
        </r>
        <r>
          <rPr>
            <b/>
            <sz val="12"/>
            <color indexed="81"/>
            <rFont val="Tahoma"/>
            <family val="2"/>
          </rPr>
          <t>OT</t>
        </r>
        <r>
          <rPr>
            <sz val="12"/>
            <color indexed="81"/>
            <rFont val="Tahoma"/>
            <family val="2"/>
          </rPr>
          <t xml:space="preserve"> = Open Top
</t>
        </r>
        <r>
          <rPr>
            <b/>
            <sz val="12"/>
            <color indexed="81"/>
            <rFont val="Tahoma"/>
            <family val="2"/>
          </rPr>
          <t>FR</t>
        </r>
        <r>
          <rPr>
            <sz val="12"/>
            <color indexed="81"/>
            <rFont val="Tahoma"/>
            <family val="2"/>
          </rPr>
          <t xml:space="preserve"> = Flat Rack</t>
        </r>
      </text>
    </comment>
    <comment ref="X194" authorId="2" shapeId="0" xr:uid="{00000000-0006-0000-0300-00003B000000}">
      <text>
        <r>
          <rPr>
            <sz val="12"/>
            <color indexed="81"/>
            <rFont val="Tahoma"/>
            <family val="2"/>
          </rPr>
          <t>Select "OR" from the drop down list if condition applies to Operating Reefers</t>
        </r>
      </text>
    </comment>
    <comment ref="Y194" authorId="2" shapeId="0" xr:uid="{00000000-0006-0000-0300-00003C000000}">
      <text>
        <r>
          <rPr>
            <sz val="12"/>
            <color indexed="81"/>
            <rFont val="Tahoma"/>
            <family val="2"/>
          </rPr>
          <t xml:space="preserve">Specify the Place of Receipt if necessary.  </t>
        </r>
        <r>
          <rPr>
            <u/>
            <sz val="12"/>
            <color indexed="81"/>
            <rFont val="Tahoma"/>
            <family val="2"/>
          </rPr>
          <t>Do not</t>
        </r>
        <r>
          <rPr>
            <sz val="12"/>
            <color indexed="81"/>
            <rFont val="Tahoma"/>
            <family val="2"/>
          </rPr>
          <t xml:space="preserve"> use "ALL".
Only 1 location may be entered per row.</t>
        </r>
      </text>
    </comment>
    <comment ref="Z194" authorId="2" shapeId="0" xr:uid="{00000000-0006-0000-0300-00003D000000}">
      <text>
        <r>
          <rPr>
            <sz val="12"/>
            <color indexed="81"/>
            <rFont val="Tahoma"/>
            <family val="2"/>
          </rPr>
          <t xml:space="preserve">Enter the POL if necessary.  </t>
        </r>
        <r>
          <rPr>
            <u/>
            <sz val="12"/>
            <color indexed="81"/>
            <rFont val="Tahoma"/>
            <family val="2"/>
          </rPr>
          <t>Do not</t>
        </r>
        <r>
          <rPr>
            <sz val="12"/>
            <color indexed="81"/>
            <rFont val="Tahoma"/>
            <family val="2"/>
          </rPr>
          <t xml:space="preserve"> use "ALL".
Only 1 location is allowed per row and must be a valid seaport.</t>
        </r>
      </text>
    </comment>
    <comment ref="AA194" authorId="2" shapeId="0" xr:uid="{00000000-0006-0000-0300-00003E000000}">
      <text>
        <r>
          <rPr>
            <sz val="12"/>
            <color indexed="81"/>
            <rFont val="Tahoma"/>
            <family val="2"/>
          </rPr>
          <t xml:space="preserve">Enter the POD if necessary.  </t>
        </r>
        <r>
          <rPr>
            <u/>
            <sz val="12"/>
            <color indexed="81"/>
            <rFont val="Tahoma"/>
            <family val="2"/>
          </rPr>
          <t>Do not</t>
        </r>
        <r>
          <rPr>
            <sz val="12"/>
            <color indexed="81"/>
            <rFont val="Tahoma"/>
            <family val="2"/>
          </rPr>
          <t xml:space="preserve"> use "ALL".
Only 1 location is allowed per row and must be a valid seaport.</t>
        </r>
      </text>
    </comment>
    <comment ref="AB194" authorId="2" shapeId="0" xr:uid="{00000000-0006-0000-0300-00003F000000}">
      <text>
        <r>
          <rPr>
            <sz val="12"/>
            <color indexed="81"/>
            <rFont val="Tahoma"/>
            <family val="2"/>
          </rPr>
          <t xml:space="preserve">Specify the Place of Delivery if necessary.  </t>
        </r>
        <r>
          <rPr>
            <u/>
            <sz val="12"/>
            <color indexed="81"/>
            <rFont val="Tahoma"/>
            <family val="2"/>
          </rPr>
          <t>Do not</t>
        </r>
        <r>
          <rPr>
            <sz val="12"/>
            <color indexed="81"/>
            <rFont val="Tahoma"/>
            <family val="2"/>
          </rPr>
          <t xml:space="preserve"> use "ALL".
Only 1 location may be entered per row.</t>
        </r>
      </text>
    </comment>
    <comment ref="AC194" authorId="3" shapeId="0" xr:uid="{10CF584F-DAE2-4C3F-BF12-64248F6E3B5A}">
      <text>
        <r>
          <rPr>
            <sz val="12"/>
            <color indexed="81"/>
            <rFont val="Tahoma"/>
            <family val="2"/>
          </rPr>
          <t xml:space="preserve">Enter the Country Code ONLY.  </t>
        </r>
        <r>
          <rPr>
            <u/>
            <sz val="12"/>
            <color indexed="81"/>
            <rFont val="Tahoma"/>
            <family val="2"/>
          </rPr>
          <t>Cannot</t>
        </r>
        <r>
          <rPr>
            <sz val="12"/>
            <color indexed="81"/>
            <rFont val="Tahoma"/>
            <family val="2"/>
          </rPr>
          <t xml:space="preserve"> use "ALL" or country name</t>
        </r>
      </text>
    </comment>
    <comment ref="AD194" authorId="2" shapeId="0" xr:uid="{00000000-0006-0000-0300-000040000000}">
      <text>
        <r>
          <rPr>
            <sz val="12"/>
            <color indexed="81"/>
            <rFont val="Tahoma"/>
            <family val="2"/>
          </rPr>
          <t xml:space="preserve">Enter additional notes only when absolutely necessary.  
</t>
        </r>
        <r>
          <rPr>
            <u/>
            <sz val="12"/>
            <color indexed="81"/>
            <rFont val="Tahoma"/>
            <family val="2"/>
          </rPr>
          <t>IMPORTANT</t>
        </r>
        <r>
          <rPr>
            <sz val="12"/>
            <color indexed="81"/>
            <rFont val="Tahoma"/>
            <family val="2"/>
          </rPr>
          <t xml:space="preserve">:  Named accounts and specific commodities </t>
        </r>
        <r>
          <rPr>
            <b/>
            <u/>
            <sz val="12"/>
            <color indexed="81"/>
            <rFont val="Tahoma"/>
            <family val="2"/>
          </rPr>
          <t>may not</t>
        </r>
        <r>
          <rPr>
            <sz val="12"/>
            <color indexed="81"/>
            <rFont val="Tahoma"/>
            <family val="2"/>
          </rPr>
          <t xml:space="preserve"> be listed as Notes.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ext.obouge</author>
    <author>William MALLOL</author>
    <author>usa.gewan</author>
    <author>GENDER Charlie - NOR</author>
  </authors>
  <commentList>
    <comment ref="B13" authorId="0" shapeId="0" xr:uid="{00000000-0006-0000-0400-000001000000}">
      <text>
        <r>
          <rPr>
            <b/>
            <sz val="12"/>
            <color indexed="81"/>
            <rFont val="Tahoma"/>
            <family val="2"/>
          </rPr>
          <t>Please use comma to separate commodities.</t>
        </r>
      </text>
    </comment>
    <comment ref="A20" authorId="1" shapeId="0" xr:uid="{00000000-0006-0000-0400-000002000000}">
      <text>
        <r>
          <rPr>
            <b/>
            <sz val="14"/>
            <color indexed="81"/>
            <rFont val="Tahoma"/>
            <family val="2"/>
          </rPr>
          <t>Port Group Codes can be used to group any two or more valid seaports that are common rated.
Port Group Codes cannot be used for inland locations.</t>
        </r>
      </text>
    </comment>
    <comment ref="B20" authorId="0" shapeId="0" xr:uid="{00000000-0006-0000-0400-000003000000}">
      <text>
        <r>
          <rPr>
            <b/>
            <sz val="14"/>
            <color indexed="81"/>
            <rFont val="Tahoma"/>
            <family val="2"/>
          </rPr>
          <t>Please use comma to separate ports.
Only valid sea ports may be included.</t>
        </r>
      </text>
    </comment>
    <comment ref="A30" authorId="1" shapeId="0" xr:uid="{00000000-0006-0000-0400-000004000000}">
      <text>
        <r>
          <rPr>
            <b/>
            <sz val="14"/>
            <color indexed="81"/>
            <rFont val="Tahoma"/>
            <family val="2"/>
          </rPr>
          <t>Please use FAK/ Bullets defined above.</t>
        </r>
      </text>
    </comment>
    <comment ref="B30" authorId="1" shapeId="0" xr:uid="{00000000-0006-0000-0400-000005000000}">
      <text>
        <r>
          <rPr>
            <b/>
            <sz val="14"/>
            <color indexed="81"/>
            <rFont val="Tahoma"/>
            <family val="2"/>
          </rPr>
          <t>City, State / ZIP Code</t>
        </r>
      </text>
    </comment>
    <comment ref="C30" authorId="1" shapeId="0" xr:uid="{00000000-0006-0000-0400-000006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D30" authorId="1" shapeId="0" xr:uid="{00000000-0006-0000-0400-000007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E30" authorId="1" shapeId="0" xr:uid="{00000000-0006-0000-0400-000008000000}">
      <text>
        <r>
          <rPr>
            <b/>
            <sz val="14"/>
            <color indexed="81"/>
            <rFont val="Tahoma"/>
            <family val="2"/>
          </rPr>
          <t>City, State / ZIP Code</t>
        </r>
      </text>
    </comment>
    <comment ref="F30" authorId="2" shapeId="0" xr:uid="{00000000-0006-0000-0400-000009000000}">
      <text>
        <r>
          <rPr>
            <b/>
            <sz val="14"/>
            <color indexed="81"/>
            <rFont val="Tahoma"/>
            <family val="2"/>
          </rPr>
          <t>Indicate the mode of transportation at origin and destination.
Mode cannot begin with CY if there is a location listed as place of receipt.
Mode cannot end with CY if there is a location is listed as place of delivery</t>
        </r>
      </text>
    </comment>
    <comment ref="G30" authorId="2" shapeId="0" xr:uid="{00000000-0006-0000-0400-00000A000000}">
      <text>
        <r>
          <rPr>
            <b/>
            <sz val="14"/>
            <color indexed="81"/>
            <rFont val="Tahoma"/>
            <family val="2"/>
          </rPr>
          <t>Indicate whether or not door service is included at origin and destination</t>
        </r>
      </text>
    </comment>
    <comment ref="M30" authorId="2" shapeId="0" xr:uid="{00000000-0006-0000-0400-00000B000000}">
      <text>
        <r>
          <rPr>
            <b/>
            <sz val="14"/>
            <color indexed="81"/>
            <rFont val="Tahoma"/>
            <family val="2"/>
          </rPr>
          <t>Use these columns for exceptions to surcharge applicability in note 2</t>
        </r>
      </text>
    </comment>
    <comment ref="AA30" authorId="2" shapeId="0" xr:uid="{00000000-0006-0000-0400-00000C000000}">
      <text>
        <r>
          <rPr>
            <b/>
            <sz val="14"/>
            <color indexed="81"/>
            <rFont val="Tahoma"/>
            <family val="2"/>
          </rPr>
          <t>This field controls construction using Arbitraries and Inland Tariffs
Y = allowed in US, N = not allowed in US, 
E = allowed at origin, I = allowed at destination,
B = allowed at both origin and destination
X = not allowed at either origin or destination</t>
        </r>
      </text>
    </comment>
    <comment ref="A39" authorId="1" shapeId="0" xr:uid="{00000000-0006-0000-0400-00000D000000}">
      <text>
        <r>
          <rPr>
            <b/>
            <sz val="14"/>
            <color indexed="81"/>
            <rFont val="Tahoma"/>
            <family val="2"/>
          </rPr>
          <t>Please use FAK/ Bullets defined above.</t>
        </r>
      </text>
    </comment>
    <comment ref="B39" authorId="1" shapeId="0" xr:uid="{00000000-0006-0000-0400-00000E000000}">
      <text>
        <r>
          <rPr>
            <b/>
            <sz val="14"/>
            <color indexed="81"/>
            <rFont val="Tahoma"/>
            <family val="2"/>
          </rPr>
          <t>City, State / ZIP Code</t>
        </r>
      </text>
    </comment>
    <comment ref="C39" authorId="1" shapeId="0" xr:uid="{00000000-0006-0000-0400-00000F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D39" authorId="1" shapeId="0" xr:uid="{00000000-0006-0000-0400-000010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E39" authorId="1" shapeId="0" xr:uid="{00000000-0006-0000-0400-000011000000}">
      <text>
        <r>
          <rPr>
            <b/>
            <sz val="14"/>
            <color indexed="81"/>
            <rFont val="Tahoma"/>
            <family val="2"/>
          </rPr>
          <t>City, State / ZIP Code</t>
        </r>
      </text>
    </comment>
    <comment ref="F39" authorId="2" shapeId="0" xr:uid="{00000000-0006-0000-0400-000012000000}">
      <text>
        <r>
          <rPr>
            <b/>
            <sz val="14"/>
            <color indexed="81"/>
            <rFont val="Tahoma"/>
            <family val="2"/>
          </rPr>
          <t>Indicate the mode of transportation at origin and destination.
Mode cannot begin with CY if there is a location listed as place of receipt.
Mode cannot end with CY if there is a location is listed as place of delivery</t>
        </r>
      </text>
    </comment>
    <comment ref="G39" authorId="2" shapeId="0" xr:uid="{00000000-0006-0000-0400-000013000000}">
      <text>
        <r>
          <rPr>
            <b/>
            <sz val="14"/>
            <color indexed="81"/>
            <rFont val="Tahoma"/>
            <family val="2"/>
          </rPr>
          <t>Indicate whether or not door service is included at origin and destination</t>
        </r>
      </text>
    </comment>
    <comment ref="O39" authorId="2" shapeId="0" xr:uid="{00000000-0006-0000-0400-000014000000}">
      <text>
        <r>
          <rPr>
            <b/>
            <sz val="14"/>
            <color indexed="81"/>
            <rFont val="Tahoma"/>
            <family val="2"/>
          </rPr>
          <t>Use these columns for exceptions to surcharge applicability in note 2</t>
        </r>
      </text>
    </comment>
    <comment ref="AA39" authorId="2" shapeId="0" xr:uid="{00000000-0006-0000-0400-000015000000}">
      <text>
        <r>
          <rPr>
            <b/>
            <sz val="14"/>
            <color indexed="81"/>
            <rFont val="Tahoma"/>
            <family val="2"/>
          </rPr>
          <t>This field controls construction using Arbitraries and Inland Tariffs
Y = allowed in US, N = not allowed in US, 
E = allowed at origin, I = allowed at destination,
B = allowed at both origin and destination
X = not allowed at either origin or destination</t>
        </r>
      </text>
    </comment>
    <comment ref="A48" authorId="1" shapeId="0" xr:uid="{00000000-0006-0000-0400-000016000000}">
      <text>
        <r>
          <rPr>
            <b/>
            <sz val="14"/>
            <color indexed="81"/>
            <rFont val="Tahoma"/>
            <family val="2"/>
          </rPr>
          <t>Please use FAK/ Bullets defined above.</t>
        </r>
      </text>
    </comment>
    <comment ref="B48" authorId="1" shapeId="0" xr:uid="{00000000-0006-0000-0400-000017000000}">
      <text>
        <r>
          <rPr>
            <b/>
            <sz val="14"/>
            <color indexed="81"/>
            <rFont val="Tahoma"/>
            <family val="2"/>
          </rPr>
          <t>City, State / ZIP Code</t>
        </r>
      </text>
    </comment>
    <comment ref="C48" authorId="1" shapeId="0" xr:uid="{00000000-0006-0000-0400-000018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D48" authorId="1" shapeId="0" xr:uid="{00000000-0006-0000-0400-000019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E48" authorId="1" shapeId="0" xr:uid="{00000000-0006-0000-0400-00001A000000}">
      <text>
        <r>
          <rPr>
            <b/>
            <sz val="14"/>
            <color indexed="81"/>
            <rFont val="Tahoma"/>
            <family val="2"/>
          </rPr>
          <t>City, State / ZIP Code</t>
        </r>
      </text>
    </comment>
    <comment ref="F48" authorId="2" shapeId="0" xr:uid="{00000000-0006-0000-0400-00001B000000}">
      <text>
        <r>
          <rPr>
            <b/>
            <sz val="14"/>
            <color indexed="81"/>
            <rFont val="Tahoma"/>
            <family val="2"/>
          </rPr>
          <t>Indicate the mode of transportation at origin and destination.
Mode cannot begin with CY if there is a location listed as place of receipt.
Mode cannot end with CY if there is a location is listed as place of delivery</t>
        </r>
      </text>
    </comment>
    <comment ref="G48" authorId="2" shapeId="0" xr:uid="{00000000-0006-0000-0400-00001C000000}">
      <text>
        <r>
          <rPr>
            <b/>
            <sz val="14"/>
            <color indexed="81"/>
            <rFont val="Tahoma"/>
            <family val="2"/>
          </rPr>
          <t>Indicate whether or not door service is included at origin and destination</t>
        </r>
      </text>
    </comment>
    <comment ref="Q48" authorId="2" shapeId="0" xr:uid="{00000000-0006-0000-0400-00001D000000}">
      <text>
        <r>
          <rPr>
            <b/>
            <sz val="14"/>
            <color indexed="81"/>
            <rFont val="Tahoma"/>
            <family val="2"/>
          </rPr>
          <t>Use these columns for exceptions to surcharge applicability in note 2</t>
        </r>
      </text>
    </comment>
    <comment ref="AC48" authorId="2" shapeId="0" xr:uid="{00000000-0006-0000-0400-00001E000000}">
      <text>
        <r>
          <rPr>
            <b/>
            <sz val="14"/>
            <color indexed="81"/>
            <rFont val="Tahoma"/>
            <family val="2"/>
          </rPr>
          <t>This field controls construction using Arbitraries and Inland Tariffs
Y = allowed in US, N = not allowed in US, 
E = allowed at origin, I = allowed at destination,
B = allowed at both origin and destination
X = not allowed at either origin or destination</t>
        </r>
      </text>
    </comment>
    <comment ref="B65" authorId="2" shapeId="0" xr:uid="{00000000-0006-0000-0400-00001F000000}">
      <text>
        <r>
          <rPr>
            <b/>
            <sz val="14"/>
            <color indexed="81"/>
            <rFont val="Tahoma"/>
            <family val="2"/>
          </rPr>
          <t>Place of Origin - may be an outport for feeder (CY) arbitraries or an inland origin
Format is:  City, State or ZIP Code</t>
        </r>
      </text>
    </comment>
    <comment ref="E65" authorId="2" shapeId="0" xr:uid="{00000000-0006-0000-0400-000020000000}">
      <text>
        <r>
          <rPr>
            <b/>
            <sz val="14"/>
            <color indexed="81"/>
            <rFont val="Tahoma"/>
            <family val="2"/>
          </rPr>
          <t xml:space="preserve">Please use only one port or a group of ports (Port groups must be defined in the Port Group Codes table).
Arbitrary construction can only occur with rate conditions which show these ports as the POL.
</t>
        </r>
        <r>
          <rPr>
            <b/>
            <i/>
            <sz val="14"/>
            <color indexed="81"/>
            <rFont val="Tahoma"/>
            <family val="2"/>
          </rPr>
          <t>All ports must be valid SEA ports.</t>
        </r>
      </text>
    </comment>
    <comment ref="F65" authorId="2" shapeId="0" xr:uid="{00000000-0006-0000-0400-000021000000}">
      <text>
        <r>
          <rPr>
            <b/>
            <sz val="14"/>
            <color indexed="81"/>
            <rFont val="Tahoma"/>
            <family val="2"/>
          </rPr>
          <t>Indicate the mode of transportation between the arbitrary place of receipt and arbitrary POL.
CY modes can only be used when the mode of transportation is by Feeder.
Use of CY mode requires both the locations to be valid SEA ports.</t>
        </r>
      </text>
    </comment>
    <comment ref="G65" authorId="2" shapeId="0" xr:uid="{00000000-0006-0000-0400-000022000000}">
      <text>
        <r>
          <rPr>
            <b/>
            <sz val="14"/>
            <color indexed="81"/>
            <rFont val="Tahoma"/>
            <family val="2"/>
          </rPr>
          <t>Indicate whether or not door service is included in the arbitrary rate</t>
        </r>
      </text>
    </comment>
    <comment ref="H65" authorId="2" shapeId="0" xr:uid="{00000000-0006-0000-0400-000023000000}">
      <text>
        <r>
          <rPr>
            <b/>
            <sz val="14"/>
            <color indexed="81"/>
            <rFont val="Tahoma"/>
            <family val="2"/>
          </rPr>
          <t>Input the rate in this field when the same amount applies for all container sizes</t>
        </r>
      </text>
    </comment>
    <comment ref="N65" authorId="2" shapeId="0" xr:uid="{00000000-0006-0000-0400-000024000000}">
      <text>
        <r>
          <rPr>
            <b/>
            <sz val="14"/>
            <color indexed="81"/>
            <rFont val="Tahoma"/>
            <family val="2"/>
          </rPr>
          <t>Each Arbitrary applies only to FAK / Bullets as specifically listed in this field.</t>
        </r>
      </text>
    </comment>
    <comment ref="B80" authorId="2" shapeId="0" xr:uid="{00000000-0006-0000-0400-000025000000}">
      <text>
        <r>
          <rPr>
            <b/>
            <sz val="14"/>
            <color indexed="81"/>
            <rFont val="Tahoma"/>
            <family val="2"/>
          </rPr>
          <t>Place of Destination - may be an outport for feeder (CY) arbitraries or an inland destination
Format is:  City, State or ZIP Code</t>
        </r>
      </text>
    </comment>
    <comment ref="E80" authorId="2" shapeId="0" xr:uid="{00000000-0006-0000-0400-000026000000}">
      <text>
        <r>
          <rPr>
            <b/>
            <sz val="14"/>
            <color indexed="81"/>
            <rFont val="Tahoma"/>
            <family val="2"/>
          </rPr>
          <t xml:space="preserve">Please use only one port or a group of ports (Port groups must be defined in the Port Group Codes table).
Arbitrary construction can only occur with rate conditions which show these ports as the POD.
</t>
        </r>
        <r>
          <rPr>
            <b/>
            <i/>
            <sz val="14"/>
            <color indexed="81"/>
            <rFont val="Tahoma"/>
            <family val="2"/>
          </rPr>
          <t>All ports must be valid SEA ports.</t>
        </r>
      </text>
    </comment>
    <comment ref="F80" authorId="2" shapeId="0" xr:uid="{00000000-0006-0000-0400-000027000000}">
      <text>
        <r>
          <rPr>
            <b/>
            <sz val="14"/>
            <color indexed="81"/>
            <rFont val="Tahoma"/>
            <family val="2"/>
          </rPr>
          <t>Indicate the mode of transportation between the arbitrary POD and arbitrary place of delivery.
CY modes can only be used when the mode of transportation is by Feeder.
Use of CY mode requires both the locations to be valid SEA ports.</t>
        </r>
      </text>
    </comment>
    <comment ref="G80" authorId="2" shapeId="0" xr:uid="{00000000-0006-0000-0400-000028000000}">
      <text>
        <r>
          <rPr>
            <b/>
            <sz val="14"/>
            <color indexed="81"/>
            <rFont val="Tahoma"/>
            <family val="2"/>
          </rPr>
          <t>Indicate whether or not door service is included in the arbitrary rate</t>
        </r>
      </text>
    </comment>
    <comment ref="H80" authorId="2" shapeId="0" xr:uid="{00000000-0006-0000-0400-000029000000}">
      <text>
        <r>
          <rPr>
            <b/>
            <sz val="14"/>
            <color indexed="81"/>
            <rFont val="Tahoma"/>
            <family val="2"/>
          </rPr>
          <t>Input the rate in this field when the same amount applies for all container sizes</t>
        </r>
      </text>
    </comment>
    <comment ref="N80" authorId="2" shapeId="0" xr:uid="{00000000-0006-0000-0400-00002A000000}">
      <text>
        <r>
          <rPr>
            <b/>
            <sz val="14"/>
            <color indexed="81"/>
            <rFont val="Tahoma"/>
            <family val="2"/>
          </rPr>
          <t>Each Arbitrary applies only to FAK / Bullets as specifically listed in this field.</t>
        </r>
      </text>
    </comment>
    <comment ref="L90" authorId="2" shapeId="0" xr:uid="{00000000-0006-0000-0400-00002B000000}">
      <text>
        <r>
          <rPr>
            <b/>
            <sz val="14"/>
            <color indexed="81"/>
            <rFont val="Tahoma"/>
            <family val="2"/>
          </rPr>
          <t>Surcharge applicability mentioned on any row applies specifically to the individual port mentioned in this field.
If the Applicable Port field is blank, then the  surcharge applicability stated on that row applies to all ports.</t>
        </r>
      </text>
    </comment>
    <comment ref="A181" authorId="2" shapeId="0" xr:uid="{00000000-0006-0000-0400-00002C000000}">
      <text>
        <r>
          <rPr>
            <sz val="12"/>
            <color indexed="81"/>
            <rFont val="Tahoma"/>
            <family val="2"/>
          </rPr>
          <t>Select the bullet for which the exception applies.
If exception applies to all bullets, select "ALL".</t>
        </r>
      </text>
    </comment>
    <comment ref="B181" authorId="2" shapeId="0" xr:uid="{00000000-0006-0000-0400-00002D000000}">
      <text>
        <r>
          <rPr>
            <sz val="12"/>
            <color indexed="81"/>
            <rFont val="Tahoma"/>
            <family val="2"/>
          </rPr>
          <t xml:space="preserve">Specify if Free Time condition applies to Export or Import:
</t>
        </r>
        <r>
          <rPr>
            <b/>
            <sz val="12"/>
            <color indexed="81"/>
            <rFont val="Tahoma"/>
            <family val="2"/>
          </rPr>
          <t xml:space="preserve">E </t>
        </r>
        <r>
          <rPr>
            <sz val="12"/>
            <color indexed="81"/>
            <rFont val="Tahoma"/>
            <family val="2"/>
          </rPr>
          <t xml:space="preserve">(Export) = applies at origin
</t>
        </r>
        <r>
          <rPr>
            <b/>
            <sz val="12"/>
            <color indexed="81"/>
            <rFont val="Tahoma"/>
            <family val="2"/>
          </rPr>
          <t xml:space="preserve">I </t>
        </r>
        <r>
          <rPr>
            <sz val="12"/>
            <color indexed="81"/>
            <rFont val="Tahoma"/>
            <family val="2"/>
          </rPr>
          <t>(Import) = applies at destination</t>
        </r>
      </text>
    </comment>
    <comment ref="C181" authorId="2" shapeId="0" xr:uid="{00000000-0006-0000-0400-00002E000000}">
      <text>
        <r>
          <rPr>
            <sz val="12"/>
            <color indexed="81"/>
            <rFont val="Tahoma"/>
            <family val="2"/>
          </rPr>
          <t>Enter Type of Free Time:</t>
        </r>
        <r>
          <rPr>
            <u/>
            <sz val="12"/>
            <color indexed="81"/>
            <rFont val="Tahoma"/>
            <family val="2"/>
          </rPr>
          <t xml:space="preserve">
</t>
        </r>
        <r>
          <rPr>
            <sz val="12"/>
            <color indexed="81"/>
            <rFont val="Tahoma"/>
            <family val="2"/>
          </rPr>
          <t xml:space="preserve">
</t>
        </r>
        <r>
          <rPr>
            <b/>
            <sz val="12"/>
            <color indexed="81"/>
            <rFont val="Tahoma"/>
            <family val="2"/>
          </rPr>
          <t>Detention
Demurrage
Merged</t>
        </r>
      </text>
    </comment>
    <comment ref="F181" authorId="2" shapeId="0" xr:uid="{00000000-0006-0000-0400-00002F000000}">
      <text>
        <r>
          <rPr>
            <sz val="12"/>
            <color indexed="81"/>
            <rFont val="Tahoma"/>
            <family val="2"/>
          </rPr>
          <t xml:space="preserve">Specify Equipment Type (blank field indicates applicability to all Eq Types):
</t>
        </r>
        <r>
          <rPr>
            <b/>
            <sz val="12"/>
            <color indexed="81"/>
            <rFont val="Tahoma"/>
            <family val="2"/>
          </rPr>
          <t>D</t>
        </r>
        <r>
          <rPr>
            <sz val="12"/>
            <color indexed="81"/>
            <rFont val="Tahoma"/>
            <family val="2"/>
          </rPr>
          <t xml:space="preserve"> = Dry
</t>
        </r>
        <r>
          <rPr>
            <b/>
            <sz val="12"/>
            <color indexed="81"/>
            <rFont val="Tahoma"/>
            <family val="2"/>
          </rPr>
          <t>R</t>
        </r>
        <r>
          <rPr>
            <sz val="12"/>
            <color indexed="81"/>
            <rFont val="Tahoma"/>
            <family val="2"/>
          </rPr>
          <t xml:space="preserve"> = Reefer
</t>
        </r>
        <r>
          <rPr>
            <b/>
            <sz val="12"/>
            <color indexed="81"/>
            <rFont val="Tahoma"/>
            <family val="2"/>
          </rPr>
          <t>OT</t>
        </r>
        <r>
          <rPr>
            <sz val="12"/>
            <color indexed="81"/>
            <rFont val="Tahoma"/>
            <family val="2"/>
          </rPr>
          <t xml:space="preserve"> = Open Top
</t>
        </r>
        <r>
          <rPr>
            <b/>
            <sz val="12"/>
            <color indexed="81"/>
            <rFont val="Tahoma"/>
            <family val="2"/>
          </rPr>
          <t>FR</t>
        </r>
        <r>
          <rPr>
            <sz val="12"/>
            <color indexed="81"/>
            <rFont val="Tahoma"/>
            <family val="2"/>
          </rPr>
          <t xml:space="preserve"> = Flat Rack</t>
        </r>
      </text>
    </comment>
    <comment ref="G181" authorId="2" shapeId="0" xr:uid="{00000000-0006-0000-0400-000030000000}">
      <text>
        <r>
          <rPr>
            <sz val="12"/>
            <color indexed="81"/>
            <rFont val="Tahoma"/>
            <family val="2"/>
          </rPr>
          <t>Select "OR" from the drop down list if condition applies to Operating Reefers</t>
        </r>
      </text>
    </comment>
    <comment ref="H181" authorId="2" shapeId="0" xr:uid="{00000000-0006-0000-0400-000031000000}">
      <text>
        <r>
          <rPr>
            <sz val="12"/>
            <color indexed="81"/>
            <rFont val="Tahoma"/>
            <family val="2"/>
          </rPr>
          <t xml:space="preserve">Specify the Place of Receipt if necessary.  </t>
        </r>
        <r>
          <rPr>
            <u/>
            <sz val="12"/>
            <color indexed="81"/>
            <rFont val="Tahoma"/>
            <family val="2"/>
          </rPr>
          <t>Do not</t>
        </r>
        <r>
          <rPr>
            <sz val="12"/>
            <color indexed="81"/>
            <rFont val="Tahoma"/>
            <family val="2"/>
          </rPr>
          <t xml:space="preserve"> use "ALL".
Only 1 location may be entered per row.</t>
        </r>
      </text>
    </comment>
    <comment ref="I181" authorId="2" shapeId="0" xr:uid="{00000000-0006-0000-0400-000032000000}">
      <text>
        <r>
          <rPr>
            <sz val="12"/>
            <color indexed="81"/>
            <rFont val="Tahoma"/>
            <family val="2"/>
          </rPr>
          <t xml:space="preserve">Enter the POL if necessary.  </t>
        </r>
        <r>
          <rPr>
            <u/>
            <sz val="12"/>
            <color indexed="81"/>
            <rFont val="Tahoma"/>
            <family val="2"/>
          </rPr>
          <t>Do not</t>
        </r>
        <r>
          <rPr>
            <sz val="12"/>
            <color indexed="81"/>
            <rFont val="Tahoma"/>
            <family val="2"/>
          </rPr>
          <t xml:space="preserve"> use "ALL".
Only 1 location is allowed per row and must be a valid seaport.</t>
        </r>
      </text>
    </comment>
    <comment ref="J181" authorId="2" shapeId="0" xr:uid="{00000000-0006-0000-0400-000033000000}">
      <text>
        <r>
          <rPr>
            <sz val="12"/>
            <color indexed="81"/>
            <rFont val="Tahoma"/>
            <family val="2"/>
          </rPr>
          <t xml:space="preserve">Enter the POD if necessary.  </t>
        </r>
        <r>
          <rPr>
            <u/>
            <sz val="12"/>
            <color indexed="81"/>
            <rFont val="Tahoma"/>
            <family val="2"/>
          </rPr>
          <t>Do not</t>
        </r>
        <r>
          <rPr>
            <sz val="12"/>
            <color indexed="81"/>
            <rFont val="Tahoma"/>
            <family val="2"/>
          </rPr>
          <t xml:space="preserve"> use "ALL".
Only 1 location is allowed per row and must be a valid seaport.</t>
        </r>
      </text>
    </comment>
    <comment ref="K181" authorId="2" shapeId="0" xr:uid="{00000000-0006-0000-0400-000034000000}">
      <text>
        <r>
          <rPr>
            <sz val="12"/>
            <color indexed="81"/>
            <rFont val="Tahoma"/>
            <family val="2"/>
          </rPr>
          <t xml:space="preserve">Specify the Place of Delivery if necessary.  </t>
        </r>
        <r>
          <rPr>
            <u/>
            <sz val="12"/>
            <color indexed="81"/>
            <rFont val="Tahoma"/>
            <family val="2"/>
          </rPr>
          <t>Do not</t>
        </r>
        <r>
          <rPr>
            <sz val="12"/>
            <color indexed="81"/>
            <rFont val="Tahoma"/>
            <family val="2"/>
          </rPr>
          <t xml:space="preserve"> use "ALL".
Only 1 location may be entered per row.</t>
        </r>
      </text>
    </comment>
    <comment ref="L181" authorId="3" shapeId="0" xr:uid="{C1951FE7-A055-45AA-B0A9-3B4D835D4DDE}">
      <text>
        <r>
          <rPr>
            <sz val="12"/>
            <color indexed="81"/>
            <rFont val="Tahoma"/>
            <family val="2"/>
          </rPr>
          <t xml:space="preserve">Enter the Country Code ONLY.  </t>
        </r>
        <r>
          <rPr>
            <u/>
            <sz val="12"/>
            <color indexed="81"/>
            <rFont val="Tahoma"/>
            <family val="2"/>
          </rPr>
          <t>Cannot</t>
        </r>
        <r>
          <rPr>
            <sz val="12"/>
            <color indexed="81"/>
            <rFont val="Tahoma"/>
            <family val="2"/>
          </rPr>
          <t xml:space="preserve"> use "ALL" or country name</t>
        </r>
      </text>
    </comment>
    <comment ref="M181" authorId="2" shapeId="0" xr:uid="{00000000-0006-0000-0400-000035000000}">
      <text>
        <r>
          <rPr>
            <sz val="12"/>
            <color indexed="81"/>
            <rFont val="Tahoma"/>
            <family val="2"/>
          </rPr>
          <t xml:space="preserve">Enter additional notes only when absolutely necessary.  
</t>
        </r>
        <r>
          <rPr>
            <u/>
            <sz val="12"/>
            <color indexed="81"/>
            <rFont val="Tahoma"/>
            <family val="2"/>
          </rPr>
          <t>IMPORTANT</t>
        </r>
        <r>
          <rPr>
            <sz val="12"/>
            <color indexed="81"/>
            <rFont val="Tahoma"/>
            <family val="2"/>
          </rPr>
          <t xml:space="preserve">:  Named accounts and specific commodities </t>
        </r>
        <r>
          <rPr>
            <b/>
            <u/>
            <sz val="12"/>
            <color indexed="81"/>
            <rFont val="Tahoma"/>
            <family val="2"/>
          </rPr>
          <t>may not</t>
        </r>
        <r>
          <rPr>
            <sz val="12"/>
            <color indexed="81"/>
            <rFont val="Tahoma"/>
            <family val="2"/>
          </rPr>
          <t xml:space="preserve"> be listed as Notes.</t>
        </r>
      </text>
    </comment>
    <comment ref="A194" authorId="2" shapeId="0" xr:uid="{1310F35B-1E59-4E6E-BCC0-BC977D6A0A8D}">
      <text>
        <r>
          <rPr>
            <sz val="12"/>
            <color indexed="81"/>
            <rFont val="Tahoma"/>
            <family val="2"/>
          </rPr>
          <t>Select the bullet for which the exception applies.
If exception applies to all bullets, select "ALL".</t>
        </r>
      </text>
    </comment>
    <comment ref="B194" authorId="2" shapeId="0" xr:uid="{5499ECBF-0609-4789-AD06-85F1ACF33E70}">
      <text>
        <r>
          <rPr>
            <sz val="12"/>
            <color indexed="81"/>
            <rFont val="Tahoma"/>
            <family val="2"/>
          </rPr>
          <t xml:space="preserve">Specify if Free Time condition applies to Export or Import:
</t>
        </r>
        <r>
          <rPr>
            <b/>
            <sz val="12"/>
            <color indexed="81"/>
            <rFont val="Tahoma"/>
            <family val="2"/>
          </rPr>
          <t xml:space="preserve">E </t>
        </r>
        <r>
          <rPr>
            <sz val="12"/>
            <color indexed="81"/>
            <rFont val="Tahoma"/>
            <family val="2"/>
          </rPr>
          <t xml:space="preserve">(Export) = applies at origin
</t>
        </r>
        <r>
          <rPr>
            <b/>
            <sz val="12"/>
            <color indexed="81"/>
            <rFont val="Tahoma"/>
            <family val="2"/>
          </rPr>
          <t xml:space="preserve">I </t>
        </r>
        <r>
          <rPr>
            <sz val="12"/>
            <color indexed="81"/>
            <rFont val="Tahoma"/>
            <family val="2"/>
          </rPr>
          <t>(Import) = applies at destination</t>
        </r>
      </text>
    </comment>
    <comment ref="C194" authorId="2" shapeId="0" xr:uid="{84D0A2CA-1D38-4D13-9307-F1BCEFB0F50C}">
      <text>
        <r>
          <rPr>
            <sz val="12"/>
            <color indexed="81"/>
            <rFont val="Tahoma"/>
            <family val="2"/>
          </rPr>
          <t>Enter Type of Free Time:</t>
        </r>
        <r>
          <rPr>
            <u/>
            <sz val="12"/>
            <color indexed="81"/>
            <rFont val="Tahoma"/>
            <family val="2"/>
          </rPr>
          <t xml:space="preserve">
</t>
        </r>
        <r>
          <rPr>
            <sz val="12"/>
            <color indexed="81"/>
            <rFont val="Tahoma"/>
            <family val="2"/>
          </rPr>
          <t xml:space="preserve">
</t>
        </r>
        <r>
          <rPr>
            <b/>
            <sz val="12"/>
            <color indexed="81"/>
            <rFont val="Tahoma"/>
            <family val="2"/>
          </rPr>
          <t>Detention
Demurrage
Merged</t>
        </r>
      </text>
    </comment>
    <comment ref="F194" authorId="2" shapeId="0" xr:uid="{4A2B476D-A04D-4A94-A865-300A7CB6BAAE}">
      <text>
        <r>
          <rPr>
            <sz val="12"/>
            <color indexed="81"/>
            <rFont val="Tahoma"/>
            <family val="2"/>
          </rPr>
          <t>If any exceptional charges are offered, then the currency is required to be shown.</t>
        </r>
      </text>
    </comment>
    <comment ref="W194" authorId="2" shapeId="0" xr:uid="{AA010963-B423-4EC2-86AF-9C9E6A568B31}">
      <text>
        <r>
          <rPr>
            <sz val="12"/>
            <color indexed="81"/>
            <rFont val="Tahoma"/>
            <family val="2"/>
          </rPr>
          <t xml:space="preserve">Specify Equipment Type (blank field indicates applicability to all Eq Types):
</t>
        </r>
        <r>
          <rPr>
            <b/>
            <sz val="12"/>
            <color indexed="81"/>
            <rFont val="Tahoma"/>
            <family val="2"/>
          </rPr>
          <t>D</t>
        </r>
        <r>
          <rPr>
            <sz val="12"/>
            <color indexed="81"/>
            <rFont val="Tahoma"/>
            <family val="2"/>
          </rPr>
          <t xml:space="preserve"> = Dry
</t>
        </r>
        <r>
          <rPr>
            <b/>
            <sz val="12"/>
            <color indexed="81"/>
            <rFont val="Tahoma"/>
            <family val="2"/>
          </rPr>
          <t>R</t>
        </r>
        <r>
          <rPr>
            <sz val="12"/>
            <color indexed="81"/>
            <rFont val="Tahoma"/>
            <family val="2"/>
          </rPr>
          <t xml:space="preserve"> = Reefer
</t>
        </r>
        <r>
          <rPr>
            <b/>
            <sz val="12"/>
            <color indexed="81"/>
            <rFont val="Tahoma"/>
            <family val="2"/>
          </rPr>
          <t>OT</t>
        </r>
        <r>
          <rPr>
            <sz val="12"/>
            <color indexed="81"/>
            <rFont val="Tahoma"/>
            <family val="2"/>
          </rPr>
          <t xml:space="preserve"> = Open Top
</t>
        </r>
        <r>
          <rPr>
            <b/>
            <sz val="12"/>
            <color indexed="81"/>
            <rFont val="Tahoma"/>
            <family val="2"/>
          </rPr>
          <t>FR</t>
        </r>
        <r>
          <rPr>
            <sz val="12"/>
            <color indexed="81"/>
            <rFont val="Tahoma"/>
            <family val="2"/>
          </rPr>
          <t xml:space="preserve"> = Flat Rack</t>
        </r>
      </text>
    </comment>
    <comment ref="X194" authorId="2" shapeId="0" xr:uid="{3EAEB0F2-1B7A-4B4E-915D-09228B7DE03F}">
      <text>
        <r>
          <rPr>
            <sz val="12"/>
            <color indexed="81"/>
            <rFont val="Tahoma"/>
            <family val="2"/>
          </rPr>
          <t>Select "OR" from the drop down list if condition applies to Operating Reefers</t>
        </r>
      </text>
    </comment>
    <comment ref="Y194" authorId="2" shapeId="0" xr:uid="{421C6D8B-4849-48AB-A11B-8DFD8289FA3E}">
      <text>
        <r>
          <rPr>
            <sz val="12"/>
            <color indexed="81"/>
            <rFont val="Tahoma"/>
            <family val="2"/>
          </rPr>
          <t xml:space="preserve">Specify the Place of Receipt if necessary.  </t>
        </r>
        <r>
          <rPr>
            <u/>
            <sz val="12"/>
            <color indexed="81"/>
            <rFont val="Tahoma"/>
            <family val="2"/>
          </rPr>
          <t>Do not</t>
        </r>
        <r>
          <rPr>
            <sz val="12"/>
            <color indexed="81"/>
            <rFont val="Tahoma"/>
            <family val="2"/>
          </rPr>
          <t xml:space="preserve"> use "ALL".
Only 1 location may be entered per row.</t>
        </r>
      </text>
    </comment>
    <comment ref="Z194" authorId="2" shapeId="0" xr:uid="{95346992-C359-4B08-810D-B946B58759E4}">
      <text>
        <r>
          <rPr>
            <sz val="12"/>
            <color indexed="81"/>
            <rFont val="Tahoma"/>
            <family val="2"/>
          </rPr>
          <t xml:space="preserve">Enter the POL if necessary.  </t>
        </r>
        <r>
          <rPr>
            <u/>
            <sz val="12"/>
            <color indexed="81"/>
            <rFont val="Tahoma"/>
            <family val="2"/>
          </rPr>
          <t>Do not</t>
        </r>
        <r>
          <rPr>
            <sz val="12"/>
            <color indexed="81"/>
            <rFont val="Tahoma"/>
            <family val="2"/>
          </rPr>
          <t xml:space="preserve"> use "ALL".
Only 1 location is allowed per row and must be a valid seaport.</t>
        </r>
      </text>
    </comment>
    <comment ref="AA194" authorId="2" shapeId="0" xr:uid="{CBC73C6D-BD9A-443F-B42E-CDCFBB0B2769}">
      <text>
        <r>
          <rPr>
            <sz val="12"/>
            <color indexed="81"/>
            <rFont val="Tahoma"/>
            <family val="2"/>
          </rPr>
          <t xml:space="preserve">Enter the POD if necessary.  </t>
        </r>
        <r>
          <rPr>
            <u/>
            <sz val="12"/>
            <color indexed="81"/>
            <rFont val="Tahoma"/>
            <family val="2"/>
          </rPr>
          <t>Do not</t>
        </r>
        <r>
          <rPr>
            <sz val="12"/>
            <color indexed="81"/>
            <rFont val="Tahoma"/>
            <family val="2"/>
          </rPr>
          <t xml:space="preserve"> use "ALL".
Only 1 location is allowed per row and must be a valid seaport.</t>
        </r>
      </text>
    </comment>
    <comment ref="AB194" authorId="2" shapeId="0" xr:uid="{10C142DC-5EF2-42B4-B552-451FD4C37AF8}">
      <text>
        <r>
          <rPr>
            <sz val="12"/>
            <color indexed="81"/>
            <rFont val="Tahoma"/>
            <family val="2"/>
          </rPr>
          <t xml:space="preserve">Specify the Place of Delivery if necessary.  </t>
        </r>
        <r>
          <rPr>
            <u/>
            <sz val="12"/>
            <color indexed="81"/>
            <rFont val="Tahoma"/>
            <family val="2"/>
          </rPr>
          <t>Do not</t>
        </r>
        <r>
          <rPr>
            <sz val="12"/>
            <color indexed="81"/>
            <rFont val="Tahoma"/>
            <family val="2"/>
          </rPr>
          <t xml:space="preserve"> use "ALL".
Only 1 location may be entered per row.</t>
        </r>
      </text>
    </comment>
    <comment ref="AC194" authorId="3" shapeId="0" xr:uid="{9E292F8C-1F5E-483A-BA7D-F02F7CEF573B}">
      <text>
        <r>
          <rPr>
            <sz val="12"/>
            <color indexed="81"/>
            <rFont val="Tahoma"/>
            <family val="2"/>
          </rPr>
          <t xml:space="preserve">Enter the Country Code ONLY.  </t>
        </r>
        <r>
          <rPr>
            <u/>
            <sz val="12"/>
            <color indexed="81"/>
            <rFont val="Tahoma"/>
            <family val="2"/>
          </rPr>
          <t>Cannot</t>
        </r>
        <r>
          <rPr>
            <sz val="12"/>
            <color indexed="81"/>
            <rFont val="Tahoma"/>
            <family val="2"/>
          </rPr>
          <t xml:space="preserve"> use "ALL" or country name</t>
        </r>
      </text>
    </comment>
    <comment ref="AD194" authorId="2" shapeId="0" xr:uid="{E387FADE-4B48-442C-82CF-41B95FD169BA}">
      <text>
        <r>
          <rPr>
            <sz val="12"/>
            <color indexed="81"/>
            <rFont val="Tahoma"/>
            <family val="2"/>
          </rPr>
          <t xml:space="preserve">Enter additional notes only when absolutely necessary.  
</t>
        </r>
        <r>
          <rPr>
            <u/>
            <sz val="12"/>
            <color indexed="81"/>
            <rFont val="Tahoma"/>
            <family val="2"/>
          </rPr>
          <t>IMPORTANT</t>
        </r>
        <r>
          <rPr>
            <sz val="12"/>
            <color indexed="81"/>
            <rFont val="Tahoma"/>
            <family val="2"/>
          </rPr>
          <t xml:space="preserve">:  Named accounts and specific commodities </t>
        </r>
        <r>
          <rPr>
            <b/>
            <u/>
            <sz val="12"/>
            <color indexed="81"/>
            <rFont val="Tahoma"/>
            <family val="2"/>
          </rPr>
          <t>may not</t>
        </r>
        <r>
          <rPr>
            <sz val="12"/>
            <color indexed="81"/>
            <rFont val="Tahoma"/>
            <family val="2"/>
          </rPr>
          <t xml:space="preserve"> be listed as Notes.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ext.obouge</author>
    <author>William MALLOL</author>
    <author>usa.gewan</author>
    <author>GENDER Charlie - NOR</author>
  </authors>
  <commentList>
    <comment ref="B13" authorId="0" shapeId="0" xr:uid="{00000000-0006-0000-0500-000001000000}">
      <text>
        <r>
          <rPr>
            <b/>
            <sz val="12"/>
            <color indexed="81"/>
            <rFont val="Tahoma"/>
            <family val="2"/>
          </rPr>
          <t>Please use comma to separate commodities.</t>
        </r>
      </text>
    </comment>
    <comment ref="A20" authorId="1" shapeId="0" xr:uid="{00000000-0006-0000-0500-000002000000}">
      <text>
        <r>
          <rPr>
            <b/>
            <sz val="14"/>
            <color indexed="81"/>
            <rFont val="Tahoma"/>
            <family val="2"/>
          </rPr>
          <t>Port Group Codes can be used to group any two or more valid seaports that are common rated.
Port Group Codes cannot be used for inland locations.</t>
        </r>
      </text>
    </comment>
    <comment ref="B20" authorId="0" shapeId="0" xr:uid="{00000000-0006-0000-0500-000003000000}">
      <text>
        <r>
          <rPr>
            <b/>
            <sz val="14"/>
            <color indexed="81"/>
            <rFont val="Tahoma"/>
            <family val="2"/>
          </rPr>
          <t>Please use comma to separate ports.
Only valid sea ports may be included.</t>
        </r>
      </text>
    </comment>
    <comment ref="A34" authorId="1" shapeId="0" xr:uid="{00000000-0006-0000-0500-000004000000}">
      <text>
        <r>
          <rPr>
            <b/>
            <sz val="14"/>
            <color indexed="81"/>
            <rFont val="Tahoma"/>
            <family val="2"/>
          </rPr>
          <t>Please use FAK/ Bullets defined above.</t>
        </r>
      </text>
    </comment>
    <comment ref="B34" authorId="1" shapeId="0" xr:uid="{00000000-0006-0000-0500-000005000000}">
      <text>
        <r>
          <rPr>
            <b/>
            <sz val="14"/>
            <color indexed="81"/>
            <rFont val="Tahoma"/>
            <family val="2"/>
          </rPr>
          <t>City, State / ZIP Code</t>
        </r>
      </text>
    </comment>
    <comment ref="C34" authorId="1" shapeId="0" xr:uid="{00000000-0006-0000-0500-000006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D34" authorId="1" shapeId="0" xr:uid="{00000000-0006-0000-0500-000007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E34" authorId="1" shapeId="0" xr:uid="{00000000-0006-0000-0500-000008000000}">
      <text>
        <r>
          <rPr>
            <b/>
            <sz val="14"/>
            <color indexed="81"/>
            <rFont val="Tahoma"/>
            <family val="2"/>
          </rPr>
          <t>City, State / ZIP Code</t>
        </r>
      </text>
    </comment>
    <comment ref="F34" authorId="2" shapeId="0" xr:uid="{00000000-0006-0000-0500-000009000000}">
      <text>
        <r>
          <rPr>
            <b/>
            <sz val="14"/>
            <color indexed="81"/>
            <rFont val="Tahoma"/>
            <family val="2"/>
          </rPr>
          <t>Indicate the mode of transportation at origin and destination.
Mode cannot begin with CY if there is a location listed as place of receipt.
Mode cannot end with CY if there is a location is listed as place of delivery</t>
        </r>
      </text>
    </comment>
    <comment ref="G34" authorId="2" shapeId="0" xr:uid="{00000000-0006-0000-0500-00000A000000}">
      <text>
        <r>
          <rPr>
            <b/>
            <sz val="14"/>
            <color indexed="81"/>
            <rFont val="Tahoma"/>
            <family val="2"/>
          </rPr>
          <t>Indicate whether or not door service is included at origin and destination</t>
        </r>
      </text>
    </comment>
    <comment ref="M34" authorId="2" shapeId="0" xr:uid="{00000000-0006-0000-0500-00000B000000}">
      <text>
        <r>
          <rPr>
            <b/>
            <sz val="14"/>
            <color indexed="81"/>
            <rFont val="Tahoma"/>
            <family val="2"/>
          </rPr>
          <t>Use these columns for exceptions to surcharge applicability in note 2</t>
        </r>
      </text>
    </comment>
    <comment ref="AA34" authorId="2" shapeId="0" xr:uid="{00000000-0006-0000-0500-00000C000000}">
      <text>
        <r>
          <rPr>
            <b/>
            <sz val="14"/>
            <color indexed="81"/>
            <rFont val="Tahoma"/>
            <family val="2"/>
          </rPr>
          <t>This field controls construction using Arbitraries and Inland Tariffs
Y = allowed in US, N = not allowed in US, 
E = allowed at origin, I = allowed at destination,
B = allowed at both origin and destination
X = not allowed at either origin or destination</t>
        </r>
      </text>
    </comment>
    <comment ref="A43" authorId="1" shapeId="0" xr:uid="{00000000-0006-0000-0500-00000D000000}">
      <text>
        <r>
          <rPr>
            <b/>
            <sz val="14"/>
            <color indexed="81"/>
            <rFont val="Tahoma"/>
            <family val="2"/>
          </rPr>
          <t>Please use FAK/ Bullets defined above.</t>
        </r>
      </text>
    </comment>
    <comment ref="B43" authorId="1" shapeId="0" xr:uid="{00000000-0006-0000-0500-00000E000000}">
      <text>
        <r>
          <rPr>
            <b/>
            <sz val="14"/>
            <color indexed="81"/>
            <rFont val="Tahoma"/>
            <family val="2"/>
          </rPr>
          <t>City, State / ZIP Code</t>
        </r>
      </text>
    </comment>
    <comment ref="C43" authorId="1" shapeId="0" xr:uid="{00000000-0006-0000-0500-00000F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D43" authorId="1" shapeId="0" xr:uid="{00000000-0006-0000-0500-000010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E43" authorId="1" shapeId="0" xr:uid="{00000000-0006-0000-0500-000011000000}">
      <text>
        <r>
          <rPr>
            <b/>
            <sz val="14"/>
            <color indexed="81"/>
            <rFont val="Tahoma"/>
            <family val="2"/>
          </rPr>
          <t>City, State / ZIP Code</t>
        </r>
      </text>
    </comment>
    <comment ref="F43" authorId="2" shapeId="0" xr:uid="{00000000-0006-0000-0500-000012000000}">
      <text>
        <r>
          <rPr>
            <b/>
            <sz val="14"/>
            <color indexed="81"/>
            <rFont val="Tahoma"/>
            <family val="2"/>
          </rPr>
          <t>Indicate the mode of transportation at origin and destination.
Mode cannot begin with CY if there is a location listed as place of receipt.
Mode cannot end with CY if there is a location is listed as place of delivery</t>
        </r>
      </text>
    </comment>
    <comment ref="G43" authorId="2" shapeId="0" xr:uid="{00000000-0006-0000-0500-000013000000}">
      <text>
        <r>
          <rPr>
            <b/>
            <sz val="14"/>
            <color indexed="81"/>
            <rFont val="Tahoma"/>
            <family val="2"/>
          </rPr>
          <t>Indicate whether or not door service is included at origin and destination</t>
        </r>
      </text>
    </comment>
    <comment ref="O43" authorId="2" shapeId="0" xr:uid="{00000000-0006-0000-0500-000014000000}">
      <text>
        <r>
          <rPr>
            <b/>
            <sz val="14"/>
            <color indexed="81"/>
            <rFont val="Tahoma"/>
            <family val="2"/>
          </rPr>
          <t>Use these columns for exceptions to surcharge applicability in note 2</t>
        </r>
      </text>
    </comment>
    <comment ref="AA43" authorId="2" shapeId="0" xr:uid="{00000000-0006-0000-0500-000015000000}">
      <text>
        <r>
          <rPr>
            <b/>
            <sz val="14"/>
            <color indexed="81"/>
            <rFont val="Tahoma"/>
            <family val="2"/>
          </rPr>
          <t>This field controls construction using Arbitraries and Inland Tariffs
Y = allowed in US, N = not allowed in US, 
E = allowed at origin, I = allowed at destination,
B = allowed at both origin and destination
X = not allowed at either origin or destination</t>
        </r>
      </text>
    </comment>
    <comment ref="A52" authorId="1" shapeId="0" xr:uid="{00000000-0006-0000-0500-000016000000}">
      <text>
        <r>
          <rPr>
            <b/>
            <sz val="14"/>
            <color indexed="81"/>
            <rFont val="Tahoma"/>
            <family val="2"/>
          </rPr>
          <t>Please use FAK/ Bullets defined above.</t>
        </r>
      </text>
    </comment>
    <comment ref="B52" authorId="1" shapeId="0" xr:uid="{00000000-0006-0000-0500-000017000000}">
      <text>
        <r>
          <rPr>
            <b/>
            <sz val="14"/>
            <color indexed="81"/>
            <rFont val="Tahoma"/>
            <family val="2"/>
          </rPr>
          <t>City, State / ZIP Code</t>
        </r>
      </text>
    </comment>
    <comment ref="C52" authorId="1" shapeId="0" xr:uid="{00000000-0006-0000-0500-000018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D52" authorId="1" shapeId="0" xr:uid="{00000000-0006-0000-0500-000019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E52" authorId="1" shapeId="0" xr:uid="{00000000-0006-0000-0500-00001A000000}">
      <text>
        <r>
          <rPr>
            <b/>
            <sz val="14"/>
            <color indexed="81"/>
            <rFont val="Tahoma"/>
            <family val="2"/>
          </rPr>
          <t>City, State / ZIP Code</t>
        </r>
      </text>
    </comment>
    <comment ref="F52" authorId="2" shapeId="0" xr:uid="{00000000-0006-0000-0500-00001B000000}">
      <text>
        <r>
          <rPr>
            <b/>
            <sz val="14"/>
            <color indexed="81"/>
            <rFont val="Tahoma"/>
            <family val="2"/>
          </rPr>
          <t>Indicate the mode of transportation at origin and destination.
Mode cannot begin with CY if there is a location listed as place of receipt.
Mode cannot end with CY if there is a location is listed as place of delivery</t>
        </r>
      </text>
    </comment>
    <comment ref="G52" authorId="2" shapeId="0" xr:uid="{00000000-0006-0000-0500-00001C000000}">
      <text>
        <r>
          <rPr>
            <b/>
            <sz val="14"/>
            <color indexed="81"/>
            <rFont val="Tahoma"/>
            <family val="2"/>
          </rPr>
          <t>Indicate whether or not door service is included at origin and destination</t>
        </r>
      </text>
    </comment>
    <comment ref="Q52" authorId="2" shapeId="0" xr:uid="{00000000-0006-0000-0500-00001D000000}">
      <text>
        <r>
          <rPr>
            <b/>
            <sz val="14"/>
            <color indexed="81"/>
            <rFont val="Tahoma"/>
            <family val="2"/>
          </rPr>
          <t>Use these columns for exceptions to surcharge applicability in note 2</t>
        </r>
      </text>
    </comment>
    <comment ref="AC52" authorId="2" shapeId="0" xr:uid="{00000000-0006-0000-0500-00001E000000}">
      <text>
        <r>
          <rPr>
            <b/>
            <sz val="14"/>
            <color indexed="81"/>
            <rFont val="Tahoma"/>
            <family val="2"/>
          </rPr>
          <t>This field controls construction using Arbitraries and Inland Tariffs
Y = allowed in US, N = not allowed in US, 
E = allowed at origin, I = allowed at destination,
B = allowed at both origin and destination
X = not allowed at either origin or destination</t>
        </r>
      </text>
    </comment>
    <comment ref="B69" authorId="2" shapeId="0" xr:uid="{00000000-0006-0000-0500-00001F000000}">
      <text>
        <r>
          <rPr>
            <b/>
            <sz val="14"/>
            <color indexed="81"/>
            <rFont val="Tahoma"/>
            <family val="2"/>
          </rPr>
          <t>Place of Origin - may be an outport for feeder (CY) arbitraries or an inland origin
Format is:  City, State or ZIP Code</t>
        </r>
      </text>
    </comment>
    <comment ref="E69" authorId="2" shapeId="0" xr:uid="{00000000-0006-0000-0500-000020000000}">
      <text>
        <r>
          <rPr>
            <b/>
            <sz val="14"/>
            <color indexed="81"/>
            <rFont val="Tahoma"/>
            <family val="2"/>
          </rPr>
          <t xml:space="preserve">Please use only one port or a group of ports (Port groups must be defined in the Port Group Codes table).
Arbitrary construction can only occur with rate conditions which show these ports as the POL.
</t>
        </r>
        <r>
          <rPr>
            <b/>
            <i/>
            <sz val="14"/>
            <color indexed="81"/>
            <rFont val="Tahoma"/>
            <family val="2"/>
          </rPr>
          <t>All ports must be valid SEA ports.</t>
        </r>
      </text>
    </comment>
    <comment ref="F69" authorId="2" shapeId="0" xr:uid="{00000000-0006-0000-0500-000021000000}">
      <text>
        <r>
          <rPr>
            <b/>
            <sz val="14"/>
            <color indexed="81"/>
            <rFont val="Tahoma"/>
            <family val="2"/>
          </rPr>
          <t>Indicate the mode of transportation between the arbitrary place of receipt and arbitrary POL.
CY modes can only be used when the mode of transportation is by Feeder.
Use of CY mode requires both the locations to be valid SEA ports.</t>
        </r>
      </text>
    </comment>
    <comment ref="G69" authorId="2" shapeId="0" xr:uid="{00000000-0006-0000-0500-000022000000}">
      <text>
        <r>
          <rPr>
            <b/>
            <sz val="14"/>
            <color indexed="81"/>
            <rFont val="Tahoma"/>
            <family val="2"/>
          </rPr>
          <t>Indicate whether or not door service is included in the arbitrary rate</t>
        </r>
      </text>
    </comment>
    <comment ref="H69" authorId="2" shapeId="0" xr:uid="{00000000-0006-0000-0500-000023000000}">
      <text>
        <r>
          <rPr>
            <b/>
            <sz val="14"/>
            <color indexed="81"/>
            <rFont val="Tahoma"/>
            <family val="2"/>
          </rPr>
          <t>Input the rate in this field when the same amount applies for all container sizes</t>
        </r>
      </text>
    </comment>
    <comment ref="N69" authorId="2" shapeId="0" xr:uid="{00000000-0006-0000-0500-000024000000}">
      <text>
        <r>
          <rPr>
            <b/>
            <sz val="14"/>
            <color indexed="81"/>
            <rFont val="Tahoma"/>
            <family val="2"/>
          </rPr>
          <t>Each Arbitrary applies only to FAK / Bullets as specifically listed in this field.</t>
        </r>
      </text>
    </comment>
    <comment ref="B84" authorId="2" shapeId="0" xr:uid="{00000000-0006-0000-0500-000025000000}">
      <text>
        <r>
          <rPr>
            <b/>
            <sz val="14"/>
            <color indexed="81"/>
            <rFont val="Tahoma"/>
            <family val="2"/>
          </rPr>
          <t>Place of Destination - may be an outport for feeder (CY) arbitraries or an inland destination
Format is:  City, State or ZIP Code</t>
        </r>
      </text>
    </comment>
    <comment ref="E84" authorId="2" shapeId="0" xr:uid="{00000000-0006-0000-0500-000026000000}">
      <text>
        <r>
          <rPr>
            <b/>
            <sz val="14"/>
            <color indexed="81"/>
            <rFont val="Tahoma"/>
            <family val="2"/>
          </rPr>
          <t xml:space="preserve">Please use only one port or a group of ports (Port groups must be defined in the Port Group Codes table).
Arbitrary construction can only occur with rate conditions which show these ports as the POD.
</t>
        </r>
        <r>
          <rPr>
            <b/>
            <i/>
            <sz val="14"/>
            <color indexed="81"/>
            <rFont val="Tahoma"/>
            <family val="2"/>
          </rPr>
          <t>All ports must be valid SEA ports.</t>
        </r>
      </text>
    </comment>
    <comment ref="F84" authorId="2" shapeId="0" xr:uid="{00000000-0006-0000-0500-000027000000}">
      <text>
        <r>
          <rPr>
            <b/>
            <sz val="14"/>
            <color indexed="81"/>
            <rFont val="Tahoma"/>
            <family val="2"/>
          </rPr>
          <t>Indicate the mode of transportation between the arbitrary POD and arbitrary place of delivery.
CY modes can only be used when the mode of transportation is by Feeder.
Use of CY mode requires both the locations to be valid SEA ports.</t>
        </r>
      </text>
    </comment>
    <comment ref="G84" authorId="2" shapeId="0" xr:uid="{00000000-0006-0000-0500-000028000000}">
      <text>
        <r>
          <rPr>
            <b/>
            <sz val="14"/>
            <color indexed="81"/>
            <rFont val="Tahoma"/>
            <family val="2"/>
          </rPr>
          <t>Indicate whether or not door service is included in the arbitrary rate</t>
        </r>
      </text>
    </comment>
    <comment ref="H84" authorId="2" shapeId="0" xr:uid="{00000000-0006-0000-0500-000029000000}">
      <text>
        <r>
          <rPr>
            <b/>
            <sz val="14"/>
            <color indexed="81"/>
            <rFont val="Tahoma"/>
            <family val="2"/>
          </rPr>
          <t>Input the rate in this field when the same amount applies for all container sizes</t>
        </r>
      </text>
    </comment>
    <comment ref="N84" authorId="2" shapeId="0" xr:uid="{00000000-0006-0000-0500-00002A000000}">
      <text>
        <r>
          <rPr>
            <b/>
            <sz val="14"/>
            <color indexed="81"/>
            <rFont val="Tahoma"/>
            <family val="2"/>
          </rPr>
          <t>Each Arbitrary applies only to FAK / Bullets as specifically listed in this field.</t>
        </r>
      </text>
    </comment>
    <comment ref="L94" authorId="2" shapeId="0" xr:uid="{00000000-0006-0000-0500-00002B000000}">
      <text>
        <r>
          <rPr>
            <b/>
            <sz val="14"/>
            <color indexed="81"/>
            <rFont val="Tahoma"/>
            <family val="2"/>
          </rPr>
          <t>Surcharge applicability mentioned on any row applies specifically to the individual port mentioned in this field.
If the Applicable Port field is blank, then the  surcharge applicability stated on that row applies to all ports.</t>
        </r>
      </text>
    </comment>
    <comment ref="A178" authorId="2" shapeId="0" xr:uid="{00000000-0006-0000-0500-00002C000000}">
      <text>
        <r>
          <rPr>
            <sz val="12"/>
            <color indexed="81"/>
            <rFont val="Tahoma"/>
            <family val="2"/>
          </rPr>
          <t>Select the bullet for which the exception applies.
If exception applies to all bullets, select "ALL".</t>
        </r>
      </text>
    </comment>
    <comment ref="B178" authorId="2" shapeId="0" xr:uid="{00000000-0006-0000-0500-00002D000000}">
      <text>
        <r>
          <rPr>
            <sz val="12"/>
            <color indexed="81"/>
            <rFont val="Tahoma"/>
            <family val="2"/>
          </rPr>
          <t xml:space="preserve">Specify if Free Time condition applies to Export or Import:
</t>
        </r>
        <r>
          <rPr>
            <b/>
            <sz val="12"/>
            <color indexed="81"/>
            <rFont val="Tahoma"/>
            <family val="2"/>
          </rPr>
          <t xml:space="preserve">E </t>
        </r>
        <r>
          <rPr>
            <sz val="12"/>
            <color indexed="81"/>
            <rFont val="Tahoma"/>
            <family val="2"/>
          </rPr>
          <t xml:space="preserve">(Export) = applies at origin
</t>
        </r>
        <r>
          <rPr>
            <b/>
            <sz val="12"/>
            <color indexed="81"/>
            <rFont val="Tahoma"/>
            <family val="2"/>
          </rPr>
          <t xml:space="preserve">I </t>
        </r>
        <r>
          <rPr>
            <sz val="12"/>
            <color indexed="81"/>
            <rFont val="Tahoma"/>
            <family val="2"/>
          </rPr>
          <t>(Import) = applies at destination</t>
        </r>
      </text>
    </comment>
    <comment ref="C178" authorId="2" shapeId="0" xr:uid="{00000000-0006-0000-0500-00002E000000}">
      <text>
        <r>
          <rPr>
            <sz val="12"/>
            <color indexed="81"/>
            <rFont val="Tahoma"/>
            <family val="2"/>
          </rPr>
          <t>Enter Type of Free Time:</t>
        </r>
        <r>
          <rPr>
            <u/>
            <sz val="12"/>
            <color indexed="81"/>
            <rFont val="Tahoma"/>
            <family val="2"/>
          </rPr>
          <t xml:space="preserve">
</t>
        </r>
        <r>
          <rPr>
            <sz val="12"/>
            <color indexed="81"/>
            <rFont val="Tahoma"/>
            <family val="2"/>
          </rPr>
          <t xml:space="preserve">
</t>
        </r>
        <r>
          <rPr>
            <b/>
            <sz val="12"/>
            <color indexed="81"/>
            <rFont val="Tahoma"/>
            <family val="2"/>
          </rPr>
          <t>Detention
Demurrage
Merged</t>
        </r>
      </text>
    </comment>
    <comment ref="F178" authorId="2" shapeId="0" xr:uid="{00000000-0006-0000-0500-00002F000000}">
      <text>
        <r>
          <rPr>
            <sz val="12"/>
            <color indexed="81"/>
            <rFont val="Tahoma"/>
            <family val="2"/>
          </rPr>
          <t xml:space="preserve">Specify Equipment Type (blank field indicates applicability to all Eq Types):
</t>
        </r>
        <r>
          <rPr>
            <b/>
            <sz val="12"/>
            <color indexed="81"/>
            <rFont val="Tahoma"/>
            <family val="2"/>
          </rPr>
          <t>D</t>
        </r>
        <r>
          <rPr>
            <sz val="12"/>
            <color indexed="81"/>
            <rFont val="Tahoma"/>
            <family val="2"/>
          </rPr>
          <t xml:space="preserve"> = Dry
</t>
        </r>
        <r>
          <rPr>
            <b/>
            <sz val="12"/>
            <color indexed="81"/>
            <rFont val="Tahoma"/>
            <family val="2"/>
          </rPr>
          <t>R</t>
        </r>
        <r>
          <rPr>
            <sz val="12"/>
            <color indexed="81"/>
            <rFont val="Tahoma"/>
            <family val="2"/>
          </rPr>
          <t xml:space="preserve"> = Reefer
</t>
        </r>
        <r>
          <rPr>
            <b/>
            <sz val="12"/>
            <color indexed="81"/>
            <rFont val="Tahoma"/>
            <family val="2"/>
          </rPr>
          <t>OT</t>
        </r>
        <r>
          <rPr>
            <sz val="12"/>
            <color indexed="81"/>
            <rFont val="Tahoma"/>
            <family val="2"/>
          </rPr>
          <t xml:space="preserve"> = Open Top
</t>
        </r>
        <r>
          <rPr>
            <b/>
            <sz val="12"/>
            <color indexed="81"/>
            <rFont val="Tahoma"/>
            <family val="2"/>
          </rPr>
          <t>FR</t>
        </r>
        <r>
          <rPr>
            <sz val="12"/>
            <color indexed="81"/>
            <rFont val="Tahoma"/>
            <family val="2"/>
          </rPr>
          <t xml:space="preserve"> = Flat Rack</t>
        </r>
      </text>
    </comment>
    <comment ref="G178" authorId="2" shapeId="0" xr:uid="{00000000-0006-0000-0500-000030000000}">
      <text>
        <r>
          <rPr>
            <sz val="12"/>
            <color indexed="81"/>
            <rFont val="Tahoma"/>
            <family val="2"/>
          </rPr>
          <t>Select "OR" from the drop down list if condition applies to Operating Reefers</t>
        </r>
      </text>
    </comment>
    <comment ref="H178" authorId="2" shapeId="0" xr:uid="{00000000-0006-0000-0500-000031000000}">
      <text>
        <r>
          <rPr>
            <sz val="12"/>
            <color indexed="81"/>
            <rFont val="Tahoma"/>
            <family val="2"/>
          </rPr>
          <t xml:space="preserve">Specify the Place of Receipt if necessary.  </t>
        </r>
        <r>
          <rPr>
            <u/>
            <sz val="12"/>
            <color indexed="81"/>
            <rFont val="Tahoma"/>
            <family val="2"/>
          </rPr>
          <t>Do not</t>
        </r>
        <r>
          <rPr>
            <sz val="12"/>
            <color indexed="81"/>
            <rFont val="Tahoma"/>
            <family val="2"/>
          </rPr>
          <t xml:space="preserve"> use "ALL".
Only 1 location may be entered per row.</t>
        </r>
      </text>
    </comment>
    <comment ref="I178" authorId="2" shapeId="0" xr:uid="{00000000-0006-0000-0500-000032000000}">
      <text>
        <r>
          <rPr>
            <sz val="12"/>
            <color indexed="81"/>
            <rFont val="Tahoma"/>
            <family val="2"/>
          </rPr>
          <t xml:space="preserve">Enter the POL if necessary.  </t>
        </r>
        <r>
          <rPr>
            <u/>
            <sz val="12"/>
            <color indexed="81"/>
            <rFont val="Tahoma"/>
            <family val="2"/>
          </rPr>
          <t>Do not</t>
        </r>
        <r>
          <rPr>
            <sz val="12"/>
            <color indexed="81"/>
            <rFont val="Tahoma"/>
            <family val="2"/>
          </rPr>
          <t xml:space="preserve"> use "ALL".
Only 1 location is allowed per row and must be a valid seaport.</t>
        </r>
      </text>
    </comment>
    <comment ref="J178" authorId="2" shapeId="0" xr:uid="{00000000-0006-0000-0500-000033000000}">
      <text>
        <r>
          <rPr>
            <sz val="12"/>
            <color indexed="81"/>
            <rFont val="Tahoma"/>
            <family val="2"/>
          </rPr>
          <t xml:space="preserve">Enter the POD if necessary.  </t>
        </r>
        <r>
          <rPr>
            <u/>
            <sz val="12"/>
            <color indexed="81"/>
            <rFont val="Tahoma"/>
            <family val="2"/>
          </rPr>
          <t>Do not</t>
        </r>
        <r>
          <rPr>
            <sz val="12"/>
            <color indexed="81"/>
            <rFont val="Tahoma"/>
            <family val="2"/>
          </rPr>
          <t xml:space="preserve"> use "ALL".
Only 1 location is allowed per row and must be a valid seaport.</t>
        </r>
      </text>
    </comment>
    <comment ref="K178" authorId="2" shapeId="0" xr:uid="{00000000-0006-0000-0500-000034000000}">
      <text>
        <r>
          <rPr>
            <sz val="12"/>
            <color indexed="81"/>
            <rFont val="Tahoma"/>
            <family val="2"/>
          </rPr>
          <t xml:space="preserve">Specify the Place of Delivery if necessary.  </t>
        </r>
        <r>
          <rPr>
            <u/>
            <sz val="12"/>
            <color indexed="81"/>
            <rFont val="Tahoma"/>
            <family val="2"/>
          </rPr>
          <t>Do not</t>
        </r>
        <r>
          <rPr>
            <sz val="12"/>
            <color indexed="81"/>
            <rFont val="Tahoma"/>
            <family val="2"/>
          </rPr>
          <t xml:space="preserve"> use "ALL".
Only 1 location may be entered per row.</t>
        </r>
      </text>
    </comment>
    <comment ref="L178" authorId="3" shapeId="0" xr:uid="{BAAE1D0A-B654-4947-A1F1-9B7BE64E609D}">
      <text>
        <r>
          <rPr>
            <sz val="12"/>
            <color indexed="81"/>
            <rFont val="Tahoma"/>
            <family val="2"/>
          </rPr>
          <t xml:space="preserve">Enter the Country Code ONLY.  </t>
        </r>
        <r>
          <rPr>
            <u/>
            <sz val="12"/>
            <color indexed="81"/>
            <rFont val="Tahoma"/>
            <family val="2"/>
          </rPr>
          <t>Cannot</t>
        </r>
        <r>
          <rPr>
            <sz val="12"/>
            <color indexed="81"/>
            <rFont val="Tahoma"/>
            <family val="2"/>
          </rPr>
          <t xml:space="preserve"> use "ALL" or country name</t>
        </r>
      </text>
    </comment>
    <comment ref="M178" authorId="2" shapeId="0" xr:uid="{00000000-0006-0000-0500-000035000000}">
      <text>
        <r>
          <rPr>
            <sz val="12"/>
            <color indexed="81"/>
            <rFont val="Tahoma"/>
            <family val="2"/>
          </rPr>
          <t xml:space="preserve">Enter additional notes only when absolutely necessary.  
</t>
        </r>
        <r>
          <rPr>
            <u/>
            <sz val="12"/>
            <color indexed="81"/>
            <rFont val="Tahoma"/>
            <family val="2"/>
          </rPr>
          <t>IMPORTANT</t>
        </r>
        <r>
          <rPr>
            <sz val="12"/>
            <color indexed="81"/>
            <rFont val="Tahoma"/>
            <family val="2"/>
          </rPr>
          <t xml:space="preserve">:  Named accounts and specific commodities </t>
        </r>
        <r>
          <rPr>
            <b/>
            <u/>
            <sz val="12"/>
            <color indexed="81"/>
            <rFont val="Tahoma"/>
            <family val="2"/>
          </rPr>
          <t>may not</t>
        </r>
        <r>
          <rPr>
            <sz val="12"/>
            <color indexed="81"/>
            <rFont val="Tahoma"/>
            <family val="2"/>
          </rPr>
          <t xml:space="preserve"> be listed as Notes.</t>
        </r>
      </text>
    </comment>
    <comment ref="A191" authorId="2" shapeId="0" xr:uid="{00000000-0006-0000-0500-000036000000}">
      <text>
        <r>
          <rPr>
            <sz val="12"/>
            <color indexed="81"/>
            <rFont val="Tahoma"/>
            <family val="2"/>
          </rPr>
          <t>Select the bullet for which the exception applies.
If exception applies to all bullets, select "ALL".</t>
        </r>
      </text>
    </comment>
    <comment ref="B191" authorId="2" shapeId="0" xr:uid="{00000000-0006-0000-0500-000037000000}">
      <text>
        <r>
          <rPr>
            <sz val="12"/>
            <color indexed="81"/>
            <rFont val="Tahoma"/>
            <family val="2"/>
          </rPr>
          <t xml:space="preserve">Specify if Free Time condition applies to Export or Import:
</t>
        </r>
        <r>
          <rPr>
            <b/>
            <sz val="12"/>
            <color indexed="81"/>
            <rFont val="Tahoma"/>
            <family val="2"/>
          </rPr>
          <t xml:space="preserve">E </t>
        </r>
        <r>
          <rPr>
            <sz val="12"/>
            <color indexed="81"/>
            <rFont val="Tahoma"/>
            <family val="2"/>
          </rPr>
          <t xml:space="preserve">(Export) = applies at origin
</t>
        </r>
        <r>
          <rPr>
            <b/>
            <sz val="12"/>
            <color indexed="81"/>
            <rFont val="Tahoma"/>
            <family val="2"/>
          </rPr>
          <t xml:space="preserve">I </t>
        </r>
        <r>
          <rPr>
            <sz val="12"/>
            <color indexed="81"/>
            <rFont val="Tahoma"/>
            <family val="2"/>
          </rPr>
          <t>(Import) = applies at destination</t>
        </r>
      </text>
    </comment>
    <comment ref="C191" authorId="2" shapeId="0" xr:uid="{00000000-0006-0000-0500-000038000000}">
      <text>
        <r>
          <rPr>
            <sz val="12"/>
            <color indexed="81"/>
            <rFont val="Tahoma"/>
            <family val="2"/>
          </rPr>
          <t>Enter Type of Free Time:</t>
        </r>
        <r>
          <rPr>
            <u/>
            <sz val="12"/>
            <color indexed="81"/>
            <rFont val="Tahoma"/>
            <family val="2"/>
          </rPr>
          <t xml:space="preserve">
</t>
        </r>
        <r>
          <rPr>
            <sz val="12"/>
            <color indexed="81"/>
            <rFont val="Tahoma"/>
            <family val="2"/>
          </rPr>
          <t xml:space="preserve">
</t>
        </r>
        <r>
          <rPr>
            <b/>
            <sz val="12"/>
            <color indexed="81"/>
            <rFont val="Tahoma"/>
            <family val="2"/>
          </rPr>
          <t>Detention
Demurrage
Merged</t>
        </r>
      </text>
    </comment>
    <comment ref="F191" authorId="2" shapeId="0" xr:uid="{00000000-0006-0000-0500-000039000000}">
      <text>
        <r>
          <rPr>
            <sz val="12"/>
            <color indexed="81"/>
            <rFont val="Tahoma"/>
            <family val="2"/>
          </rPr>
          <t>If any exceptional charges are offered, then the currency is required to be shown.</t>
        </r>
      </text>
    </comment>
    <comment ref="W191" authorId="2" shapeId="0" xr:uid="{00000000-0006-0000-0500-00003A000000}">
      <text>
        <r>
          <rPr>
            <sz val="12"/>
            <color indexed="81"/>
            <rFont val="Tahoma"/>
            <family val="2"/>
          </rPr>
          <t xml:space="preserve">Specify Equipment Type (blank field indicates applicability to all Eq Types):
</t>
        </r>
        <r>
          <rPr>
            <b/>
            <sz val="12"/>
            <color indexed="81"/>
            <rFont val="Tahoma"/>
            <family val="2"/>
          </rPr>
          <t>D</t>
        </r>
        <r>
          <rPr>
            <sz val="12"/>
            <color indexed="81"/>
            <rFont val="Tahoma"/>
            <family val="2"/>
          </rPr>
          <t xml:space="preserve"> = Dry
</t>
        </r>
        <r>
          <rPr>
            <b/>
            <sz val="12"/>
            <color indexed="81"/>
            <rFont val="Tahoma"/>
            <family val="2"/>
          </rPr>
          <t>R</t>
        </r>
        <r>
          <rPr>
            <sz val="12"/>
            <color indexed="81"/>
            <rFont val="Tahoma"/>
            <family val="2"/>
          </rPr>
          <t xml:space="preserve"> = Reefer
</t>
        </r>
        <r>
          <rPr>
            <b/>
            <sz val="12"/>
            <color indexed="81"/>
            <rFont val="Tahoma"/>
            <family val="2"/>
          </rPr>
          <t>OT</t>
        </r>
        <r>
          <rPr>
            <sz val="12"/>
            <color indexed="81"/>
            <rFont val="Tahoma"/>
            <family val="2"/>
          </rPr>
          <t xml:space="preserve"> = Open Top
</t>
        </r>
        <r>
          <rPr>
            <b/>
            <sz val="12"/>
            <color indexed="81"/>
            <rFont val="Tahoma"/>
            <family val="2"/>
          </rPr>
          <t>FR</t>
        </r>
        <r>
          <rPr>
            <sz val="12"/>
            <color indexed="81"/>
            <rFont val="Tahoma"/>
            <family val="2"/>
          </rPr>
          <t xml:space="preserve"> = Flat Rack</t>
        </r>
      </text>
    </comment>
    <comment ref="X191" authorId="2" shapeId="0" xr:uid="{00000000-0006-0000-0500-00003B000000}">
      <text>
        <r>
          <rPr>
            <sz val="12"/>
            <color indexed="81"/>
            <rFont val="Tahoma"/>
            <family val="2"/>
          </rPr>
          <t>Select "OR" from the drop down list if condition applies to Operating Reefers</t>
        </r>
      </text>
    </comment>
    <comment ref="Y191" authorId="2" shapeId="0" xr:uid="{00000000-0006-0000-0500-00003C000000}">
      <text>
        <r>
          <rPr>
            <sz val="12"/>
            <color indexed="81"/>
            <rFont val="Tahoma"/>
            <family val="2"/>
          </rPr>
          <t xml:space="preserve">Specify the Place of Receipt if necessary.  </t>
        </r>
        <r>
          <rPr>
            <u/>
            <sz val="12"/>
            <color indexed="81"/>
            <rFont val="Tahoma"/>
            <family val="2"/>
          </rPr>
          <t>Do not</t>
        </r>
        <r>
          <rPr>
            <sz val="12"/>
            <color indexed="81"/>
            <rFont val="Tahoma"/>
            <family val="2"/>
          </rPr>
          <t xml:space="preserve"> use "ALL".
Only 1 location may be entered per row.</t>
        </r>
      </text>
    </comment>
    <comment ref="Z191" authorId="2" shapeId="0" xr:uid="{00000000-0006-0000-0500-00003D000000}">
      <text>
        <r>
          <rPr>
            <sz val="12"/>
            <color indexed="81"/>
            <rFont val="Tahoma"/>
            <family val="2"/>
          </rPr>
          <t xml:space="preserve">Enter the POL if necessary.  </t>
        </r>
        <r>
          <rPr>
            <u/>
            <sz val="12"/>
            <color indexed="81"/>
            <rFont val="Tahoma"/>
            <family val="2"/>
          </rPr>
          <t>Do not</t>
        </r>
        <r>
          <rPr>
            <sz val="12"/>
            <color indexed="81"/>
            <rFont val="Tahoma"/>
            <family val="2"/>
          </rPr>
          <t xml:space="preserve"> use "ALL".
Only 1 location is allowed per row and must be a valid seaport.</t>
        </r>
      </text>
    </comment>
    <comment ref="AA191" authorId="2" shapeId="0" xr:uid="{00000000-0006-0000-0500-00003E000000}">
      <text>
        <r>
          <rPr>
            <sz val="12"/>
            <color indexed="81"/>
            <rFont val="Tahoma"/>
            <family val="2"/>
          </rPr>
          <t xml:space="preserve">Enter the POD if necessary.  </t>
        </r>
        <r>
          <rPr>
            <u/>
            <sz val="12"/>
            <color indexed="81"/>
            <rFont val="Tahoma"/>
            <family val="2"/>
          </rPr>
          <t>Do not</t>
        </r>
        <r>
          <rPr>
            <sz val="12"/>
            <color indexed="81"/>
            <rFont val="Tahoma"/>
            <family val="2"/>
          </rPr>
          <t xml:space="preserve"> use "ALL".
Only 1 location is allowed per row and must be a valid seaport.</t>
        </r>
      </text>
    </comment>
    <comment ref="AB191" authorId="2" shapeId="0" xr:uid="{00000000-0006-0000-0500-00003F000000}">
      <text>
        <r>
          <rPr>
            <sz val="12"/>
            <color indexed="81"/>
            <rFont val="Tahoma"/>
            <family val="2"/>
          </rPr>
          <t xml:space="preserve">Specify the Place of Delivery if necessary.  </t>
        </r>
        <r>
          <rPr>
            <u/>
            <sz val="12"/>
            <color indexed="81"/>
            <rFont val="Tahoma"/>
            <family val="2"/>
          </rPr>
          <t>Do not</t>
        </r>
        <r>
          <rPr>
            <sz val="12"/>
            <color indexed="81"/>
            <rFont val="Tahoma"/>
            <family val="2"/>
          </rPr>
          <t xml:space="preserve"> use "ALL".
Only 1 location may be entered per row.</t>
        </r>
      </text>
    </comment>
    <comment ref="AC191" authorId="3" shapeId="0" xr:uid="{90A1E43C-48C6-41FB-98C9-1C6BE94AA882}">
      <text>
        <r>
          <rPr>
            <sz val="12"/>
            <color indexed="81"/>
            <rFont val="Tahoma"/>
            <family val="2"/>
          </rPr>
          <t xml:space="preserve">Enter the Country Code ONLY.  </t>
        </r>
        <r>
          <rPr>
            <u/>
            <sz val="12"/>
            <color indexed="81"/>
            <rFont val="Tahoma"/>
            <family val="2"/>
          </rPr>
          <t>Cannot</t>
        </r>
        <r>
          <rPr>
            <sz val="12"/>
            <color indexed="81"/>
            <rFont val="Tahoma"/>
            <family val="2"/>
          </rPr>
          <t xml:space="preserve"> use "ALL" or country name</t>
        </r>
      </text>
    </comment>
    <comment ref="AD191" authorId="2" shapeId="0" xr:uid="{00000000-0006-0000-0500-000040000000}">
      <text>
        <r>
          <rPr>
            <sz val="12"/>
            <color indexed="81"/>
            <rFont val="Tahoma"/>
            <family val="2"/>
          </rPr>
          <t xml:space="preserve">Enter additional notes only when absolutely necessary.  
</t>
        </r>
        <r>
          <rPr>
            <u/>
            <sz val="12"/>
            <color indexed="81"/>
            <rFont val="Tahoma"/>
            <family val="2"/>
          </rPr>
          <t>IMPORTANT</t>
        </r>
        <r>
          <rPr>
            <sz val="12"/>
            <color indexed="81"/>
            <rFont val="Tahoma"/>
            <family val="2"/>
          </rPr>
          <t xml:space="preserve">:  Named accounts and specific commodities </t>
        </r>
        <r>
          <rPr>
            <b/>
            <u/>
            <sz val="12"/>
            <color indexed="81"/>
            <rFont val="Tahoma"/>
            <family val="2"/>
          </rPr>
          <t>may not</t>
        </r>
        <r>
          <rPr>
            <sz val="12"/>
            <color indexed="81"/>
            <rFont val="Tahoma"/>
            <family val="2"/>
          </rPr>
          <t xml:space="preserve"> be listed as Notes.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ext.obouge</author>
    <author>William MALLOL</author>
    <author>usa.gewan</author>
    <author>GENDER Charlie - NOR</author>
  </authors>
  <commentList>
    <comment ref="B13" authorId="0" shapeId="0" xr:uid="{00000000-0006-0000-0600-000001000000}">
      <text>
        <r>
          <rPr>
            <b/>
            <sz val="12"/>
            <color indexed="81"/>
            <rFont val="Tahoma"/>
            <family val="2"/>
          </rPr>
          <t>Please use comma to separate commodities.</t>
        </r>
      </text>
    </comment>
    <comment ref="A20" authorId="1" shapeId="0" xr:uid="{00000000-0006-0000-0600-000002000000}">
      <text>
        <r>
          <rPr>
            <b/>
            <sz val="14"/>
            <color indexed="81"/>
            <rFont val="Tahoma"/>
            <family val="2"/>
          </rPr>
          <t>Port Group Codes can be used to group any two or more valid seaports that are common rated.
Port Group Codes cannot be used for inland locations.</t>
        </r>
      </text>
    </comment>
    <comment ref="B20" authorId="0" shapeId="0" xr:uid="{00000000-0006-0000-0600-000003000000}">
      <text>
        <r>
          <rPr>
            <b/>
            <sz val="14"/>
            <color indexed="81"/>
            <rFont val="Tahoma"/>
            <family val="2"/>
          </rPr>
          <t>Please use comma to separate ports.
Only valid sea ports may be included.</t>
        </r>
      </text>
    </comment>
    <comment ref="A35" authorId="1" shapeId="0" xr:uid="{00000000-0006-0000-0600-000004000000}">
      <text>
        <r>
          <rPr>
            <b/>
            <sz val="14"/>
            <color indexed="81"/>
            <rFont val="Tahoma"/>
            <family val="2"/>
          </rPr>
          <t>Please use FAK/ Bullets defined above.</t>
        </r>
      </text>
    </comment>
    <comment ref="B35" authorId="1" shapeId="0" xr:uid="{00000000-0006-0000-0600-000005000000}">
      <text>
        <r>
          <rPr>
            <b/>
            <sz val="14"/>
            <color indexed="81"/>
            <rFont val="Tahoma"/>
            <family val="2"/>
          </rPr>
          <t>City, State / ZIP Code</t>
        </r>
      </text>
    </comment>
    <comment ref="C35" authorId="1" shapeId="0" xr:uid="{00000000-0006-0000-0600-000006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D35" authorId="1" shapeId="0" xr:uid="{00000000-0006-0000-0600-000007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E35" authorId="1" shapeId="0" xr:uid="{00000000-0006-0000-0600-000008000000}">
      <text>
        <r>
          <rPr>
            <b/>
            <sz val="14"/>
            <color indexed="81"/>
            <rFont val="Tahoma"/>
            <family val="2"/>
          </rPr>
          <t>City, State / ZIP Code</t>
        </r>
      </text>
    </comment>
    <comment ref="F35" authorId="2" shapeId="0" xr:uid="{00000000-0006-0000-0600-000009000000}">
      <text>
        <r>
          <rPr>
            <b/>
            <sz val="14"/>
            <color indexed="81"/>
            <rFont val="Tahoma"/>
            <family val="2"/>
          </rPr>
          <t>Indicate the mode of transportation at origin and destination.
Mode cannot begin with CY if there is a location listed as place of receipt.
Mode cannot end with CY if there is a location is listed as place of delivery</t>
        </r>
      </text>
    </comment>
    <comment ref="G35" authorId="2" shapeId="0" xr:uid="{00000000-0006-0000-0600-00000A000000}">
      <text>
        <r>
          <rPr>
            <b/>
            <sz val="14"/>
            <color indexed="81"/>
            <rFont val="Tahoma"/>
            <family val="2"/>
          </rPr>
          <t>Indicate whether or not door service is included at origin and destination</t>
        </r>
      </text>
    </comment>
    <comment ref="M35" authorId="2" shapeId="0" xr:uid="{00000000-0006-0000-0600-00000B000000}">
      <text>
        <r>
          <rPr>
            <b/>
            <sz val="14"/>
            <color indexed="81"/>
            <rFont val="Tahoma"/>
            <family val="2"/>
          </rPr>
          <t>Use these columns for exceptions to surcharge applicability in note 2</t>
        </r>
      </text>
    </comment>
    <comment ref="AA35" authorId="2" shapeId="0" xr:uid="{00000000-0006-0000-0600-00000C000000}">
      <text>
        <r>
          <rPr>
            <b/>
            <sz val="14"/>
            <color indexed="81"/>
            <rFont val="Tahoma"/>
            <family val="2"/>
          </rPr>
          <t>This field controls construction using Arbitraries and Inland Tariffs
Y = allowed in US, N = not allowed in US, 
E = allowed at origin, I = allowed at destination,
B = allowed at both origin and destination
X = not allowed at either origin or destination</t>
        </r>
      </text>
    </comment>
    <comment ref="A44" authorId="1" shapeId="0" xr:uid="{00000000-0006-0000-0600-00000D000000}">
      <text>
        <r>
          <rPr>
            <b/>
            <sz val="14"/>
            <color indexed="81"/>
            <rFont val="Tahoma"/>
            <family val="2"/>
          </rPr>
          <t>Please use FAK/ Bullets defined above.</t>
        </r>
      </text>
    </comment>
    <comment ref="B44" authorId="1" shapeId="0" xr:uid="{00000000-0006-0000-0600-00000E000000}">
      <text>
        <r>
          <rPr>
            <b/>
            <sz val="14"/>
            <color indexed="81"/>
            <rFont val="Tahoma"/>
            <family val="2"/>
          </rPr>
          <t>City, State / ZIP Code</t>
        </r>
      </text>
    </comment>
    <comment ref="C44" authorId="1" shapeId="0" xr:uid="{00000000-0006-0000-0600-00000F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D44" authorId="1" shapeId="0" xr:uid="{00000000-0006-0000-0600-000010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E44" authorId="1" shapeId="0" xr:uid="{00000000-0006-0000-0600-000011000000}">
      <text>
        <r>
          <rPr>
            <b/>
            <sz val="14"/>
            <color indexed="81"/>
            <rFont val="Tahoma"/>
            <family val="2"/>
          </rPr>
          <t>City, State / ZIP Code</t>
        </r>
      </text>
    </comment>
    <comment ref="F44" authorId="2" shapeId="0" xr:uid="{00000000-0006-0000-0600-000012000000}">
      <text>
        <r>
          <rPr>
            <b/>
            <sz val="14"/>
            <color indexed="81"/>
            <rFont val="Tahoma"/>
            <family val="2"/>
          </rPr>
          <t>Indicate the mode of transportation at origin and destination.
Mode cannot begin with CY if there is a location listed as place of receipt.
Mode cannot end with CY if there is a location is listed as place of delivery</t>
        </r>
      </text>
    </comment>
    <comment ref="G44" authorId="2" shapeId="0" xr:uid="{00000000-0006-0000-0600-000013000000}">
      <text>
        <r>
          <rPr>
            <b/>
            <sz val="14"/>
            <color indexed="81"/>
            <rFont val="Tahoma"/>
            <family val="2"/>
          </rPr>
          <t>Indicate whether or not door service is included at origin and destination</t>
        </r>
      </text>
    </comment>
    <comment ref="O44" authorId="2" shapeId="0" xr:uid="{00000000-0006-0000-0600-000014000000}">
      <text>
        <r>
          <rPr>
            <b/>
            <sz val="14"/>
            <color indexed="81"/>
            <rFont val="Tahoma"/>
            <family val="2"/>
          </rPr>
          <t>Use these columns for exceptions to surcharge applicability in note 2</t>
        </r>
      </text>
    </comment>
    <comment ref="AA44" authorId="2" shapeId="0" xr:uid="{00000000-0006-0000-0600-000015000000}">
      <text>
        <r>
          <rPr>
            <b/>
            <sz val="14"/>
            <color indexed="81"/>
            <rFont val="Tahoma"/>
            <family val="2"/>
          </rPr>
          <t>This field controls construction using Arbitraries and Inland Tariffs
Y = allowed in US, N = not allowed in US, 
E = allowed at origin, I = allowed at destination,
B = allowed at both origin and destination
X = not allowed at either origin or destination</t>
        </r>
      </text>
    </comment>
    <comment ref="A53" authorId="1" shapeId="0" xr:uid="{00000000-0006-0000-0600-000016000000}">
      <text>
        <r>
          <rPr>
            <b/>
            <sz val="14"/>
            <color indexed="81"/>
            <rFont val="Tahoma"/>
            <family val="2"/>
          </rPr>
          <t>Please use FAK/ Bullets defined above.</t>
        </r>
      </text>
    </comment>
    <comment ref="B53" authorId="1" shapeId="0" xr:uid="{00000000-0006-0000-0600-000017000000}">
      <text>
        <r>
          <rPr>
            <b/>
            <sz val="14"/>
            <color indexed="81"/>
            <rFont val="Tahoma"/>
            <family val="2"/>
          </rPr>
          <t>City, State / ZIP Code</t>
        </r>
      </text>
    </comment>
    <comment ref="C53" authorId="1" shapeId="0" xr:uid="{00000000-0006-0000-0600-000018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D53" authorId="1" shapeId="0" xr:uid="{00000000-0006-0000-0600-000019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E53" authorId="1" shapeId="0" xr:uid="{00000000-0006-0000-0600-00001A000000}">
      <text>
        <r>
          <rPr>
            <b/>
            <sz val="14"/>
            <color indexed="81"/>
            <rFont val="Tahoma"/>
            <family val="2"/>
          </rPr>
          <t>City, State / ZIP Code</t>
        </r>
      </text>
    </comment>
    <comment ref="F53" authorId="2" shapeId="0" xr:uid="{00000000-0006-0000-0600-00001B000000}">
      <text>
        <r>
          <rPr>
            <b/>
            <sz val="14"/>
            <color indexed="81"/>
            <rFont val="Tahoma"/>
            <family val="2"/>
          </rPr>
          <t>Indicate the mode of transportation at origin and destination.
Mode cannot begin with CY if there is a location listed as place of receipt.
Mode cannot end with CY if there is a location is listed as place of delivery</t>
        </r>
      </text>
    </comment>
    <comment ref="G53" authorId="2" shapeId="0" xr:uid="{00000000-0006-0000-0600-00001C000000}">
      <text>
        <r>
          <rPr>
            <b/>
            <sz val="14"/>
            <color indexed="81"/>
            <rFont val="Tahoma"/>
            <family val="2"/>
          </rPr>
          <t>Indicate whether or not door service is included at origin and destination</t>
        </r>
      </text>
    </comment>
    <comment ref="Q53" authorId="2" shapeId="0" xr:uid="{00000000-0006-0000-0600-00001D000000}">
      <text>
        <r>
          <rPr>
            <b/>
            <sz val="14"/>
            <color indexed="81"/>
            <rFont val="Tahoma"/>
            <family val="2"/>
          </rPr>
          <t>Use these columns for exceptions to surcharge applicability in note 2</t>
        </r>
      </text>
    </comment>
    <comment ref="AC53" authorId="2" shapeId="0" xr:uid="{00000000-0006-0000-0600-00001E000000}">
      <text>
        <r>
          <rPr>
            <b/>
            <sz val="14"/>
            <color indexed="81"/>
            <rFont val="Tahoma"/>
            <family val="2"/>
          </rPr>
          <t>This field controls construction using Arbitraries and Inland Tariffs
Y = allowed in US, N = not allowed in US, 
E = allowed at origin, I = allowed at destination,
B = allowed at both origin and destination
X = not allowed at either origin or destination</t>
        </r>
      </text>
    </comment>
    <comment ref="B70" authorId="2" shapeId="0" xr:uid="{00000000-0006-0000-0600-00001F000000}">
      <text>
        <r>
          <rPr>
            <b/>
            <sz val="14"/>
            <color indexed="81"/>
            <rFont val="Tahoma"/>
            <family val="2"/>
          </rPr>
          <t>Place of Origin - may be an outport for feeder (CY) arbitraries or an inland origin
Format is:  City, State or ZIP Code</t>
        </r>
      </text>
    </comment>
    <comment ref="E70" authorId="2" shapeId="0" xr:uid="{00000000-0006-0000-0600-000020000000}">
      <text>
        <r>
          <rPr>
            <b/>
            <sz val="14"/>
            <color indexed="81"/>
            <rFont val="Tahoma"/>
            <family val="2"/>
          </rPr>
          <t xml:space="preserve">Please use only one port or a group of ports (Port groups must be defined in the Port Group Codes table).
Arbitrary construction can only occur with rate conditions which show these ports as the POL.
</t>
        </r>
        <r>
          <rPr>
            <b/>
            <i/>
            <sz val="14"/>
            <color indexed="81"/>
            <rFont val="Tahoma"/>
            <family val="2"/>
          </rPr>
          <t>All ports must be valid SEA ports.</t>
        </r>
      </text>
    </comment>
    <comment ref="F70" authorId="2" shapeId="0" xr:uid="{00000000-0006-0000-0600-000021000000}">
      <text>
        <r>
          <rPr>
            <b/>
            <sz val="14"/>
            <color indexed="81"/>
            <rFont val="Tahoma"/>
            <family val="2"/>
          </rPr>
          <t>Indicate the mode of transportation between the arbitrary place of receipt and arbitrary POL.
CY modes can only be used when the mode of transportation is by Feeder.
Use of CY mode requires both the locations to be valid SEA ports.</t>
        </r>
      </text>
    </comment>
    <comment ref="G70" authorId="2" shapeId="0" xr:uid="{00000000-0006-0000-0600-000022000000}">
      <text>
        <r>
          <rPr>
            <b/>
            <sz val="14"/>
            <color indexed="81"/>
            <rFont val="Tahoma"/>
            <family val="2"/>
          </rPr>
          <t>Indicate whether or not door service is included in the arbitrary rate</t>
        </r>
      </text>
    </comment>
    <comment ref="H70" authorId="2" shapeId="0" xr:uid="{00000000-0006-0000-0600-000023000000}">
      <text>
        <r>
          <rPr>
            <b/>
            <sz val="14"/>
            <color indexed="81"/>
            <rFont val="Tahoma"/>
            <family val="2"/>
          </rPr>
          <t>Input the rate in this field when the same amount applies for all container sizes</t>
        </r>
      </text>
    </comment>
    <comment ref="N70" authorId="2" shapeId="0" xr:uid="{00000000-0006-0000-0600-000024000000}">
      <text>
        <r>
          <rPr>
            <b/>
            <sz val="14"/>
            <color indexed="81"/>
            <rFont val="Tahoma"/>
            <family val="2"/>
          </rPr>
          <t>Each Arbitrary applies only to FAK / Bullets as specifically listed in this field.</t>
        </r>
      </text>
    </comment>
    <comment ref="B85" authorId="2" shapeId="0" xr:uid="{00000000-0006-0000-0600-000025000000}">
      <text>
        <r>
          <rPr>
            <b/>
            <sz val="14"/>
            <color indexed="81"/>
            <rFont val="Tahoma"/>
            <family val="2"/>
          </rPr>
          <t>Place of Destination - may be an outport for feeder (CY) arbitraries or an inland destination
Format is:  City, State or ZIP Code</t>
        </r>
      </text>
    </comment>
    <comment ref="E85" authorId="2" shapeId="0" xr:uid="{00000000-0006-0000-0600-000026000000}">
      <text>
        <r>
          <rPr>
            <b/>
            <sz val="14"/>
            <color indexed="81"/>
            <rFont val="Tahoma"/>
            <family val="2"/>
          </rPr>
          <t xml:space="preserve">Please use only one port or a group of ports (Port groups must be defined in the Port Group Codes table).
Arbitrary construction can only occur with rate conditions which show these ports as the POD.
</t>
        </r>
        <r>
          <rPr>
            <b/>
            <i/>
            <sz val="14"/>
            <color indexed="81"/>
            <rFont val="Tahoma"/>
            <family val="2"/>
          </rPr>
          <t>All ports must be valid SEA ports.</t>
        </r>
      </text>
    </comment>
    <comment ref="F85" authorId="2" shapeId="0" xr:uid="{00000000-0006-0000-0600-000027000000}">
      <text>
        <r>
          <rPr>
            <b/>
            <sz val="14"/>
            <color indexed="81"/>
            <rFont val="Tahoma"/>
            <family val="2"/>
          </rPr>
          <t>Indicate the mode of transportation between the arbitrary POD and arbitrary place of delivery.
CY modes can only be used when the mode of transportation is by Feeder.
Use of CY mode requires both the locations to be valid SEA ports.</t>
        </r>
      </text>
    </comment>
    <comment ref="G85" authorId="2" shapeId="0" xr:uid="{00000000-0006-0000-0600-000028000000}">
      <text>
        <r>
          <rPr>
            <b/>
            <sz val="14"/>
            <color indexed="81"/>
            <rFont val="Tahoma"/>
            <family val="2"/>
          </rPr>
          <t>Indicate whether or not door service is included in the arbitrary rate</t>
        </r>
      </text>
    </comment>
    <comment ref="H85" authorId="2" shapeId="0" xr:uid="{00000000-0006-0000-0600-000029000000}">
      <text>
        <r>
          <rPr>
            <b/>
            <sz val="14"/>
            <color indexed="81"/>
            <rFont val="Tahoma"/>
            <family val="2"/>
          </rPr>
          <t>Input the rate in this field when the same amount applies for all container sizes</t>
        </r>
      </text>
    </comment>
    <comment ref="N85" authorId="2" shapeId="0" xr:uid="{00000000-0006-0000-0600-00002A000000}">
      <text>
        <r>
          <rPr>
            <b/>
            <sz val="14"/>
            <color indexed="81"/>
            <rFont val="Tahoma"/>
            <family val="2"/>
          </rPr>
          <t>Each Arbitrary applies only to FAK / Bullets as specifically listed in this field.</t>
        </r>
      </text>
    </comment>
    <comment ref="L95" authorId="2" shapeId="0" xr:uid="{00000000-0006-0000-0600-00002B000000}">
      <text>
        <r>
          <rPr>
            <b/>
            <sz val="14"/>
            <color indexed="81"/>
            <rFont val="Tahoma"/>
            <family val="2"/>
          </rPr>
          <t>Surcharge applicability mentioned on any row applies specifically to the individual port mentioned in this field.
If the Applicable Port field is blank, then the  surcharge applicability stated on that row applies to all ports.</t>
        </r>
      </text>
    </comment>
    <comment ref="A184" authorId="2" shapeId="0" xr:uid="{00000000-0006-0000-0600-00002C000000}">
      <text>
        <r>
          <rPr>
            <sz val="12"/>
            <color indexed="81"/>
            <rFont val="Tahoma"/>
            <family val="2"/>
          </rPr>
          <t>Select the bullet for which the exception applies.
If exception applies to all bullets, select "ALL".</t>
        </r>
      </text>
    </comment>
    <comment ref="B184" authorId="2" shapeId="0" xr:uid="{00000000-0006-0000-0600-00002D000000}">
      <text>
        <r>
          <rPr>
            <sz val="12"/>
            <color indexed="81"/>
            <rFont val="Tahoma"/>
            <family val="2"/>
          </rPr>
          <t xml:space="preserve">Specify if Free Time condition applies to Export or Import:
</t>
        </r>
        <r>
          <rPr>
            <b/>
            <sz val="12"/>
            <color indexed="81"/>
            <rFont val="Tahoma"/>
            <family val="2"/>
          </rPr>
          <t xml:space="preserve">E </t>
        </r>
        <r>
          <rPr>
            <sz val="12"/>
            <color indexed="81"/>
            <rFont val="Tahoma"/>
            <family val="2"/>
          </rPr>
          <t xml:space="preserve">(Export) = applies at origin
</t>
        </r>
        <r>
          <rPr>
            <b/>
            <sz val="12"/>
            <color indexed="81"/>
            <rFont val="Tahoma"/>
            <family val="2"/>
          </rPr>
          <t xml:space="preserve">I </t>
        </r>
        <r>
          <rPr>
            <sz val="12"/>
            <color indexed="81"/>
            <rFont val="Tahoma"/>
            <family val="2"/>
          </rPr>
          <t>(Import) = applies at destination</t>
        </r>
      </text>
    </comment>
    <comment ref="C184" authorId="2" shapeId="0" xr:uid="{00000000-0006-0000-0600-00002E000000}">
      <text>
        <r>
          <rPr>
            <sz val="12"/>
            <color indexed="81"/>
            <rFont val="Tahoma"/>
            <family val="2"/>
          </rPr>
          <t>Enter Type of Free Time:</t>
        </r>
        <r>
          <rPr>
            <u/>
            <sz val="12"/>
            <color indexed="81"/>
            <rFont val="Tahoma"/>
            <family val="2"/>
          </rPr>
          <t xml:space="preserve">
</t>
        </r>
        <r>
          <rPr>
            <sz val="12"/>
            <color indexed="81"/>
            <rFont val="Tahoma"/>
            <family val="2"/>
          </rPr>
          <t xml:space="preserve">
</t>
        </r>
        <r>
          <rPr>
            <b/>
            <sz val="12"/>
            <color indexed="81"/>
            <rFont val="Tahoma"/>
            <family val="2"/>
          </rPr>
          <t>Detention
Demurrage
Merged</t>
        </r>
      </text>
    </comment>
    <comment ref="F184" authorId="2" shapeId="0" xr:uid="{00000000-0006-0000-0600-00002F000000}">
      <text>
        <r>
          <rPr>
            <sz val="12"/>
            <color indexed="81"/>
            <rFont val="Tahoma"/>
            <family val="2"/>
          </rPr>
          <t xml:space="preserve">Specify Equipment Type (blank field indicates applicability to all Eq Types):
</t>
        </r>
        <r>
          <rPr>
            <b/>
            <sz val="12"/>
            <color indexed="81"/>
            <rFont val="Tahoma"/>
            <family val="2"/>
          </rPr>
          <t>D</t>
        </r>
        <r>
          <rPr>
            <sz val="12"/>
            <color indexed="81"/>
            <rFont val="Tahoma"/>
            <family val="2"/>
          </rPr>
          <t xml:space="preserve"> = Dry
</t>
        </r>
        <r>
          <rPr>
            <b/>
            <sz val="12"/>
            <color indexed="81"/>
            <rFont val="Tahoma"/>
            <family val="2"/>
          </rPr>
          <t>R</t>
        </r>
        <r>
          <rPr>
            <sz val="12"/>
            <color indexed="81"/>
            <rFont val="Tahoma"/>
            <family val="2"/>
          </rPr>
          <t xml:space="preserve"> = Reefer
</t>
        </r>
        <r>
          <rPr>
            <b/>
            <sz val="12"/>
            <color indexed="81"/>
            <rFont val="Tahoma"/>
            <family val="2"/>
          </rPr>
          <t>OT</t>
        </r>
        <r>
          <rPr>
            <sz val="12"/>
            <color indexed="81"/>
            <rFont val="Tahoma"/>
            <family val="2"/>
          </rPr>
          <t xml:space="preserve"> = Open Top
</t>
        </r>
        <r>
          <rPr>
            <b/>
            <sz val="12"/>
            <color indexed="81"/>
            <rFont val="Tahoma"/>
            <family val="2"/>
          </rPr>
          <t>FR</t>
        </r>
        <r>
          <rPr>
            <sz val="12"/>
            <color indexed="81"/>
            <rFont val="Tahoma"/>
            <family val="2"/>
          </rPr>
          <t xml:space="preserve"> = Flat Rack</t>
        </r>
      </text>
    </comment>
    <comment ref="G184" authorId="2" shapeId="0" xr:uid="{00000000-0006-0000-0600-000030000000}">
      <text>
        <r>
          <rPr>
            <sz val="12"/>
            <color indexed="81"/>
            <rFont val="Tahoma"/>
            <family val="2"/>
          </rPr>
          <t>Select "OR" from the drop down list if condition applies to Operating Reefers</t>
        </r>
      </text>
    </comment>
    <comment ref="H184" authorId="2" shapeId="0" xr:uid="{00000000-0006-0000-0600-000031000000}">
      <text>
        <r>
          <rPr>
            <sz val="12"/>
            <color indexed="81"/>
            <rFont val="Tahoma"/>
            <family val="2"/>
          </rPr>
          <t xml:space="preserve">Specify the Place of Receipt if necessary.  </t>
        </r>
        <r>
          <rPr>
            <u/>
            <sz val="12"/>
            <color indexed="81"/>
            <rFont val="Tahoma"/>
            <family val="2"/>
          </rPr>
          <t>Do not</t>
        </r>
        <r>
          <rPr>
            <sz val="12"/>
            <color indexed="81"/>
            <rFont val="Tahoma"/>
            <family val="2"/>
          </rPr>
          <t xml:space="preserve"> use "ALL".
Only 1 location may be entered per row.</t>
        </r>
      </text>
    </comment>
    <comment ref="I184" authorId="2" shapeId="0" xr:uid="{00000000-0006-0000-0600-000032000000}">
      <text>
        <r>
          <rPr>
            <sz val="12"/>
            <color indexed="81"/>
            <rFont val="Tahoma"/>
            <family val="2"/>
          </rPr>
          <t xml:space="preserve">Enter the POL if necessary.  </t>
        </r>
        <r>
          <rPr>
            <u/>
            <sz val="12"/>
            <color indexed="81"/>
            <rFont val="Tahoma"/>
            <family val="2"/>
          </rPr>
          <t>Do not</t>
        </r>
        <r>
          <rPr>
            <sz val="12"/>
            <color indexed="81"/>
            <rFont val="Tahoma"/>
            <family val="2"/>
          </rPr>
          <t xml:space="preserve"> use "ALL".
Only 1 location is allowed per row and must be a valid seaport.</t>
        </r>
      </text>
    </comment>
    <comment ref="J184" authorId="2" shapeId="0" xr:uid="{00000000-0006-0000-0600-000033000000}">
      <text>
        <r>
          <rPr>
            <sz val="12"/>
            <color indexed="81"/>
            <rFont val="Tahoma"/>
            <family val="2"/>
          </rPr>
          <t xml:space="preserve">Enter the POD if necessary.  </t>
        </r>
        <r>
          <rPr>
            <u/>
            <sz val="12"/>
            <color indexed="81"/>
            <rFont val="Tahoma"/>
            <family val="2"/>
          </rPr>
          <t>Do not</t>
        </r>
        <r>
          <rPr>
            <sz val="12"/>
            <color indexed="81"/>
            <rFont val="Tahoma"/>
            <family val="2"/>
          </rPr>
          <t xml:space="preserve"> use "ALL".
Only 1 location is allowed per row and must be a valid seaport.</t>
        </r>
      </text>
    </comment>
    <comment ref="K184" authorId="2" shapeId="0" xr:uid="{00000000-0006-0000-0600-000034000000}">
      <text>
        <r>
          <rPr>
            <sz val="12"/>
            <color indexed="81"/>
            <rFont val="Tahoma"/>
            <family val="2"/>
          </rPr>
          <t xml:space="preserve">Specify the Place of Delivery if necessary.  </t>
        </r>
        <r>
          <rPr>
            <u/>
            <sz val="12"/>
            <color indexed="81"/>
            <rFont val="Tahoma"/>
            <family val="2"/>
          </rPr>
          <t>Do not</t>
        </r>
        <r>
          <rPr>
            <sz val="12"/>
            <color indexed="81"/>
            <rFont val="Tahoma"/>
            <family val="2"/>
          </rPr>
          <t xml:space="preserve"> use "ALL".
Only 1 location may be entered per row.</t>
        </r>
      </text>
    </comment>
    <comment ref="L184" authorId="3" shapeId="0" xr:uid="{64F68281-28A0-4CBB-9A8A-282768233B0C}">
      <text>
        <r>
          <rPr>
            <sz val="12"/>
            <color indexed="81"/>
            <rFont val="Tahoma"/>
            <family val="2"/>
          </rPr>
          <t xml:space="preserve">Enter the Country Code ONLY.  </t>
        </r>
        <r>
          <rPr>
            <u/>
            <sz val="12"/>
            <color indexed="81"/>
            <rFont val="Tahoma"/>
            <family val="2"/>
          </rPr>
          <t>Cannot</t>
        </r>
        <r>
          <rPr>
            <sz val="12"/>
            <color indexed="81"/>
            <rFont val="Tahoma"/>
            <family val="2"/>
          </rPr>
          <t xml:space="preserve"> use "ALL" or country name</t>
        </r>
      </text>
    </comment>
    <comment ref="M184" authorId="2" shapeId="0" xr:uid="{00000000-0006-0000-0600-000035000000}">
      <text>
        <r>
          <rPr>
            <sz val="12"/>
            <color indexed="81"/>
            <rFont val="Tahoma"/>
            <family val="2"/>
          </rPr>
          <t xml:space="preserve">Enter additional notes only when absolutely necessary.  
</t>
        </r>
        <r>
          <rPr>
            <u/>
            <sz val="12"/>
            <color indexed="81"/>
            <rFont val="Tahoma"/>
            <family val="2"/>
          </rPr>
          <t>IMPORTANT</t>
        </r>
        <r>
          <rPr>
            <sz val="12"/>
            <color indexed="81"/>
            <rFont val="Tahoma"/>
            <family val="2"/>
          </rPr>
          <t xml:space="preserve">:  Named accounts and specific commodities </t>
        </r>
        <r>
          <rPr>
            <b/>
            <u/>
            <sz val="12"/>
            <color indexed="81"/>
            <rFont val="Tahoma"/>
            <family val="2"/>
          </rPr>
          <t>may not</t>
        </r>
        <r>
          <rPr>
            <sz val="12"/>
            <color indexed="81"/>
            <rFont val="Tahoma"/>
            <family val="2"/>
          </rPr>
          <t xml:space="preserve"> be listed as Notes.</t>
        </r>
      </text>
    </comment>
    <comment ref="A197" authorId="2" shapeId="0" xr:uid="{5C52061E-430C-4964-A61B-C94012228BFC}">
      <text>
        <r>
          <rPr>
            <sz val="12"/>
            <color indexed="81"/>
            <rFont val="Tahoma"/>
            <family val="2"/>
          </rPr>
          <t>Select the bullet for which the exception applies.
If exception applies to all bullets, select "ALL".</t>
        </r>
      </text>
    </comment>
    <comment ref="B197" authorId="2" shapeId="0" xr:uid="{33EE3B51-69DD-44C7-AF47-190C6F918282}">
      <text>
        <r>
          <rPr>
            <sz val="12"/>
            <color indexed="81"/>
            <rFont val="Tahoma"/>
            <family val="2"/>
          </rPr>
          <t xml:space="preserve">Specify if Free Time condition applies to Export or Import:
</t>
        </r>
        <r>
          <rPr>
            <b/>
            <sz val="12"/>
            <color indexed="81"/>
            <rFont val="Tahoma"/>
            <family val="2"/>
          </rPr>
          <t xml:space="preserve">E </t>
        </r>
        <r>
          <rPr>
            <sz val="12"/>
            <color indexed="81"/>
            <rFont val="Tahoma"/>
            <family val="2"/>
          </rPr>
          <t xml:space="preserve">(Export) = applies at origin
</t>
        </r>
        <r>
          <rPr>
            <b/>
            <sz val="12"/>
            <color indexed="81"/>
            <rFont val="Tahoma"/>
            <family val="2"/>
          </rPr>
          <t xml:space="preserve">I </t>
        </r>
        <r>
          <rPr>
            <sz val="12"/>
            <color indexed="81"/>
            <rFont val="Tahoma"/>
            <family val="2"/>
          </rPr>
          <t>(Import) = applies at destination</t>
        </r>
      </text>
    </comment>
    <comment ref="C197" authorId="2" shapeId="0" xr:uid="{4EAB7894-F23E-4D2E-BB95-B8D42372FF14}">
      <text>
        <r>
          <rPr>
            <sz val="12"/>
            <color indexed="81"/>
            <rFont val="Tahoma"/>
            <family val="2"/>
          </rPr>
          <t>Enter Type of Free Time:</t>
        </r>
        <r>
          <rPr>
            <u/>
            <sz val="12"/>
            <color indexed="81"/>
            <rFont val="Tahoma"/>
            <family val="2"/>
          </rPr>
          <t xml:space="preserve">
</t>
        </r>
        <r>
          <rPr>
            <sz val="12"/>
            <color indexed="81"/>
            <rFont val="Tahoma"/>
            <family val="2"/>
          </rPr>
          <t xml:space="preserve">
</t>
        </r>
        <r>
          <rPr>
            <b/>
            <sz val="12"/>
            <color indexed="81"/>
            <rFont val="Tahoma"/>
            <family val="2"/>
          </rPr>
          <t>Detention
Demurrage
Merged</t>
        </r>
      </text>
    </comment>
    <comment ref="F197" authorId="2" shapeId="0" xr:uid="{4C523A34-ED86-4879-8A68-B9D6E9EF3A7C}">
      <text>
        <r>
          <rPr>
            <sz val="12"/>
            <color indexed="81"/>
            <rFont val="Tahoma"/>
            <family val="2"/>
          </rPr>
          <t>If any exceptional charges are offered, then the currency is required to be shown.</t>
        </r>
      </text>
    </comment>
    <comment ref="W197" authorId="2" shapeId="0" xr:uid="{65DD70A4-7DEE-4798-9667-E9B6FC026E9E}">
      <text>
        <r>
          <rPr>
            <sz val="12"/>
            <color indexed="81"/>
            <rFont val="Tahoma"/>
            <family val="2"/>
          </rPr>
          <t xml:space="preserve">Specify Equipment Type (blank field indicates applicability to all Eq Types):
</t>
        </r>
        <r>
          <rPr>
            <b/>
            <sz val="12"/>
            <color indexed="81"/>
            <rFont val="Tahoma"/>
            <family val="2"/>
          </rPr>
          <t>D</t>
        </r>
        <r>
          <rPr>
            <sz val="12"/>
            <color indexed="81"/>
            <rFont val="Tahoma"/>
            <family val="2"/>
          </rPr>
          <t xml:space="preserve"> = Dry
</t>
        </r>
        <r>
          <rPr>
            <b/>
            <sz val="12"/>
            <color indexed="81"/>
            <rFont val="Tahoma"/>
            <family val="2"/>
          </rPr>
          <t>R</t>
        </r>
        <r>
          <rPr>
            <sz val="12"/>
            <color indexed="81"/>
            <rFont val="Tahoma"/>
            <family val="2"/>
          </rPr>
          <t xml:space="preserve"> = Reefer
</t>
        </r>
        <r>
          <rPr>
            <b/>
            <sz val="12"/>
            <color indexed="81"/>
            <rFont val="Tahoma"/>
            <family val="2"/>
          </rPr>
          <t>OT</t>
        </r>
        <r>
          <rPr>
            <sz val="12"/>
            <color indexed="81"/>
            <rFont val="Tahoma"/>
            <family val="2"/>
          </rPr>
          <t xml:space="preserve"> = Open Top
</t>
        </r>
        <r>
          <rPr>
            <b/>
            <sz val="12"/>
            <color indexed="81"/>
            <rFont val="Tahoma"/>
            <family val="2"/>
          </rPr>
          <t>FR</t>
        </r>
        <r>
          <rPr>
            <sz val="12"/>
            <color indexed="81"/>
            <rFont val="Tahoma"/>
            <family val="2"/>
          </rPr>
          <t xml:space="preserve"> = Flat Rack</t>
        </r>
      </text>
    </comment>
    <comment ref="X197" authorId="2" shapeId="0" xr:uid="{C715AD63-B033-43A2-916E-27F47A6B0196}">
      <text>
        <r>
          <rPr>
            <sz val="12"/>
            <color indexed="81"/>
            <rFont val="Tahoma"/>
            <family val="2"/>
          </rPr>
          <t>Select "OR" from the drop down list if condition applies to Operating Reefers</t>
        </r>
      </text>
    </comment>
    <comment ref="Y197" authorId="2" shapeId="0" xr:uid="{61C1BF6A-0738-4773-AECD-631E3CACCB98}">
      <text>
        <r>
          <rPr>
            <sz val="12"/>
            <color indexed="81"/>
            <rFont val="Tahoma"/>
            <family val="2"/>
          </rPr>
          <t xml:space="preserve">Specify the Place of Receipt if necessary.  </t>
        </r>
        <r>
          <rPr>
            <u/>
            <sz val="12"/>
            <color indexed="81"/>
            <rFont val="Tahoma"/>
            <family val="2"/>
          </rPr>
          <t>Do not</t>
        </r>
        <r>
          <rPr>
            <sz val="12"/>
            <color indexed="81"/>
            <rFont val="Tahoma"/>
            <family val="2"/>
          </rPr>
          <t xml:space="preserve"> use "ALL".
Only 1 location may be entered per row.</t>
        </r>
      </text>
    </comment>
    <comment ref="Z197" authorId="2" shapeId="0" xr:uid="{BC830FCD-92F9-4863-937B-FA5717F10313}">
      <text>
        <r>
          <rPr>
            <sz val="12"/>
            <color indexed="81"/>
            <rFont val="Tahoma"/>
            <family val="2"/>
          </rPr>
          <t xml:space="preserve">Enter the POL if necessary.  </t>
        </r>
        <r>
          <rPr>
            <u/>
            <sz val="12"/>
            <color indexed="81"/>
            <rFont val="Tahoma"/>
            <family val="2"/>
          </rPr>
          <t>Do not</t>
        </r>
        <r>
          <rPr>
            <sz val="12"/>
            <color indexed="81"/>
            <rFont val="Tahoma"/>
            <family val="2"/>
          </rPr>
          <t xml:space="preserve"> use "ALL".
Only 1 location is allowed per row and must be a valid seaport.</t>
        </r>
      </text>
    </comment>
    <comment ref="AA197" authorId="2" shapeId="0" xr:uid="{86894693-C792-4B73-8C96-1CBC92D4E41A}">
      <text>
        <r>
          <rPr>
            <sz val="12"/>
            <color indexed="81"/>
            <rFont val="Tahoma"/>
            <family val="2"/>
          </rPr>
          <t xml:space="preserve">Enter the POD if necessary.  </t>
        </r>
        <r>
          <rPr>
            <u/>
            <sz val="12"/>
            <color indexed="81"/>
            <rFont val="Tahoma"/>
            <family val="2"/>
          </rPr>
          <t>Do not</t>
        </r>
        <r>
          <rPr>
            <sz val="12"/>
            <color indexed="81"/>
            <rFont val="Tahoma"/>
            <family val="2"/>
          </rPr>
          <t xml:space="preserve"> use "ALL".
Only 1 location is allowed per row and must be a valid seaport.</t>
        </r>
      </text>
    </comment>
    <comment ref="AB197" authorId="2" shapeId="0" xr:uid="{D7DDE86B-E020-4469-9F21-41591EA929E7}">
      <text>
        <r>
          <rPr>
            <sz val="12"/>
            <color indexed="81"/>
            <rFont val="Tahoma"/>
            <family val="2"/>
          </rPr>
          <t xml:space="preserve">Specify the Place of Delivery if necessary.  </t>
        </r>
        <r>
          <rPr>
            <u/>
            <sz val="12"/>
            <color indexed="81"/>
            <rFont val="Tahoma"/>
            <family val="2"/>
          </rPr>
          <t>Do not</t>
        </r>
        <r>
          <rPr>
            <sz val="12"/>
            <color indexed="81"/>
            <rFont val="Tahoma"/>
            <family val="2"/>
          </rPr>
          <t xml:space="preserve"> use "ALL".
Only 1 location may be entered per row.</t>
        </r>
      </text>
    </comment>
    <comment ref="AC197" authorId="3" shapeId="0" xr:uid="{B94946D0-DEFD-4E49-8C0F-4D22021A8D59}">
      <text>
        <r>
          <rPr>
            <sz val="12"/>
            <color indexed="81"/>
            <rFont val="Tahoma"/>
            <family val="2"/>
          </rPr>
          <t xml:space="preserve">Enter the Country Code ONLY.  </t>
        </r>
        <r>
          <rPr>
            <u/>
            <sz val="12"/>
            <color indexed="81"/>
            <rFont val="Tahoma"/>
            <family val="2"/>
          </rPr>
          <t>Cannot</t>
        </r>
        <r>
          <rPr>
            <sz val="12"/>
            <color indexed="81"/>
            <rFont val="Tahoma"/>
            <family val="2"/>
          </rPr>
          <t xml:space="preserve"> use "ALL" or country name</t>
        </r>
      </text>
    </comment>
    <comment ref="AD197" authorId="2" shapeId="0" xr:uid="{E5790ED8-FDDC-45D5-AA56-AC6915D205B7}">
      <text>
        <r>
          <rPr>
            <sz val="12"/>
            <color indexed="81"/>
            <rFont val="Tahoma"/>
            <family val="2"/>
          </rPr>
          <t xml:space="preserve">Enter additional notes only when absolutely necessary.  
</t>
        </r>
        <r>
          <rPr>
            <u/>
            <sz val="12"/>
            <color indexed="81"/>
            <rFont val="Tahoma"/>
            <family val="2"/>
          </rPr>
          <t>IMPORTANT</t>
        </r>
        <r>
          <rPr>
            <sz val="12"/>
            <color indexed="81"/>
            <rFont val="Tahoma"/>
            <family val="2"/>
          </rPr>
          <t xml:space="preserve">:  Named accounts and specific commodities </t>
        </r>
        <r>
          <rPr>
            <b/>
            <u/>
            <sz val="12"/>
            <color indexed="81"/>
            <rFont val="Tahoma"/>
            <family val="2"/>
          </rPr>
          <t>may not</t>
        </r>
        <r>
          <rPr>
            <sz val="12"/>
            <color indexed="81"/>
            <rFont val="Tahoma"/>
            <family val="2"/>
          </rPr>
          <t xml:space="preserve"> be listed as Notes.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ext.obouge</author>
    <author>William MALLOL</author>
    <author>usa.gewan</author>
    <author>GENDER Charlie - NOR</author>
  </authors>
  <commentList>
    <comment ref="B13" authorId="0" shapeId="0" xr:uid="{00000000-0006-0000-0700-000001000000}">
      <text>
        <r>
          <rPr>
            <b/>
            <sz val="12"/>
            <color indexed="81"/>
            <rFont val="Tahoma"/>
            <family val="2"/>
          </rPr>
          <t>Please use comma to separate commodities.</t>
        </r>
      </text>
    </comment>
    <comment ref="A20" authorId="1" shapeId="0" xr:uid="{00000000-0006-0000-0700-000002000000}">
      <text>
        <r>
          <rPr>
            <b/>
            <sz val="14"/>
            <color indexed="81"/>
            <rFont val="Tahoma"/>
            <family val="2"/>
          </rPr>
          <t>Port Group Codes can be used to group any two or more valid seaports that are common rated.
Port Group Codes cannot be used for inland locations.</t>
        </r>
      </text>
    </comment>
    <comment ref="B20" authorId="0" shapeId="0" xr:uid="{00000000-0006-0000-0700-000003000000}">
      <text>
        <r>
          <rPr>
            <b/>
            <sz val="14"/>
            <color indexed="81"/>
            <rFont val="Tahoma"/>
            <family val="2"/>
          </rPr>
          <t>Please use comma to separate ports.
Only valid sea ports may be included.</t>
        </r>
      </text>
    </comment>
    <comment ref="A36" authorId="1" shapeId="0" xr:uid="{00000000-0006-0000-0700-000004000000}">
      <text>
        <r>
          <rPr>
            <b/>
            <sz val="14"/>
            <color indexed="81"/>
            <rFont val="Tahoma"/>
            <family val="2"/>
          </rPr>
          <t>Please use FAK/ Bullets defined above.</t>
        </r>
      </text>
    </comment>
    <comment ref="B36" authorId="1" shapeId="0" xr:uid="{00000000-0006-0000-0700-000005000000}">
      <text>
        <r>
          <rPr>
            <b/>
            <sz val="14"/>
            <color indexed="81"/>
            <rFont val="Tahoma"/>
            <family val="2"/>
          </rPr>
          <t>City, State / ZIP Code</t>
        </r>
      </text>
    </comment>
    <comment ref="C36" authorId="1" shapeId="0" xr:uid="{00000000-0006-0000-0700-000006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D36" authorId="1" shapeId="0" xr:uid="{00000000-0006-0000-0700-000007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E36" authorId="1" shapeId="0" xr:uid="{00000000-0006-0000-0700-000008000000}">
      <text>
        <r>
          <rPr>
            <b/>
            <sz val="14"/>
            <color indexed="81"/>
            <rFont val="Tahoma"/>
            <family val="2"/>
          </rPr>
          <t>City, State / ZIP Code</t>
        </r>
      </text>
    </comment>
    <comment ref="F36" authorId="2" shapeId="0" xr:uid="{00000000-0006-0000-0700-000009000000}">
      <text>
        <r>
          <rPr>
            <b/>
            <sz val="14"/>
            <color indexed="81"/>
            <rFont val="Tahoma"/>
            <family val="2"/>
          </rPr>
          <t>Indicate the mode of transportation at origin and destination.
Mode cannot begin with CY if there is a location listed as place of receipt.
Mode cannot end with CY if there is a location is listed as place of delivery</t>
        </r>
      </text>
    </comment>
    <comment ref="G36" authorId="2" shapeId="0" xr:uid="{00000000-0006-0000-0700-00000A000000}">
      <text>
        <r>
          <rPr>
            <b/>
            <sz val="14"/>
            <color indexed="81"/>
            <rFont val="Tahoma"/>
            <family val="2"/>
          </rPr>
          <t>Indicate whether or not door service is included at origin and destination</t>
        </r>
      </text>
    </comment>
    <comment ref="M36" authorId="2" shapeId="0" xr:uid="{00000000-0006-0000-0700-00000B000000}">
      <text>
        <r>
          <rPr>
            <b/>
            <sz val="14"/>
            <color indexed="81"/>
            <rFont val="Tahoma"/>
            <family val="2"/>
          </rPr>
          <t>Use these columns for exceptions to surcharge applicability in note 2</t>
        </r>
      </text>
    </comment>
    <comment ref="AA36" authorId="2" shapeId="0" xr:uid="{00000000-0006-0000-0700-00000C000000}">
      <text>
        <r>
          <rPr>
            <b/>
            <sz val="14"/>
            <color indexed="81"/>
            <rFont val="Tahoma"/>
            <family val="2"/>
          </rPr>
          <t>This field controls construction using Arbitraries and Inland Tariffs
Y = allowed in US, N = not allowed in US, 
E = allowed at origin, I = allowed at destination,
B = allowed at both origin and destination
X = not allowed at either origin or destination</t>
        </r>
      </text>
    </comment>
    <comment ref="A45" authorId="1" shapeId="0" xr:uid="{00000000-0006-0000-0700-00000D000000}">
      <text>
        <r>
          <rPr>
            <b/>
            <sz val="14"/>
            <color indexed="81"/>
            <rFont val="Tahoma"/>
            <family val="2"/>
          </rPr>
          <t>Please use FAK/ Bullets defined above.</t>
        </r>
      </text>
    </comment>
    <comment ref="B45" authorId="1" shapeId="0" xr:uid="{00000000-0006-0000-0700-00000E000000}">
      <text>
        <r>
          <rPr>
            <b/>
            <sz val="14"/>
            <color indexed="81"/>
            <rFont val="Tahoma"/>
            <family val="2"/>
          </rPr>
          <t>City, State / ZIP Code</t>
        </r>
      </text>
    </comment>
    <comment ref="C45" authorId="1" shapeId="0" xr:uid="{00000000-0006-0000-0700-00000F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D45" authorId="1" shapeId="0" xr:uid="{00000000-0006-0000-0700-000010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E45" authorId="1" shapeId="0" xr:uid="{00000000-0006-0000-0700-000011000000}">
      <text>
        <r>
          <rPr>
            <b/>
            <sz val="14"/>
            <color indexed="81"/>
            <rFont val="Tahoma"/>
            <family val="2"/>
          </rPr>
          <t>City, State / ZIP Code</t>
        </r>
      </text>
    </comment>
    <comment ref="F45" authorId="2" shapeId="0" xr:uid="{00000000-0006-0000-0700-000012000000}">
      <text>
        <r>
          <rPr>
            <b/>
            <sz val="14"/>
            <color indexed="81"/>
            <rFont val="Tahoma"/>
            <family val="2"/>
          </rPr>
          <t>Indicate the mode of transportation at origin and destination.
Mode cannot begin with CY if there is a location listed as place of receipt.
Mode cannot end with CY if there is a location is listed as place of delivery</t>
        </r>
      </text>
    </comment>
    <comment ref="G45" authorId="2" shapeId="0" xr:uid="{00000000-0006-0000-0700-000013000000}">
      <text>
        <r>
          <rPr>
            <b/>
            <sz val="14"/>
            <color indexed="81"/>
            <rFont val="Tahoma"/>
            <family val="2"/>
          </rPr>
          <t>Indicate whether or not door service is included at origin and destination</t>
        </r>
      </text>
    </comment>
    <comment ref="O45" authorId="2" shapeId="0" xr:uid="{00000000-0006-0000-0700-000014000000}">
      <text>
        <r>
          <rPr>
            <b/>
            <sz val="14"/>
            <color indexed="81"/>
            <rFont val="Tahoma"/>
            <family val="2"/>
          </rPr>
          <t>Use these columns for exceptions to surcharge applicability in note 2</t>
        </r>
      </text>
    </comment>
    <comment ref="AA45" authorId="2" shapeId="0" xr:uid="{00000000-0006-0000-0700-000015000000}">
      <text>
        <r>
          <rPr>
            <b/>
            <sz val="14"/>
            <color indexed="81"/>
            <rFont val="Tahoma"/>
            <family val="2"/>
          </rPr>
          <t>This field controls construction using Arbitraries and Inland Tariffs
Y = allowed in US, N = not allowed in US, 
E = allowed at origin, I = allowed at destination,
B = allowed at both origin and destination
X = not allowed at either origin or destination</t>
        </r>
      </text>
    </comment>
    <comment ref="A54" authorId="1" shapeId="0" xr:uid="{00000000-0006-0000-0700-000016000000}">
      <text>
        <r>
          <rPr>
            <b/>
            <sz val="14"/>
            <color indexed="81"/>
            <rFont val="Tahoma"/>
            <family val="2"/>
          </rPr>
          <t>Please use FAK/ Bullets defined above.</t>
        </r>
      </text>
    </comment>
    <comment ref="B54" authorId="1" shapeId="0" xr:uid="{00000000-0006-0000-0700-000017000000}">
      <text>
        <r>
          <rPr>
            <b/>
            <sz val="14"/>
            <color indexed="81"/>
            <rFont val="Tahoma"/>
            <family val="2"/>
          </rPr>
          <t>City, State / ZIP Code</t>
        </r>
      </text>
    </comment>
    <comment ref="C54" authorId="1" shapeId="0" xr:uid="{00000000-0006-0000-0700-000018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D54" authorId="1" shapeId="0" xr:uid="{00000000-0006-0000-0700-000019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E54" authorId="1" shapeId="0" xr:uid="{00000000-0006-0000-0700-00001A000000}">
      <text>
        <r>
          <rPr>
            <b/>
            <sz val="14"/>
            <color indexed="81"/>
            <rFont val="Tahoma"/>
            <family val="2"/>
          </rPr>
          <t>City, State / ZIP Code</t>
        </r>
      </text>
    </comment>
    <comment ref="F54" authorId="2" shapeId="0" xr:uid="{00000000-0006-0000-0700-00001B000000}">
      <text>
        <r>
          <rPr>
            <b/>
            <sz val="14"/>
            <color indexed="81"/>
            <rFont val="Tahoma"/>
            <family val="2"/>
          </rPr>
          <t>Indicate the mode of transportation at origin and destination.
Mode cannot begin with CY if there is a location listed as place of receipt.
Mode cannot end with CY if there is a location is listed as place of delivery</t>
        </r>
      </text>
    </comment>
    <comment ref="G54" authorId="2" shapeId="0" xr:uid="{00000000-0006-0000-0700-00001C000000}">
      <text>
        <r>
          <rPr>
            <b/>
            <sz val="14"/>
            <color indexed="81"/>
            <rFont val="Tahoma"/>
            <family val="2"/>
          </rPr>
          <t>Indicate whether or not door service is included at origin and destination</t>
        </r>
      </text>
    </comment>
    <comment ref="Q54" authorId="2" shapeId="0" xr:uid="{00000000-0006-0000-0700-00001D000000}">
      <text>
        <r>
          <rPr>
            <b/>
            <sz val="14"/>
            <color indexed="81"/>
            <rFont val="Tahoma"/>
            <family val="2"/>
          </rPr>
          <t>Use these columns for exceptions to surcharge applicability in note 2</t>
        </r>
      </text>
    </comment>
    <comment ref="AC54" authorId="2" shapeId="0" xr:uid="{00000000-0006-0000-0700-00001E000000}">
      <text>
        <r>
          <rPr>
            <b/>
            <sz val="14"/>
            <color indexed="81"/>
            <rFont val="Tahoma"/>
            <family val="2"/>
          </rPr>
          <t>This field controls construction using Arbitraries and Inland Tariffs
Y = allowed in US, N = not allowed in US, 
E = allowed at origin, I = allowed at destination,
B = allowed at both origin and destination
X = not allowed at either origin or destination</t>
        </r>
      </text>
    </comment>
    <comment ref="B71" authorId="2" shapeId="0" xr:uid="{00000000-0006-0000-0700-00001F000000}">
      <text>
        <r>
          <rPr>
            <b/>
            <sz val="14"/>
            <color indexed="81"/>
            <rFont val="Tahoma"/>
            <family val="2"/>
          </rPr>
          <t>Place of Origin - may be an outport for feeder (CY) arbitraries or an inland origin
Format is:  City, State or ZIP Code</t>
        </r>
      </text>
    </comment>
    <comment ref="E71" authorId="2" shapeId="0" xr:uid="{00000000-0006-0000-0700-000020000000}">
      <text>
        <r>
          <rPr>
            <b/>
            <sz val="14"/>
            <color indexed="81"/>
            <rFont val="Tahoma"/>
            <family val="2"/>
          </rPr>
          <t xml:space="preserve">Please use only one port or a group of ports (Port groups must be defined in the Port Group Codes table).
Arbitrary construction can only occur with rate conditions which show these ports as the POL.
</t>
        </r>
        <r>
          <rPr>
            <b/>
            <i/>
            <sz val="14"/>
            <color indexed="81"/>
            <rFont val="Tahoma"/>
            <family val="2"/>
          </rPr>
          <t>All ports must be valid SEA ports.</t>
        </r>
      </text>
    </comment>
    <comment ref="F71" authorId="2" shapeId="0" xr:uid="{00000000-0006-0000-0700-000021000000}">
      <text>
        <r>
          <rPr>
            <b/>
            <sz val="14"/>
            <color indexed="81"/>
            <rFont val="Tahoma"/>
            <family val="2"/>
          </rPr>
          <t>Indicate the mode of transportation between the arbitrary place of receipt and arbitrary POL.
CY modes can only be used when the mode of transportation is by Feeder.
Use of CY mode requires both the locations to be valid SEA ports.</t>
        </r>
      </text>
    </comment>
    <comment ref="G71" authorId="2" shapeId="0" xr:uid="{00000000-0006-0000-0700-000022000000}">
      <text>
        <r>
          <rPr>
            <b/>
            <sz val="14"/>
            <color indexed="81"/>
            <rFont val="Tahoma"/>
            <family val="2"/>
          </rPr>
          <t>Indicate whether or not door service is included in the arbitrary rate</t>
        </r>
      </text>
    </comment>
    <comment ref="H71" authorId="2" shapeId="0" xr:uid="{00000000-0006-0000-0700-000023000000}">
      <text>
        <r>
          <rPr>
            <b/>
            <sz val="14"/>
            <color indexed="81"/>
            <rFont val="Tahoma"/>
            <family val="2"/>
          </rPr>
          <t>Input the rate in this field when the same amount applies for all container sizes</t>
        </r>
      </text>
    </comment>
    <comment ref="N71" authorId="2" shapeId="0" xr:uid="{00000000-0006-0000-0700-000024000000}">
      <text>
        <r>
          <rPr>
            <b/>
            <sz val="14"/>
            <color indexed="81"/>
            <rFont val="Tahoma"/>
            <family val="2"/>
          </rPr>
          <t>Each Arbitrary applies only to FAK / Bullets as specifically listed in this field.</t>
        </r>
      </text>
    </comment>
    <comment ref="B86" authorId="2" shapeId="0" xr:uid="{00000000-0006-0000-0700-000025000000}">
      <text>
        <r>
          <rPr>
            <b/>
            <sz val="14"/>
            <color indexed="81"/>
            <rFont val="Tahoma"/>
            <family val="2"/>
          </rPr>
          <t>Place of Destination - may be an outport for feeder (CY) arbitraries or an inland destination
Format is:  City, State or ZIP Code</t>
        </r>
      </text>
    </comment>
    <comment ref="E86" authorId="2" shapeId="0" xr:uid="{00000000-0006-0000-0700-000026000000}">
      <text>
        <r>
          <rPr>
            <b/>
            <sz val="14"/>
            <color indexed="81"/>
            <rFont val="Tahoma"/>
            <family val="2"/>
          </rPr>
          <t xml:space="preserve">Please use only one port or a group of ports (Port groups must be defined in the Port Group Codes table).
Arbitrary construction can only occur with rate conditions which show these ports as the POD.
</t>
        </r>
        <r>
          <rPr>
            <b/>
            <i/>
            <sz val="14"/>
            <color indexed="81"/>
            <rFont val="Tahoma"/>
            <family val="2"/>
          </rPr>
          <t>All ports must be valid SEA ports.</t>
        </r>
      </text>
    </comment>
    <comment ref="F86" authorId="2" shapeId="0" xr:uid="{00000000-0006-0000-0700-000027000000}">
      <text>
        <r>
          <rPr>
            <b/>
            <sz val="14"/>
            <color indexed="81"/>
            <rFont val="Tahoma"/>
            <family val="2"/>
          </rPr>
          <t>Indicate the mode of transportation between the arbitrary POD and arbitrary place of delivery.
CY modes can only be used when the mode of transportation is by Feeder.
Use of CY mode requires both the locations to be valid SEA ports.</t>
        </r>
      </text>
    </comment>
    <comment ref="G86" authorId="2" shapeId="0" xr:uid="{00000000-0006-0000-0700-000028000000}">
      <text>
        <r>
          <rPr>
            <b/>
            <sz val="14"/>
            <color indexed="81"/>
            <rFont val="Tahoma"/>
            <family val="2"/>
          </rPr>
          <t>Indicate whether or not door service is included in the arbitrary rate</t>
        </r>
      </text>
    </comment>
    <comment ref="H86" authorId="2" shapeId="0" xr:uid="{00000000-0006-0000-0700-000029000000}">
      <text>
        <r>
          <rPr>
            <b/>
            <sz val="14"/>
            <color indexed="81"/>
            <rFont val="Tahoma"/>
            <family val="2"/>
          </rPr>
          <t>Input the rate in this field when the same amount applies for all container sizes</t>
        </r>
      </text>
    </comment>
    <comment ref="N86" authorId="2" shapeId="0" xr:uid="{00000000-0006-0000-0700-00002A000000}">
      <text>
        <r>
          <rPr>
            <b/>
            <sz val="14"/>
            <color indexed="81"/>
            <rFont val="Tahoma"/>
            <family val="2"/>
          </rPr>
          <t>Each Arbitrary applies only to FAK / Bullets as specifically listed in this field.</t>
        </r>
      </text>
    </comment>
    <comment ref="L96" authorId="2" shapeId="0" xr:uid="{00000000-0006-0000-0700-00002B000000}">
      <text>
        <r>
          <rPr>
            <b/>
            <sz val="14"/>
            <color indexed="81"/>
            <rFont val="Tahoma"/>
            <family val="2"/>
          </rPr>
          <t>Surcharge applicability mentioned on any row applies specifically to the individual port mentioned in this field.
If the Applicable Port field is blank, then the  surcharge applicability stated on that row applies to all ports.</t>
        </r>
      </text>
    </comment>
    <comment ref="A191" authorId="2" shapeId="0" xr:uid="{00000000-0006-0000-0700-00002C000000}">
      <text>
        <r>
          <rPr>
            <sz val="12"/>
            <color indexed="81"/>
            <rFont val="Tahoma"/>
            <family val="2"/>
          </rPr>
          <t>Select the bullet for which the exception applies.
If exception applies to all bullets, select "ALL".</t>
        </r>
      </text>
    </comment>
    <comment ref="B191" authorId="2" shapeId="0" xr:uid="{00000000-0006-0000-0700-00002D000000}">
      <text>
        <r>
          <rPr>
            <sz val="12"/>
            <color indexed="81"/>
            <rFont val="Tahoma"/>
            <family val="2"/>
          </rPr>
          <t xml:space="preserve">Specify if Free Time condition applies to Export or Import:
</t>
        </r>
        <r>
          <rPr>
            <b/>
            <sz val="12"/>
            <color indexed="81"/>
            <rFont val="Tahoma"/>
            <family val="2"/>
          </rPr>
          <t xml:space="preserve">E </t>
        </r>
        <r>
          <rPr>
            <sz val="12"/>
            <color indexed="81"/>
            <rFont val="Tahoma"/>
            <family val="2"/>
          </rPr>
          <t xml:space="preserve">(Export) = applies at origin
</t>
        </r>
        <r>
          <rPr>
            <b/>
            <sz val="12"/>
            <color indexed="81"/>
            <rFont val="Tahoma"/>
            <family val="2"/>
          </rPr>
          <t xml:space="preserve">I </t>
        </r>
        <r>
          <rPr>
            <sz val="12"/>
            <color indexed="81"/>
            <rFont val="Tahoma"/>
            <family val="2"/>
          </rPr>
          <t>(Import) = applies at destination</t>
        </r>
      </text>
    </comment>
    <comment ref="C191" authorId="2" shapeId="0" xr:uid="{00000000-0006-0000-0700-00002E000000}">
      <text>
        <r>
          <rPr>
            <sz val="12"/>
            <color indexed="81"/>
            <rFont val="Tahoma"/>
            <family val="2"/>
          </rPr>
          <t>Enter Type of Free Time:</t>
        </r>
        <r>
          <rPr>
            <u/>
            <sz val="12"/>
            <color indexed="81"/>
            <rFont val="Tahoma"/>
            <family val="2"/>
          </rPr>
          <t xml:space="preserve">
</t>
        </r>
        <r>
          <rPr>
            <sz val="12"/>
            <color indexed="81"/>
            <rFont val="Tahoma"/>
            <family val="2"/>
          </rPr>
          <t xml:space="preserve">
</t>
        </r>
        <r>
          <rPr>
            <b/>
            <sz val="12"/>
            <color indexed="81"/>
            <rFont val="Tahoma"/>
            <family val="2"/>
          </rPr>
          <t>Detention
Demurrage
Merged</t>
        </r>
      </text>
    </comment>
    <comment ref="F191" authorId="2" shapeId="0" xr:uid="{00000000-0006-0000-0700-00002F000000}">
      <text>
        <r>
          <rPr>
            <sz val="12"/>
            <color indexed="81"/>
            <rFont val="Tahoma"/>
            <family val="2"/>
          </rPr>
          <t xml:space="preserve">Specify Equipment Type (blank field indicates applicability to all Eq Types):
</t>
        </r>
        <r>
          <rPr>
            <b/>
            <sz val="12"/>
            <color indexed="81"/>
            <rFont val="Tahoma"/>
            <family val="2"/>
          </rPr>
          <t>D</t>
        </r>
        <r>
          <rPr>
            <sz val="12"/>
            <color indexed="81"/>
            <rFont val="Tahoma"/>
            <family val="2"/>
          </rPr>
          <t xml:space="preserve"> = Dry
</t>
        </r>
        <r>
          <rPr>
            <b/>
            <sz val="12"/>
            <color indexed="81"/>
            <rFont val="Tahoma"/>
            <family val="2"/>
          </rPr>
          <t>R</t>
        </r>
        <r>
          <rPr>
            <sz val="12"/>
            <color indexed="81"/>
            <rFont val="Tahoma"/>
            <family val="2"/>
          </rPr>
          <t xml:space="preserve"> = Reefer
</t>
        </r>
        <r>
          <rPr>
            <b/>
            <sz val="12"/>
            <color indexed="81"/>
            <rFont val="Tahoma"/>
            <family val="2"/>
          </rPr>
          <t>OT</t>
        </r>
        <r>
          <rPr>
            <sz val="12"/>
            <color indexed="81"/>
            <rFont val="Tahoma"/>
            <family val="2"/>
          </rPr>
          <t xml:space="preserve"> = Open Top
</t>
        </r>
        <r>
          <rPr>
            <b/>
            <sz val="12"/>
            <color indexed="81"/>
            <rFont val="Tahoma"/>
            <family val="2"/>
          </rPr>
          <t>FR</t>
        </r>
        <r>
          <rPr>
            <sz val="12"/>
            <color indexed="81"/>
            <rFont val="Tahoma"/>
            <family val="2"/>
          </rPr>
          <t xml:space="preserve"> = Flat Rack</t>
        </r>
      </text>
    </comment>
    <comment ref="G191" authorId="2" shapeId="0" xr:uid="{00000000-0006-0000-0700-000030000000}">
      <text>
        <r>
          <rPr>
            <sz val="12"/>
            <color indexed="81"/>
            <rFont val="Tahoma"/>
            <family val="2"/>
          </rPr>
          <t>Select "OR" from the drop down list if condition applies to Operating Reefers</t>
        </r>
      </text>
    </comment>
    <comment ref="H191" authorId="2" shapeId="0" xr:uid="{00000000-0006-0000-0700-000031000000}">
      <text>
        <r>
          <rPr>
            <sz val="12"/>
            <color indexed="81"/>
            <rFont val="Tahoma"/>
            <family val="2"/>
          </rPr>
          <t xml:space="preserve">Specify the Place of Receipt if necessary.  </t>
        </r>
        <r>
          <rPr>
            <u/>
            <sz val="12"/>
            <color indexed="81"/>
            <rFont val="Tahoma"/>
            <family val="2"/>
          </rPr>
          <t>Do not</t>
        </r>
        <r>
          <rPr>
            <sz val="12"/>
            <color indexed="81"/>
            <rFont val="Tahoma"/>
            <family val="2"/>
          </rPr>
          <t xml:space="preserve"> use "ALL".
Only 1 location may be entered per row.</t>
        </r>
      </text>
    </comment>
    <comment ref="I191" authorId="2" shapeId="0" xr:uid="{00000000-0006-0000-0700-000032000000}">
      <text>
        <r>
          <rPr>
            <sz val="12"/>
            <color indexed="81"/>
            <rFont val="Tahoma"/>
            <family val="2"/>
          </rPr>
          <t xml:space="preserve">Enter the POL if necessary.  </t>
        </r>
        <r>
          <rPr>
            <u/>
            <sz val="12"/>
            <color indexed="81"/>
            <rFont val="Tahoma"/>
            <family val="2"/>
          </rPr>
          <t>Do not</t>
        </r>
        <r>
          <rPr>
            <sz val="12"/>
            <color indexed="81"/>
            <rFont val="Tahoma"/>
            <family val="2"/>
          </rPr>
          <t xml:space="preserve"> use "ALL".
Only 1 location is allowed per row and must be a valid seaport.</t>
        </r>
      </text>
    </comment>
    <comment ref="J191" authorId="2" shapeId="0" xr:uid="{00000000-0006-0000-0700-000033000000}">
      <text>
        <r>
          <rPr>
            <sz val="12"/>
            <color indexed="81"/>
            <rFont val="Tahoma"/>
            <family val="2"/>
          </rPr>
          <t xml:space="preserve">Enter the POD if necessary.  </t>
        </r>
        <r>
          <rPr>
            <u/>
            <sz val="12"/>
            <color indexed="81"/>
            <rFont val="Tahoma"/>
            <family val="2"/>
          </rPr>
          <t>Do not</t>
        </r>
        <r>
          <rPr>
            <sz val="12"/>
            <color indexed="81"/>
            <rFont val="Tahoma"/>
            <family val="2"/>
          </rPr>
          <t xml:space="preserve"> use "ALL".
Only 1 location is allowed per row and must be a valid seaport.</t>
        </r>
      </text>
    </comment>
    <comment ref="K191" authorId="2" shapeId="0" xr:uid="{00000000-0006-0000-0700-000034000000}">
      <text>
        <r>
          <rPr>
            <sz val="12"/>
            <color indexed="81"/>
            <rFont val="Tahoma"/>
            <family val="2"/>
          </rPr>
          <t xml:space="preserve">Specify the Place of Delivery if necessary.  </t>
        </r>
        <r>
          <rPr>
            <u/>
            <sz val="12"/>
            <color indexed="81"/>
            <rFont val="Tahoma"/>
            <family val="2"/>
          </rPr>
          <t>Do not</t>
        </r>
        <r>
          <rPr>
            <sz val="12"/>
            <color indexed="81"/>
            <rFont val="Tahoma"/>
            <family val="2"/>
          </rPr>
          <t xml:space="preserve"> use "ALL".
Only 1 location may be entered per row.</t>
        </r>
      </text>
    </comment>
    <comment ref="L191" authorId="3" shapeId="0" xr:uid="{560F6981-5F17-44AD-A59B-AD4BBCD8B782}">
      <text>
        <r>
          <rPr>
            <sz val="12"/>
            <color indexed="81"/>
            <rFont val="Tahoma"/>
            <family val="2"/>
          </rPr>
          <t xml:space="preserve">Enter the Country Code ONLY.  </t>
        </r>
        <r>
          <rPr>
            <u/>
            <sz val="12"/>
            <color indexed="81"/>
            <rFont val="Tahoma"/>
            <family val="2"/>
          </rPr>
          <t>Cannot</t>
        </r>
        <r>
          <rPr>
            <sz val="12"/>
            <color indexed="81"/>
            <rFont val="Tahoma"/>
            <family val="2"/>
          </rPr>
          <t xml:space="preserve"> use "ALL" or country name</t>
        </r>
      </text>
    </comment>
    <comment ref="M191" authorId="2" shapeId="0" xr:uid="{00000000-0006-0000-0700-000035000000}">
      <text>
        <r>
          <rPr>
            <sz val="12"/>
            <color indexed="81"/>
            <rFont val="Tahoma"/>
            <family val="2"/>
          </rPr>
          <t xml:space="preserve">Enter additional notes only when absolutely necessary.  
</t>
        </r>
        <r>
          <rPr>
            <u/>
            <sz val="12"/>
            <color indexed="81"/>
            <rFont val="Tahoma"/>
            <family val="2"/>
          </rPr>
          <t>IMPORTANT</t>
        </r>
        <r>
          <rPr>
            <sz val="12"/>
            <color indexed="81"/>
            <rFont val="Tahoma"/>
            <family val="2"/>
          </rPr>
          <t xml:space="preserve">:  Named accounts and specific commodities </t>
        </r>
        <r>
          <rPr>
            <b/>
            <u/>
            <sz val="12"/>
            <color indexed="81"/>
            <rFont val="Tahoma"/>
            <family val="2"/>
          </rPr>
          <t>may not</t>
        </r>
        <r>
          <rPr>
            <sz val="12"/>
            <color indexed="81"/>
            <rFont val="Tahoma"/>
            <family val="2"/>
          </rPr>
          <t xml:space="preserve"> be listed as Notes.</t>
        </r>
      </text>
    </comment>
    <comment ref="A204" authorId="2" shapeId="0" xr:uid="{0F338EBC-C320-4F15-BCAC-4ECBFCCC081C}">
      <text>
        <r>
          <rPr>
            <sz val="12"/>
            <color indexed="81"/>
            <rFont val="Tahoma"/>
            <family val="2"/>
          </rPr>
          <t>Select the bullet for which the exception applies.
If exception applies to all bullets, select "ALL".</t>
        </r>
      </text>
    </comment>
    <comment ref="B204" authorId="2" shapeId="0" xr:uid="{60A9EC0B-A8D9-4E7E-8126-5CF6EE074F2F}">
      <text>
        <r>
          <rPr>
            <sz val="12"/>
            <color indexed="81"/>
            <rFont val="Tahoma"/>
            <family val="2"/>
          </rPr>
          <t xml:space="preserve">Specify if Free Time condition applies to Export or Import:
</t>
        </r>
        <r>
          <rPr>
            <b/>
            <sz val="12"/>
            <color indexed="81"/>
            <rFont val="Tahoma"/>
            <family val="2"/>
          </rPr>
          <t xml:space="preserve">E </t>
        </r>
        <r>
          <rPr>
            <sz val="12"/>
            <color indexed="81"/>
            <rFont val="Tahoma"/>
            <family val="2"/>
          </rPr>
          <t xml:space="preserve">(Export) = applies at origin
</t>
        </r>
        <r>
          <rPr>
            <b/>
            <sz val="12"/>
            <color indexed="81"/>
            <rFont val="Tahoma"/>
            <family val="2"/>
          </rPr>
          <t xml:space="preserve">I </t>
        </r>
        <r>
          <rPr>
            <sz val="12"/>
            <color indexed="81"/>
            <rFont val="Tahoma"/>
            <family val="2"/>
          </rPr>
          <t>(Import) = applies at destination</t>
        </r>
      </text>
    </comment>
    <comment ref="C204" authorId="2" shapeId="0" xr:uid="{401FE281-4094-4EB2-8DDE-27B553A7FE53}">
      <text>
        <r>
          <rPr>
            <sz val="12"/>
            <color indexed="81"/>
            <rFont val="Tahoma"/>
            <family val="2"/>
          </rPr>
          <t>Enter Type of Free Time:</t>
        </r>
        <r>
          <rPr>
            <u/>
            <sz val="12"/>
            <color indexed="81"/>
            <rFont val="Tahoma"/>
            <family val="2"/>
          </rPr>
          <t xml:space="preserve">
</t>
        </r>
        <r>
          <rPr>
            <sz val="12"/>
            <color indexed="81"/>
            <rFont val="Tahoma"/>
            <family val="2"/>
          </rPr>
          <t xml:space="preserve">
</t>
        </r>
        <r>
          <rPr>
            <b/>
            <sz val="12"/>
            <color indexed="81"/>
            <rFont val="Tahoma"/>
            <family val="2"/>
          </rPr>
          <t>Detention
Demurrage
Merged</t>
        </r>
      </text>
    </comment>
    <comment ref="F204" authorId="2" shapeId="0" xr:uid="{8765677B-5916-45FA-8AE6-88008F60306A}">
      <text>
        <r>
          <rPr>
            <sz val="12"/>
            <color indexed="81"/>
            <rFont val="Tahoma"/>
            <family val="2"/>
          </rPr>
          <t>If any exceptional charges are offered, then the currency is required to be shown.</t>
        </r>
      </text>
    </comment>
    <comment ref="W204" authorId="2" shapeId="0" xr:uid="{A67708AC-A9C9-4424-8239-104C174C04BA}">
      <text>
        <r>
          <rPr>
            <sz val="12"/>
            <color indexed="81"/>
            <rFont val="Tahoma"/>
            <family val="2"/>
          </rPr>
          <t xml:space="preserve">Specify Equipment Type (blank field indicates applicability to all Eq Types):
</t>
        </r>
        <r>
          <rPr>
            <b/>
            <sz val="12"/>
            <color indexed="81"/>
            <rFont val="Tahoma"/>
            <family val="2"/>
          </rPr>
          <t>D</t>
        </r>
        <r>
          <rPr>
            <sz val="12"/>
            <color indexed="81"/>
            <rFont val="Tahoma"/>
            <family val="2"/>
          </rPr>
          <t xml:space="preserve"> = Dry
</t>
        </r>
        <r>
          <rPr>
            <b/>
            <sz val="12"/>
            <color indexed="81"/>
            <rFont val="Tahoma"/>
            <family val="2"/>
          </rPr>
          <t>R</t>
        </r>
        <r>
          <rPr>
            <sz val="12"/>
            <color indexed="81"/>
            <rFont val="Tahoma"/>
            <family val="2"/>
          </rPr>
          <t xml:space="preserve"> = Reefer
</t>
        </r>
        <r>
          <rPr>
            <b/>
            <sz val="12"/>
            <color indexed="81"/>
            <rFont val="Tahoma"/>
            <family val="2"/>
          </rPr>
          <t>OT</t>
        </r>
        <r>
          <rPr>
            <sz val="12"/>
            <color indexed="81"/>
            <rFont val="Tahoma"/>
            <family val="2"/>
          </rPr>
          <t xml:space="preserve"> = Open Top
</t>
        </r>
        <r>
          <rPr>
            <b/>
            <sz val="12"/>
            <color indexed="81"/>
            <rFont val="Tahoma"/>
            <family val="2"/>
          </rPr>
          <t>FR</t>
        </r>
        <r>
          <rPr>
            <sz val="12"/>
            <color indexed="81"/>
            <rFont val="Tahoma"/>
            <family val="2"/>
          </rPr>
          <t xml:space="preserve"> = Flat Rack</t>
        </r>
      </text>
    </comment>
    <comment ref="X204" authorId="2" shapeId="0" xr:uid="{22AF0515-0165-4E36-B52D-ACEEF14F0232}">
      <text>
        <r>
          <rPr>
            <sz val="12"/>
            <color indexed="81"/>
            <rFont val="Tahoma"/>
            <family val="2"/>
          </rPr>
          <t>Select "OR" from the drop down list if condition applies to Operating Reefers</t>
        </r>
      </text>
    </comment>
    <comment ref="Y204" authorId="2" shapeId="0" xr:uid="{2EA9A16F-A52A-4179-B10A-B53C402905CC}">
      <text>
        <r>
          <rPr>
            <sz val="12"/>
            <color indexed="81"/>
            <rFont val="Tahoma"/>
            <family val="2"/>
          </rPr>
          <t xml:space="preserve">Specify the Place of Receipt if necessary.  </t>
        </r>
        <r>
          <rPr>
            <u/>
            <sz val="12"/>
            <color indexed="81"/>
            <rFont val="Tahoma"/>
            <family val="2"/>
          </rPr>
          <t>Do not</t>
        </r>
        <r>
          <rPr>
            <sz val="12"/>
            <color indexed="81"/>
            <rFont val="Tahoma"/>
            <family val="2"/>
          </rPr>
          <t xml:space="preserve"> use "ALL".
Only 1 location may be entered per row.</t>
        </r>
      </text>
    </comment>
    <comment ref="Z204" authorId="2" shapeId="0" xr:uid="{5D251527-BE95-4DD3-BEAA-0E1ADEB85A34}">
      <text>
        <r>
          <rPr>
            <sz val="12"/>
            <color indexed="81"/>
            <rFont val="Tahoma"/>
            <family val="2"/>
          </rPr>
          <t xml:space="preserve">Enter the POL if necessary.  </t>
        </r>
        <r>
          <rPr>
            <u/>
            <sz val="12"/>
            <color indexed="81"/>
            <rFont val="Tahoma"/>
            <family val="2"/>
          </rPr>
          <t>Do not</t>
        </r>
        <r>
          <rPr>
            <sz val="12"/>
            <color indexed="81"/>
            <rFont val="Tahoma"/>
            <family val="2"/>
          </rPr>
          <t xml:space="preserve"> use "ALL".
Only 1 location is allowed per row and must be a valid seaport.</t>
        </r>
      </text>
    </comment>
    <comment ref="AA204" authorId="2" shapeId="0" xr:uid="{6A1E98B2-32A2-4562-862D-A36C3BB427F1}">
      <text>
        <r>
          <rPr>
            <sz val="12"/>
            <color indexed="81"/>
            <rFont val="Tahoma"/>
            <family val="2"/>
          </rPr>
          <t xml:space="preserve">Enter the POD if necessary.  </t>
        </r>
        <r>
          <rPr>
            <u/>
            <sz val="12"/>
            <color indexed="81"/>
            <rFont val="Tahoma"/>
            <family val="2"/>
          </rPr>
          <t>Do not</t>
        </r>
        <r>
          <rPr>
            <sz val="12"/>
            <color indexed="81"/>
            <rFont val="Tahoma"/>
            <family val="2"/>
          </rPr>
          <t xml:space="preserve"> use "ALL".
Only 1 location is allowed per row and must be a valid seaport.</t>
        </r>
      </text>
    </comment>
    <comment ref="AB204" authorId="2" shapeId="0" xr:uid="{DF15E7F6-99D6-47EE-9C15-7FD67D32027D}">
      <text>
        <r>
          <rPr>
            <sz val="12"/>
            <color indexed="81"/>
            <rFont val="Tahoma"/>
            <family val="2"/>
          </rPr>
          <t xml:space="preserve">Specify the Place of Delivery if necessary.  </t>
        </r>
        <r>
          <rPr>
            <u/>
            <sz val="12"/>
            <color indexed="81"/>
            <rFont val="Tahoma"/>
            <family val="2"/>
          </rPr>
          <t>Do not</t>
        </r>
        <r>
          <rPr>
            <sz val="12"/>
            <color indexed="81"/>
            <rFont val="Tahoma"/>
            <family val="2"/>
          </rPr>
          <t xml:space="preserve"> use "ALL".
Only 1 location may be entered per row.</t>
        </r>
      </text>
    </comment>
    <comment ref="AC204" authorId="3" shapeId="0" xr:uid="{3463479A-9C58-49A2-933C-A28BAD4B9C5F}">
      <text>
        <r>
          <rPr>
            <sz val="12"/>
            <color indexed="81"/>
            <rFont val="Tahoma"/>
            <family val="2"/>
          </rPr>
          <t xml:space="preserve">Enter the Country Code ONLY.  </t>
        </r>
        <r>
          <rPr>
            <u/>
            <sz val="12"/>
            <color indexed="81"/>
            <rFont val="Tahoma"/>
            <family val="2"/>
          </rPr>
          <t>Cannot</t>
        </r>
        <r>
          <rPr>
            <sz val="12"/>
            <color indexed="81"/>
            <rFont val="Tahoma"/>
            <family val="2"/>
          </rPr>
          <t xml:space="preserve"> use "ALL" or country name</t>
        </r>
      </text>
    </comment>
    <comment ref="AD204" authorId="2" shapeId="0" xr:uid="{91DAC386-3B3B-413F-892B-DB5BE2F5CC0F}">
      <text>
        <r>
          <rPr>
            <sz val="12"/>
            <color indexed="81"/>
            <rFont val="Tahoma"/>
            <family val="2"/>
          </rPr>
          <t xml:space="preserve">Enter additional notes only when absolutely necessary.  
</t>
        </r>
        <r>
          <rPr>
            <u/>
            <sz val="12"/>
            <color indexed="81"/>
            <rFont val="Tahoma"/>
            <family val="2"/>
          </rPr>
          <t>IMPORTANT</t>
        </r>
        <r>
          <rPr>
            <sz val="12"/>
            <color indexed="81"/>
            <rFont val="Tahoma"/>
            <family val="2"/>
          </rPr>
          <t xml:space="preserve">:  Named accounts and specific commodities </t>
        </r>
        <r>
          <rPr>
            <b/>
            <u/>
            <sz val="12"/>
            <color indexed="81"/>
            <rFont val="Tahoma"/>
            <family val="2"/>
          </rPr>
          <t>may not</t>
        </r>
        <r>
          <rPr>
            <sz val="12"/>
            <color indexed="81"/>
            <rFont val="Tahoma"/>
            <family val="2"/>
          </rPr>
          <t xml:space="preserve"> be listed as Notes.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ext.obouge</author>
    <author>William MALLOL</author>
    <author>usa.gewan</author>
    <author>GENDER Charlie - NOR</author>
  </authors>
  <commentList>
    <comment ref="B13" authorId="0" shapeId="0" xr:uid="{00000000-0006-0000-0800-000001000000}">
      <text>
        <r>
          <rPr>
            <b/>
            <sz val="12"/>
            <color indexed="81"/>
            <rFont val="Tahoma"/>
            <family val="2"/>
          </rPr>
          <t>Please use comma to separate commodities.</t>
        </r>
      </text>
    </comment>
    <comment ref="A20" authorId="1" shapeId="0" xr:uid="{00000000-0006-0000-0800-000002000000}">
      <text>
        <r>
          <rPr>
            <b/>
            <sz val="14"/>
            <color indexed="81"/>
            <rFont val="Tahoma"/>
            <family val="2"/>
          </rPr>
          <t>Port Group Codes can be used to group any two or more valid seaports that are common rated.
Port Group Codes cannot be used for inland locations.</t>
        </r>
      </text>
    </comment>
    <comment ref="B20" authorId="0" shapeId="0" xr:uid="{00000000-0006-0000-0800-000003000000}">
      <text>
        <r>
          <rPr>
            <b/>
            <sz val="14"/>
            <color indexed="81"/>
            <rFont val="Tahoma"/>
            <family val="2"/>
          </rPr>
          <t>Please use comma to separate ports.
Only valid sea ports may be included.</t>
        </r>
      </text>
    </comment>
    <comment ref="A30" authorId="1" shapeId="0" xr:uid="{00000000-0006-0000-0800-000004000000}">
      <text>
        <r>
          <rPr>
            <b/>
            <sz val="14"/>
            <color indexed="81"/>
            <rFont val="Tahoma"/>
            <family val="2"/>
          </rPr>
          <t>Please use FAK/ Bullets defined above.</t>
        </r>
      </text>
    </comment>
    <comment ref="B30" authorId="1" shapeId="0" xr:uid="{00000000-0006-0000-0800-000005000000}">
      <text>
        <r>
          <rPr>
            <b/>
            <sz val="14"/>
            <color indexed="81"/>
            <rFont val="Tahoma"/>
            <family val="2"/>
          </rPr>
          <t>City, State / ZIP Code</t>
        </r>
      </text>
    </comment>
    <comment ref="C30" authorId="1" shapeId="0" xr:uid="{00000000-0006-0000-0800-000006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D30" authorId="1" shapeId="0" xr:uid="{00000000-0006-0000-0800-000007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E30" authorId="1" shapeId="0" xr:uid="{00000000-0006-0000-0800-000008000000}">
      <text>
        <r>
          <rPr>
            <b/>
            <sz val="14"/>
            <color indexed="81"/>
            <rFont val="Tahoma"/>
            <family val="2"/>
          </rPr>
          <t>City, State / ZIP Code</t>
        </r>
      </text>
    </comment>
    <comment ref="F30" authorId="2" shapeId="0" xr:uid="{00000000-0006-0000-0800-000009000000}">
      <text>
        <r>
          <rPr>
            <b/>
            <sz val="14"/>
            <color indexed="81"/>
            <rFont val="Tahoma"/>
            <family val="2"/>
          </rPr>
          <t>Indicate the mode of transportation at origin and destination.
Mode cannot begin with CY if there is a location listed as place of receipt.
Mode cannot end with CY if there is a location is listed as place of delivery</t>
        </r>
      </text>
    </comment>
    <comment ref="G30" authorId="2" shapeId="0" xr:uid="{00000000-0006-0000-0800-00000A000000}">
      <text>
        <r>
          <rPr>
            <b/>
            <sz val="14"/>
            <color indexed="81"/>
            <rFont val="Tahoma"/>
            <family val="2"/>
          </rPr>
          <t>Indicate whether or not door service is included at origin and destination</t>
        </r>
      </text>
    </comment>
    <comment ref="M30" authorId="2" shapeId="0" xr:uid="{00000000-0006-0000-0800-00000B000000}">
      <text>
        <r>
          <rPr>
            <b/>
            <sz val="14"/>
            <color indexed="81"/>
            <rFont val="Tahoma"/>
            <family val="2"/>
          </rPr>
          <t>Use these columns for exceptions to surcharge applicability in note 2</t>
        </r>
      </text>
    </comment>
    <comment ref="AA30" authorId="2" shapeId="0" xr:uid="{00000000-0006-0000-0800-00000C000000}">
      <text>
        <r>
          <rPr>
            <b/>
            <sz val="14"/>
            <color indexed="81"/>
            <rFont val="Tahoma"/>
            <family val="2"/>
          </rPr>
          <t>This field controls construction using Arbitraries and Inland Tariffs
Y = allowed in US, N = not allowed in US, 
E = allowed at origin, I = allowed at destination,
B = allowed at both origin and destination
X = not allowed at either origin or destination</t>
        </r>
      </text>
    </comment>
    <comment ref="A39" authorId="1" shapeId="0" xr:uid="{00000000-0006-0000-0800-00000D000000}">
      <text>
        <r>
          <rPr>
            <b/>
            <sz val="14"/>
            <color indexed="81"/>
            <rFont val="Tahoma"/>
            <family val="2"/>
          </rPr>
          <t>Please use FAK/ Bullets defined above.</t>
        </r>
      </text>
    </comment>
    <comment ref="B39" authorId="1" shapeId="0" xr:uid="{00000000-0006-0000-0800-00000E000000}">
      <text>
        <r>
          <rPr>
            <b/>
            <sz val="14"/>
            <color indexed="81"/>
            <rFont val="Tahoma"/>
            <family val="2"/>
          </rPr>
          <t>City, State / ZIP Code</t>
        </r>
      </text>
    </comment>
    <comment ref="C39" authorId="1" shapeId="0" xr:uid="{00000000-0006-0000-0800-00000F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D39" authorId="1" shapeId="0" xr:uid="{00000000-0006-0000-0800-000010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E39" authorId="1" shapeId="0" xr:uid="{00000000-0006-0000-0800-000011000000}">
      <text>
        <r>
          <rPr>
            <b/>
            <sz val="14"/>
            <color indexed="81"/>
            <rFont val="Tahoma"/>
            <family val="2"/>
          </rPr>
          <t>City, State / ZIP Code</t>
        </r>
      </text>
    </comment>
    <comment ref="F39" authorId="2" shapeId="0" xr:uid="{00000000-0006-0000-0800-000012000000}">
      <text>
        <r>
          <rPr>
            <b/>
            <sz val="14"/>
            <color indexed="81"/>
            <rFont val="Tahoma"/>
            <family val="2"/>
          </rPr>
          <t>Indicate the mode of transportation at origin and destination.
Mode cannot begin with CY if there is a location listed as place of receipt.
Mode cannot end with CY if there is a location is listed as place of delivery</t>
        </r>
      </text>
    </comment>
    <comment ref="G39" authorId="2" shapeId="0" xr:uid="{00000000-0006-0000-0800-000013000000}">
      <text>
        <r>
          <rPr>
            <b/>
            <sz val="14"/>
            <color indexed="81"/>
            <rFont val="Tahoma"/>
            <family val="2"/>
          </rPr>
          <t>Indicate whether or not door service is included at origin and destination</t>
        </r>
      </text>
    </comment>
    <comment ref="O39" authorId="2" shapeId="0" xr:uid="{00000000-0006-0000-0800-000014000000}">
      <text>
        <r>
          <rPr>
            <b/>
            <sz val="14"/>
            <color indexed="81"/>
            <rFont val="Tahoma"/>
            <family val="2"/>
          </rPr>
          <t>Use these columns for exceptions to surcharge applicability in note 2</t>
        </r>
      </text>
    </comment>
    <comment ref="AA39" authorId="2" shapeId="0" xr:uid="{00000000-0006-0000-0800-000015000000}">
      <text>
        <r>
          <rPr>
            <b/>
            <sz val="14"/>
            <color indexed="81"/>
            <rFont val="Tahoma"/>
            <family val="2"/>
          </rPr>
          <t>This field controls construction using Arbitraries and Inland Tariffs
Y = allowed in US, N = not allowed in US, 
E = allowed at origin, I = allowed at destination,
B = allowed at both origin and destination
X = not allowed at either origin or destination</t>
        </r>
      </text>
    </comment>
    <comment ref="A48" authorId="1" shapeId="0" xr:uid="{00000000-0006-0000-0800-000016000000}">
      <text>
        <r>
          <rPr>
            <b/>
            <sz val="14"/>
            <color indexed="81"/>
            <rFont val="Tahoma"/>
            <family val="2"/>
          </rPr>
          <t>Please use FAK/ Bullets defined above.</t>
        </r>
      </text>
    </comment>
    <comment ref="B48" authorId="1" shapeId="0" xr:uid="{00000000-0006-0000-0800-000017000000}">
      <text>
        <r>
          <rPr>
            <b/>
            <sz val="14"/>
            <color indexed="81"/>
            <rFont val="Tahoma"/>
            <family val="2"/>
          </rPr>
          <t>City, State / ZIP Code</t>
        </r>
      </text>
    </comment>
    <comment ref="C48" authorId="1" shapeId="0" xr:uid="{00000000-0006-0000-0800-000018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D48" authorId="1" shapeId="0" xr:uid="{00000000-0006-0000-0800-000019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E48" authorId="1" shapeId="0" xr:uid="{00000000-0006-0000-0800-00001A000000}">
      <text>
        <r>
          <rPr>
            <b/>
            <sz val="14"/>
            <color indexed="81"/>
            <rFont val="Tahoma"/>
            <family val="2"/>
          </rPr>
          <t>City, State / ZIP Code</t>
        </r>
      </text>
    </comment>
    <comment ref="F48" authorId="2" shapeId="0" xr:uid="{00000000-0006-0000-0800-00001B000000}">
      <text>
        <r>
          <rPr>
            <b/>
            <sz val="14"/>
            <color indexed="81"/>
            <rFont val="Tahoma"/>
            <family val="2"/>
          </rPr>
          <t>Indicate the mode of transportation at origin and destination.
Mode cannot begin with CY if there is a location listed as place of receipt.
Mode cannot end with CY if there is a location is listed as place of delivery</t>
        </r>
      </text>
    </comment>
    <comment ref="G48" authorId="2" shapeId="0" xr:uid="{00000000-0006-0000-0800-00001C000000}">
      <text>
        <r>
          <rPr>
            <b/>
            <sz val="14"/>
            <color indexed="81"/>
            <rFont val="Tahoma"/>
            <family val="2"/>
          </rPr>
          <t>Indicate whether or not door service is included at origin and destination</t>
        </r>
      </text>
    </comment>
    <comment ref="Q48" authorId="2" shapeId="0" xr:uid="{00000000-0006-0000-0800-00001D000000}">
      <text>
        <r>
          <rPr>
            <b/>
            <sz val="14"/>
            <color indexed="81"/>
            <rFont val="Tahoma"/>
            <family val="2"/>
          </rPr>
          <t>Use these columns for exceptions to surcharge applicability in note 2</t>
        </r>
      </text>
    </comment>
    <comment ref="AC48" authorId="2" shapeId="0" xr:uid="{00000000-0006-0000-0800-00001E000000}">
      <text>
        <r>
          <rPr>
            <b/>
            <sz val="14"/>
            <color indexed="81"/>
            <rFont val="Tahoma"/>
            <family val="2"/>
          </rPr>
          <t>This field controls construction using Arbitraries and Inland Tariffs
Y = allowed in US, N = not allowed in US, 
E = allowed at origin, I = allowed at destination,
B = allowed at both origin and destination
X = not allowed at either origin or destination</t>
        </r>
      </text>
    </comment>
    <comment ref="B65" authorId="2" shapeId="0" xr:uid="{00000000-0006-0000-0800-00001F000000}">
      <text>
        <r>
          <rPr>
            <b/>
            <sz val="14"/>
            <color indexed="81"/>
            <rFont val="Tahoma"/>
            <family val="2"/>
          </rPr>
          <t>Place of Origin - may be an outport for feeder (CY) arbitraries or an inland origin
Format is:  City, State or ZIP Code</t>
        </r>
      </text>
    </comment>
    <comment ref="E65" authorId="2" shapeId="0" xr:uid="{00000000-0006-0000-0800-000020000000}">
      <text>
        <r>
          <rPr>
            <b/>
            <sz val="14"/>
            <color indexed="81"/>
            <rFont val="Tahoma"/>
            <family val="2"/>
          </rPr>
          <t xml:space="preserve">Please use only one port or a group of ports (Port groups must be defined in the Port Group Codes table).
Arbitrary construction can only occur with rate conditions which show these ports as the POL.
</t>
        </r>
        <r>
          <rPr>
            <b/>
            <i/>
            <sz val="14"/>
            <color indexed="81"/>
            <rFont val="Tahoma"/>
            <family val="2"/>
          </rPr>
          <t>All ports must be valid SEA ports.</t>
        </r>
      </text>
    </comment>
    <comment ref="F65" authorId="2" shapeId="0" xr:uid="{00000000-0006-0000-0800-000021000000}">
      <text>
        <r>
          <rPr>
            <b/>
            <sz val="14"/>
            <color indexed="81"/>
            <rFont val="Tahoma"/>
            <family val="2"/>
          </rPr>
          <t>Indicate the mode of transportation between the arbitrary place of receipt and arbitrary POL.
CY modes can only be used when the mode of transportation is by Feeder.
Use of CY mode requires both the locations to be valid SEA ports.</t>
        </r>
      </text>
    </comment>
    <comment ref="G65" authorId="2" shapeId="0" xr:uid="{00000000-0006-0000-0800-000022000000}">
      <text>
        <r>
          <rPr>
            <b/>
            <sz val="14"/>
            <color indexed="81"/>
            <rFont val="Tahoma"/>
            <family val="2"/>
          </rPr>
          <t>Indicate whether or not door service is included in the arbitrary rate</t>
        </r>
      </text>
    </comment>
    <comment ref="H65" authorId="2" shapeId="0" xr:uid="{00000000-0006-0000-0800-000023000000}">
      <text>
        <r>
          <rPr>
            <b/>
            <sz val="14"/>
            <color indexed="81"/>
            <rFont val="Tahoma"/>
            <family val="2"/>
          </rPr>
          <t>Input the rate in this field when the same amount applies for all container sizes</t>
        </r>
      </text>
    </comment>
    <comment ref="N65" authorId="2" shapeId="0" xr:uid="{00000000-0006-0000-0800-000024000000}">
      <text>
        <r>
          <rPr>
            <b/>
            <sz val="14"/>
            <color indexed="81"/>
            <rFont val="Tahoma"/>
            <family val="2"/>
          </rPr>
          <t>Each Arbitrary applies only to FAK / Bullets as specifically listed in this field.</t>
        </r>
      </text>
    </comment>
    <comment ref="B80" authorId="2" shapeId="0" xr:uid="{00000000-0006-0000-0800-000025000000}">
      <text>
        <r>
          <rPr>
            <b/>
            <sz val="14"/>
            <color indexed="81"/>
            <rFont val="Tahoma"/>
            <family val="2"/>
          </rPr>
          <t>Place of Destination - may be an outport for feeder (CY) arbitraries or an inland destination
Format is:  City, State or ZIP Code</t>
        </r>
      </text>
    </comment>
    <comment ref="E80" authorId="2" shapeId="0" xr:uid="{00000000-0006-0000-0800-000026000000}">
      <text>
        <r>
          <rPr>
            <b/>
            <sz val="14"/>
            <color indexed="81"/>
            <rFont val="Tahoma"/>
            <family val="2"/>
          </rPr>
          <t xml:space="preserve">Please use only one port or a group of ports (Port groups must be defined in the Port Group Codes table).
Arbitrary construction can only occur with rate conditions which show these ports as the POD.
</t>
        </r>
        <r>
          <rPr>
            <b/>
            <i/>
            <sz val="14"/>
            <color indexed="81"/>
            <rFont val="Tahoma"/>
            <family val="2"/>
          </rPr>
          <t>All ports must be valid SEA ports.</t>
        </r>
      </text>
    </comment>
    <comment ref="F80" authorId="2" shapeId="0" xr:uid="{00000000-0006-0000-0800-000027000000}">
      <text>
        <r>
          <rPr>
            <b/>
            <sz val="14"/>
            <color indexed="81"/>
            <rFont val="Tahoma"/>
            <family val="2"/>
          </rPr>
          <t>Indicate the mode of transportation between the arbitrary POD and arbitrary place of delivery.
CY modes can only be used when the mode of transportation is by Feeder.
Use of CY mode requires both the locations to be valid SEA ports.</t>
        </r>
      </text>
    </comment>
    <comment ref="G80" authorId="2" shapeId="0" xr:uid="{00000000-0006-0000-0800-000028000000}">
      <text>
        <r>
          <rPr>
            <b/>
            <sz val="14"/>
            <color indexed="81"/>
            <rFont val="Tahoma"/>
            <family val="2"/>
          </rPr>
          <t>Indicate whether or not door service is included in the arbitrary rate</t>
        </r>
      </text>
    </comment>
    <comment ref="H80" authorId="2" shapeId="0" xr:uid="{00000000-0006-0000-0800-000029000000}">
      <text>
        <r>
          <rPr>
            <b/>
            <sz val="14"/>
            <color indexed="81"/>
            <rFont val="Tahoma"/>
            <family val="2"/>
          </rPr>
          <t>Input the rate in this field when the same amount applies for all container sizes</t>
        </r>
      </text>
    </comment>
    <comment ref="N80" authorId="2" shapeId="0" xr:uid="{00000000-0006-0000-0800-00002A000000}">
      <text>
        <r>
          <rPr>
            <b/>
            <sz val="14"/>
            <color indexed="81"/>
            <rFont val="Tahoma"/>
            <family val="2"/>
          </rPr>
          <t>Each Arbitrary applies only to FAK / Bullets as specifically listed in this field.</t>
        </r>
      </text>
    </comment>
    <comment ref="L90" authorId="2" shapeId="0" xr:uid="{00000000-0006-0000-0800-00002B000000}">
      <text>
        <r>
          <rPr>
            <b/>
            <sz val="14"/>
            <color indexed="81"/>
            <rFont val="Tahoma"/>
            <family val="2"/>
          </rPr>
          <t>Surcharge applicability mentioned on any row applies specifically to the individual port mentioned in this field.
If the Applicable Port field is blank, then the  surcharge applicability stated on that row applies to all ports.</t>
        </r>
      </text>
    </comment>
    <comment ref="A182" authorId="2" shapeId="0" xr:uid="{00000000-0006-0000-0800-00002C000000}">
      <text>
        <r>
          <rPr>
            <sz val="12"/>
            <color indexed="81"/>
            <rFont val="Tahoma"/>
            <family val="2"/>
          </rPr>
          <t>Select the bullet for which the exception applies.
If exception applies to all bullets, select "ALL".</t>
        </r>
      </text>
    </comment>
    <comment ref="B182" authorId="2" shapeId="0" xr:uid="{00000000-0006-0000-0800-00002D000000}">
      <text>
        <r>
          <rPr>
            <sz val="12"/>
            <color indexed="81"/>
            <rFont val="Tahoma"/>
            <family val="2"/>
          </rPr>
          <t xml:space="preserve">Specify if Free Time condition applies to Export or Import:
</t>
        </r>
        <r>
          <rPr>
            <b/>
            <sz val="12"/>
            <color indexed="81"/>
            <rFont val="Tahoma"/>
            <family val="2"/>
          </rPr>
          <t xml:space="preserve">E </t>
        </r>
        <r>
          <rPr>
            <sz val="12"/>
            <color indexed="81"/>
            <rFont val="Tahoma"/>
            <family val="2"/>
          </rPr>
          <t xml:space="preserve">(Export) = applies at origin
</t>
        </r>
        <r>
          <rPr>
            <b/>
            <sz val="12"/>
            <color indexed="81"/>
            <rFont val="Tahoma"/>
            <family val="2"/>
          </rPr>
          <t xml:space="preserve">I </t>
        </r>
        <r>
          <rPr>
            <sz val="12"/>
            <color indexed="81"/>
            <rFont val="Tahoma"/>
            <family val="2"/>
          </rPr>
          <t>(Import) = applies at destination</t>
        </r>
      </text>
    </comment>
    <comment ref="C182" authorId="2" shapeId="0" xr:uid="{00000000-0006-0000-0800-00002E000000}">
      <text>
        <r>
          <rPr>
            <sz val="12"/>
            <color indexed="81"/>
            <rFont val="Tahoma"/>
            <family val="2"/>
          </rPr>
          <t>Enter Type of Free Time:</t>
        </r>
        <r>
          <rPr>
            <u/>
            <sz val="12"/>
            <color indexed="81"/>
            <rFont val="Tahoma"/>
            <family val="2"/>
          </rPr>
          <t xml:space="preserve">
</t>
        </r>
        <r>
          <rPr>
            <sz val="12"/>
            <color indexed="81"/>
            <rFont val="Tahoma"/>
            <family val="2"/>
          </rPr>
          <t xml:space="preserve">
</t>
        </r>
        <r>
          <rPr>
            <b/>
            <sz val="12"/>
            <color indexed="81"/>
            <rFont val="Tahoma"/>
            <family val="2"/>
          </rPr>
          <t>Detention
Demurrage
Merged</t>
        </r>
      </text>
    </comment>
    <comment ref="F182" authorId="2" shapeId="0" xr:uid="{00000000-0006-0000-0800-00002F000000}">
      <text>
        <r>
          <rPr>
            <sz val="12"/>
            <color indexed="81"/>
            <rFont val="Tahoma"/>
            <family val="2"/>
          </rPr>
          <t xml:space="preserve">Specify Equipment Type (blank field indicates applicability to all Eq Types):
</t>
        </r>
        <r>
          <rPr>
            <b/>
            <sz val="12"/>
            <color indexed="81"/>
            <rFont val="Tahoma"/>
            <family val="2"/>
          </rPr>
          <t>D</t>
        </r>
        <r>
          <rPr>
            <sz val="12"/>
            <color indexed="81"/>
            <rFont val="Tahoma"/>
            <family val="2"/>
          </rPr>
          <t xml:space="preserve"> = Dry
</t>
        </r>
        <r>
          <rPr>
            <b/>
            <sz val="12"/>
            <color indexed="81"/>
            <rFont val="Tahoma"/>
            <family val="2"/>
          </rPr>
          <t>R</t>
        </r>
        <r>
          <rPr>
            <sz val="12"/>
            <color indexed="81"/>
            <rFont val="Tahoma"/>
            <family val="2"/>
          </rPr>
          <t xml:space="preserve"> = Reefer
</t>
        </r>
        <r>
          <rPr>
            <b/>
            <sz val="12"/>
            <color indexed="81"/>
            <rFont val="Tahoma"/>
            <family val="2"/>
          </rPr>
          <t>OT</t>
        </r>
        <r>
          <rPr>
            <sz val="12"/>
            <color indexed="81"/>
            <rFont val="Tahoma"/>
            <family val="2"/>
          </rPr>
          <t xml:space="preserve"> = Open Top
</t>
        </r>
        <r>
          <rPr>
            <b/>
            <sz val="12"/>
            <color indexed="81"/>
            <rFont val="Tahoma"/>
            <family val="2"/>
          </rPr>
          <t>FR</t>
        </r>
        <r>
          <rPr>
            <sz val="12"/>
            <color indexed="81"/>
            <rFont val="Tahoma"/>
            <family val="2"/>
          </rPr>
          <t xml:space="preserve"> = Flat Rack</t>
        </r>
      </text>
    </comment>
    <comment ref="G182" authorId="2" shapeId="0" xr:uid="{00000000-0006-0000-0800-000030000000}">
      <text>
        <r>
          <rPr>
            <sz val="12"/>
            <color indexed="81"/>
            <rFont val="Tahoma"/>
            <family val="2"/>
          </rPr>
          <t>Select "OR" from the drop down list if condition applies to Operating Reefers</t>
        </r>
      </text>
    </comment>
    <comment ref="H182" authorId="2" shapeId="0" xr:uid="{00000000-0006-0000-0800-000031000000}">
      <text>
        <r>
          <rPr>
            <sz val="12"/>
            <color indexed="81"/>
            <rFont val="Tahoma"/>
            <family val="2"/>
          </rPr>
          <t xml:space="preserve">Specify the Place of Receipt if necessary.  </t>
        </r>
        <r>
          <rPr>
            <u/>
            <sz val="12"/>
            <color indexed="81"/>
            <rFont val="Tahoma"/>
            <family val="2"/>
          </rPr>
          <t>Do not</t>
        </r>
        <r>
          <rPr>
            <sz val="12"/>
            <color indexed="81"/>
            <rFont val="Tahoma"/>
            <family val="2"/>
          </rPr>
          <t xml:space="preserve"> use "ALL".
Only 1 location may be entered per row.</t>
        </r>
      </text>
    </comment>
    <comment ref="I182" authorId="2" shapeId="0" xr:uid="{00000000-0006-0000-0800-000032000000}">
      <text>
        <r>
          <rPr>
            <sz val="12"/>
            <color indexed="81"/>
            <rFont val="Tahoma"/>
            <family val="2"/>
          </rPr>
          <t xml:space="preserve">Enter the POL if necessary.  </t>
        </r>
        <r>
          <rPr>
            <u/>
            <sz val="12"/>
            <color indexed="81"/>
            <rFont val="Tahoma"/>
            <family val="2"/>
          </rPr>
          <t>Do not</t>
        </r>
        <r>
          <rPr>
            <sz val="12"/>
            <color indexed="81"/>
            <rFont val="Tahoma"/>
            <family val="2"/>
          </rPr>
          <t xml:space="preserve"> use "ALL".
Only 1 location is allowed per row and must be a valid seaport.</t>
        </r>
      </text>
    </comment>
    <comment ref="J182" authorId="2" shapeId="0" xr:uid="{00000000-0006-0000-0800-000033000000}">
      <text>
        <r>
          <rPr>
            <sz val="12"/>
            <color indexed="81"/>
            <rFont val="Tahoma"/>
            <family val="2"/>
          </rPr>
          <t xml:space="preserve">Enter the POD if necessary.  </t>
        </r>
        <r>
          <rPr>
            <u/>
            <sz val="12"/>
            <color indexed="81"/>
            <rFont val="Tahoma"/>
            <family val="2"/>
          </rPr>
          <t>Do not</t>
        </r>
        <r>
          <rPr>
            <sz val="12"/>
            <color indexed="81"/>
            <rFont val="Tahoma"/>
            <family val="2"/>
          </rPr>
          <t xml:space="preserve"> use "ALL".
Only 1 location is allowed per row and must be a valid seaport.</t>
        </r>
      </text>
    </comment>
    <comment ref="K182" authorId="2" shapeId="0" xr:uid="{00000000-0006-0000-0800-000034000000}">
      <text>
        <r>
          <rPr>
            <sz val="12"/>
            <color indexed="81"/>
            <rFont val="Tahoma"/>
            <family val="2"/>
          </rPr>
          <t xml:space="preserve">Specify the Place of Delivery if necessary.  </t>
        </r>
        <r>
          <rPr>
            <u/>
            <sz val="12"/>
            <color indexed="81"/>
            <rFont val="Tahoma"/>
            <family val="2"/>
          </rPr>
          <t>Do not</t>
        </r>
        <r>
          <rPr>
            <sz val="12"/>
            <color indexed="81"/>
            <rFont val="Tahoma"/>
            <family val="2"/>
          </rPr>
          <t xml:space="preserve"> use "ALL".
Only 1 location may be entered per row.</t>
        </r>
      </text>
    </comment>
    <comment ref="L182" authorId="3" shapeId="0" xr:uid="{E1C6E605-038C-40F9-B742-9CF76F210BE3}">
      <text>
        <r>
          <rPr>
            <sz val="12"/>
            <color indexed="81"/>
            <rFont val="Tahoma"/>
            <family val="2"/>
          </rPr>
          <t xml:space="preserve">Enter the Country Code ONLY.  </t>
        </r>
        <r>
          <rPr>
            <u/>
            <sz val="12"/>
            <color indexed="81"/>
            <rFont val="Tahoma"/>
            <family val="2"/>
          </rPr>
          <t>Cannot</t>
        </r>
        <r>
          <rPr>
            <sz val="12"/>
            <color indexed="81"/>
            <rFont val="Tahoma"/>
            <family val="2"/>
          </rPr>
          <t xml:space="preserve"> use "ALL" or country name</t>
        </r>
      </text>
    </comment>
    <comment ref="M182" authorId="2" shapeId="0" xr:uid="{00000000-0006-0000-0800-000035000000}">
      <text>
        <r>
          <rPr>
            <sz val="12"/>
            <color indexed="81"/>
            <rFont val="Tahoma"/>
            <family val="2"/>
          </rPr>
          <t xml:space="preserve">Enter additional notes only when absolutely necessary.  
</t>
        </r>
        <r>
          <rPr>
            <u/>
            <sz val="12"/>
            <color indexed="81"/>
            <rFont val="Tahoma"/>
            <family val="2"/>
          </rPr>
          <t>IMPORTANT</t>
        </r>
        <r>
          <rPr>
            <sz val="12"/>
            <color indexed="81"/>
            <rFont val="Tahoma"/>
            <family val="2"/>
          </rPr>
          <t xml:space="preserve">:  Named accounts and specific commodities </t>
        </r>
        <r>
          <rPr>
            <b/>
            <u/>
            <sz val="12"/>
            <color indexed="81"/>
            <rFont val="Tahoma"/>
            <family val="2"/>
          </rPr>
          <t>may not</t>
        </r>
        <r>
          <rPr>
            <sz val="12"/>
            <color indexed="81"/>
            <rFont val="Tahoma"/>
            <family val="2"/>
          </rPr>
          <t xml:space="preserve"> be listed as Notes.</t>
        </r>
      </text>
    </comment>
    <comment ref="A195" authorId="2" shapeId="0" xr:uid="{71CC90AE-25E2-4394-8658-B17F61E63FEC}">
      <text>
        <r>
          <rPr>
            <sz val="12"/>
            <color indexed="81"/>
            <rFont val="Tahoma"/>
            <family val="2"/>
          </rPr>
          <t>Select the bullet for which the exception applies.
If exception applies to all bullets, select "ALL".</t>
        </r>
      </text>
    </comment>
    <comment ref="B195" authorId="2" shapeId="0" xr:uid="{FC0A5E4A-989A-4586-A8F3-E741EDB06F06}">
      <text>
        <r>
          <rPr>
            <sz val="12"/>
            <color indexed="81"/>
            <rFont val="Tahoma"/>
            <family val="2"/>
          </rPr>
          <t xml:space="preserve">Specify if Free Time condition applies to Export or Import:
</t>
        </r>
        <r>
          <rPr>
            <b/>
            <sz val="12"/>
            <color indexed="81"/>
            <rFont val="Tahoma"/>
            <family val="2"/>
          </rPr>
          <t xml:space="preserve">E </t>
        </r>
        <r>
          <rPr>
            <sz val="12"/>
            <color indexed="81"/>
            <rFont val="Tahoma"/>
            <family val="2"/>
          </rPr>
          <t xml:space="preserve">(Export) = applies at origin
</t>
        </r>
        <r>
          <rPr>
            <b/>
            <sz val="12"/>
            <color indexed="81"/>
            <rFont val="Tahoma"/>
            <family val="2"/>
          </rPr>
          <t xml:space="preserve">I </t>
        </r>
        <r>
          <rPr>
            <sz val="12"/>
            <color indexed="81"/>
            <rFont val="Tahoma"/>
            <family val="2"/>
          </rPr>
          <t>(Import) = applies at destination</t>
        </r>
      </text>
    </comment>
    <comment ref="C195" authorId="2" shapeId="0" xr:uid="{ECC0805E-F96C-49B1-AD53-77B122E99716}">
      <text>
        <r>
          <rPr>
            <sz val="12"/>
            <color indexed="81"/>
            <rFont val="Tahoma"/>
            <family val="2"/>
          </rPr>
          <t>Enter Type of Free Time:</t>
        </r>
        <r>
          <rPr>
            <u/>
            <sz val="12"/>
            <color indexed="81"/>
            <rFont val="Tahoma"/>
            <family val="2"/>
          </rPr>
          <t xml:space="preserve">
</t>
        </r>
        <r>
          <rPr>
            <sz val="12"/>
            <color indexed="81"/>
            <rFont val="Tahoma"/>
            <family val="2"/>
          </rPr>
          <t xml:space="preserve">
</t>
        </r>
        <r>
          <rPr>
            <b/>
            <sz val="12"/>
            <color indexed="81"/>
            <rFont val="Tahoma"/>
            <family val="2"/>
          </rPr>
          <t>Detention
Demurrage
Merged</t>
        </r>
      </text>
    </comment>
    <comment ref="F195" authorId="2" shapeId="0" xr:uid="{BD350F6A-8E96-45E2-B91C-FA858885F1D1}">
      <text>
        <r>
          <rPr>
            <sz val="12"/>
            <color indexed="81"/>
            <rFont val="Tahoma"/>
            <family val="2"/>
          </rPr>
          <t>If any exceptional charges are offered, then the currency is required to be shown.</t>
        </r>
      </text>
    </comment>
    <comment ref="W195" authorId="2" shapeId="0" xr:uid="{287FD2DA-FBF7-4E66-8875-B0115EC8956B}">
      <text>
        <r>
          <rPr>
            <sz val="12"/>
            <color indexed="81"/>
            <rFont val="Tahoma"/>
            <family val="2"/>
          </rPr>
          <t xml:space="preserve">Specify Equipment Type (blank field indicates applicability to all Eq Types):
</t>
        </r>
        <r>
          <rPr>
            <b/>
            <sz val="12"/>
            <color indexed="81"/>
            <rFont val="Tahoma"/>
            <family val="2"/>
          </rPr>
          <t>D</t>
        </r>
        <r>
          <rPr>
            <sz val="12"/>
            <color indexed="81"/>
            <rFont val="Tahoma"/>
            <family val="2"/>
          </rPr>
          <t xml:space="preserve"> = Dry
</t>
        </r>
        <r>
          <rPr>
            <b/>
            <sz val="12"/>
            <color indexed="81"/>
            <rFont val="Tahoma"/>
            <family val="2"/>
          </rPr>
          <t>R</t>
        </r>
        <r>
          <rPr>
            <sz val="12"/>
            <color indexed="81"/>
            <rFont val="Tahoma"/>
            <family val="2"/>
          </rPr>
          <t xml:space="preserve"> = Reefer
</t>
        </r>
        <r>
          <rPr>
            <b/>
            <sz val="12"/>
            <color indexed="81"/>
            <rFont val="Tahoma"/>
            <family val="2"/>
          </rPr>
          <t>OT</t>
        </r>
        <r>
          <rPr>
            <sz val="12"/>
            <color indexed="81"/>
            <rFont val="Tahoma"/>
            <family val="2"/>
          </rPr>
          <t xml:space="preserve"> = Open Top
</t>
        </r>
        <r>
          <rPr>
            <b/>
            <sz val="12"/>
            <color indexed="81"/>
            <rFont val="Tahoma"/>
            <family val="2"/>
          </rPr>
          <t>FR</t>
        </r>
        <r>
          <rPr>
            <sz val="12"/>
            <color indexed="81"/>
            <rFont val="Tahoma"/>
            <family val="2"/>
          </rPr>
          <t xml:space="preserve"> = Flat Rack</t>
        </r>
      </text>
    </comment>
    <comment ref="X195" authorId="2" shapeId="0" xr:uid="{F410316A-5818-477B-BB48-C624D14A2629}">
      <text>
        <r>
          <rPr>
            <sz val="12"/>
            <color indexed="81"/>
            <rFont val="Tahoma"/>
            <family val="2"/>
          </rPr>
          <t>Select "OR" from the drop down list if condition applies to Operating Reefers</t>
        </r>
      </text>
    </comment>
    <comment ref="Y195" authorId="2" shapeId="0" xr:uid="{E5A6FF5A-E2B5-46B1-B54F-9A510EEC19BA}">
      <text>
        <r>
          <rPr>
            <sz val="12"/>
            <color indexed="81"/>
            <rFont val="Tahoma"/>
            <family val="2"/>
          </rPr>
          <t xml:space="preserve">Specify the Place of Receipt if necessary.  </t>
        </r>
        <r>
          <rPr>
            <u/>
            <sz val="12"/>
            <color indexed="81"/>
            <rFont val="Tahoma"/>
            <family val="2"/>
          </rPr>
          <t>Do not</t>
        </r>
        <r>
          <rPr>
            <sz val="12"/>
            <color indexed="81"/>
            <rFont val="Tahoma"/>
            <family val="2"/>
          </rPr>
          <t xml:space="preserve"> use "ALL".
Only 1 location may be entered per row.</t>
        </r>
      </text>
    </comment>
    <comment ref="Z195" authorId="2" shapeId="0" xr:uid="{543FE98A-B26E-4536-BB3F-26FEA3DA8C01}">
      <text>
        <r>
          <rPr>
            <sz val="12"/>
            <color indexed="81"/>
            <rFont val="Tahoma"/>
            <family val="2"/>
          </rPr>
          <t xml:space="preserve">Enter the POL if necessary.  </t>
        </r>
        <r>
          <rPr>
            <u/>
            <sz val="12"/>
            <color indexed="81"/>
            <rFont val="Tahoma"/>
            <family val="2"/>
          </rPr>
          <t>Do not</t>
        </r>
        <r>
          <rPr>
            <sz val="12"/>
            <color indexed="81"/>
            <rFont val="Tahoma"/>
            <family val="2"/>
          </rPr>
          <t xml:space="preserve"> use "ALL".
Only 1 location is allowed per row and must be a valid seaport.</t>
        </r>
      </text>
    </comment>
    <comment ref="AA195" authorId="2" shapeId="0" xr:uid="{45411701-3F4A-4DC2-A227-E9B947C5E78D}">
      <text>
        <r>
          <rPr>
            <sz val="12"/>
            <color indexed="81"/>
            <rFont val="Tahoma"/>
            <family val="2"/>
          </rPr>
          <t xml:space="preserve">Enter the POD if necessary.  </t>
        </r>
        <r>
          <rPr>
            <u/>
            <sz val="12"/>
            <color indexed="81"/>
            <rFont val="Tahoma"/>
            <family val="2"/>
          </rPr>
          <t>Do not</t>
        </r>
        <r>
          <rPr>
            <sz val="12"/>
            <color indexed="81"/>
            <rFont val="Tahoma"/>
            <family val="2"/>
          </rPr>
          <t xml:space="preserve"> use "ALL".
Only 1 location is allowed per row and must be a valid seaport.</t>
        </r>
      </text>
    </comment>
    <comment ref="AB195" authorId="2" shapeId="0" xr:uid="{2358D68D-70F4-4001-96C9-6C49BFA62401}">
      <text>
        <r>
          <rPr>
            <sz val="12"/>
            <color indexed="81"/>
            <rFont val="Tahoma"/>
            <family val="2"/>
          </rPr>
          <t xml:space="preserve">Specify the Place of Delivery if necessary.  </t>
        </r>
        <r>
          <rPr>
            <u/>
            <sz val="12"/>
            <color indexed="81"/>
            <rFont val="Tahoma"/>
            <family val="2"/>
          </rPr>
          <t>Do not</t>
        </r>
        <r>
          <rPr>
            <sz val="12"/>
            <color indexed="81"/>
            <rFont val="Tahoma"/>
            <family val="2"/>
          </rPr>
          <t xml:space="preserve"> use "ALL".
Only 1 location may be entered per row.</t>
        </r>
      </text>
    </comment>
    <comment ref="AC195" authorId="3" shapeId="0" xr:uid="{907AC7D4-C61B-4CF8-9473-AC9A9A40D001}">
      <text>
        <r>
          <rPr>
            <sz val="12"/>
            <color indexed="81"/>
            <rFont val="Tahoma"/>
            <family val="2"/>
          </rPr>
          <t xml:space="preserve">Enter the Country Code ONLY.  </t>
        </r>
        <r>
          <rPr>
            <u/>
            <sz val="12"/>
            <color indexed="81"/>
            <rFont val="Tahoma"/>
            <family val="2"/>
          </rPr>
          <t>Cannot</t>
        </r>
        <r>
          <rPr>
            <sz val="12"/>
            <color indexed="81"/>
            <rFont val="Tahoma"/>
            <family val="2"/>
          </rPr>
          <t xml:space="preserve"> use "ALL" or country name</t>
        </r>
      </text>
    </comment>
    <comment ref="AD195" authorId="2" shapeId="0" xr:uid="{2A25E29C-FE67-460C-81B3-25147B3BE3ED}">
      <text>
        <r>
          <rPr>
            <sz val="12"/>
            <color indexed="81"/>
            <rFont val="Tahoma"/>
            <family val="2"/>
          </rPr>
          <t xml:space="preserve">Enter additional notes only when absolutely necessary.  
</t>
        </r>
        <r>
          <rPr>
            <u/>
            <sz val="12"/>
            <color indexed="81"/>
            <rFont val="Tahoma"/>
            <family val="2"/>
          </rPr>
          <t>IMPORTANT</t>
        </r>
        <r>
          <rPr>
            <sz val="12"/>
            <color indexed="81"/>
            <rFont val="Tahoma"/>
            <family val="2"/>
          </rPr>
          <t xml:space="preserve">:  Named accounts and specific commodities </t>
        </r>
        <r>
          <rPr>
            <b/>
            <u/>
            <sz val="12"/>
            <color indexed="81"/>
            <rFont val="Tahoma"/>
            <family val="2"/>
          </rPr>
          <t>may not</t>
        </r>
        <r>
          <rPr>
            <sz val="12"/>
            <color indexed="81"/>
            <rFont val="Tahoma"/>
            <family val="2"/>
          </rPr>
          <t xml:space="preserve"> be listed as Notes.</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ext.obouge</author>
    <author>William MALLOL</author>
    <author>usa.gewan</author>
    <author>GENDER Charlie - NOR</author>
  </authors>
  <commentList>
    <comment ref="B13" authorId="0" shapeId="0" xr:uid="{00000000-0006-0000-0900-000001000000}">
      <text>
        <r>
          <rPr>
            <b/>
            <sz val="12"/>
            <color indexed="81"/>
            <rFont val="Tahoma"/>
            <family val="2"/>
          </rPr>
          <t>Please use comma to separate commodities.</t>
        </r>
      </text>
    </comment>
    <comment ref="A20" authorId="1" shapeId="0" xr:uid="{00000000-0006-0000-0900-000002000000}">
      <text>
        <r>
          <rPr>
            <b/>
            <sz val="14"/>
            <color indexed="81"/>
            <rFont val="Tahoma"/>
            <family val="2"/>
          </rPr>
          <t>Port Group Codes can be used to group any two or more valid seaports that are common rated.
Port Group Codes cannot be used for inland locations.</t>
        </r>
      </text>
    </comment>
    <comment ref="B20" authorId="0" shapeId="0" xr:uid="{00000000-0006-0000-0900-000003000000}">
      <text>
        <r>
          <rPr>
            <b/>
            <sz val="14"/>
            <color indexed="81"/>
            <rFont val="Tahoma"/>
            <family val="2"/>
          </rPr>
          <t>Please use comma to separate ports.
Only valid sea ports may be included.</t>
        </r>
      </text>
    </comment>
    <comment ref="A30" authorId="1" shapeId="0" xr:uid="{00000000-0006-0000-0900-000004000000}">
      <text>
        <r>
          <rPr>
            <b/>
            <sz val="14"/>
            <color indexed="81"/>
            <rFont val="Tahoma"/>
            <family val="2"/>
          </rPr>
          <t>Please use FAK/ Bullets defined above.</t>
        </r>
      </text>
    </comment>
    <comment ref="B30" authorId="1" shapeId="0" xr:uid="{00000000-0006-0000-0900-000005000000}">
      <text>
        <r>
          <rPr>
            <b/>
            <sz val="14"/>
            <color indexed="81"/>
            <rFont val="Tahoma"/>
            <family val="2"/>
          </rPr>
          <t>City, State / ZIP Code</t>
        </r>
      </text>
    </comment>
    <comment ref="C30" authorId="1" shapeId="0" xr:uid="{00000000-0006-0000-0900-000006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D30" authorId="1" shapeId="0" xr:uid="{00000000-0006-0000-0900-000007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E30" authorId="1" shapeId="0" xr:uid="{00000000-0006-0000-0900-000008000000}">
      <text>
        <r>
          <rPr>
            <b/>
            <sz val="14"/>
            <color indexed="81"/>
            <rFont val="Tahoma"/>
            <family val="2"/>
          </rPr>
          <t>City, State / ZIP Code</t>
        </r>
      </text>
    </comment>
    <comment ref="F30" authorId="2" shapeId="0" xr:uid="{00000000-0006-0000-0900-000009000000}">
      <text>
        <r>
          <rPr>
            <b/>
            <sz val="14"/>
            <color indexed="81"/>
            <rFont val="Tahoma"/>
            <family val="2"/>
          </rPr>
          <t>Indicate the mode of transportation at origin and destination.
Mode cannot begin with CY if there is a location listed as place of receipt.
Mode cannot end with CY if there is a location is listed as place of delivery</t>
        </r>
      </text>
    </comment>
    <comment ref="G30" authorId="2" shapeId="0" xr:uid="{00000000-0006-0000-0900-00000A000000}">
      <text>
        <r>
          <rPr>
            <b/>
            <sz val="14"/>
            <color indexed="81"/>
            <rFont val="Tahoma"/>
            <family val="2"/>
          </rPr>
          <t>Indicate whether or not door service is included at origin and destination</t>
        </r>
      </text>
    </comment>
    <comment ref="M30" authorId="2" shapeId="0" xr:uid="{00000000-0006-0000-0900-00000B000000}">
      <text>
        <r>
          <rPr>
            <b/>
            <sz val="14"/>
            <color indexed="81"/>
            <rFont val="Tahoma"/>
            <family val="2"/>
          </rPr>
          <t>Use these columns for exceptions to surcharge applicability in note 2</t>
        </r>
      </text>
    </comment>
    <comment ref="AA30" authorId="2" shapeId="0" xr:uid="{00000000-0006-0000-0900-00000C000000}">
      <text>
        <r>
          <rPr>
            <b/>
            <sz val="14"/>
            <color indexed="81"/>
            <rFont val="Tahoma"/>
            <family val="2"/>
          </rPr>
          <t>This field controls construction using Arbitraries and Inland Tariffs
Y = allowed in US, N = not allowed in US, 
E = allowed at origin, I = allowed at destination,
B = allowed at both origin and destination
X = not allowed at either origin or destination</t>
        </r>
      </text>
    </comment>
    <comment ref="A39" authorId="1" shapeId="0" xr:uid="{00000000-0006-0000-0900-00000D000000}">
      <text>
        <r>
          <rPr>
            <b/>
            <sz val="14"/>
            <color indexed="81"/>
            <rFont val="Tahoma"/>
            <family val="2"/>
          </rPr>
          <t>Please use FAK/ Bullets defined above.</t>
        </r>
      </text>
    </comment>
    <comment ref="B39" authorId="1" shapeId="0" xr:uid="{00000000-0006-0000-0900-00000E000000}">
      <text>
        <r>
          <rPr>
            <b/>
            <sz val="14"/>
            <color indexed="81"/>
            <rFont val="Tahoma"/>
            <family val="2"/>
          </rPr>
          <t>City, State / ZIP Code</t>
        </r>
      </text>
    </comment>
    <comment ref="C39" authorId="1" shapeId="0" xr:uid="{00000000-0006-0000-0900-00000F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D39" authorId="1" shapeId="0" xr:uid="{00000000-0006-0000-0900-000010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E39" authorId="1" shapeId="0" xr:uid="{00000000-0006-0000-0900-000011000000}">
      <text>
        <r>
          <rPr>
            <b/>
            <sz val="14"/>
            <color indexed="81"/>
            <rFont val="Tahoma"/>
            <family val="2"/>
          </rPr>
          <t>City, State / ZIP Code</t>
        </r>
      </text>
    </comment>
    <comment ref="F39" authorId="2" shapeId="0" xr:uid="{00000000-0006-0000-0900-000012000000}">
      <text>
        <r>
          <rPr>
            <b/>
            <sz val="14"/>
            <color indexed="81"/>
            <rFont val="Tahoma"/>
            <family val="2"/>
          </rPr>
          <t>Indicate the mode of transportation at origin and destination.
Mode cannot begin with CY if there is a location listed as place of receipt.
Mode cannot end with CY if there is a location is listed as place of delivery</t>
        </r>
      </text>
    </comment>
    <comment ref="G39" authorId="2" shapeId="0" xr:uid="{00000000-0006-0000-0900-000013000000}">
      <text>
        <r>
          <rPr>
            <b/>
            <sz val="14"/>
            <color indexed="81"/>
            <rFont val="Tahoma"/>
            <family val="2"/>
          </rPr>
          <t>Indicate whether or not door service is included at origin and destination</t>
        </r>
      </text>
    </comment>
    <comment ref="O39" authorId="2" shapeId="0" xr:uid="{00000000-0006-0000-0900-000014000000}">
      <text>
        <r>
          <rPr>
            <b/>
            <sz val="14"/>
            <color indexed="81"/>
            <rFont val="Tahoma"/>
            <family val="2"/>
          </rPr>
          <t>Use these columns for exceptions to surcharge applicability in note 2</t>
        </r>
      </text>
    </comment>
    <comment ref="AA39" authorId="2" shapeId="0" xr:uid="{00000000-0006-0000-0900-000015000000}">
      <text>
        <r>
          <rPr>
            <b/>
            <sz val="14"/>
            <color indexed="81"/>
            <rFont val="Tahoma"/>
            <family val="2"/>
          </rPr>
          <t>This field controls construction using Arbitraries and Inland Tariffs
Y = allowed in US, N = not allowed in US, 
E = allowed at origin, I = allowed at destination,
B = allowed at both origin and destination
X = not allowed at either origin or destination</t>
        </r>
      </text>
    </comment>
    <comment ref="A48" authorId="1" shapeId="0" xr:uid="{00000000-0006-0000-0900-000016000000}">
      <text>
        <r>
          <rPr>
            <b/>
            <sz val="14"/>
            <color indexed="81"/>
            <rFont val="Tahoma"/>
            <family val="2"/>
          </rPr>
          <t>Please use FAK/ Bullets defined above.</t>
        </r>
      </text>
    </comment>
    <comment ref="B48" authorId="1" shapeId="0" xr:uid="{00000000-0006-0000-0900-000017000000}">
      <text>
        <r>
          <rPr>
            <b/>
            <sz val="14"/>
            <color indexed="81"/>
            <rFont val="Tahoma"/>
            <family val="2"/>
          </rPr>
          <t>City, State / ZIP Code</t>
        </r>
      </text>
    </comment>
    <comment ref="C48" authorId="1" shapeId="0" xr:uid="{00000000-0006-0000-0900-000018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D48" authorId="1" shapeId="0" xr:uid="{00000000-0006-0000-0900-000019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E48" authorId="1" shapeId="0" xr:uid="{00000000-0006-0000-0900-00001A000000}">
      <text>
        <r>
          <rPr>
            <b/>
            <sz val="14"/>
            <color indexed="81"/>
            <rFont val="Tahoma"/>
            <family val="2"/>
          </rPr>
          <t>City, State / ZIP Code</t>
        </r>
      </text>
    </comment>
    <comment ref="F48" authorId="2" shapeId="0" xr:uid="{00000000-0006-0000-0900-00001B000000}">
      <text>
        <r>
          <rPr>
            <b/>
            <sz val="14"/>
            <color indexed="81"/>
            <rFont val="Tahoma"/>
            <family val="2"/>
          </rPr>
          <t>Indicate the mode of transportation at origin and destination.
Mode cannot begin with CY if there is a location listed as place of receipt.
Mode cannot end with CY if there is a location is listed as place of delivery</t>
        </r>
      </text>
    </comment>
    <comment ref="G48" authorId="2" shapeId="0" xr:uid="{00000000-0006-0000-0900-00001C000000}">
      <text>
        <r>
          <rPr>
            <b/>
            <sz val="14"/>
            <color indexed="81"/>
            <rFont val="Tahoma"/>
            <family val="2"/>
          </rPr>
          <t>Indicate whether or not door service is included at origin and destination</t>
        </r>
      </text>
    </comment>
    <comment ref="Q48" authorId="2" shapeId="0" xr:uid="{00000000-0006-0000-0900-00001D000000}">
      <text>
        <r>
          <rPr>
            <b/>
            <sz val="14"/>
            <color indexed="81"/>
            <rFont val="Tahoma"/>
            <family val="2"/>
          </rPr>
          <t>Use these columns for exceptions to surcharge applicability in note 2</t>
        </r>
      </text>
    </comment>
    <comment ref="AC48" authorId="2" shapeId="0" xr:uid="{00000000-0006-0000-0900-00001E000000}">
      <text>
        <r>
          <rPr>
            <b/>
            <sz val="14"/>
            <color indexed="81"/>
            <rFont val="Tahoma"/>
            <family val="2"/>
          </rPr>
          <t>This field controls construction using Arbitraries and Inland Tariffs
Y = allowed in US, N = not allowed in US, 
E = allowed at origin, I = allowed at destination,
B = allowed at both origin and destination
X = not allowed at either origin or destination</t>
        </r>
      </text>
    </comment>
    <comment ref="B65" authorId="2" shapeId="0" xr:uid="{00000000-0006-0000-0900-00001F000000}">
      <text>
        <r>
          <rPr>
            <b/>
            <sz val="14"/>
            <color indexed="81"/>
            <rFont val="Tahoma"/>
            <family val="2"/>
          </rPr>
          <t>Place of Origin - may be an outport for feeder (CY) arbitraries or an inland origin
Format is:  City, State or ZIP Code</t>
        </r>
      </text>
    </comment>
    <comment ref="E65" authorId="2" shapeId="0" xr:uid="{00000000-0006-0000-0900-000020000000}">
      <text>
        <r>
          <rPr>
            <b/>
            <sz val="14"/>
            <color indexed="81"/>
            <rFont val="Tahoma"/>
            <family val="2"/>
          </rPr>
          <t xml:space="preserve">Please use only one port or a group of ports (Port groups must be defined in the Port Group Codes table).
Arbitrary construction can only occur with rate conditions which show these ports as the POL.
</t>
        </r>
        <r>
          <rPr>
            <b/>
            <i/>
            <sz val="14"/>
            <color indexed="81"/>
            <rFont val="Tahoma"/>
            <family val="2"/>
          </rPr>
          <t>All ports must be valid SEA ports.</t>
        </r>
      </text>
    </comment>
    <comment ref="F65" authorId="2" shapeId="0" xr:uid="{00000000-0006-0000-0900-000021000000}">
      <text>
        <r>
          <rPr>
            <b/>
            <sz val="14"/>
            <color indexed="81"/>
            <rFont val="Tahoma"/>
            <family val="2"/>
          </rPr>
          <t>Indicate the mode of transportation between the arbitrary place of receipt and arbitrary POL.
CY modes can only be used when the mode of transportation is by Feeder.
Use of CY mode requires both the locations to be valid SEA ports.</t>
        </r>
      </text>
    </comment>
    <comment ref="G65" authorId="2" shapeId="0" xr:uid="{00000000-0006-0000-0900-000022000000}">
      <text>
        <r>
          <rPr>
            <b/>
            <sz val="14"/>
            <color indexed="81"/>
            <rFont val="Tahoma"/>
            <family val="2"/>
          </rPr>
          <t>Indicate whether or not door service is included in the arbitrary rate</t>
        </r>
      </text>
    </comment>
    <comment ref="H65" authorId="2" shapeId="0" xr:uid="{00000000-0006-0000-0900-000023000000}">
      <text>
        <r>
          <rPr>
            <b/>
            <sz val="14"/>
            <color indexed="81"/>
            <rFont val="Tahoma"/>
            <family val="2"/>
          </rPr>
          <t>Input the rate in this field when the same amount applies for all container sizes</t>
        </r>
      </text>
    </comment>
    <comment ref="N65" authorId="2" shapeId="0" xr:uid="{00000000-0006-0000-0900-000024000000}">
      <text>
        <r>
          <rPr>
            <b/>
            <sz val="14"/>
            <color indexed="81"/>
            <rFont val="Tahoma"/>
            <family val="2"/>
          </rPr>
          <t>Each Arbitrary applies only to FAK / Bullets as specifically listed in this field.</t>
        </r>
      </text>
    </comment>
    <comment ref="B80" authorId="2" shapeId="0" xr:uid="{00000000-0006-0000-0900-000025000000}">
      <text>
        <r>
          <rPr>
            <b/>
            <sz val="14"/>
            <color indexed="81"/>
            <rFont val="Tahoma"/>
            <family val="2"/>
          </rPr>
          <t>Place of Destination - may be an outport for feeder (CY) arbitraries or an inland destination
Format is:  City, State or ZIP Code</t>
        </r>
      </text>
    </comment>
    <comment ref="E80" authorId="2" shapeId="0" xr:uid="{00000000-0006-0000-0900-000026000000}">
      <text>
        <r>
          <rPr>
            <b/>
            <sz val="14"/>
            <color indexed="81"/>
            <rFont val="Tahoma"/>
            <family val="2"/>
          </rPr>
          <t xml:space="preserve">Please use only one port or a group of ports (Port groups must be defined in the Port Group Codes table).
Arbitrary construction can only occur with rate conditions which show these ports as the POD.
</t>
        </r>
        <r>
          <rPr>
            <b/>
            <i/>
            <sz val="14"/>
            <color indexed="81"/>
            <rFont val="Tahoma"/>
            <family val="2"/>
          </rPr>
          <t>All ports must be valid SEA ports.</t>
        </r>
      </text>
    </comment>
    <comment ref="F80" authorId="2" shapeId="0" xr:uid="{00000000-0006-0000-0900-000027000000}">
      <text>
        <r>
          <rPr>
            <b/>
            <sz val="14"/>
            <color indexed="81"/>
            <rFont val="Tahoma"/>
            <family val="2"/>
          </rPr>
          <t>Indicate the mode of transportation between the arbitrary POD and arbitrary place of delivery.
CY modes can only be used when the mode of transportation is by Feeder.
Use of CY mode requires both the locations to be valid SEA ports.</t>
        </r>
      </text>
    </comment>
    <comment ref="G80" authorId="2" shapeId="0" xr:uid="{00000000-0006-0000-0900-000028000000}">
      <text>
        <r>
          <rPr>
            <b/>
            <sz val="14"/>
            <color indexed="81"/>
            <rFont val="Tahoma"/>
            <family val="2"/>
          </rPr>
          <t>Indicate whether or not door service is included in the arbitrary rate</t>
        </r>
      </text>
    </comment>
    <comment ref="H80" authorId="2" shapeId="0" xr:uid="{00000000-0006-0000-0900-000029000000}">
      <text>
        <r>
          <rPr>
            <b/>
            <sz val="14"/>
            <color indexed="81"/>
            <rFont val="Tahoma"/>
            <family val="2"/>
          </rPr>
          <t>Input the rate in this field when the same amount applies for all container sizes</t>
        </r>
      </text>
    </comment>
    <comment ref="N80" authorId="2" shapeId="0" xr:uid="{00000000-0006-0000-0900-00002A000000}">
      <text>
        <r>
          <rPr>
            <b/>
            <sz val="14"/>
            <color indexed="81"/>
            <rFont val="Tahoma"/>
            <family val="2"/>
          </rPr>
          <t>Each Arbitrary applies only to FAK / Bullets as specifically listed in this field.</t>
        </r>
      </text>
    </comment>
    <comment ref="L90" authorId="2" shapeId="0" xr:uid="{00000000-0006-0000-0900-00002B000000}">
      <text>
        <r>
          <rPr>
            <b/>
            <sz val="14"/>
            <color indexed="81"/>
            <rFont val="Tahoma"/>
            <family val="2"/>
          </rPr>
          <t>Surcharge applicability mentioned on any row applies specifically to the individual port mentioned in this field.
If the Applicable Port field is blank, then the  surcharge applicability stated on that row applies to all ports.</t>
        </r>
      </text>
    </comment>
    <comment ref="A186" authorId="2" shapeId="0" xr:uid="{00000000-0006-0000-0900-00002C000000}">
      <text>
        <r>
          <rPr>
            <sz val="12"/>
            <color indexed="81"/>
            <rFont val="Tahoma"/>
            <family val="2"/>
          </rPr>
          <t>Select the bullet for which the exception applies.
If exception applies to all bullets, select "ALL".</t>
        </r>
      </text>
    </comment>
    <comment ref="B186" authorId="2" shapeId="0" xr:uid="{00000000-0006-0000-0900-00002D000000}">
      <text>
        <r>
          <rPr>
            <sz val="12"/>
            <color indexed="81"/>
            <rFont val="Tahoma"/>
            <family val="2"/>
          </rPr>
          <t xml:space="preserve">Specify if Free Time condition applies to Export or Import:
</t>
        </r>
        <r>
          <rPr>
            <b/>
            <sz val="12"/>
            <color indexed="81"/>
            <rFont val="Tahoma"/>
            <family val="2"/>
          </rPr>
          <t xml:space="preserve">E </t>
        </r>
        <r>
          <rPr>
            <sz val="12"/>
            <color indexed="81"/>
            <rFont val="Tahoma"/>
            <family val="2"/>
          </rPr>
          <t xml:space="preserve">(Export) = applies at origin
</t>
        </r>
        <r>
          <rPr>
            <b/>
            <sz val="12"/>
            <color indexed="81"/>
            <rFont val="Tahoma"/>
            <family val="2"/>
          </rPr>
          <t xml:space="preserve">I </t>
        </r>
        <r>
          <rPr>
            <sz val="12"/>
            <color indexed="81"/>
            <rFont val="Tahoma"/>
            <family val="2"/>
          </rPr>
          <t>(Import) = applies at destination</t>
        </r>
      </text>
    </comment>
    <comment ref="C186" authorId="2" shapeId="0" xr:uid="{00000000-0006-0000-0900-00002E000000}">
      <text>
        <r>
          <rPr>
            <sz val="12"/>
            <color indexed="81"/>
            <rFont val="Tahoma"/>
            <family val="2"/>
          </rPr>
          <t>Enter Type of Free Time:</t>
        </r>
        <r>
          <rPr>
            <u/>
            <sz val="12"/>
            <color indexed="81"/>
            <rFont val="Tahoma"/>
            <family val="2"/>
          </rPr>
          <t xml:space="preserve">
</t>
        </r>
        <r>
          <rPr>
            <sz val="12"/>
            <color indexed="81"/>
            <rFont val="Tahoma"/>
            <family val="2"/>
          </rPr>
          <t xml:space="preserve">
</t>
        </r>
        <r>
          <rPr>
            <b/>
            <sz val="12"/>
            <color indexed="81"/>
            <rFont val="Tahoma"/>
            <family val="2"/>
          </rPr>
          <t>Detention
Demurrage
Merged</t>
        </r>
      </text>
    </comment>
    <comment ref="F186" authorId="2" shapeId="0" xr:uid="{00000000-0006-0000-0900-00002F000000}">
      <text>
        <r>
          <rPr>
            <sz val="12"/>
            <color indexed="81"/>
            <rFont val="Tahoma"/>
            <family val="2"/>
          </rPr>
          <t xml:space="preserve">Specify Equipment Type (blank field indicates applicability to all Eq Types):
</t>
        </r>
        <r>
          <rPr>
            <b/>
            <sz val="12"/>
            <color indexed="81"/>
            <rFont val="Tahoma"/>
            <family val="2"/>
          </rPr>
          <t>D</t>
        </r>
        <r>
          <rPr>
            <sz val="12"/>
            <color indexed="81"/>
            <rFont val="Tahoma"/>
            <family val="2"/>
          </rPr>
          <t xml:space="preserve"> = Dry
</t>
        </r>
        <r>
          <rPr>
            <b/>
            <sz val="12"/>
            <color indexed="81"/>
            <rFont val="Tahoma"/>
            <family val="2"/>
          </rPr>
          <t>R</t>
        </r>
        <r>
          <rPr>
            <sz val="12"/>
            <color indexed="81"/>
            <rFont val="Tahoma"/>
            <family val="2"/>
          </rPr>
          <t xml:space="preserve"> = Reefer
</t>
        </r>
        <r>
          <rPr>
            <b/>
            <sz val="12"/>
            <color indexed="81"/>
            <rFont val="Tahoma"/>
            <family val="2"/>
          </rPr>
          <t>OT</t>
        </r>
        <r>
          <rPr>
            <sz val="12"/>
            <color indexed="81"/>
            <rFont val="Tahoma"/>
            <family val="2"/>
          </rPr>
          <t xml:space="preserve"> = Open Top
</t>
        </r>
        <r>
          <rPr>
            <b/>
            <sz val="12"/>
            <color indexed="81"/>
            <rFont val="Tahoma"/>
            <family val="2"/>
          </rPr>
          <t>FR</t>
        </r>
        <r>
          <rPr>
            <sz val="12"/>
            <color indexed="81"/>
            <rFont val="Tahoma"/>
            <family val="2"/>
          </rPr>
          <t xml:space="preserve"> = Flat Rack</t>
        </r>
      </text>
    </comment>
    <comment ref="G186" authorId="2" shapeId="0" xr:uid="{00000000-0006-0000-0900-000030000000}">
      <text>
        <r>
          <rPr>
            <sz val="12"/>
            <color indexed="81"/>
            <rFont val="Tahoma"/>
            <family val="2"/>
          </rPr>
          <t>Select "OR" from the drop down list if condition applies to Operating Reefers</t>
        </r>
      </text>
    </comment>
    <comment ref="H186" authorId="2" shapeId="0" xr:uid="{00000000-0006-0000-0900-000031000000}">
      <text>
        <r>
          <rPr>
            <sz val="12"/>
            <color indexed="81"/>
            <rFont val="Tahoma"/>
            <family val="2"/>
          </rPr>
          <t xml:space="preserve">Specify the Place of Receipt if necessary.  </t>
        </r>
        <r>
          <rPr>
            <u/>
            <sz val="12"/>
            <color indexed="81"/>
            <rFont val="Tahoma"/>
            <family val="2"/>
          </rPr>
          <t>Do not</t>
        </r>
        <r>
          <rPr>
            <sz val="12"/>
            <color indexed="81"/>
            <rFont val="Tahoma"/>
            <family val="2"/>
          </rPr>
          <t xml:space="preserve"> use "ALL".
Only 1 location may be entered per row.</t>
        </r>
      </text>
    </comment>
    <comment ref="I186" authorId="2" shapeId="0" xr:uid="{00000000-0006-0000-0900-000032000000}">
      <text>
        <r>
          <rPr>
            <sz val="12"/>
            <color indexed="81"/>
            <rFont val="Tahoma"/>
            <family val="2"/>
          </rPr>
          <t xml:space="preserve">Enter the POL if necessary.  </t>
        </r>
        <r>
          <rPr>
            <u/>
            <sz val="12"/>
            <color indexed="81"/>
            <rFont val="Tahoma"/>
            <family val="2"/>
          </rPr>
          <t>Do not</t>
        </r>
        <r>
          <rPr>
            <sz val="12"/>
            <color indexed="81"/>
            <rFont val="Tahoma"/>
            <family val="2"/>
          </rPr>
          <t xml:space="preserve"> use "ALL".
Only 1 location is allowed per row and must be a valid seaport.</t>
        </r>
      </text>
    </comment>
    <comment ref="J186" authorId="2" shapeId="0" xr:uid="{00000000-0006-0000-0900-000033000000}">
      <text>
        <r>
          <rPr>
            <sz val="12"/>
            <color indexed="81"/>
            <rFont val="Tahoma"/>
            <family val="2"/>
          </rPr>
          <t xml:space="preserve">Enter the POD if necessary.  </t>
        </r>
        <r>
          <rPr>
            <u/>
            <sz val="12"/>
            <color indexed="81"/>
            <rFont val="Tahoma"/>
            <family val="2"/>
          </rPr>
          <t>Do not</t>
        </r>
        <r>
          <rPr>
            <sz val="12"/>
            <color indexed="81"/>
            <rFont val="Tahoma"/>
            <family val="2"/>
          </rPr>
          <t xml:space="preserve"> use "ALL".
Only 1 location is allowed per row and must be a valid seaport.</t>
        </r>
      </text>
    </comment>
    <comment ref="K186" authorId="2" shapeId="0" xr:uid="{00000000-0006-0000-0900-000034000000}">
      <text>
        <r>
          <rPr>
            <sz val="12"/>
            <color indexed="81"/>
            <rFont val="Tahoma"/>
            <family val="2"/>
          </rPr>
          <t xml:space="preserve">Specify the Place of Delivery if necessary.  </t>
        </r>
        <r>
          <rPr>
            <u/>
            <sz val="12"/>
            <color indexed="81"/>
            <rFont val="Tahoma"/>
            <family val="2"/>
          </rPr>
          <t>Do not</t>
        </r>
        <r>
          <rPr>
            <sz val="12"/>
            <color indexed="81"/>
            <rFont val="Tahoma"/>
            <family val="2"/>
          </rPr>
          <t xml:space="preserve"> use "ALL".
Only 1 location may be entered per row.</t>
        </r>
      </text>
    </comment>
    <comment ref="L186" authorId="3" shapeId="0" xr:uid="{768B01DD-76A3-48C1-AB0C-2A0E3B7BE311}">
      <text>
        <r>
          <rPr>
            <sz val="12"/>
            <color indexed="81"/>
            <rFont val="Tahoma"/>
            <family val="2"/>
          </rPr>
          <t xml:space="preserve">Enter the Country Code ONLY.  </t>
        </r>
        <r>
          <rPr>
            <u/>
            <sz val="12"/>
            <color indexed="81"/>
            <rFont val="Tahoma"/>
            <family val="2"/>
          </rPr>
          <t>Cannot</t>
        </r>
        <r>
          <rPr>
            <sz val="12"/>
            <color indexed="81"/>
            <rFont val="Tahoma"/>
            <family val="2"/>
          </rPr>
          <t xml:space="preserve"> use "ALL" or country name</t>
        </r>
      </text>
    </comment>
    <comment ref="M186" authorId="2" shapeId="0" xr:uid="{00000000-0006-0000-0900-000035000000}">
      <text>
        <r>
          <rPr>
            <sz val="12"/>
            <color indexed="81"/>
            <rFont val="Tahoma"/>
            <family val="2"/>
          </rPr>
          <t xml:space="preserve">Enter additional notes only when absolutely necessary.  
</t>
        </r>
        <r>
          <rPr>
            <u/>
            <sz val="12"/>
            <color indexed="81"/>
            <rFont val="Tahoma"/>
            <family val="2"/>
          </rPr>
          <t>IMPORTANT</t>
        </r>
        <r>
          <rPr>
            <sz val="12"/>
            <color indexed="81"/>
            <rFont val="Tahoma"/>
            <family val="2"/>
          </rPr>
          <t xml:space="preserve">:  Named accounts and specific commodities </t>
        </r>
        <r>
          <rPr>
            <b/>
            <u/>
            <sz val="12"/>
            <color indexed="81"/>
            <rFont val="Tahoma"/>
            <family val="2"/>
          </rPr>
          <t>may not</t>
        </r>
        <r>
          <rPr>
            <sz val="12"/>
            <color indexed="81"/>
            <rFont val="Tahoma"/>
            <family val="2"/>
          </rPr>
          <t xml:space="preserve"> be listed as Notes.</t>
        </r>
      </text>
    </comment>
    <comment ref="A199" authorId="2" shapeId="0" xr:uid="{9AC6BBBC-89FA-4D93-BE85-25AD44ACA435}">
      <text>
        <r>
          <rPr>
            <sz val="12"/>
            <color indexed="81"/>
            <rFont val="Tahoma"/>
            <family val="2"/>
          </rPr>
          <t>Select the bullet for which the exception applies.
If exception applies to all bullets, select "ALL".</t>
        </r>
      </text>
    </comment>
    <comment ref="B199" authorId="2" shapeId="0" xr:uid="{6153DDD3-B6A5-45D1-86E6-FD506637CB9B}">
      <text>
        <r>
          <rPr>
            <sz val="12"/>
            <color indexed="81"/>
            <rFont val="Tahoma"/>
            <family val="2"/>
          </rPr>
          <t xml:space="preserve">Specify if Free Time condition applies to Export or Import:
</t>
        </r>
        <r>
          <rPr>
            <b/>
            <sz val="12"/>
            <color indexed="81"/>
            <rFont val="Tahoma"/>
            <family val="2"/>
          </rPr>
          <t xml:space="preserve">E </t>
        </r>
        <r>
          <rPr>
            <sz val="12"/>
            <color indexed="81"/>
            <rFont val="Tahoma"/>
            <family val="2"/>
          </rPr>
          <t xml:space="preserve">(Export) = applies at origin
</t>
        </r>
        <r>
          <rPr>
            <b/>
            <sz val="12"/>
            <color indexed="81"/>
            <rFont val="Tahoma"/>
            <family val="2"/>
          </rPr>
          <t xml:space="preserve">I </t>
        </r>
        <r>
          <rPr>
            <sz val="12"/>
            <color indexed="81"/>
            <rFont val="Tahoma"/>
            <family val="2"/>
          </rPr>
          <t>(Import) = applies at destination</t>
        </r>
      </text>
    </comment>
    <comment ref="C199" authorId="2" shapeId="0" xr:uid="{F0BA641A-A3B3-41C5-B045-57E0A35A55B2}">
      <text>
        <r>
          <rPr>
            <sz val="12"/>
            <color indexed="81"/>
            <rFont val="Tahoma"/>
            <family val="2"/>
          </rPr>
          <t>Enter Type of Free Time:</t>
        </r>
        <r>
          <rPr>
            <u/>
            <sz val="12"/>
            <color indexed="81"/>
            <rFont val="Tahoma"/>
            <family val="2"/>
          </rPr>
          <t xml:space="preserve">
</t>
        </r>
        <r>
          <rPr>
            <sz val="12"/>
            <color indexed="81"/>
            <rFont val="Tahoma"/>
            <family val="2"/>
          </rPr>
          <t xml:space="preserve">
</t>
        </r>
        <r>
          <rPr>
            <b/>
            <sz val="12"/>
            <color indexed="81"/>
            <rFont val="Tahoma"/>
            <family val="2"/>
          </rPr>
          <t>Detention
Demurrage
Merged</t>
        </r>
      </text>
    </comment>
    <comment ref="F199" authorId="2" shapeId="0" xr:uid="{2164219F-3D9B-4A04-9A52-53DF49F206A3}">
      <text>
        <r>
          <rPr>
            <sz val="12"/>
            <color indexed="81"/>
            <rFont val="Tahoma"/>
            <family val="2"/>
          </rPr>
          <t>If any exceptional charges are offered, then the currency is required to be shown.</t>
        </r>
      </text>
    </comment>
    <comment ref="W199" authorId="2" shapeId="0" xr:uid="{DA64CFDA-0A50-4650-8EF6-E30D1624DBCD}">
      <text>
        <r>
          <rPr>
            <sz val="12"/>
            <color indexed="81"/>
            <rFont val="Tahoma"/>
            <family val="2"/>
          </rPr>
          <t xml:space="preserve">Specify Equipment Type (blank field indicates applicability to all Eq Types):
</t>
        </r>
        <r>
          <rPr>
            <b/>
            <sz val="12"/>
            <color indexed="81"/>
            <rFont val="Tahoma"/>
            <family val="2"/>
          </rPr>
          <t>D</t>
        </r>
        <r>
          <rPr>
            <sz val="12"/>
            <color indexed="81"/>
            <rFont val="Tahoma"/>
            <family val="2"/>
          </rPr>
          <t xml:space="preserve"> = Dry
</t>
        </r>
        <r>
          <rPr>
            <b/>
            <sz val="12"/>
            <color indexed="81"/>
            <rFont val="Tahoma"/>
            <family val="2"/>
          </rPr>
          <t>R</t>
        </r>
        <r>
          <rPr>
            <sz val="12"/>
            <color indexed="81"/>
            <rFont val="Tahoma"/>
            <family val="2"/>
          </rPr>
          <t xml:space="preserve"> = Reefer
</t>
        </r>
        <r>
          <rPr>
            <b/>
            <sz val="12"/>
            <color indexed="81"/>
            <rFont val="Tahoma"/>
            <family val="2"/>
          </rPr>
          <t>OT</t>
        </r>
        <r>
          <rPr>
            <sz val="12"/>
            <color indexed="81"/>
            <rFont val="Tahoma"/>
            <family val="2"/>
          </rPr>
          <t xml:space="preserve"> = Open Top
</t>
        </r>
        <r>
          <rPr>
            <b/>
            <sz val="12"/>
            <color indexed="81"/>
            <rFont val="Tahoma"/>
            <family val="2"/>
          </rPr>
          <t>FR</t>
        </r>
        <r>
          <rPr>
            <sz val="12"/>
            <color indexed="81"/>
            <rFont val="Tahoma"/>
            <family val="2"/>
          </rPr>
          <t xml:space="preserve"> = Flat Rack</t>
        </r>
      </text>
    </comment>
    <comment ref="X199" authorId="2" shapeId="0" xr:uid="{422E36F6-8D9A-4176-9081-8D107D8BBFA1}">
      <text>
        <r>
          <rPr>
            <sz val="12"/>
            <color indexed="81"/>
            <rFont val="Tahoma"/>
            <family val="2"/>
          </rPr>
          <t>Select "OR" from the drop down list if condition applies to Operating Reefers</t>
        </r>
      </text>
    </comment>
    <comment ref="Y199" authorId="2" shapeId="0" xr:uid="{39D46A8D-0C64-4679-B15A-5E93DE7CA9A0}">
      <text>
        <r>
          <rPr>
            <sz val="12"/>
            <color indexed="81"/>
            <rFont val="Tahoma"/>
            <family val="2"/>
          </rPr>
          <t xml:space="preserve">Specify the Place of Receipt if necessary.  </t>
        </r>
        <r>
          <rPr>
            <u/>
            <sz val="12"/>
            <color indexed="81"/>
            <rFont val="Tahoma"/>
            <family val="2"/>
          </rPr>
          <t>Do not</t>
        </r>
        <r>
          <rPr>
            <sz val="12"/>
            <color indexed="81"/>
            <rFont val="Tahoma"/>
            <family val="2"/>
          </rPr>
          <t xml:space="preserve"> use "ALL".
Only 1 location may be entered per row.</t>
        </r>
      </text>
    </comment>
    <comment ref="Z199" authorId="2" shapeId="0" xr:uid="{5E52B76C-157C-4634-8260-6F985D459C48}">
      <text>
        <r>
          <rPr>
            <sz val="12"/>
            <color indexed="81"/>
            <rFont val="Tahoma"/>
            <family val="2"/>
          </rPr>
          <t xml:space="preserve">Enter the POL if necessary.  </t>
        </r>
        <r>
          <rPr>
            <u/>
            <sz val="12"/>
            <color indexed="81"/>
            <rFont val="Tahoma"/>
            <family val="2"/>
          </rPr>
          <t>Do not</t>
        </r>
        <r>
          <rPr>
            <sz val="12"/>
            <color indexed="81"/>
            <rFont val="Tahoma"/>
            <family val="2"/>
          </rPr>
          <t xml:space="preserve"> use "ALL".
Only 1 location is allowed per row and must be a valid seaport.</t>
        </r>
      </text>
    </comment>
    <comment ref="AA199" authorId="2" shapeId="0" xr:uid="{0CDB512B-7187-46B0-928B-7F0FCE2FBC9D}">
      <text>
        <r>
          <rPr>
            <sz val="12"/>
            <color indexed="81"/>
            <rFont val="Tahoma"/>
            <family val="2"/>
          </rPr>
          <t xml:space="preserve">Enter the POD if necessary.  </t>
        </r>
        <r>
          <rPr>
            <u/>
            <sz val="12"/>
            <color indexed="81"/>
            <rFont val="Tahoma"/>
            <family val="2"/>
          </rPr>
          <t>Do not</t>
        </r>
        <r>
          <rPr>
            <sz val="12"/>
            <color indexed="81"/>
            <rFont val="Tahoma"/>
            <family val="2"/>
          </rPr>
          <t xml:space="preserve"> use "ALL".
Only 1 location is allowed per row and must be a valid seaport.</t>
        </r>
      </text>
    </comment>
    <comment ref="AB199" authorId="2" shapeId="0" xr:uid="{EFC8F29F-0966-4884-902E-11FC7E9E68C1}">
      <text>
        <r>
          <rPr>
            <sz val="12"/>
            <color indexed="81"/>
            <rFont val="Tahoma"/>
            <family val="2"/>
          </rPr>
          <t xml:space="preserve">Specify the Place of Delivery if necessary.  </t>
        </r>
        <r>
          <rPr>
            <u/>
            <sz val="12"/>
            <color indexed="81"/>
            <rFont val="Tahoma"/>
            <family val="2"/>
          </rPr>
          <t>Do not</t>
        </r>
        <r>
          <rPr>
            <sz val="12"/>
            <color indexed="81"/>
            <rFont val="Tahoma"/>
            <family val="2"/>
          </rPr>
          <t xml:space="preserve"> use "ALL".
Only 1 location may be entered per row.</t>
        </r>
      </text>
    </comment>
    <comment ref="AC199" authorId="3" shapeId="0" xr:uid="{BE4100A4-1DA8-4772-B066-B9B35D871CDB}">
      <text>
        <r>
          <rPr>
            <sz val="12"/>
            <color indexed="81"/>
            <rFont val="Tahoma"/>
            <family val="2"/>
          </rPr>
          <t xml:space="preserve">Enter the Country Code ONLY.  </t>
        </r>
        <r>
          <rPr>
            <u/>
            <sz val="12"/>
            <color indexed="81"/>
            <rFont val="Tahoma"/>
            <family val="2"/>
          </rPr>
          <t>Cannot</t>
        </r>
        <r>
          <rPr>
            <sz val="12"/>
            <color indexed="81"/>
            <rFont val="Tahoma"/>
            <family val="2"/>
          </rPr>
          <t xml:space="preserve"> use "ALL" or country name</t>
        </r>
      </text>
    </comment>
    <comment ref="AD199" authorId="2" shapeId="0" xr:uid="{00079E88-AADA-4C70-AD48-3533CA0A176D}">
      <text>
        <r>
          <rPr>
            <sz val="12"/>
            <color indexed="81"/>
            <rFont val="Tahoma"/>
            <family val="2"/>
          </rPr>
          <t xml:space="preserve">Enter additional notes only when absolutely necessary.  
</t>
        </r>
        <r>
          <rPr>
            <u/>
            <sz val="12"/>
            <color indexed="81"/>
            <rFont val="Tahoma"/>
            <family val="2"/>
          </rPr>
          <t>IMPORTANT</t>
        </r>
        <r>
          <rPr>
            <sz val="12"/>
            <color indexed="81"/>
            <rFont val="Tahoma"/>
            <family val="2"/>
          </rPr>
          <t xml:space="preserve">:  Named accounts and specific commodities </t>
        </r>
        <r>
          <rPr>
            <b/>
            <u/>
            <sz val="12"/>
            <color indexed="81"/>
            <rFont val="Tahoma"/>
            <family val="2"/>
          </rPr>
          <t>may not</t>
        </r>
        <r>
          <rPr>
            <sz val="12"/>
            <color indexed="81"/>
            <rFont val="Tahoma"/>
            <family val="2"/>
          </rPr>
          <t xml:space="preserve"> be listed as Notes.</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ext.obouge</author>
    <author>William MALLOL</author>
    <author>usa.gewan</author>
    <author>GENDER Charlie - NOR</author>
  </authors>
  <commentList>
    <comment ref="B13" authorId="0" shapeId="0" xr:uid="{00000000-0006-0000-0A00-000001000000}">
      <text>
        <r>
          <rPr>
            <b/>
            <sz val="12"/>
            <color indexed="81"/>
            <rFont val="Tahoma"/>
            <family val="2"/>
          </rPr>
          <t>Please use comma to separate commodities.</t>
        </r>
      </text>
    </comment>
    <comment ref="A20" authorId="1" shapeId="0" xr:uid="{00000000-0006-0000-0A00-000002000000}">
      <text>
        <r>
          <rPr>
            <b/>
            <sz val="14"/>
            <color indexed="81"/>
            <rFont val="Tahoma"/>
            <family val="2"/>
          </rPr>
          <t>Port Group Codes can be used to group any two or more valid seaports that are common rated.
Port Group Codes cannot be used for inland locations.</t>
        </r>
      </text>
    </comment>
    <comment ref="B20" authorId="0" shapeId="0" xr:uid="{00000000-0006-0000-0A00-000003000000}">
      <text>
        <r>
          <rPr>
            <b/>
            <sz val="14"/>
            <color indexed="81"/>
            <rFont val="Tahoma"/>
            <family val="2"/>
          </rPr>
          <t>Please use comma to separate ports.
Only valid sea ports may be included.</t>
        </r>
      </text>
    </comment>
    <comment ref="A30" authorId="1" shapeId="0" xr:uid="{00000000-0006-0000-0A00-000004000000}">
      <text>
        <r>
          <rPr>
            <b/>
            <sz val="14"/>
            <color indexed="81"/>
            <rFont val="Tahoma"/>
            <family val="2"/>
          </rPr>
          <t>Please use FAK/ Bullets defined above.</t>
        </r>
      </text>
    </comment>
    <comment ref="B30" authorId="1" shapeId="0" xr:uid="{00000000-0006-0000-0A00-000005000000}">
      <text>
        <r>
          <rPr>
            <b/>
            <sz val="14"/>
            <color indexed="81"/>
            <rFont val="Tahoma"/>
            <family val="2"/>
          </rPr>
          <t>City, State / ZIP Code</t>
        </r>
      </text>
    </comment>
    <comment ref="C30" authorId="1" shapeId="0" xr:uid="{00000000-0006-0000-0A00-000006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D30" authorId="1" shapeId="0" xr:uid="{00000000-0006-0000-0A00-000007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E30" authorId="1" shapeId="0" xr:uid="{00000000-0006-0000-0A00-000008000000}">
      <text>
        <r>
          <rPr>
            <b/>
            <sz val="14"/>
            <color indexed="81"/>
            <rFont val="Tahoma"/>
            <family val="2"/>
          </rPr>
          <t>City, State / ZIP Code</t>
        </r>
      </text>
    </comment>
    <comment ref="F30" authorId="2" shapeId="0" xr:uid="{00000000-0006-0000-0A00-000009000000}">
      <text>
        <r>
          <rPr>
            <b/>
            <sz val="14"/>
            <color indexed="81"/>
            <rFont val="Tahoma"/>
            <family val="2"/>
          </rPr>
          <t>Indicate the mode of transportation at origin and destination.
Mode cannot begin with CY if there is a location listed as place of receipt.
Mode cannot end with CY if there is a location is listed as place of delivery</t>
        </r>
      </text>
    </comment>
    <comment ref="G30" authorId="2" shapeId="0" xr:uid="{00000000-0006-0000-0A00-00000A000000}">
      <text>
        <r>
          <rPr>
            <b/>
            <sz val="14"/>
            <color indexed="81"/>
            <rFont val="Tahoma"/>
            <family val="2"/>
          </rPr>
          <t>Indicate whether or not door service is included at origin and destination</t>
        </r>
      </text>
    </comment>
    <comment ref="M30" authorId="2" shapeId="0" xr:uid="{00000000-0006-0000-0A00-00000B000000}">
      <text>
        <r>
          <rPr>
            <b/>
            <sz val="14"/>
            <color indexed="81"/>
            <rFont val="Tahoma"/>
            <family val="2"/>
          </rPr>
          <t>Use these columns for exceptions to surcharge applicability in note 2</t>
        </r>
      </text>
    </comment>
    <comment ref="Y30" authorId="2" shapeId="0" xr:uid="{00000000-0006-0000-0A00-00000C000000}">
      <text>
        <r>
          <rPr>
            <b/>
            <sz val="14"/>
            <color indexed="81"/>
            <rFont val="Tahoma"/>
            <family val="2"/>
          </rPr>
          <t>This field controls construction using Arbitraries and Inland Tariffs
Y = allowed in US, N = not allowed in US, 
E = allowed at origin, I = allowed at destination,
B = allowed at both origin and destination
X = not allowed at either origin or destination</t>
        </r>
      </text>
    </comment>
    <comment ref="A39" authorId="1" shapeId="0" xr:uid="{00000000-0006-0000-0A00-00000D000000}">
      <text>
        <r>
          <rPr>
            <b/>
            <sz val="14"/>
            <color indexed="81"/>
            <rFont val="Tahoma"/>
            <family val="2"/>
          </rPr>
          <t>Please use FAK/ Bullets defined above.</t>
        </r>
      </text>
    </comment>
    <comment ref="B39" authorId="1" shapeId="0" xr:uid="{00000000-0006-0000-0A00-00000E000000}">
      <text>
        <r>
          <rPr>
            <b/>
            <sz val="14"/>
            <color indexed="81"/>
            <rFont val="Tahoma"/>
            <family val="2"/>
          </rPr>
          <t>City, State / ZIP Code</t>
        </r>
      </text>
    </comment>
    <comment ref="C39" authorId="1" shapeId="0" xr:uid="{00000000-0006-0000-0A00-00000F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D39" authorId="1" shapeId="0" xr:uid="{00000000-0006-0000-0A00-000010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E39" authorId="1" shapeId="0" xr:uid="{00000000-0006-0000-0A00-000011000000}">
      <text>
        <r>
          <rPr>
            <b/>
            <sz val="14"/>
            <color indexed="81"/>
            <rFont val="Tahoma"/>
            <family val="2"/>
          </rPr>
          <t>City, State / ZIP Code</t>
        </r>
      </text>
    </comment>
    <comment ref="F39" authorId="2" shapeId="0" xr:uid="{00000000-0006-0000-0A00-000012000000}">
      <text>
        <r>
          <rPr>
            <b/>
            <sz val="14"/>
            <color indexed="81"/>
            <rFont val="Tahoma"/>
            <family val="2"/>
          </rPr>
          <t>Indicate the mode of transportation at origin and destination.
Mode cannot begin with CY if there is a location listed as place of receipt.
Mode cannot end with CY if there is a location is listed as place of delivery</t>
        </r>
      </text>
    </comment>
    <comment ref="G39" authorId="2" shapeId="0" xr:uid="{00000000-0006-0000-0A00-000013000000}">
      <text>
        <r>
          <rPr>
            <b/>
            <sz val="14"/>
            <color indexed="81"/>
            <rFont val="Tahoma"/>
            <family val="2"/>
          </rPr>
          <t>Indicate whether or not door service is included at origin and destination</t>
        </r>
      </text>
    </comment>
    <comment ref="O39" authorId="2" shapeId="0" xr:uid="{00000000-0006-0000-0A00-000014000000}">
      <text>
        <r>
          <rPr>
            <b/>
            <sz val="14"/>
            <color indexed="81"/>
            <rFont val="Tahoma"/>
            <family val="2"/>
          </rPr>
          <t>Use these columns for exceptions to surcharge applicability in note 2</t>
        </r>
      </text>
    </comment>
    <comment ref="Y39" authorId="2" shapeId="0" xr:uid="{00000000-0006-0000-0A00-000015000000}">
      <text>
        <r>
          <rPr>
            <b/>
            <sz val="14"/>
            <color indexed="81"/>
            <rFont val="Tahoma"/>
            <family val="2"/>
          </rPr>
          <t>This field controls construction using Arbitraries and Inland Tariffs
Y = allowed in US, N = not allowed in US, 
E = allowed at origin, I = allowed at destination,
B = allowed at both origin and destination
X = not allowed at either origin or destination</t>
        </r>
      </text>
    </comment>
    <comment ref="A48" authorId="1" shapeId="0" xr:uid="{00000000-0006-0000-0A00-000016000000}">
      <text>
        <r>
          <rPr>
            <b/>
            <sz val="14"/>
            <color indexed="81"/>
            <rFont val="Tahoma"/>
            <family val="2"/>
          </rPr>
          <t>Please use FAK/ Bullets defined above.</t>
        </r>
      </text>
    </comment>
    <comment ref="B48" authorId="1" shapeId="0" xr:uid="{00000000-0006-0000-0A00-000017000000}">
      <text>
        <r>
          <rPr>
            <b/>
            <sz val="14"/>
            <color indexed="81"/>
            <rFont val="Tahoma"/>
            <family val="2"/>
          </rPr>
          <t>City, State / ZIP Code</t>
        </r>
      </text>
    </comment>
    <comment ref="C48" authorId="1" shapeId="0" xr:uid="{00000000-0006-0000-0A00-000018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D48" authorId="1" shapeId="0" xr:uid="{00000000-0006-0000-0A00-000019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E48" authorId="1" shapeId="0" xr:uid="{00000000-0006-0000-0A00-00001A000000}">
      <text>
        <r>
          <rPr>
            <b/>
            <sz val="14"/>
            <color indexed="81"/>
            <rFont val="Tahoma"/>
            <family val="2"/>
          </rPr>
          <t>City, State / ZIP Code</t>
        </r>
      </text>
    </comment>
    <comment ref="F48" authorId="2" shapeId="0" xr:uid="{00000000-0006-0000-0A00-00001B000000}">
      <text>
        <r>
          <rPr>
            <b/>
            <sz val="14"/>
            <color indexed="81"/>
            <rFont val="Tahoma"/>
            <family val="2"/>
          </rPr>
          <t>Indicate the mode of transportation at origin and destination.
Mode cannot begin with CY if there is a location listed as place of receipt.
Mode cannot end with CY if there is a location is listed as place of delivery</t>
        </r>
      </text>
    </comment>
    <comment ref="G48" authorId="2" shapeId="0" xr:uid="{00000000-0006-0000-0A00-00001C000000}">
      <text>
        <r>
          <rPr>
            <b/>
            <sz val="14"/>
            <color indexed="81"/>
            <rFont val="Tahoma"/>
            <family val="2"/>
          </rPr>
          <t>Indicate whether or not door service is included at origin and destination</t>
        </r>
      </text>
    </comment>
    <comment ref="Q48" authorId="2" shapeId="0" xr:uid="{00000000-0006-0000-0A00-00001D000000}">
      <text>
        <r>
          <rPr>
            <b/>
            <sz val="14"/>
            <color indexed="81"/>
            <rFont val="Tahoma"/>
            <family val="2"/>
          </rPr>
          <t>Use these columns for exceptions to surcharge applicability in note 2</t>
        </r>
      </text>
    </comment>
    <comment ref="AA48" authorId="2" shapeId="0" xr:uid="{00000000-0006-0000-0A00-00001E000000}">
      <text>
        <r>
          <rPr>
            <b/>
            <sz val="14"/>
            <color indexed="81"/>
            <rFont val="Tahoma"/>
            <family val="2"/>
          </rPr>
          <t>This field controls construction using Arbitraries and Inland Tariffs
Y = allowed in US, N = not allowed in US, 
E = allowed at origin, I = allowed at destination,
B = allowed at both origin and destination
X = not allowed at either origin or destination</t>
        </r>
      </text>
    </comment>
    <comment ref="B65" authorId="2" shapeId="0" xr:uid="{00000000-0006-0000-0A00-00001F000000}">
      <text>
        <r>
          <rPr>
            <b/>
            <sz val="14"/>
            <color indexed="81"/>
            <rFont val="Tahoma"/>
            <family val="2"/>
          </rPr>
          <t>Place of Origin - may be an outport for feeder (CY) arbitraries or an inland origin
Format is:  City, State or ZIP Code</t>
        </r>
      </text>
    </comment>
    <comment ref="E65" authorId="2" shapeId="0" xr:uid="{00000000-0006-0000-0A00-000020000000}">
      <text>
        <r>
          <rPr>
            <b/>
            <sz val="14"/>
            <color indexed="81"/>
            <rFont val="Tahoma"/>
            <family val="2"/>
          </rPr>
          <t xml:space="preserve">Please use only one port or a group of ports (Port groups must be defined in the Port Group Codes table).
Arbitrary construction can only occur with rate conditions which show these ports as the POL.
</t>
        </r>
        <r>
          <rPr>
            <b/>
            <i/>
            <sz val="14"/>
            <color indexed="81"/>
            <rFont val="Tahoma"/>
            <family val="2"/>
          </rPr>
          <t>All ports must be valid SEA ports.</t>
        </r>
      </text>
    </comment>
    <comment ref="F65" authorId="2" shapeId="0" xr:uid="{00000000-0006-0000-0A00-000021000000}">
      <text>
        <r>
          <rPr>
            <b/>
            <sz val="14"/>
            <color indexed="81"/>
            <rFont val="Tahoma"/>
            <family val="2"/>
          </rPr>
          <t>Indicate the mode of transportation between the arbitrary place of receipt and arbitrary POL.
CY modes can only be used when the mode of transportation is by Feeder.
Use of CY mode requires both the locations to be valid SEA ports.</t>
        </r>
      </text>
    </comment>
    <comment ref="G65" authorId="2" shapeId="0" xr:uid="{00000000-0006-0000-0A00-000022000000}">
      <text>
        <r>
          <rPr>
            <b/>
            <sz val="14"/>
            <color indexed="81"/>
            <rFont val="Tahoma"/>
            <family val="2"/>
          </rPr>
          <t>Indicate whether or not door service is included in the arbitrary rate</t>
        </r>
      </text>
    </comment>
    <comment ref="H65" authorId="2" shapeId="0" xr:uid="{00000000-0006-0000-0A00-000023000000}">
      <text>
        <r>
          <rPr>
            <b/>
            <sz val="14"/>
            <color indexed="81"/>
            <rFont val="Tahoma"/>
            <family val="2"/>
          </rPr>
          <t>Input the rate in this field when the same amount applies for all container sizes</t>
        </r>
      </text>
    </comment>
    <comment ref="N65" authorId="2" shapeId="0" xr:uid="{00000000-0006-0000-0A00-000024000000}">
      <text>
        <r>
          <rPr>
            <b/>
            <sz val="14"/>
            <color indexed="81"/>
            <rFont val="Tahoma"/>
            <family val="2"/>
          </rPr>
          <t>Each Arbitrary applies only to FAK / Bullets as specifically listed in this field.</t>
        </r>
      </text>
    </comment>
    <comment ref="B80" authorId="2" shapeId="0" xr:uid="{00000000-0006-0000-0A00-000025000000}">
      <text>
        <r>
          <rPr>
            <b/>
            <sz val="14"/>
            <color indexed="81"/>
            <rFont val="Tahoma"/>
            <family val="2"/>
          </rPr>
          <t>Place of Destination - may be an outport for feeder (CY) arbitraries or an inland destination
Format is:  City, State or ZIP Code</t>
        </r>
      </text>
    </comment>
    <comment ref="E80" authorId="2" shapeId="0" xr:uid="{00000000-0006-0000-0A00-000026000000}">
      <text>
        <r>
          <rPr>
            <b/>
            <sz val="14"/>
            <color indexed="81"/>
            <rFont val="Tahoma"/>
            <family val="2"/>
          </rPr>
          <t xml:space="preserve">Please use only one port or a group of ports (Port groups must be defined in the Port Group Codes table).
Arbitrary construction can only occur with rate conditions which show these ports as the POD.
</t>
        </r>
        <r>
          <rPr>
            <b/>
            <i/>
            <sz val="14"/>
            <color indexed="81"/>
            <rFont val="Tahoma"/>
            <family val="2"/>
          </rPr>
          <t>All ports must be valid SEA ports.</t>
        </r>
      </text>
    </comment>
    <comment ref="F80" authorId="2" shapeId="0" xr:uid="{00000000-0006-0000-0A00-000027000000}">
      <text>
        <r>
          <rPr>
            <b/>
            <sz val="14"/>
            <color indexed="81"/>
            <rFont val="Tahoma"/>
            <family val="2"/>
          </rPr>
          <t>Indicate the mode of transportation between the arbitrary POD and arbitrary place of delivery.
CY modes can only be used when the mode of transportation is by Feeder.
Use of CY mode requires both the locations to be valid SEA ports.</t>
        </r>
      </text>
    </comment>
    <comment ref="G80" authorId="2" shapeId="0" xr:uid="{00000000-0006-0000-0A00-000028000000}">
      <text>
        <r>
          <rPr>
            <b/>
            <sz val="14"/>
            <color indexed="81"/>
            <rFont val="Tahoma"/>
            <family val="2"/>
          </rPr>
          <t>Indicate whether or not door service is included in the arbitrary rate</t>
        </r>
      </text>
    </comment>
    <comment ref="H80" authorId="2" shapeId="0" xr:uid="{00000000-0006-0000-0A00-000029000000}">
      <text>
        <r>
          <rPr>
            <b/>
            <sz val="14"/>
            <color indexed="81"/>
            <rFont val="Tahoma"/>
            <family val="2"/>
          </rPr>
          <t>Input the rate in this field when the same amount applies for all container sizes</t>
        </r>
      </text>
    </comment>
    <comment ref="N80" authorId="2" shapeId="0" xr:uid="{00000000-0006-0000-0A00-00002A000000}">
      <text>
        <r>
          <rPr>
            <b/>
            <sz val="14"/>
            <color indexed="81"/>
            <rFont val="Tahoma"/>
            <family val="2"/>
          </rPr>
          <t>Each Arbitrary applies only to FAK / Bullets as specifically listed in this field.</t>
        </r>
      </text>
    </comment>
    <comment ref="L90" authorId="2" shapeId="0" xr:uid="{00000000-0006-0000-0A00-00002B000000}">
      <text>
        <r>
          <rPr>
            <b/>
            <sz val="14"/>
            <color indexed="81"/>
            <rFont val="Tahoma"/>
            <family val="2"/>
          </rPr>
          <t>Surcharge applicability mentioned on any row applies specifically to the individual port mentioned in this field.
If the Applicable Port field is blank, then the  surcharge applicability stated on that row applies to all ports.</t>
        </r>
      </text>
    </comment>
    <comment ref="A188" authorId="2" shapeId="0" xr:uid="{00000000-0006-0000-0A00-00002C000000}">
      <text>
        <r>
          <rPr>
            <sz val="12"/>
            <color indexed="81"/>
            <rFont val="Tahoma"/>
            <family val="2"/>
          </rPr>
          <t>Select the bullet for which the exception applies.
If exception applies to all bullets, select "ALL".</t>
        </r>
      </text>
    </comment>
    <comment ref="B188" authorId="2" shapeId="0" xr:uid="{00000000-0006-0000-0A00-00002D000000}">
      <text>
        <r>
          <rPr>
            <sz val="12"/>
            <color indexed="81"/>
            <rFont val="Tahoma"/>
            <family val="2"/>
          </rPr>
          <t xml:space="preserve">Specify if Free Time condition applies to Export or Import:
</t>
        </r>
        <r>
          <rPr>
            <b/>
            <sz val="12"/>
            <color indexed="81"/>
            <rFont val="Tahoma"/>
            <family val="2"/>
          </rPr>
          <t xml:space="preserve">E </t>
        </r>
        <r>
          <rPr>
            <sz val="12"/>
            <color indexed="81"/>
            <rFont val="Tahoma"/>
            <family val="2"/>
          </rPr>
          <t xml:space="preserve">(Export) = applies at origin
</t>
        </r>
        <r>
          <rPr>
            <b/>
            <sz val="12"/>
            <color indexed="81"/>
            <rFont val="Tahoma"/>
            <family val="2"/>
          </rPr>
          <t xml:space="preserve">I </t>
        </r>
        <r>
          <rPr>
            <sz val="12"/>
            <color indexed="81"/>
            <rFont val="Tahoma"/>
            <family val="2"/>
          </rPr>
          <t>(Import) = applies at destination</t>
        </r>
      </text>
    </comment>
    <comment ref="C188" authorId="2" shapeId="0" xr:uid="{00000000-0006-0000-0A00-00002E000000}">
      <text>
        <r>
          <rPr>
            <sz val="12"/>
            <color indexed="81"/>
            <rFont val="Tahoma"/>
            <family val="2"/>
          </rPr>
          <t>Enter Type of Free Time:</t>
        </r>
        <r>
          <rPr>
            <u/>
            <sz val="12"/>
            <color indexed="81"/>
            <rFont val="Tahoma"/>
            <family val="2"/>
          </rPr>
          <t xml:space="preserve">
</t>
        </r>
        <r>
          <rPr>
            <sz val="12"/>
            <color indexed="81"/>
            <rFont val="Tahoma"/>
            <family val="2"/>
          </rPr>
          <t xml:space="preserve">
</t>
        </r>
        <r>
          <rPr>
            <b/>
            <sz val="12"/>
            <color indexed="81"/>
            <rFont val="Tahoma"/>
            <family val="2"/>
          </rPr>
          <t>Detention
Demurrage
Merged</t>
        </r>
      </text>
    </comment>
    <comment ref="F188" authorId="2" shapeId="0" xr:uid="{00000000-0006-0000-0A00-00002F000000}">
      <text>
        <r>
          <rPr>
            <sz val="12"/>
            <color indexed="81"/>
            <rFont val="Tahoma"/>
            <family val="2"/>
          </rPr>
          <t xml:space="preserve">Specify Equipment Type (blank field indicates applicability to all Eq Types):
</t>
        </r>
        <r>
          <rPr>
            <b/>
            <sz val="12"/>
            <color indexed="81"/>
            <rFont val="Tahoma"/>
            <family val="2"/>
          </rPr>
          <t>D</t>
        </r>
        <r>
          <rPr>
            <sz val="12"/>
            <color indexed="81"/>
            <rFont val="Tahoma"/>
            <family val="2"/>
          </rPr>
          <t xml:space="preserve"> = Dry
</t>
        </r>
        <r>
          <rPr>
            <b/>
            <sz val="12"/>
            <color indexed="81"/>
            <rFont val="Tahoma"/>
            <family val="2"/>
          </rPr>
          <t>R</t>
        </r>
        <r>
          <rPr>
            <sz val="12"/>
            <color indexed="81"/>
            <rFont val="Tahoma"/>
            <family val="2"/>
          </rPr>
          <t xml:space="preserve"> = Reefer
</t>
        </r>
        <r>
          <rPr>
            <b/>
            <sz val="12"/>
            <color indexed="81"/>
            <rFont val="Tahoma"/>
            <family val="2"/>
          </rPr>
          <t>OT</t>
        </r>
        <r>
          <rPr>
            <sz val="12"/>
            <color indexed="81"/>
            <rFont val="Tahoma"/>
            <family val="2"/>
          </rPr>
          <t xml:space="preserve"> = Open Top
</t>
        </r>
        <r>
          <rPr>
            <b/>
            <sz val="12"/>
            <color indexed="81"/>
            <rFont val="Tahoma"/>
            <family val="2"/>
          </rPr>
          <t>FR</t>
        </r>
        <r>
          <rPr>
            <sz val="12"/>
            <color indexed="81"/>
            <rFont val="Tahoma"/>
            <family val="2"/>
          </rPr>
          <t xml:space="preserve"> = Flat Rack</t>
        </r>
      </text>
    </comment>
    <comment ref="G188" authorId="2" shapeId="0" xr:uid="{00000000-0006-0000-0A00-000030000000}">
      <text>
        <r>
          <rPr>
            <sz val="12"/>
            <color indexed="81"/>
            <rFont val="Tahoma"/>
            <family val="2"/>
          </rPr>
          <t>Select "OR" from the drop down list if condition applies to Operating Reefers</t>
        </r>
      </text>
    </comment>
    <comment ref="H188" authorId="2" shapeId="0" xr:uid="{00000000-0006-0000-0A00-000031000000}">
      <text>
        <r>
          <rPr>
            <sz val="12"/>
            <color indexed="81"/>
            <rFont val="Tahoma"/>
            <family val="2"/>
          </rPr>
          <t xml:space="preserve">Specify the Place of Receipt if necessary.  </t>
        </r>
        <r>
          <rPr>
            <u/>
            <sz val="12"/>
            <color indexed="81"/>
            <rFont val="Tahoma"/>
            <family val="2"/>
          </rPr>
          <t>Do not</t>
        </r>
        <r>
          <rPr>
            <sz val="12"/>
            <color indexed="81"/>
            <rFont val="Tahoma"/>
            <family val="2"/>
          </rPr>
          <t xml:space="preserve"> use "ALL".
Only 1 location may be entered per row.</t>
        </r>
      </text>
    </comment>
    <comment ref="I188" authorId="2" shapeId="0" xr:uid="{00000000-0006-0000-0A00-000032000000}">
      <text>
        <r>
          <rPr>
            <sz val="12"/>
            <color indexed="81"/>
            <rFont val="Tahoma"/>
            <family val="2"/>
          </rPr>
          <t xml:space="preserve">Enter the POL if necessary.  </t>
        </r>
        <r>
          <rPr>
            <u/>
            <sz val="12"/>
            <color indexed="81"/>
            <rFont val="Tahoma"/>
            <family val="2"/>
          </rPr>
          <t>Do not</t>
        </r>
        <r>
          <rPr>
            <sz val="12"/>
            <color indexed="81"/>
            <rFont val="Tahoma"/>
            <family val="2"/>
          </rPr>
          <t xml:space="preserve"> use "ALL".
Only 1 location is allowed per row and must be a valid seaport.</t>
        </r>
      </text>
    </comment>
    <comment ref="J188" authorId="2" shapeId="0" xr:uid="{00000000-0006-0000-0A00-000033000000}">
      <text>
        <r>
          <rPr>
            <sz val="12"/>
            <color indexed="81"/>
            <rFont val="Tahoma"/>
            <family val="2"/>
          </rPr>
          <t xml:space="preserve">Enter the POD if necessary.  </t>
        </r>
        <r>
          <rPr>
            <u/>
            <sz val="12"/>
            <color indexed="81"/>
            <rFont val="Tahoma"/>
            <family val="2"/>
          </rPr>
          <t>Do not</t>
        </r>
        <r>
          <rPr>
            <sz val="12"/>
            <color indexed="81"/>
            <rFont val="Tahoma"/>
            <family val="2"/>
          </rPr>
          <t xml:space="preserve"> use "ALL".
Only 1 location is allowed per row and must be a valid seaport.</t>
        </r>
      </text>
    </comment>
    <comment ref="K188" authorId="2" shapeId="0" xr:uid="{00000000-0006-0000-0A00-000034000000}">
      <text>
        <r>
          <rPr>
            <sz val="12"/>
            <color indexed="81"/>
            <rFont val="Tahoma"/>
            <family val="2"/>
          </rPr>
          <t xml:space="preserve">Specify the Place of Delivery if necessary.  </t>
        </r>
        <r>
          <rPr>
            <u/>
            <sz val="12"/>
            <color indexed="81"/>
            <rFont val="Tahoma"/>
            <family val="2"/>
          </rPr>
          <t>Do not</t>
        </r>
        <r>
          <rPr>
            <sz val="12"/>
            <color indexed="81"/>
            <rFont val="Tahoma"/>
            <family val="2"/>
          </rPr>
          <t xml:space="preserve"> use "ALL".
Only 1 location may be entered per row.</t>
        </r>
      </text>
    </comment>
    <comment ref="L188" authorId="3" shapeId="0" xr:uid="{EE223E75-1411-40E5-B484-84D562FC7783}">
      <text>
        <r>
          <rPr>
            <sz val="12"/>
            <color indexed="81"/>
            <rFont val="Tahoma"/>
            <family val="2"/>
          </rPr>
          <t xml:space="preserve">Enter the Country Code ONLY.  </t>
        </r>
        <r>
          <rPr>
            <u/>
            <sz val="12"/>
            <color indexed="81"/>
            <rFont val="Tahoma"/>
            <family val="2"/>
          </rPr>
          <t>Cannot</t>
        </r>
        <r>
          <rPr>
            <sz val="12"/>
            <color indexed="81"/>
            <rFont val="Tahoma"/>
            <family val="2"/>
          </rPr>
          <t xml:space="preserve"> use "ALL" or country name</t>
        </r>
      </text>
    </comment>
    <comment ref="M188" authorId="2" shapeId="0" xr:uid="{00000000-0006-0000-0A00-000035000000}">
      <text>
        <r>
          <rPr>
            <sz val="12"/>
            <color indexed="81"/>
            <rFont val="Tahoma"/>
            <family val="2"/>
          </rPr>
          <t xml:space="preserve">Enter additional notes only when absolutely necessary.  
</t>
        </r>
        <r>
          <rPr>
            <u/>
            <sz val="12"/>
            <color indexed="81"/>
            <rFont val="Tahoma"/>
            <family val="2"/>
          </rPr>
          <t>IMPORTANT</t>
        </r>
        <r>
          <rPr>
            <sz val="12"/>
            <color indexed="81"/>
            <rFont val="Tahoma"/>
            <family val="2"/>
          </rPr>
          <t xml:space="preserve">:  Named accounts and specific commodities </t>
        </r>
        <r>
          <rPr>
            <b/>
            <u/>
            <sz val="12"/>
            <color indexed="81"/>
            <rFont val="Tahoma"/>
            <family val="2"/>
          </rPr>
          <t>may not</t>
        </r>
        <r>
          <rPr>
            <sz val="12"/>
            <color indexed="81"/>
            <rFont val="Tahoma"/>
            <family val="2"/>
          </rPr>
          <t xml:space="preserve"> be listed as Notes.</t>
        </r>
      </text>
    </comment>
    <comment ref="A201" authorId="2" shapeId="0" xr:uid="{DC2A173E-1329-47F3-94D6-9917839ADB21}">
      <text>
        <r>
          <rPr>
            <sz val="12"/>
            <color indexed="81"/>
            <rFont val="Tahoma"/>
            <family val="2"/>
          </rPr>
          <t>Select the bullet for which the exception applies.
If exception applies to all bullets, select "ALL".</t>
        </r>
      </text>
    </comment>
    <comment ref="B201" authorId="2" shapeId="0" xr:uid="{2473776C-429E-4B71-9B85-0FD6F65C4A56}">
      <text>
        <r>
          <rPr>
            <sz val="12"/>
            <color indexed="81"/>
            <rFont val="Tahoma"/>
            <family val="2"/>
          </rPr>
          <t xml:space="preserve">Specify if Free Time condition applies to Export or Import:
</t>
        </r>
        <r>
          <rPr>
            <b/>
            <sz val="12"/>
            <color indexed="81"/>
            <rFont val="Tahoma"/>
            <family val="2"/>
          </rPr>
          <t xml:space="preserve">E </t>
        </r>
        <r>
          <rPr>
            <sz val="12"/>
            <color indexed="81"/>
            <rFont val="Tahoma"/>
            <family val="2"/>
          </rPr>
          <t xml:space="preserve">(Export) = applies at origin
</t>
        </r>
        <r>
          <rPr>
            <b/>
            <sz val="12"/>
            <color indexed="81"/>
            <rFont val="Tahoma"/>
            <family val="2"/>
          </rPr>
          <t xml:space="preserve">I </t>
        </r>
        <r>
          <rPr>
            <sz val="12"/>
            <color indexed="81"/>
            <rFont val="Tahoma"/>
            <family val="2"/>
          </rPr>
          <t>(Import) = applies at destination</t>
        </r>
      </text>
    </comment>
    <comment ref="C201" authorId="2" shapeId="0" xr:uid="{13E99B58-CB70-4B6E-98FB-19F847BBF418}">
      <text>
        <r>
          <rPr>
            <sz val="12"/>
            <color indexed="81"/>
            <rFont val="Tahoma"/>
            <family val="2"/>
          </rPr>
          <t>Enter Type of Free Time:</t>
        </r>
        <r>
          <rPr>
            <u/>
            <sz val="12"/>
            <color indexed="81"/>
            <rFont val="Tahoma"/>
            <family val="2"/>
          </rPr>
          <t xml:space="preserve">
</t>
        </r>
        <r>
          <rPr>
            <sz val="12"/>
            <color indexed="81"/>
            <rFont val="Tahoma"/>
            <family val="2"/>
          </rPr>
          <t xml:space="preserve">
</t>
        </r>
        <r>
          <rPr>
            <b/>
            <sz val="12"/>
            <color indexed="81"/>
            <rFont val="Tahoma"/>
            <family val="2"/>
          </rPr>
          <t>Detention
Demurrage
Merged</t>
        </r>
      </text>
    </comment>
    <comment ref="F201" authorId="2" shapeId="0" xr:uid="{6A034518-DBC7-4802-8C32-D1AA44D1A109}">
      <text>
        <r>
          <rPr>
            <sz val="12"/>
            <color indexed="81"/>
            <rFont val="Tahoma"/>
            <family val="2"/>
          </rPr>
          <t>If any exceptional charges are offered, then the currency is required to be shown.</t>
        </r>
      </text>
    </comment>
    <comment ref="W201" authorId="2" shapeId="0" xr:uid="{773C5CEB-BFA0-4385-82C0-6F7663DA6742}">
      <text>
        <r>
          <rPr>
            <sz val="12"/>
            <color indexed="81"/>
            <rFont val="Tahoma"/>
            <family val="2"/>
          </rPr>
          <t xml:space="preserve">Specify Equipment Type (blank field indicates applicability to all Eq Types):
</t>
        </r>
        <r>
          <rPr>
            <b/>
            <sz val="12"/>
            <color indexed="81"/>
            <rFont val="Tahoma"/>
            <family val="2"/>
          </rPr>
          <t>D</t>
        </r>
        <r>
          <rPr>
            <sz val="12"/>
            <color indexed="81"/>
            <rFont val="Tahoma"/>
            <family val="2"/>
          </rPr>
          <t xml:space="preserve"> = Dry
</t>
        </r>
        <r>
          <rPr>
            <b/>
            <sz val="12"/>
            <color indexed="81"/>
            <rFont val="Tahoma"/>
            <family val="2"/>
          </rPr>
          <t>R</t>
        </r>
        <r>
          <rPr>
            <sz val="12"/>
            <color indexed="81"/>
            <rFont val="Tahoma"/>
            <family val="2"/>
          </rPr>
          <t xml:space="preserve"> = Reefer
</t>
        </r>
        <r>
          <rPr>
            <b/>
            <sz val="12"/>
            <color indexed="81"/>
            <rFont val="Tahoma"/>
            <family val="2"/>
          </rPr>
          <t>OT</t>
        </r>
        <r>
          <rPr>
            <sz val="12"/>
            <color indexed="81"/>
            <rFont val="Tahoma"/>
            <family val="2"/>
          </rPr>
          <t xml:space="preserve"> = Open Top
</t>
        </r>
        <r>
          <rPr>
            <b/>
            <sz val="12"/>
            <color indexed="81"/>
            <rFont val="Tahoma"/>
            <family val="2"/>
          </rPr>
          <t>FR</t>
        </r>
        <r>
          <rPr>
            <sz val="12"/>
            <color indexed="81"/>
            <rFont val="Tahoma"/>
            <family val="2"/>
          </rPr>
          <t xml:space="preserve"> = Flat Rack</t>
        </r>
      </text>
    </comment>
    <comment ref="X201" authorId="2" shapeId="0" xr:uid="{C0C0B9DF-9DDB-41F3-9EDE-F3386F46A93A}">
      <text>
        <r>
          <rPr>
            <sz val="12"/>
            <color indexed="81"/>
            <rFont val="Tahoma"/>
            <family val="2"/>
          </rPr>
          <t>Select "OR" from the drop down list if condition applies to Operating Reefers</t>
        </r>
      </text>
    </comment>
    <comment ref="Y201" authorId="2" shapeId="0" xr:uid="{EDD37F19-0CC8-4742-A68E-E9287C58EA93}">
      <text>
        <r>
          <rPr>
            <sz val="12"/>
            <color indexed="81"/>
            <rFont val="Tahoma"/>
            <family val="2"/>
          </rPr>
          <t xml:space="preserve">Specify the Place of Receipt if necessary.  </t>
        </r>
        <r>
          <rPr>
            <u/>
            <sz val="12"/>
            <color indexed="81"/>
            <rFont val="Tahoma"/>
            <family val="2"/>
          </rPr>
          <t>Do not</t>
        </r>
        <r>
          <rPr>
            <sz val="12"/>
            <color indexed="81"/>
            <rFont val="Tahoma"/>
            <family val="2"/>
          </rPr>
          <t xml:space="preserve"> use "ALL".
Only 1 location may be entered per row.</t>
        </r>
      </text>
    </comment>
    <comment ref="Z201" authorId="2" shapeId="0" xr:uid="{ECB59DBD-2BE7-459B-BCF8-40F290540D60}">
      <text>
        <r>
          <rPr>
            <sz val="12"/>
            <color indexed="81"/>
            <rFont val="Tahoma"/>
            <family val="2"/>
          </rPr>
          <t xml:space="preserve">Enter the POL if necessary.  </t>
        </r>
        <r>
          <rPr>
            <u/>
            <sz val="12"/>
            <color indexed="81"/>
            <rFont val="Tahoma"/>
            <family val="2"/>
          </rPr>
          <t>Do not</t>
        </r>
        <r>
          <rPr>
            <sz val="12"/>
            <color indexed="81"/>
            <rFont val="Tahoma"/>
            <family val="2"/>
          </rPr>
          <t xml:space="preserve"> use "ALL".
Only 1 location is allowed per row and must be a valid seaport.</t>
        </r>
      </text>
    </comment>
    <comment ref="AA201" authorId="2" shapeId="0" xr:uid="{AE3D74A0-436D-4627-A79C-CB31EBB684FA}">
      <text>
        <r>
          <rPr>
            <sz val="12"/>
            <color indexed="81"/>
            <rFont val="Tahoma"/>
            <family val="2"/>
          </rPr>
          <t xml:space="preserve">Enter the POD if necessary.  </t>
        </r>
        <r>
          <rPr>
            <u/>
            <sz val="12"/>
            <color indexed="81"/>
            <rFont val="Tahoma"/>
            <family val="2"/>
          </rPr>
          <t>Do not</t>
        </r>
        <r>
          <rPr>
            <sz val="12"/>
            <color indexed="81"/>
            <rFont val="Tahoma"/>
            <family val="2"/>
          </rPr>
          <t xml:space="preserve"> use "ALL".
Only 1 location is allowed per row and must be a valid seaport.</t>
        </r>
      </text>
    </comment>
    <comment ref="AB201" authorId="2" shapeId="0" xr:uid="{48F9A80D-80F1-4192-ACC7-DCEE8931D2A9}">
      <text>
        <r>
          <rPr>
            <sz val="12"/>
            <color indexed="81"/>
            <rFont val="Tahoma"/>
            <family val="2"/>
          </rPr>
          <t xml:space="preserve">Specify the Place of Delivery if necessary.  </t>
        </r>
        <r>
          <rPr>
            <u/>
            <sz val="12"/>
            <color indexed="81"/>
            <rFont val="Tahoma"/>
            <family val="2"/>
          </rPr>
          <t>Do not</t>
        </r>
        <r>
          <rPr>
            <sz val="12"/>
            <color indexed="81"/>
            <rFont val="Tahoma"/>
            <family val="2"/>
          </rPr>
          <t xml:space="preserve"> use "ALL".
Only 1 location may be entered per row.</t>
        </r>
      </text>
    </comment>
    <comment ref="AC201" authorId="3" shapeId="0" xr:uid="{63C7F1F3-96B4-4361-BFB6-4AF0CC95E37E}">
      <text>
        <r>
          <rPr>
            <sz val="12"/>
            <color indexed="81"/>
            <rFont val="Tahoma"/>
            <family val="2"/>
          </rPr>
          <t xml:space="preserve">Enter the Country Code ONLY.  </t>
        </r>
        <r>
          <rPr>
            <u/>
            <sz val="12"/>
            <color indexed="81"/>
            <rFont val="Tahoma"/>
            <family val="2"/>
          </rPr>
          <t>Cannot</t>
        </r>
        <r>
          <rPr>
            <sz val="12"/>
            <color indexed="81"/>
            <rFont val="Tahoma"/>
            <family val="2"/>
          </rPr>
          <t xml:space="preserve"> use "ALL" or country name</t>
        </r>
      </text>
    </comment>
    <comment ref="AD201" authorId="2" shapeId="0" xr:uid="{A152B079-66C9-4BD6-B9BB-D7C46899115A}">
      <text>
        <r>
          <rPr>
            <sz val="12"/>
            <color indexed="81"/>
            <rFont val="Tahoma"/>
            <family val="2"/>
          </rPr>
          <t xml:space="preserve">Enter additional notes only when absolutely necessary.  
</t>
        </r>
        <r>
          <rPr>
            <u/>
            <sz val="12"/>
            <color indexed="81"/>
            <rFont val="Tahoma"/>
            <family val="2"/>
          </rPr>
          <t>IMPORTANT</t>
        </r>
        <r>
          <rPr>
            <sz val="12"/>
            <color indexed="81"/>
            <rFont val="Tahoma"/>
            <family val="2"/>
          </rPr>
          <t xml:space="preserve">:  Named accounts and specific commodities </t>
        </r>
        <r>
          <rPr>
            <b/>
            <u/>
            <sz val="12"/>
            <color indexed="81"/>
            <rFont val="Tahoma"/>
            <family val="2"/>
          </rPr>
          <t>may not</t>
        </r>
        <r>
          <rPr>
            <sz val="12"/>
            <color indexed="81"/>
            <rFont val="Tahoma"/>
            <family val="2"/>
          </rPr>
          <t xml:space="preserve"> be listed as Notes.</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ext.obouge</author>
    <author>William MALLOL</author>
    <author>usa.gewan</author>
    <author>GENDER Charlie - NOR</author>
  </authors>
  <commentList>
    <comment ref="B13" authorId="0" shapeId="0" xr:uid="{00000000-0006-0000-0B00-000001000000}">
      <text>
        <r>
          <rPr>
            <b/>
            <sz val="12"/>
            <color indexed="81"/>
            <rFont val="Tahoma"/>
            <family val="2"/>
          </rPr>
          <t>Please use comma to separate commodities.</t>
        </r>
      </text>
    </comment>
    <comment ref="A20" authorId="1" shapeId="0" xr:uid="{00000000-0006-0000-0B00-000002000000}">
      <text>
        <r>
          <rPr>
            <b/>
            <sz val="14"/>
            <color indexed="81"/>
            <rFont val="Tahoma"/>
            <family val="2"/>
          </rPr>
          <t>Port Group Codes can be used to group any two or more valid seaports that are common rated.
Port Group Codes cannot be used for inland locations.</t>
        </r>
      </text>
    </comment>
    <comment ref="B20" authorId="0" shapeId="0" xr:uid="{00000000-0006-0000-0B00-000003000000}">
      <text>
        <r>
          <rPr>
            <b/>
            <sz val="14"/>
            <color indexed="81"/>
            <rFont val="Tahoma"/>
            <family val="2"/>
          </rPr>
          <t>Please use comma to separate ports.
Only valid sea ports may be included.</t>
        </r>
      </text>
    </comment>
    <comment ref="A31" authorId="1" shapeId="0" xr:uid="{00000000-0006-0000-0B00-000004000000}">
      <text>
        <r>
          <rPr>
            <b/>
            <sz val="14"/>
            <color indexed="81"/>
            <rFont val="Tahoma"/>
            <family val="2"/>
          </rPr>
          <t>Please use FAK/ Bullets defined above.</t>
        </r>
      </text>
    </comment>
    <comment ref="B31" authorId="1" shapeId="0" xr:uid="{00000000-0006-0000-0B00-000005000000}">
      <text>
        <r>
          <rPr>
            <b/>
            <sz val="14"/>
            <color indexed="81"/>
            <rFont val="Tahoma"/>
            <family val="2"/>
          </rPr>
          <t>City, State / ZIP Code</t>
        </r>
      </text>
    </comment>
    <comment ref="C31" authorId="1" shapeId="0" xr:uid="{00000000-0006-0000-0B00-000006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D31" authorId="1" shapeId="0" xr:uid="{00000000-0006-0000-0B00-000007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E31" authorId="1" shapeId="0" xr:uid="{00000000-0006-0000-0B00-000008000000}">
      <text>
        <r>
          <rPr>
            <b/>
            <sz val="14"/>
            <color indexed="81"/>
            <rFont val="Tahoma"/>
            <family val="2"/>
          </rPr>
          <t>City, State / ZIP Code</t>
        </r>
      </text>
    </comment>
    <comment ref="F31" authorId="2" shapeId="0" xr:uid="{00000000-0006-0000-0B00-000009000000}">
      <text>
        <r>
          <rPr>
            <b/>
            <sz val="14"/>
            <color indexed="81"/>
            <rFont val="Tahoma"/>
            <family val="2"/>
          </rPr>
          <t>Indicate the mode of transportation at origin and destination.
Mode cannot begin with CY if there is a location listed as place of receipt.
Mode cannot end with CY if there is a location is listed as place of delivery</t>
        </r>
      </text>
    </comment>
    <comment ref="G31" authorId="2" shapeId="0" xr:uid="{00000000-0006-0000-0B00-00000A000000}">
      <text>
        <r>
          <rPr>
            <b/>
            <sz val="14"/>
            <color indexed="81"/>
            <rFont val="Tahoma"/>
            <family val="2"/>
          </rPr>
          <t>Indicate whether or not door service is included at origin and destination</t>
        </r>
      </text>
    </comment>
    <comment ref="M31" authorId="2" shapeId="0" xr:uid="{00000000-0006-0000-0B00-00000B000000}">
      <text>
        <r>
          <rPr>
            <b/>
            <sz val="14"/>
            <color indexed="81"/>
            <rFont val="Tahoma"/>
            <family val="2"/>
          </rPr>
          <t>Use these columns for exceptions to surcharge applicability in note 2</t>
        </r>
      </text>
    </comment>
    <comment ref="AA31" authorId="2" shapeId="0" xr:uid="{00000000-0006-0000-0B00-00000C000000}">
      <text>
        <r>
          <rPr>
            <b/>
            <sz val="14"/>
            <color indexed="81"/>
            <rFont val="Tahoma"/>
            <family val="2"/>
          </rPr>
          <t>This field controls construction using Arbitraries and Inland Tariffs
Y = allowed in US, N = not allowed in US, 
E = allowed at origin, I = allowed at destination,
B = allowed at both origin and destination
X = not allowed at either origin or destination</t>
        </r>
      </text>
    </comment>
    <comment ref="A40" authorId="1" shapeId="0" xr:uid="{00000000-0006-0000-0B00-00000D000000}">
      <text>
        <r>
          <rPr>
            <b/>
            <sz val="14"/>
            <color indexed="81"/>
            <rFont val="Tahoma"/>
            <family val="2"/>
          </rPr>
          <t>Please use FAK/ Bullets defined above.</t>
        </r>
      </text>
    </comment>
    <comment ref="B40" authorId="1" shapeId="0" xr:uid="{00000000-0006-0000-0B00-00000E000000}">
      <text>
        <r>
          <rPr>
            <b/>
            <sz val="14"/>
            <color indexed="81"/>
            <rFont val="Tahoma"/>
            <family val="2"/>
          </rPr>
          <t>City, State / ZIP Code</t>
        </r>
      </text>
    </comment>
    <comment ref="C40" authorId="1" shapeId="0" xr:uid="{00000000-0006-0000-0B00-00000F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D40" authorId="1" shapeId="0" xr:uid="{00000000-0006-0000-0B00-000010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E40" authorId="1" shapeId="0" xr:uid="{00000000-0006-0000-0B00-000011000000}">
      <text>
        <r>
          <rPr>
            <b/>
            <sz val="14"/>
            <color indexed="81"/>
            <rFont val="Tahoma"/>
            <family val="2"/>
          </rPr>
          <t>City, State / ZIP Code</t>
        </r>
      </text>
    </comment>
    <comment ref="F40" authorId="2" shapeId="0" xr:uid="{00000000-0006-0000-0B00-000012000000}">
      <text>
        <r>
          <rPr>
            <b/>
            <sz val="14"/>
            <color indexed="81"/>
            <rFont val="Tahoma"/>
            <family val="2"/>
          </rPr>
          <t>Indicate the mode of transportation at origin and destination.
Mode cannot begin with CY if there is a location listed as place of receipt.
Mode cannot end with CY if there is a location is listed as place of delivery</t>
        </r>
      </text>
    </comment>
    <comment ref="G40" authorId="2" shapeId="0" xr:uid="{00000000-0006-0000-0B00-000013000000}">
      <text>
        <r>
          <rPr>
            <b/>
            <sz val="14"/>
            <color indexed="81"/>
            <rFont val="Tahoma"/>
            <family val="2"/>
          </rPr>
          <t>Indicate whether or not door service is included at origin and destination</t>
        </r>
      </text>
    </comment>
    <comment ref="O40" authorId="2" shapeId="0" xr:uid="{00000000-0006-0000-0B00-000014000000}">
      <text>
        <r>
          <rPr>
            <b/>
            <sz val="14"/>
            <color indexed="81"/>
            <rFont val="Tahoma"/>
            <family val="2"/>
          </rPr>
          <t>Use these columns for exceptions to surcharge applicability in note 2</t>
        </r>
      </text>
    </comment>
    <comment ref="AA40" authorId="2" shapeId="0" xr:uid="{00000000-0006-0000-0B00-000015000000}">
      <text>
        <r>
          <rPr>
            <b/>
            <sz val="14"/>
            <color indexed="81"/>
            <rFont val="Tahoma"/>
            <family val="2"/>
          </rPr>
          <t>This field controls construction using Arbitraries and Inland Tariffs
Y = allowed in US, N = not allowed in US, 
E = allowed at origin, I = allowed at destination,
B = allowed at both origin and destination
X = not allowed at either origin or destination</t>
        </r>
      </text>
    </comment>
    <comment ref="A49" authorId="1" shapeId="0" xr:uid="{00000000-0006-0000-0B00-000016000000}">
      <text>
        <r>
          <rPr>
            <b/>
            <sz val="14"/>
            <color indexed="81"/>
            <rFont val="Tahoma"/>
            <family val="2"/>
          </rPr>
          <t>Please use FAK/ Bullets defined above.</t>
        </r>
      </text>
    </comment>
    <comment ref="B49" authorId="1" shapeId="0" xr:uid="{00000000-0006-0000-0B00-000017000000}">
      <text>
        <r>
          <rPr>
            <b/>
            <sz val="14"/>
            <color indexed="81"/>
            <rFont val="Tahoma"/>
            <family val="2"/>
          </rPr>
          <t>City, State / ZIP Code</t>
        </r>
      </text>
    </comment>
    <comment ref="C49" authorId="1" shapeId="0" xr:uid="{00000000-0006-0000-0B00-000018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D49" authorId="1" shapeId="0" xr:uid="{00000000-0006-0000-0B00-000019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E49" authorId="1" shapeId="0" xr:uid="{00000000-0006-0000-0B00-00001A000000}">
      <text>
        <r>
          <rPr>
            <b/>
            <sz val="14"/>
            <color indexed="81"/>
            <rFont val="Tahoma"/>
            <family val="2"/>
          </rPr>
          <t>City, State / ZIP Code</t>
        </r>
      </text>
    </comment>
    <comment ref="F49" authorId="2" shapeId="0" xr:uid="{00000000-0006-0000-0B00-00001B000000}">
      <text>
        <r>
          <rPr>
            <b/>
            <sz val="14"/>
            <color indexed="81"/>
            <rFont val="Tahoma"/>
            <family val="2"/>
          </rPr>
          <t>Indicate the mode of transportation at origin and destination.
Mode cannot begin with CY if there is a location listed as place of receipt.
Mode cannot end with CY if there is a location is listed as place of delivery</t>
        </r>
      </text>
    </comment>
    <comment ref="G49" authorId="2" shapeId="0" xr:uid="{00000000-0006-0000-0B00-00001C000000}">
      <text>
        <r>
          <rPr>
            <b/>
            <sz val="14"/>
            <color indexed="81"/>
            <rFont val="Tahoma"/>
            <family val="2"/>
          </rPr>
          <t>Indicate whether or not door service is included at origin and destination</t>
        </r>
      </text>
    </comment>
    <comment ref="Q49" authorId="2" shapeId="0" xr:uid="{00000000-0006-0000-0B00-00001D000000}">
      <text>
        <r>
          <rPr>
            <b/>
            <sz val="14"/>
            <color indexed="81"/>
            <rFont val="Tahoma"/>
            <family val="2"/>
          </rPr>
          <t>Use these columns for exceptions to surcharge applicability in note 2</t>
        </r>
      </text>
    </comment>
    <comment ref="AC49" authorId="2" shapeId="0" xr:uid="{00000000-0006-0000-0B00-00001E000000}">
      <text>
        <r>
          <rPr>
            <b/>
            <sz val="14"/>
            <color indexed="81"/>
            <rFont val="Tahoma"/>
            <family val="2"/>
          </rPr>
          <t>This field controls construction using Arbitraries and Inland Tariffs
Y = allowed in US, N = not allowed in US, 
E = allowed at origin, I = allowed at destination,
B = allowed at both origin and destination
X = not allowed at either origin or destination</t>
        </r>
      </text>
    </comment>
    <comment ref="B66" authorId="2" shapeId="0" xr:uid="{00000000-0006-0000-0B00-00001F000000}">
      <text>
        <r>
          <rPr>
            <b/>
            <sz val="14"/>
            <color indexed="81"/>
            <rFont val="Tahoma"/>
            <family val="2"/>
          </rPr>
          <t>Place of Origin - may be an outport for feeder (CY) arbitraries or an inland origin
Format is:  City, State or ZIP Code</t>
        </r>
      </text>
    </comment>
    <comment ref="E66" authorId="2" shapeId="0" xr:uid="{00000000-0006-0000-0B00-000020000000}">
      <text>
        <r>
          <rPr>
            <b/>
            <sz val="14"/>
            <color indexed="81"/>
            <rFont val="Tahoma"/>
            <family val="2"/>
          </rPr>
          <t xml:space="preserve">Please use only one port or a group of ports (Port groups must be defined in the Port Group Codes table).
Arbitrary construction can only occur with rate conditions which show these ports as the POL.
</t>
        </r>
        <r>
          <rPr>
            <b/>
            <i/>
            <sz val="14"/>
            <color indexed="81"/>
            <rFont val="Tahoma"/>
            <family val="2"/>
          </rPr>
          <t>All ports must be valid SEA ports.</t>
        </r>
      </text>
    </comment>
    <comment ref="F66" authorId="2" shapeId="0" xr:uid="{00000000-0006-0000-0B00-000021000000}">
      <text>
        <r>
          <rPr>
            <b/>
            <sz val="14"/>
            <color indexed="81"/>
            <rFont val="Tahoma"/>
            <family val="2"/>
          </rPr>
          <t>Indicate the mode of transportation between the arbitrary place of receipt and arbitrary POL.
CY modes can only be used when the mode of transportation is by Feeder.
Use of CY mode requires both the locations to be valid SEA ports.</t>
        </r>
      </text>
    </comment>
    <comment ref="G66" authorId="2" shapeId="0" xr:uid="{00000000-0006-0000-0B00-000022000000}">
      <text>
        <r>
          <rPr>
            <b/>
            <sz val="14"/>
            <color indexed="81"/>
            <rFont val="Tahoma"/>
            <family val="2"/>
          </rPr>
          <t>Indicate whether or not door service is included in the arbitrary rate</t>
        </r>
      </text>
    </comment>
    <comment ref="H66" authorId="2" shapeId="0" xr:uid="{00000000-0006-0000-0B00-000023000000}">
      <text>
        <r>
          <rPr>
            <b/>
            <sz val="14"/>
            <color indexed="81"/>
            <rFont val="Tahoma"/>
            <family val="2"/>
          </rPr>
          <t>Input the rate in this field when the same amount applies for all container sizes</t>
        </r>
      </text>
    </comment>
    <comment ref="N66" authorId="2" shapeId="0" xr:uid="{00000000-0006-0000-0B00-000024000000}">
      <text>
        <r>
          <rPr>
            <b/>
            <sz val="14"/>
            <color indexed="81"/>
            <rFont val="Tahoma"/>
            <family val="2"/>
          </rPr>
          <t>Each Arbitrary applies only to FAK / Bullets as specifically listed in this field.</t>
        </r>
      </text>
    </comment>
    <comment ref="B81" authorId="2" shapeId="0" xr:uid="{00000000-0006-0000-0B00-000025000000}">
      <text>
        <r>
          <rPr>
            <b/>
            <sz val="14"/>
            <color indexed="81"/>
            <rFont val="Tahoma"/>
            <family val="2"/>
          </rPr>
          <t>Place of Destination - may be an outport for feeder (CY) arbitraries or an inland destination
Format is:  City, State or ZIP Code</t>
        </r>
      </text>
    </comment>
    <comment ref="E81" authorId="2" shapeId="0" xr:uid="{00000000-0006-0000-0B00-000026000000}">
      <text>
        <r>
          <rPr>
            <b/>
            <sz val="14"/>
            <color indexed="81"/>
            <rFont val="Tahoma"/>
            <family val="2"/>
          </rPr>
          <t xml:space="preserve">Please use only one port or a group of ports (Port groups must be defined in the Port Group Codes table).
Arbitrary construction can only occur with rate conditions which show these ports as the POD.
</t>
        </r>
        <r>
          <rPr>
            <b/>
            <i/>
            <sz val="14"/>
            <color indexed="81"/>
            <rFont val="Tahoma"/>
            <family val="2"/>
          </rPr>
          <t>All ports must be valid SEA ports.</t>
        </r>
      </text>
    </comment>
    <comment ref="F81" authorId="2" shapeId="0" xr:uid="{00000000-0006-0000-0B00-000027000000}">
      <text>
        <r>
          <rPr>
            <b/>
            <sz val="14"/>
            <color indexed="81"/>
            <rFont val="Tahoma"/>
            <family val="2"/>
          </rPr>
          <t>Indicate the mode of transportation between the arbitrary POD and arbitrary place of delivery.
CY modes can only be used when the mode of transportation is by Feeder.
Use of CY mode requires both the locations to be valid SEA ports.</t>
        </r>
      </text>
    </comment>
    <comment ref="G81" authorId="2" shapeId="0" xr:uid="{00000000-0006-0000-0B00-000028000000}">
      <text>
        <r>
          <rPr>
            <b/>
            <sz val="14"/>
            <color indexed="81"/>
            <rFont val="Tahoma"/>
            <family val="2"/>
          </rPr>
          <t>Indicate whether or not door service is included in the arbitrary rate</t>
        </r>
      </text>
    </comment>
    <comment ref="H81" authorId="2" shapeId="0" xr:uid="{00000000-0006-0000-0B00-000029000000}">
      <text>
        <r>
          <rPr>
            <b/>
            <sz val="14"/>
            <color indexed="81"/>
            <rFont val="Tahoma"/>
            <family val="2"/>
          </rPr>
          <t>Input the rate in this field when the same amount applies for all container sizes</t>
        </r>
      </text>
    </comment>
    <comment ref="N81" authorId="2" shapeId="0" xr:uid="{00000000-0006-0000-0B00-00002A000000}">
      <text>
        <r>
          <rPr>
            <b/>
            <sz val="14"/>
            <color indexed="81"/>
            <rFont val="Tahoma"/>
            <family val="2"/>
          </rPr>
          <t>Each Arbitrary applies only to FAK / Bullets as specifically listed in this field.</t>
        </r>
      </text>
    </comment>
    <comment ref="L91" authorId="2" shapeId="0" xr:uid="{00000000-0006-0000-0B00-00002B000000}">
      <text>
        <r>
          <rPr>
            <b/>
            <sz val="14"/>
            <color indexed="81"/>
            <rFont val="Tahoma"/>
            <family val="2"/>
          </rPr>
          <t>Surcharge applicability mentioned on any row applies specifically to the individual port mentioned in this field.
If the Applicable Port field is blank, then the  surcharge applicability stated on that row applies to all ports.</t>
        </r>
      </text>
    </comment>
    <comment ref="A182" authorId="2" shapeId="0" xr:uid="{00000000-0006-0000-0B00-00002C000000}">
      <text>
        <r>
          <rPr>
            <sz val="12"/>
            <color indexed="81"/>
            <rFont val="Tahoma"/>
            <family val="2"/>
          </rPr>
          <t>Select the bullet for which the exception applies.
If exception applies to all bullets, select "ALL".</t>
        </r>
      </text>
    </comment>
    <comment ref="B182" authorId="2" shapeId="0" xr:uid="{00000000-0006-0000-0B00-00002D000000}">
      <text>
        <r>
          <rPr>
            <sz val="12"/>
            <color indexed="81"/>
            <rFont val="Tahoma"/>
            <family val="2"/>
          </rPr>
          <t xml:space="preserve">Specify if Free Time condition applies to Export or Import:
</t>
        </r>
        <r>
          <rPr>
            <b/>
            <sz val="12"/>
            <color indexed="81"/>
            <rFont val="Tahoma"/>
            <family val="2"/>
          </rPr>
          <t xml:space="preserve">E </t>
        </r>
        <r>
          <rPr>
            <sz val="12"/>
            <color indexed="81"/>
            <rFont val="Tahoma"/>
            <family val="2"/>
          </rPr>
          <t xml:space="preserve">(Export) = applies at origin
</t>
        </r>
        <r>
          <rPr>
            <b/>
            <sz val="12"/>
            <color indexed="81"/>
            <rFont val="Tahoma"/>
            <family val="2"/>
          </rPr>
          <t xml:space="preserve">I </t>
        </r>
        <r>
          <rPr>
            <sz val="12"/>
            <color indexed="81"/>
            <rFont val="Tahoma"/>
            <family val="2"/>
          </rPr>
          <t>(Import) = applies at destination</t>
        </r>
      </text>
    </comment>
    <comment ref="C182" authorId="2" shapeId="0" xr:uid="{00000000-0006-0000-0B00-00002E000000}">
      <text>
        <r>
          <rPr>
            <sz val="12"/>
            <color indexed="81"/>
            <rFont val="Tahoma"/>
            <family val="2"/>
          </rPr>
          <t>Enter Type of Free Time:</t>
        </r>
        <r>
          <rPr>
            <u/>
            <sz val="12"/>
            <color indexed="81"/>
            <rFont val="Tahoma"/>
            <family val="2"/>
          </rPr>
          <t xml:space="preserve">
</t>
        </r>
        <r>
          <rPr>
            <sz val="12"/>
            <color indexed="81"/>
            <rFont val="Tahoma"/>
            <family val="2"/>
          </rPr>
          <t xml:space="preserve">
</t>
        </r>
        <r>
          <rPr>
            <b/>
            <sz val="12"/>
            <color indexed="81"/>
            <rFont val="Tahoma"/>
            <family val="2"/>
          </rPr>
          <t>Detention
Demurrage
Merged</t>
        </r>
      </text>
    </comment>
    <comment ref="F182" authorId="2" shapeId="0" xr:uid="{00000000-0006-0000-0B00-00002F000000}">
      <text>
        <r>
          <rPr>
            <sz val="12"/>
            <color indexed="81"/>
            <rFont val="Tahoma"/>
            <family val="2"/>
          </rPr>
          <t xml:space="preserve">Specify Equipment Type (blank field indicates applicability to all Eq Types):
</t>
        </r>
        <r>
          <rPr>
            <b/>
            <sz val="12"/>
            <color indexed="81"/>
            <rFont val="Tahoma"/>
            <family val="2"/>
          </rPr>
          <t>D</t>
        </r>
        <r>
          <rPr>
            <sz val="12"/>
            <color indexed="81"/>
            <rFont val="Tahoma"/>
            <family val="2"/>
          </rPr>
          <t xml:space="preserve"> = Dry
</t>
        </r>
        <r>
          <rPr>
            <b/>
            <sz val="12"/>
            <color indexed="81"/>
            <rFont val="Tahoma"/>
            <family val="2"/>
          </rPr>
          <t>R</t>
        </r>
        <r>
          <rPr>
            <sz val="12"/>
            <color indexed="81"/>
            <rFont val="Tahoma"/>
            <family val="2"/>
          </rPr>
          <t xml:space="preserve"> = Reefer
</t>
        </r>
        <r>
          <rPr>
            <b/>
            <sz val="12"/>
            <color indexed="81"/>
            <rFont val="Tahoma"/>
            <family val="2"/>
          </rPr>
          <t>OT</t>
        </r>
        <r>
          <rPr>
            <sz val="12"/>
            <color indexed="81"/>
            <rFont val="Tahoma"/>
            <family val="2"/>
          </rPr>
          <t xml:space="preserve"> = Open Top
</t>
        </r>
        <r>
          <rPr>
            <b/>
            <sz val="12"/>
            <color indexed="81"/>
            <rFont val="Tahoma"/>
            <family val="2"/>
          </rPr>
          <t>FR</t>
        </r>
        <r>
          <rPr>
            <sz val="12"/>
            <color indexed="81"/>
            <rFont val="Tahoma"/>
            <family val="2"/>
          </rPr>
          <t xml:space="preserve"> = Flat Rack</t>
        </r>
      </text>
    </comment>
    <comment ref="G182" authorId="2" shapeId="0" xr:uid="{00000000-0006-0000-0B00-000030000000}">
      <text>
        <r>
          <rPr>
            <sz val="12"/>
            <color indexed="81"/>
            <rFont val="Tahoma"/>
            <family val="2"/>
          </rPr>
          <t>Select "OR" from the drop down list if condition applies to Operating Reefers</t>
        </r>
      </text>
    </comment>
    <comment ref="H182" authorId="2" shapeId="0" xr:uid="{00000000-0006-0000-0B00-000031000000}">
      <text>
        <r>
          <rPr>
            <sz val="12"/>
            <color indexed="81"/>
            <rFont val="Tahoma"/>
            <family val="2"/>
          </rPr>
          <t xml:space="preserve">Specify the Place of Receipt if necessary.  </t>
        </r>
        <r>
          <rPr>
            <u/>
            <sz val="12"/>
            <color indexed="81"/>
            <rFont val="Tahoma"/>
            <family val="2"/>
          </rPr>
          <t>Do not</t>
        </r>
        <r>
          <rPr>
            <sz val="12"/>
            <color indexed="81"/>
            <rFont val="Tahoma"/>
            <family val="2"/>
          </rPr>
          <t xml:space="preserve"> use "ALL".
Only 1 location may be entered per row.</t>
        </r>
      </text>
    </comment>
    <comment ref="I182" authorId="2" shapeId="0" xr:uid="{00000000-0006-0000-0B00-000032000000}">
      <text>
        <r>
          <rPr>
            <sz val="12"/>
            <color indexed="81"/>
            <rFont val="Tahoma"/>
            <family val="2"/>
          </rPr>
          <t xml:space="preserve">Enter the POL if necessary.  </t>
        </r>
        <r>
          <rPr>
            <u/>
            <sz val="12"/>
            <color indexed="81"/>
            <rFont val="Tahoma"/>
            <family val="2"/>
          </rPr>
          <t>Do not</t>
        </r>
        <r>
          <rPr>
            <sz val="12"/>
            <color indexed="81"/>
            <rFont val="Tahoma"/>
            <family val="2"/>
          </rPr>
          <t xml:space="preserve"> use "ALL".
Only 1 location is allowed per row and must be a valid seaport.</t>
        </r>
      </text>
    </comment>
    <comment ref="J182" authorId="2" shapeId="0" xr:uid="{00000000-0006-0000-0B00-000033000000}">
      <text>
        <r>
          <rPr>
            <sz val="12"/>
            <color indexed="81"/>
            <rFont val="Tahoma"/>
            <family val="2"/>
          </rPr>
          <t xml:space="preserve">Enter the POD if necessary.  </t>
        </r>
        <r>
          <rPr>
            <u/>
            <sz val="12"/>
            <color indexed="81"/>
            <rFont val="Tahoma"/>
            <family val="2"/>
          </rPr>
          <t>Do not</t>
        </r>
        <r>
          <rPr>
            <sz val="12"/>
            <color indexed="81"/>
            <rFont val="Tahoma"/>
            <family val="2"/>
          </rPr>
          <t xml:space="preserve"> use "ALL".
Only 1 location is allowed per row and must be a valid seaport.</t>
        </r>
      </text>
    </comment>
    <comment ref="K182" authorId="2" shapeId="0" xr:uid="{00000000-0006-0000-0B00-000034000000}">
      <text>
        <r>
          <rPr>
            <sz val="12"/>
            <color indexed="81"/>
            <rFont val="Tahoma"/>
            <family val="2"/>
          </rPr>
          <t xml:space="preserve">Specify the Place of Delivery if necessary.  </t>
        </r>
        <r>
          <rPr>
            <u/>
            <sz val="12"/>
            <color indexed="81"/>
            <rFont val="Tahoma"/>
            <family val="2"/>
          </rPr>
          <t>Do not</t>
        </r>
        <r>
          <rPr>
            <sz val="12"/>
            <color indexed="81"/>
            <rFont val="Tahoma"/>
            <family val="2"/>
          </rPr>
          <t xml:space="preserve"> use "ALL".
Only 1 location may be entered per row.</t>
        </r>
      </text>
    </comment>
    <comment ref="L182" authorId="3" shapeId="0" xr:uid="{6EA6857A-1228-4068-873F-22F6ADBFB996}">
      <text>
        <r>
          <rPr>
            <sz val="12"/>
            <color indexed="81"/>
            <rFont val="Tahoma"/>
            <family val="2"/>
          </rPr>
          <t xml:space="preserve">Enter the Country Code ONLY.  </t>
        </r>
        <r>
          <rPr>
            <u/>
            <sz val="12"/>
            <color indexed="81"/>
            <rFont val="Tahoma"/>
            <family val="2"/>
          </rPr>
          <t>Cannot</t>
        </r>
        <r>
          <rPr>
            <sz val="12"/>
            <color indexed="81"/>
            <rFont val="Tahoma"/>
            <family val="2"/>
          </rPr>
          <t xml:space="preserve"> use "ALL" or country name</t>
        </r>
      </text>
    </comment>
    <comment ref="M182" authorId="2" shapeId="0" xr:uid="{00000000-0006-0000-0B00-000035000000}">
      <text>
        <r>
          <rPr>
            <sz val="12"/>
            <color indexed="81"/>
            <rFont val="Tahoma"/>
            <family val="2"/>
          </rPr>
          <t xml:space="preserve">Enter additional notes only when absolutely necessary.  
</t>
        </r>
        <r>
          <rPr>
            <u/>
            <sz val="12"/>
            <color indexed="81"/>
            <rFont val="Tahoma"/>
            <family val="2"/>
          </rPr>
          <t>IMPORTANT</t>
        </r>
        <r>
          <rPr>
            <sz val="12"/>
            <color indexed="81"/>
            <rFont val="Tahoma"/>
            <family val="2"/>
          </rPr>
          <t xml:space="preserve">:  Named accounts and specific commodities </t>
        </r>
        <r>
          <rPr>
            <b/>
            <u/>
            <sz val="12"/>
            <color indexed="81"/>
            <rFont val="Tahoma"/>
            <family val="2"/>
          </rPr>
          <t>may not</t>
        </r>
        <r>
          <rPr>
            <sz val="12"/>
            <color indexed="81"/>
            <rFont val="Tahoma"/>
            <family val="2"/>
          </rPr>
          <t xml:space="preserve"> be listed as Notes.</t>
        </r>
      </text>
    </comment>
    <comment ref="A195" authorId="2" shapeId="0" xr:uid="{997667B6-A0C5-4510-BF90-1AF06724DA98}">
      <text>
        <r>
          <rPr>
            <sz val="12"/>
            <color indexed="81"/>
            <rFont val="Tahoma"/>
            <family val="2"/>
          </rPr>
          <t>Select the bullet for which the exception applies.
If exception applies to all bullets, select "ALL".</t>
        </r>
      </text>
    </comment>
    <comment ref="B195" authorId="2" shapeId="0" xr:uid="{19FE2BB1-70A0-4D12-8364-93772F77A770}">
      <text>
        <r>
          <rPr>
            <sz val="12"/>
            <color indexed="81"/>
            <rFont val="Tahoma"/>
            <family val="2"/>
          </rPr>
          <t xml:space="preserve">Specify if Free Time condition applies to Export or Import:
</t>
        </r>
        <r>
          <rPr>
            <b/>
            <sz val="12"/>
            <color indexed="81"/>
            <rFont val="Tahoma"/>
            <family val="2"/>
          </rPr>
          <t xml:space="preserve">E </t>
        </r>
        <r>
          <rPr>
            <sz val="12"/>
            <color indexed="81"/>
            <rFont val="Tahoma"/>
            <family val="2"/>
          </rPr>
          <t xml:space="preserve">(Export) = applies at origin
</t>
        </r>
        <r>
          <rPr>
            <b/>
            <sz val="12"/>
            <color indexed="81"/>
            <rFont val="Tahoma"/>
            <family val="2"/>
          </rPr>
          <t xml:space="preserve">I </t>
        </r>
        <r>
          <rPr>
            <sz val="12"/>
            <color indexed="81"/>
            <rFont val="Tahoma"/>
            <family val="2"/>
          </rPr>
          <t>(Import) = applies at destination</t>
        </r>
      </text>
    </comment>
    <comment ref="C195" authorId="2" shapeId="0" xr:uid="{4FB1D022-A262-42AA-9FD3-7AC63FE9D28F}">
      <text>
        <r>
          <rPr>
            <sz val="12"/>
            <color indexed="81"/>
            <rFont val="Tahoma"/>
            <family val="2"/>
          </rPr>
          <t>Enter Type of Free Time:</t>
        </r>
        <r>
          <rPr>
            <u/>
            <sz val="12"/>
            <color indexed="81"/>
            <rFont val="Tahoma"/>
            <family val="2"/>
          </rPr>
          <t xml:space="preserve">
</t>
        </r>
        <r>
          <rPr>
            <sz val="12"/>
            <color indexed="81"/>
            <rFont val="Tahoma"/>
            <family val="2"/>
          </rPr>
          <t xml:space="preserve">
</t>
        </r>
        <r>
          <rPr>
            <b/>
            <sz val="12"/>
            <color indexed="81"/>
            <rFont val="Tahoma"/>
            <family val="2"/>
          </rPr>
          <t>Detention
Demurrage
Merged</t>
        </r>
      </text>
    </comment>
    <comment ref="F195" authorId="2" shapeId="0" xr:uid="{560460B7-40FC-4F0D-A426-CADA90971B6E}">
      <text>
        <r>
          <rPr>
            <sz val="12"/>
            <color indexed="81"/>
            <rFont val="Tahoma"/>
            <family val="2"/>
          </rPr>
          <t>If any exceptional charges are offered, then the currency is required to be shown.</t>
        </r>
      </text>
    </comment>
    <comment ref="W195" authorId="2" shapeId="0" xr:uid="{B948E0D0-F1B0-41CA-837E-F7E033FA4FE0}">
      <text>
        <r>
          <rPr>
            <sz val="12"/>
            <color indexed="81"/>
            <rFont val="Tahoma"/>
            <family val="2"/>
          </rPr>
          <t xml:space="preserve">Specify Equipment Type (blank field indicates applicability to all Eq Types):
</t>
        </r>
        <r>
          <rPr>
            <b/>
            <sz val="12"/>
            <color indexed="81"/>
            <rFont val="Tahoma"/>
            <family val="2"/>
          </rPr>
          <t>D</t>
        </r>
        <r>
          <rPr>
            <sz val="12"/>
            <color indexed="81"/>
            <rFont val="Tahoma"/>
            <family val="2"/>
          </rPr>
          <t xml:space="preserve"> = Dry
</t>
        </r>
        <r>
          <rPr>
            <b/>
            <sz val="12"/>
            <color indexed="81"/>
            <rFont val="Tahoma"/>
            <family val="2"/>
          </rPr>
          <t>R</t>
        </r>
        <r>
          <rPr>
            <sz val="12"/>
            <color indexed="81"/>
            <rFont val="Tahoma"/>
            <family val="2"/>
          </rPr>
          <t xml:space="preserve"> = Reefer
</t>
        </r>
        <r>
          <rPr>
            <b/>
            <sz val="12"/>
            <color indexed="81"/>
            <rFont val="Tahoma"/>
            <family val="2"/>
          </rPr>
          <t>OT</t>
        </r>
        <r>
          <rPr>
            <sz val="12"/>
            <color indexed="81"/>
            <rFont val="Tahoma"/>
            <family val="2"/>
          </rPr>
          <t xml:space="preserve"> = Open Top
</t>
        </r>
        <r>
          <rPr>
            <b/>
            <sz val="12"/>
            <color indexed="81"/>
            <rFont val="Tahoma"/>
            <family val="2"/>
          </rPr>
          <t>FR</t>
        </r>
        <r>
          <rPr>
            <sz val="12"/>
            <color indexed="81"/>
            <rFont val="Tahoma"/>
            <family val="2"/>
          </rPr>
          <t xml:space="preserve"> = Flat Rack</t>
        </r>
      </text>
    </comment>
    <comment ref="X195" authorId="2" shapeId="0" xr:uid="{57F284ED-4859-439B-93C4-D238F847FC81}">
      <text>
        <r>
          <rPr>
            <sz val="12"/>
            <color indexed="81"/>
            <rFont val="Tahoma"/>
            <family val="2"/>
          </rPr>
          <t>Select "OR" from the drop down list if condition applies to Operating Reefers</t>
        </r>
      </text>
    </comment>
    <comment ref="Y195" authorId="2" shapeId="0" xr:uid="{8794B493-342E-45A7-AB67-B37D192EB7EF}">
      <text>
        <r>
          <rPr>
            <sz val="12"/>
            <color indexed="81"/>
            <rFont val="Tahoma"/>
            <family val="2"/>
          </rPr>
          <t xml:space="preserve">Specify the Place of Receipt if necessary.  </t>
        </r>
        <r>
          <rPr>
            <u/>
            <sz val="12"/>
            <color indexed="81"/>
            <rFont val="Tahoma"/>
            <family val="2"/>
          </rPr>
          <t>Do not</t>
        </r>
        <r>
          <rPr>
            <sz val="12"/>
            <color indexed="81"/>
            <rFont val="Tahoma"/>
            <family val="2"/>
          </rPr>
          <t xml:space="preserve"> use "ALL".
Only 1 location may be entered per row.</t>
        </r>
      </text>
    </comment>
    <comment ref="Z195" authorId="2" shapeId="0" xr:uid="{71760CCD-711A-4579-AFD1-4C91878B39A2}">
      <text>
        <r>
          <rPr>
            <sz val="12"/>
            <color indexed="81"/>
            <rFont val="Tahoma"/>
            <family val="2"/>
          </rPr>
          <t xml:space="preserve">Enter the POL if necessary.  </t>
        </r>
        <r>
          <rPr>
            <u/>
            <sz val="12"/>
            <color indexed="81"/>
            <rFont val="Tahoma"/>
            <family val="2"/>
          </rPr>
          <t>Do not</t>
        </r>
        <r>
          <rPr>
            <sz val="12"/>
            <color indexed="81"/>
            <rFont val="Tahoma"/>
            <family val="2"/>
          </rPr>
          <t xml:space="preserve"> use "ALL".
Only 1 location is allowed per row and must be a valid seaport.</t>
        </r>
      </text>
    </comment>
    <comment ref="AA195" authorId="2" shapeId="0" xr:uid="{EA9358EE-81BD-4BC8-9609-9606E497A4CB}">
      <text>
        <r>
          <rPr>
            <sz val="12"/>
            <color indexed="81"/>
            <rFont val="Tahoma"/>
            <family val="2"/>
          </rPr>
          <t xml:space="preserve">Enter the POD if necessary.  </t>
        </r>
        <r>
          <rPr>
            <u/>
            <sz val="12"/>
            <color indexed="81"/>
            <rFont val="Tahoma"/>
            <family val="2"/>
          </rPr>
          <t>Do not</t>
        </r>
        <r>
          <rPr>
            <sz val="12"/>
            <color indexed="81"/>
            <rFont val="Tahoma"/>
            <family val="2"/>
          </rPr>
          <t xml:space="preserve"> use "ALL".
Only 1 location is allowed per row and must be a valid seaport.</t>
        </r>
      </text>
    </comment>
    <comment ref="AB195" authorId="2" shapeId="0" xr:uid="{2ED70E37-2E34-425F-8132-6F27514CDF0C}">
      <text>
        <r>
          <rPr>
            <sz val="12"/>
            <color indexed="81"/>
            <rFont val="Tahoma"/>
            <family val="2"/>
          </rPr>
          <t xml:space="preserve">Specify the Place of Delivery if necessary.  </t>
        </r>
        <r>
          <rPr>
            <u/>
            <sz val="12"/>
            <color indexed="81"/>
            <rFont val="Tahoma"/>
            <family val="2"/>
          </rPr>
          <t>Do not</t>
        </r>
        <r>
          <rPr>
            <sz val="12"/>
            <color indexed="81"/>
            <rFont val="Tahoma"/>
            <family val="2"/>
          </rPr>
          <t xml:space="preserve"> use "ALL".
Only 1 location may be entered per row.</t>
        </r>
      </text>
    </comment>
    <comment ref="AC195" authorId="3" shapeId="0" xr:uid="{4AAEE9FF-A972-4395-9FD1-A0BBFB2AB9EF}">
      <text>
        <r>
          <rPr>
            <sz val="12"/>
            <color indexed="81"/>
            <rFont val="Tahoma"/>
            <family val="2"/>
          </rPr>
          <t xml:space="preserve">Enter the Country Code ONLY.  </t>
        </r>
        <r>
          <rPr>
            <u/>
            <sz val="12"/>
            <color indexed="81"/>
            <rFont val="Tahoma"/>
            <family val="2"/>
          </rPr>
          <t>Cannot</t>
        </r>
        <r>
          <rPr>
            <sz val="12"/>
            <color indexed="81"/>
            <rFont val="Tahoma"/>
            <family val="2"/>
          </rPr>
          <t xml:space="preserve"> use "ALL" or country name</t>
        </r>
      </text>
    </comment>
    <comment ref="AD195" authorId="2" shapeId="0" xr:uid="{D8B248DB-BA54-4F11-AB56-951B1EBBD65D}">
      <text>
        <r>
          <rPr>
            <sz val="12"/>
            <color indexed="81"/>
            <rFont val="Tahoma"/>
            <family val="2"/>
          </rPr>
          <t xml:space="preserve">Enter additional notes only when absolutely necessary.  
</t>
        </r>
        <r>
          <rPr>
            <u/>
            <sz val="12"/>
            <color indexed="81"/>
            <rFont val="Tahoma"/>
            <family val="2"/>
          </rPr>
          <t>IMPORTANT</t>
        </r>
        <r>
          <rPr>
            <sz val="12"/>
            <color indexed="81"/>
            <rFont val="Tahoma"/>
            <family val="2"/>
          </rPr>
          <t xml:space="preserve">:  Named accounts and specific commodities </t>
        </r>
        <r>
          <rPr>
            <b/>
            <u/>
            <sz val="12"/>
            <color indexed="81"/>
            <rFont val="Tahoma"/>
            <family val="2"/>
          </rPr>
          <t>may not</t>
        </r>
        <r>
          <rPr>
            <sz val="12"/>
            <color indexed="81"/>
            <rFont val="Tahoma"/>
            <family val="2"/>
          </rPr>
          <t xml:space="preserve"> be listed as Notes.</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ext.obouge</author>
    <author>William MALLOL</author>
    <author>usa.gewan</author>
    <author>GENDER Charlie - NOR</author>
  </authors>
  <commentList>
    <comment ref="B13" authorId="0" shapeId="0" xr:uid="{00000000-0006-0000-0C00-000001000000}">
      <text>
        <r>
          <rPr>
            <b/>
            <sz val="12"/>
            <color indexed="81"/>
            <rFont val="Tahoma"/>
            <family val="2"/>
          </rPr>
          <t>Please use comma to separate commodities.</t>
        </r>
      </text>
    </comment>
    <comment ref="A20" authorId="1" shapeId="0" xr:uid="{00000000-0006-0000-0C00-000002000000}">
      <text>
        <r>
          <rPr>
            <b/>
            <sz val="14"/>
            <color indexed="81"/>
            <rFont val="Tahoma"/>
            <family val="2"/>
          </rPr>
          <t>Port Group Codes can be used to group any two or more valid seaports that are common rated.
Port Group Codes cannot be used for inland locations.</t>
        </r>
      </text>
    </comment>
    <comment ref="B20" authorId="0" shapeId="0" xr:uid="{00000000-0006-0000-0C00-000003000000}">
      <text>
        <r>
          <rPr>
            <b/>
            <sz val="14"/>
            <color indexed="81"/>
            <rFont val="Tahoma"/>
            <family val="2"/>
          </rPr>
          <t>Please use comma to separate ports.
Only valid sea ports may be included.</t>
        </r>
      </text>
    </comment>
    <comment ref="A30" authorId="1" shapeId="0" xr:uid="{00000000-0006-0000-0C00-000004000000}">
      <text>
        <r>
          <rPr>
            <b/>
            <sz val="14"/>
            <color indexed="81"/>
            <rFont val="Tahoma"/>
            <family val="2"/>
          </rPr>
          <t>Please use FAK/ Bullets defined above.</t>
        </r>
      </text>
    </comment>
    <comment ref="B30" authorId="1" shapeId="0" xr:uid="{00000000-0006-0000-0C00-000005000000}">
      <text>
        <r>
          <rPr>
            <b/>
            <sz val="14"/>
            <color indexed="81"/>
            <rFont val="Tahoma"/>
            <family val="2"/>
          </rPr>
          <t>City, State / ZIP Code</t>
        </r>
      </text>
    </comment>
    <comment ref="C30" authorId="1" shapeId="0" xr:uid="{00000000-0006-0000-0C00-000006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D30" authorId="1" shapeId="0" xr:uid="{00000000-0006-0000-0C00-000007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E30" authorId="1" shapeId="0" xr:uid="{00000000-0006-0000-0C00-000008000000}">
      <text>
        <r>
          <rPr>
            <b/>
            <sz val="14"/>
            <color indexed="81"/>
            <rFont val="Tahoma"/>
            <family val="2"/>
          </rPr>
          <t>City, State / ZIP Code</t>
        </r>
      </text>
    </comment>
    <comment ref="F30" authorId="2" shapeId="0" xr:uid="{00000000-0006-0000-0C00-000009000000}">
      <text>
        <r>
          <rPr>
            <b/>
            <sz val="14"/>
            <color indexed="81"/>
            <rFont val="Tahoma"/>
            <family val="2"/>
          </rPr>
          <t>Indicate the mode of transportation at origin and destination.
Mode cannot begin with CY if there is a location listed as place of receipt.
Mode cannot end with CY if there is a location is listed as place of delivery</t>
        </r>
      </text>
    </comment>
    <comment ref="G30" authorId="2" shapeId="0" xr:uid="{00000000-0006-0000-0C00-00000A000000}">
      <text>
        <r>
          <rPr>
            <b/>
            <sz val="14"/>
            <color indexed="81"/>
            <rFont val="Tahoma"/>
            <family val="2"/>
          </rPr>
          <t>Indicate whether or not door service is included at origin and destination</t>
        </r>
      </text>
    </comment>
    <comment ref="M30" authorId="2" shapeId="0" xr:uid="{00000000-0006-0000-0C00-00000B000000}">
      <text>
        <r>
          <rPr>
            <b/>
            <sz val="14"/>
            <color indexed="81"/>
            <rFont val="Tahoma"/>
            <family val="2"/>
          </rPr>
          <t>Use these columns for exceptions to surcharge applicability in note 2</t>
        </r>
      </text>
    </comment>
    <comment ref="AA30" authorId="2" shapeId="0" xr:uid="{00000000-0006-0000-0C00-00000C000000}">
      <text>
        <r>
          <rPr>
            <b/>
            <sz val="14"/>
            <color indexed="81"/>
            <rFont val="Tahoma"/>
            <family val="2"/>
          </rPr>
          <t>This field controls construction using Arbitraries and Inland Tariffs
Y = allowed in US, N = not allowed in US, 
E = allowed at origin, I = allowed at destination,
B = allowed at both origin and destination
X = not allowed at either origin or destination</t>
        </r>
      </text>
    </comment>
    <comment ref="A39" authorId="1" shapeId="0" xr:uid="{00000000-0006-0000-0C00-00000D000000}">
      <text>
        <r>
          <rPr>
            <b/>
            <sz val="14"/>
            <color indexed="81"/>
            <rFont val="Tahoma"/>
            <family val="2"/>
          </rPr>
          <t>Please use FAK/ Bullets defined above.</t>
        </r>
      </text>
    </comment>
    <comment ref="B39" authorId="1" shapeId="0" xr:uid="{00000000-0006-0000-0C00-00000E000000}">
      <text>
        <r>
          <rPr>
            <b/>
            <sz val="14"/>
            <color indexed="81"/>
            <rFont val="Tahoma"/>
            <family val="2"/>
          </rPr>
          <t>City, State / ZIP Code</t>
        </r>
      </text>
    </comment>
    <comment ref="C39" authorId="1" shapeId="0" xr:uid="{00000000-0006-0000-0C00-00000F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D39" authorId="1" shapeId="0" xr:uid="{00000000-0006-0000-0C00-000010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E39" authorId="1" shapeId="0" xr:uid="{00000000-0006-0000-0C00-000011000000}">
      <text>
        <r>
          <rPr>
            <b/>
            <sz val="14"/>
            <color indexed="81"/>
            <rFont val="Tahoma"/>
            <family val="2"/>
          </rPr>
          <t>City, State / ZIP Code</t>
        </r>
      </text>
    </comment>
    <comment ref="F39" authorId="2" shapeId="0" xr:uid="{00000000-0006-0000-0C00-000012000000}">
      <text>
        <r>
          <rPr>
            <b/>
            <sz val="14"/>
            <color indexed="81"/>
            <rFont val="Tahoma"/>
            <family val="2"/>
          </rPr>
          <t>Indicate the mode of transportation at origin and destination.
Mode cannot begin with CY if there is a location listed as place of receipt.
Mode cannot end with CY if there is a location is listed as place of delivery</t>
        </r>
      </text>
    </comment>
    <comment ref="G39" authorId="2" shapeId="0" xr:uid="{00000000-0006-0000-0C00-000013000000}">
      <text>
        <r>
          <rPr>
            <b/>
            <sz val="14"/>
            <color indexed="81"/>
            <rFont val="Tahoma"/>
            <family val="2"/>
          </rPr>
          <t>Indicate whether or not door service is included at origin and destination</t>
        </r>
      </text>
    </comment>
    <comment ref="O39" authorId="2" shapeId="0" xr:uid="{00000000-0006-0000-0C00-000014000000}">
      <text>
        <r>
          <rPr>
            <b/>
            <sz val="14"/>
            <color indexed="81"/>
            <rFont val="Tahoma"/>
            <family val="2"/>
          </rPr>
          <t>Use these columns for exceptions to surcharge applicability in note 2</t>
        </r>
      </text>
    </comment>
    <comment ref="AA39" authorId="2" shapeId="0" xr:uid="{00000000-0006-0000-0C00-000015000000}">
      <text>
        <r>
          <rPr>
            <b/>
            <sz val="14"/>
            <color indexed="81"/>
            <rFont val="Tahoma"/>
            <family val="2"/>
          </rPr>
          <t>This field controls construction using Arbitraries and Inland Tariffs
Y = allowed in US, N = not allowed in US, 
E = allowed at origin, I = allowed at destination,
B = allowed at both origin and destination
X = not allowed at either origin or destination</t>
        </r>
      </text>
    </comment>
    <comment ref="A48" authorId="1" shapeId="0" xr:uid="{00000000-0006-0000-0C00-000016000000}">
      <text>
        <r>
          <rPr>
            <b/>
            <sz val="14"/>
            <color indexed="81"/>
            <rFont val="Tahoma"/>
            <family val="2"/>
          </rPr>
          <t>Please use FAK/ Bullets defined above.</t>
        </r>
      </text>
    </comment>
    <comment ref="B48" authorId="1" shapeId="0" xr:uid="{00000000-0006-0000-0C00-000017000000}">
      <text>
        <r>
          <rPr>
            <b/>
            <sz val="14"/>
            <color indexed="81"/>
            <rFont val="Tahoma"/>
            <family val="2"/>
          </rPr>
          <t>City, State / ZIP Code</t>
        </r>
      </text>
    </comment>
    <comment ref="C48" authorId="1" shapeId="0" xr:uid="{00000000-0006-0000-0C00-000018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D48" authorId="1" shapeId="0" xr:uid="{00000000-0006-0000-0C00-000019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E48" authorId="1" shapeId="0" xr:uid="{00000000-0006-0000-0C00-00001A000000}">
      <text>
        <r>
          <rPr>
            <b/>
            <sz val="14"/>
            <color indexed="81"/>
            <rFont val="Tahoma"/>
            <family val="2"/>
          </rPr>
          <t>City, State / ZIP Code</t>
        </r>
      </text>
    </comment>
    <comment ref="F48" authorId="2" shapeId="0" xr:uid="{00000000-0006-0000-0C00-00001B000000}">
      <text>
        <r>
          <rPr>
            <b/>
            <sz val="14"/>
            <color indexed="81"/>
            <rFont val="Tahoma"/>
            <family val="2"/>
          </rPr>
          <t>Indicate the mode of transportation at origin and destination.
Mode cannot begin with CY if there is a location listed as place of receipt.
Mode cannot end with CY if there is a location is listed as place of delivery</t>
        </r>
      </text>
    </comment>
    <comment ref="G48" authorId="2" shapeId="0" xr:uid="{00000000-0006-0000-0C00-00001C000000}">
      <text>
        <r>
          <rPr>
            <b/>
            <sz val="14"/>
            <color indexed="81"/>
            <rFont val="Tahoma"/>
            <family val="2"/>
          </rPr>
          <t>Indicate whether or not door service is included at origin and destination</t>
        </r>
      </text>
    </comment>
    <comment ref="Q48" authorId="2" shapeId="0" xr:uid="{00000000-0006-0000-0C00-00001D000000}">
      <text>
        <r>
          <rPr>
            <b/>
            <sz val="14"/>
            <color indexed="81"/>
            <rFont val="Tahoma"/>
            <family val="2"/>
          </rPr>
          <t>Use these columns for exceptions to surcharge applicability in note 2</t>
        </r>
      </text>
    </comment>
    <comment ref="AC48" authorId="2" shapeId="0" xr:uid="{00000000-0006-0000-0C00-00001E000000}">
      <text>
        <r>
          <rPr>
            <b/>
            <sz val="14"/>
            <color indexed="81"/>
            <rFont val="Tahoma"/>
            <family val="2"/>
          </rPr>
          <t>This field controls construction using Arbitraries and Inland Tariffs
Y = allowed in US, N = not allowed in US, 
E = allowed at origin, I = allowed at destination,
B = allowed at both origin and destination
X = not allowed at either origin or destination</t>
        </r>
      </text>
    </comment>
    <comment ref="B65" authorId="2" shapeId="0" xr:uid="{00000000-0006-0000-0C00-00001F000000}">
      <text>
        <r>
          <rPr>
            <b/>
            <sz val="14"/>
            <color indexed="81"/>
            <rFont val="Tahoma"/>
            <family val="2"/>
          </rPr>
          <t>Place of Origin - may be an outport for feeder (CY) arbitraries or an inland origin
Format is:  City, State or ZIP Code</t>
        </r>
      </text>
    </comment>
    <comment ref="E65" authorId="2" shapeId="0" xr:uid="{00000000-0006-0000-0C00-000020000000}">
      <text>
        <r>
          <rPr>
            <b/>
            <sz val="14"/>
            <color indexed="81"/>
            <rFont val="Tahoma"/>
            <family val="2"/>
          </rPr>
          <t xml:space="preserve">Please use only one port or a group of ports (Port groups must be defined in the Port Group Codes table).
Arbitrary construction can only occur with rate conditions which show these ports as the POL.
</t>
        </r>
        <r>
          <rPr>
            <b/>
            <i/>
            <sz val="14"/>
            <color indexed="81"/>
            <rFont val="Tahoma"/>
            <family val="2"/>
          </rPr>
          <t>All ports must be valid SEA ports.</t>
        </r>
      </text>
    </comment>
    <comment ref="F65" authorId="2" shapeId="0" xr:uid="{00000000-0006-0000-0C00-000021000000}">
      <text>
        <r>
          <rPr>
            <b/>
            <sz val="14"/>
            <color indexed="81"/>
            <rFont val="Tahoma"/>
            <family val="2"/>
          </rPr>
          <t>Indicate the mode of transportation between the arbitrary place of receipt and arbitrary POL.
CY modes can only be used when the mode of transportation is by Feeder.
Use of CY mode requires both the locations to be valid SEA ports.</t>
        </r>
      </text>
    </comment>
    <comment ref="G65" authorId="2" shapeId="0" xr:uid="{00000000-0006-0000-0C00-000022000000}">
      <text>
        <r>
          <rPr>
            <b/>
            <sz val="14"/>
            <color indexed="81"/>
            <rFont val="Tahoma"/>
            <family val="2"/>
          </rPr>
          <t>Indicate whether or not door service is included in the arbitrary rate</t>
        </r>
      </text>
    </comment>
    <comment ref="H65" authorId="2" shapeId="0" xr:uid="{00000000-0006-0000-0C00-000023000000}">
      <text>
        <r>
          <rPr>
            <b/>
            <sz val="14"/>
            <color indexed="81"/>
            <rFont val="Tahoma"/>
            <family val="2"/>
          </rPr>
          <t>Input the rate in this field when the same amount applies for all container sizes</t>
        </r>
      </text>
    </comment>
    <comment ref="N65" authorId="2" shapeId="0" xr:uid="{00000000-0006-0000-0C00-000024000000}">
      <text>
        <r>
          <rPr>
            <b/>
            <sz val="14"/>
            <color indexed="81"/>
            <rFont val="Tahoma"/>
            <family val="2"/>
          </rPr>
          <t>Each Arbitrary applies only to FAK / Bullets as specifically listed in this field.</t>
        </r>
      </text>
    </comment>
    <comment ref="B80" authorId="2" shapeId="0" xr:uid="{00000000-0006-0000-0C00-000025000000}">
      <text>
        <r>
          <rPr>
            <b/>
            <sz val="14"/>
            <color indexed="81"/>
            <rFont val="Tahoma"/>
            <family val="2"/>
          </rPr>
          <t>Place of Destination - may be an outport for feeder (CY) arbitraries or an inland destination
Format is:  City, State or ZIP Code</t>
        </r>
      </text>
    </comment>
    <comment ref="E80" authorId="2" shapeId="0" xr:uid="{00000000-0006-0000-0C00-000026000000}">
      <text>
        <r>
          <rPr>
            <b/>
            <sz val="14"/>
            <color indexed="81"/>
            <rFont val="Tahoma"/>
            <family val="2"/>
          </rPr>
          <t xml:space="preserve">Please use only one port or a group of ports (Port groups must be defined in the Port Group Codes table).
Arbitrary construction can only occur with rate conditions which show these ports as the POD.
</t>
        </r>
        <r>
          <rPr>
            <b/>
            <i/>
            <sz val="14"/>
            <color indexed="81"/>
            <rFont val="Tahoma"/>
            <family val="2"/>
          </rPr>
          <t>All ports must be valid SEA ports.</t>
        </r>
      </text>
    </comment>
    <comment ref="F80" authorId="2" shapeId="0" xr:uid="{00000000-0006-0000-0C00-000027000000}">
      <text>
        <r>
          <rPr>
            <b/>
            <sz val="14"/>
            <color indexed="81"/>
            <rFont val="Tahoma"/>
            <family val="2"/>
          </rPr>
          <t>Indicate the mode of transportation between the arbitrary POD and arbitrary place of delivery.
CY modes can only be used when the mode of transportation is by Feeder.
Use of CY mode requires both the locations to be valid SEA ports.</t>
        </r>
      </text>
    </comment>
    <comment ref="G80" authorId="2" shapeId="0" xr:uid="{00000000-0006-0000-0C00-000028000000}">
      <text>
        <r>
          <rPr>
            <b/>
            <sz val="14"/>
            <color indexed="81"/>
            <rFont val="Tahoma"/>
            <family val="2"/>
          </rPr>
          <t>Indicate whether or not door service is included in the arbitrary rate</t>
        </r>
      </text>
    </comment>
    <comment ref="H80" authorId="2" shapeId="0" xr:uid="{00000000-0006-0000-0C00-000029000000}">
      <text>
        <r>
          <rPr>
            <b/>
            <sz val="14"/>
            <color indexed="81"/>
            <rFont val="Tahoma"/>
            <family val="2"/>
          </rPr>
          <t>Input the rate in this field when the same amount applies for all container sizes</t>
        </r>
      </text>
    </comment>
    <comment ref="N80" authorId="2" shapeId="0" xr:uid="{00000000-0006-0000-0C00-00002A000000}">
      <text>
        <r>
          <rPr>
            <b/>
            <sz val="14"/>
            <color indexed="81"/>
            <rFont val="Tahoma"/>
            <family val="2"/>
          </rPr>
          <t>Each Arbitrary applies only to FAK / Bullets as specifically listed in this field.</t>
        </r>
      </text>
    </comment>
    <comment ref="L90" authorId="2" shapeId="0" xr:uid="{00000000-0006-0000-0C00-00002B000000}">
      <text>
        <r>
          <rPr>
            <b/>
            <sz val="14"/>
            <color indexed="81"/>
            <rFont val="Tahoma"/>
            <family val="2"/>
          </rPr>
          <t>Surcharge applicability mentioned on any row applies specifically to the individual port mentioned in this field.
If the Applicable Port field is blank, then the  surcharge applicability stated on that row applies to all ports.</t>
        </r>
      </text>
    </comment>
    <comment ref="A180" authorId="2" shapeId="0" xr:uid="{00000000-0006-0000-0C00-00002C000000}">
      <text>
        <r>
          <rPr>
            <sz val="12"/>
            <color indexed="81"/>
            <rFont val="Tahoma"/>
            <family val="2"/>
          </rPr>
          <t>Select the bullet for which the exception applies.
If exception applies to all bullets, select "ALL".</t>
        </r>
      </text>
    </comment>
    <comment ref="B180" authorId="2" shapeId="0" xr:uid="{00000000-0006-0000-0C00-00002D000000}">
      <text>
        <r>
          <rPr>
            <sz val="12"/>
            <color indexed="81"/>
            <rFont val="Tahoma"/>
            <family val="2"/>
          </rPr>
          <t xml:space="preserve">Specify if Free Time condition applies to Export or Import:
</t>
        </r>
        <r>
          <rPr>
            <b/>
            <sz val="12"/>
            <color indexed="81"/>
            <rFont val="Tahoma"/>
            <family val="2"/>
          </rPr>
          <t xml:space="preserve">E </t>
        </r>
        <r>
          <rPr>
            <sz val="12"/>
            <color indexed="81"/>
            <rFont val="Tahoma"/>
            <family val="2"/>
          </rPr>
          <t xml:space="preserve">(Export) = applies at origin
</t>
        </r>
        <r>
          <rPr>
            <b/>
            <sz val="12"/>
            <color indexed="81"/>
            <rFont val="Tahoma"/>
            <family val="2"/>
          </rPr>
          <t xml:space="preserve">I </t>
        </r>
        <r>
          <rPr>
            <sz val="12"/>
            <color indexed="81"/>
            <rFont val="Tahoma"/>
            <family val="2"/>
          </rPr>
          <t>(Import) = applies at destination</t>
        </r>
      </text>
    </comment>
    <comment ref="C180" authorId="2" shapeId="0" xr:uid="{00000000-0006-0000-0C00-00002E000000}">
      <text>
        <r>
          <rPr>
            <sz val="12"/>
            <color indexed="81"/>
            <rFont val="Tahoma"/>
            <family val="2"/>
          </rPr>
          <t>Enter Type of Free Time:</t>
        </r>
        <r>
          <rPr>
            <u/>
            <sz val="12"/>
            <color indexed="81"/>
            <rFont val="Tahoma"/>
            <family val="2"/>
          </rPr>
          <t xml:space="preserve">
</t>
        </r>
        <r>
          <rPr>
            <sz val="12"/>
            <color indexed="81"/>
            <rFont val="Tahoma"/>
            <family val="2"/>
          </rPr>
          <t xml:space="preserve">
</t>
        </r>
        <r>
          <rPr>
            <b/>
            <sz val="12"/>
            <color indexed="81"/>
            <rFont val="Tahoma"/>
            <family val="2"/>
          </rPr>
          <t>Detention
Demurrage
Merged</t>
        </r>
      </text>
    </comment>
    <comment ref="F180" authorId="2" shapeId="0" xr:uid="{00000000-0006-0000-0C00-00002F000000}">
      <text>
        <r>
          <rPr>
            <sz val="12"/>
            <color indexed="81"/>
            <rFont val="Tahoma"/>
            <family val="2"/>
          </rPr>
          <t xml:space="preserve">Specify Equipment Type (blank field indicates applicability to all Eq Types):
</t>
        </r>
        <r>
          <rPr>
            <b/>
            <sz val="12"/>
            <color indexed="81"/>
            <rFont val="Tahoma"/>
            <family val="2"/>
          </rPr>
          <t>D</t>
        </r>
        <r>
          <rPr>
            <sz val="12"/>
            <color indexed="81"/>
            <rFont val="Tahoma"/>
            <family val="2"/>
          </rPr>
          <t xml:space="preserve"> = Dry
</t>
        </r>
        <r>
          <rPr>
            <b/>
            <sz val="12"/>
            <color indexed="81"/>
            <rFont val="Tahoma"/>
            <family val="2"/>
          </rPr>
          <t>R</t>
        </r>
        <r>
          <rPr>
            <sz val="12"/>
            <color indexed="81"/>
            <rFont val="Tahoma"/>
            <family val="2"/>
          </rPr>
          <t xml:space="preserve"> = Reefer
</t>
        </r>
        <r>
          <rPr>
            <b/>
            <sz val="12"/>
            <color indexed="81"/>
            <rFont val="Tahoma"/>
            <family val="2"/>
          </rPr>
          <t>OT</t>
        </r>
        <r>
          <rPr>
            <sz val="12"/>
            <color indexed="81"/>
            <rFont val="Tahoma"/>
            <family val="2"/>
          </rPr>
          <t xml:space="preserve"> = Open Top
</t>
        </r>
        <r>
          <rPr>
            <b/>
            <sz val="12"/>
            <color indexed="81"/>
            <rFont val="Tahoma"/>
            <family val="2"/>
          </rPr>
          <t>FR</t>
        </r>
        <r>
          <rPr>
            <sz val="12"/>
            <color indexed="81"/>
            <rFont val="Tahoma"/>
            <family val="2"/>
          </rPr>
          <t xml:space="preserve"> = Flat Rack</t>
        </r>
      </text>
    </comment>
    <comment ref="G180" authorId="2" shapeId="0" xr:uid="{00000000-0006-0000-0C00-000030000000}">
      <text>
        <r>
          <rPr>
            <sz val="12"/>
            <color indexed="81"/>
            <rFont val="Tahoma"/>
            <family val="2"/>
          </rPr>
          <t>Select "OR" from the drop down list if condition applies to Operating Reefers</t>
        </r>
      </text>
    </comment>
    <comment ref="H180" authorId="2" shapeId="0" xr:uid="{00000000-0006-0000-0C00-000031000000}">
      <text>
        <r>
          <rPr>
            <sz val="12"/>
            <color indexed="81"/>
            <rFont val="Tahoma"/>
            <family val="2"/>
          </rPr>
          <t xml:space="preserve">Specify the Place of Receipt if necessary.  </t>
        </r>
        <r>
          <rPr>
            <u/>
            <sz val="12"/>
            <color indexed="81"/>
            <rFont val="Tahoma"/>
            <family val="2"/>
          </rPr>
          <t>Do not</t>
        </r>
        <r>
          <rPr>
            <sz val="12"/>
            <color indexed="81"/>
            <rFont val="Tahoma"/>
            <family val="2"/>
          </rPr>
          <t xml:space="preserve"> use "ALL".
Only 1 location may be entered per row.</t>
        </r>
      </text>
    </comment>
    <comment ref="I180" authorId="2" shapeId="0" xr:uid="{00000000-0006-0000-0C00-000032000000}">
      <text>
        <r>
          <rPr>
            <sz val="12"/>
            <color indexed="81"/>
            <rFont val="Tahoma"/>
            <family val="2"/>
          </rPr>
          <t xml:space="preserve">Enter the POL if necessary.  </t>
        </r>
        <r>
          <rPr>
            <u/>
            <sz val="12"/>
            <color indexed="81"/>
            <rFont val="Tahoma"/>
            <family val="2"/>
          </rPr>
          <t>Do not</t>
        </r>
        <r>
          <rPr>
            <sz val="12"/>
            <color indexed="81"/>
            <rFont val="Tahoma"/>
            <family val="2"/>
          </rPr>
          <t xml:space="preserve"> use "ALL".
Only 1 location is allowed per row and must be a valid seaport.</t>
        </r>
      </text>
    </comment>
    <comment ref="J180" authorId="2" shapeId="0" xr:uid="{00000000-0006-0000-0C00-000033000000}">
      <text>
        <r>
          <rPr>
            <sz val="12"/>
            <color indexed="81"/>
            <rFont val="Tahoma"/>
            <family val="2"/>
          </rPr>
          <t xml:space="preserve">Enter the POD if necessary.  </t>
        </r>
        <r>
          <rPr>
            <u/>
            <sz val="12"/>
            <color indexed="81"/>
            <rFont val="Tahoma"/>
            <family val="2"/>
          </rPr>
          <t>Do not</t>
        </r>
        <r>
          <rPr>
            <sz val="12"/>
            <color indexed="81"/>
            <rFont val="Tahoma"/>
            <family val="2"/>
          </rPr>
          <t xml:space="preserve"> use "ALL".
Only 1 location is allowed per row and must be a valid seaport.</t>
        </r>
      </text>
    </comment>
    <comment ref="K180" authorId="2" shapeId="0" xr:uid="{00000000-0006-0000-0C00-000034000000}">
      <text>
        <r>
          <rPr>
            <sz val="12"/>
            <color indexed="81"/>
            <rFont val="Tahoma"/>
            <family val="2"/>
          </rPr>
          <t xml:space="preserve">Specify the Place of Delivery if necessary.  </t>
        </r>
        <r>
          <rPr>
            <u/>
            <sz val="12"/>
            <color indexed="81"/>
            <rFont val="Tahoma"/>
            <family val="2"/>
          </rPr>
          <t>Do not</t>
        </r>
        <r>
          <rPr>
            <sz val="12"/>
            <color indexed="81"/>
            <rFont val="Tahoma"/>
            <family val="2"/>
          </rPr>
          <t xml:space="preserve"> use "ALL".
Only 1 location may be entered per row.</t>
        </r>
      </text>
    </comment>
    <comment ref="L180" authorId="3" shapeId="0" xr:uid="{099B6E57-B192-42E6-BEA0-67B6CB4F56F1}">
      <text>
        <r>
          <rPr>
            <sz val="12"/>
            <color indexed="81"/>
            <rFont val="Tahoma"/>
            <family val="2"/>
          </rPr>
          <t xml:space="preserve">Enter the Country Code ONLY.  </t>
        </r>
        <r>
          <rPr>
            <u/>
            <sz val="12"/>
            <color indexed="81"/>
            <rFont val="Tahoma"/>
            <family val="2"/>
          </rPr>
          <t>Cannot</t>
        </r>
        <r>
          <rPr>
            <sz val="12"/>
            <color indexed="81"/>
            <rFont val="Tahoma"/>
            <family val="2"/>
          </rPr>
          <t xml:space="preserve"> use "ALL" or country name</t>
        </r>
      </text>
    </comment>
    <comment ref="M180" authorId="2" shapeId="0" xr:uid="{00000000-0006-0000-0C00-000035000000}">
      <text>
        <r>
          <rPr>
            <sz val="12"/>
            <color indexed="81"/>
            <rFont val="Tahoma"/>
            <family val="2"/>
          </rPr>
          <t xml:space="preserve">Enter additional notes only when absolutely necessary.  
</t>
        </r>
        <r>
          <rPr>
            <u/>
            <sz val="12"/>
            <color indexed="81"/>
            <rFont val="Tahoma"/>
            <family val="2"/>
          </rPr>
          <t>IMPORTANT</t>
        </r>
        <r>
          <rPr>
            <sz val="12"/>
            <color indexed="81"/>
            <rFont val="Tahoma"/>
            <family val="2"/>
          </rPr>
          <t xml:space="preserve">:  Named accounts and specific commodities </t>
        </r>
        <r>
          <rPr>
            <b/>
            <u/>
            <sz val="12"/>
            <color indexed="81"/>
            <rFont val="Tahoma"/>
            <family val="2"/>
          </rPr>
          <t>may not</t>
        </r>
        <r>
          <rPr>
            <sz val="12"/>
            <color indexed="81"/>
            <rFont val="Tahoma"/>
            <family val="2"/>
          </rPr>
          <t xml:space="preserve"> be listed as Notes.</t>
        </r>
      </text>
    </comment>
    <comment ref="A193" authorId="2" shapeId="0" xr:uid="{46A97AF5-7D52-4CE7-AD9C-00C43BAA643C}">
      <text>
        <r>
          <rPr>
            <sz val="12"/>
            <color indexed="81"/>
            <rFont val="Tahoma"/>
            <family val="2"/>
          </rPr>
          <t>Select the bullet for which the exception applies.
If exception applies to all bullets, select "ALL".</t>
        </r>
      </text>
    </comment>
    <comment ref="B193" authorId="2" shapeId="0" xr:uid="{1A222D94-7D73-476B-8606-04B707CED18B}">
      <text>
        <r>
          <rPr>
            <sz val="12"/>
            <color indexed="81"/>
            <rFont val="Tahoma"/>
            <family val="2"/>
          </rPr>
          <t xml:space="preserve">Specify if Free Time condition applies to Export or Import:
</t>
        </r>
        <r>
          <rPr>
            <b/>
            <sz val="12"/>
            <color indexed="81"/>
            <rFont val="Tahoma"/>
            <family val="2"/>
          </rPr>
          <t xml:space="preserve">E </t>
        </r>
        <r>
          <rPr>
            <sz val="12"/>
            <color indexed="81"/>
            <rFont val="Tahoma"/>
            <family val="2"/>
          </rPr>
          <t xml:space="preserve">(Export) = applies at origin
</t>
        </r>
        <r>
          <rPr>
            <b/>
            <sz val="12"/>
            <color indexed="81"/>
            <rFont val="Tahoma"/>
            <family val="2"/>
          </rPr>
          <t xml:space="preserve">I </t>
        </r>
        <r>
          <rPr>
            <sz val="12"/>
            <color indexed="81"/>
            <rFont val="Tahoma"/>
            <family val="2"/>
          </rPr>
          <t>(Import) = applies at destination</t>
        </r>
      </text>
    </comment>
    <comment ref="C193" authorId="2" shapeId="0" xr:uid="{2991371D-43CD-4DE7-9C4B-2763250EF23C}">
      <text>
        <r>
          <rPr>
            <sz val="12"/>
            <color indexed="81"/>
            <rFont val="Tahoma"/>
            <family val="2"/>
          </rPr>
          <t>Enter Type of Free Time:</t>
        </r>
        <r>
          <rPr>
            <u/>
            <sz val="12"/>
            <color indexed="81"/>
            <rFont val="Tahoma"/>
            <family val="2"/>
          </rPr>
          <t xml:space="preserve">
</t>
        </r>
        <r>
          <rPr>
            <sz val="12"/>
            <color indexed="81"/>
            <rFont val="Tahoma"/>
            <family val="2"/>
          </rPr>
          <t xml:space="preserve">
</t>
        </r>
        <r>
          <rPr>
            <b/>
            <sz val="12"/>
            <color indexed="81"/>
            <rFont val="Tahoma"/>
            <family val="2"/>
          </rPr>
          <t>Detention
Demurrage
Merged</t>
        </r>
      </text>
    </comment>
    <comment ref="F193" authorId="2" shapeId="0" xr:uid="{040BDA40-07AC-4EB5-AFCF-47FFD587064A}">
      <text>
        <r>
          <rPr>
            <sz val="12"/>
            <color indexed="81"/>
            <rFont val="Tahoma"/>
            <family val="2"/>
          </rPr>
          <t>If any exceptional charges are offered, then the currency is required to be shown.</t>
        </r>
      </text>
    </comment>
    <comment ref="W193" authorId="2" shapeId="0" xr:uid="{9A826AA1-F138-4EBF-8899-002DA421172F}">
      <text>
        <r>
          <rPr>
            <sz val="12"/>
            <color indexed="81"/>
            <rFont val="Tahoma"/>
            <family val="2"/>
          </rPr>
          <t xml:space="preserve">Specify Equipment Type (blank field indicates applicability to all Eq Types):
</t>
        </r>
        <r>
          <rPr>
            <b/>
            <sz val="12"/>
            <color indexed="81"/>
            <rFont val="Tahoma"/>
            <family val="2"/>
          </rPr>
          <t>D</t>
        </r>
        <r>
          <rPr>
            <sz val="12"/>
            <color indexed="81"/>
            <rFont val="Tahoma"/>
            <family val="2"/>
          </rPr>
          <t xml:space="preserve"> = Dry
</t>
        </r>
        <r>
          <rPr>
            <b/>
            <sz val="12"/>
            <color indexed="81"/>
            <rFont val="Tahoma"/>
            <family val="2"/>
          </rPr>
          <t>R</t>
        </r>
        <r>
          <rPr>
            <sz val="12"/>
            <color indexed="81"/>
            <rFont val="Tahoma"/>
            <family val="2"/>
          </rPr>
          <t xml:space="preserve"> = Reefer
</t>
        </r>
        <r>
          <rPr>
            <b/>
            <sz val="12"/>
            <color indexed="81"/>
            <rFont val="Tahoma"/>
            <family val="2"/>
          </rPr>
          <t>OT</t>
        </r>
        <r>
          <rPr>
            <sz val="12"/>
            <color indexed="81"/>
            <rFont val="Tahoma"/>
            <family val="2"/>
          </rPr>
          <t xml:space="preserve"> = Open Top
</t>
        </r>
        <r>
          <rPr>
            <b/>
            <sz val="12"/>
            <color indexed="81"/>
            <rFont val="Tahoma"/>
            <family val="2"/>
          </rPr>
          <t>FR</t>
        </r>
        <r>
          <rPr>
            <sz val="12"/>
            <color indexed="81"/>
            <rFont val="Tahoma"/>
            <family val="2"/>
          </rPr>
          <t xml:space="preserve"> = Flat Rack</t>
        </r>
      </text>
    </comment>
    <comment ref="X193" authorId="2" shapeId="0" xr:uid="{714595A2-1328-46D3-9131-4CE43AA01A51}">
      <text>
        <r>
          <rPr>
            <sz val="12"/>
            <color indexed="81"/>
            <rFont val="Tahoma"/>
            <family val="2"/>
          </rPr>
          <t>Select "OR" from the drop down list if condition applies to Operating Reefers</t>
        </r>
      </text>
    </comment>
    <comment ref="Y193" authorId="2" shapeId="0" xr:uid="{6214286B-110A-4F84-B0AF-3F1018474E59}">
      <text>
        <r>
          <rPr>
            <sz val="12"/>
            <color indexed="81"/>
            <rFont val="Tahoma"/>
            <family val="2"/>
          </rPr>
          <t xml:space="preserve">Specify the Place of Receipt if necessary.  </t>
        </r>
        <r>
          <rPr>
            <u/>
            <sz val="12"/>
            <color indexed="81"/>
            <rFont val="Tahoma"/>
            <family val="2"/>
          </rPr>
          <t>Do not</t>
        </r>
        <r>
          <rPr>
            <sz val="12"/>
            <color indexed="81"/>
            <rFont val="Tahoma"/>
            <family val="2"/>
          </rPr>
          <t xml:space="preserve"> use "ALL".
Only 1 location may be entered per row.</t>
        </r>
      </text>
    </comment>
    <comment ref="Z193" authorId="2" shapeId="0" xr:uid="{4B442EE3-07E6-4899-8016-4C23A9E5CCDD}">
      <text>
        <r>
          <rPr>
            <sz val="12"/>
            <color indexed="81"/>
            <rFont val="Tahoma"/>
            <family val="2"/>
          </rPr>
          <t xml:space="preserve">Enter the POL if necessary.  </t>
        </r>
        <r>
          <rPr>
            <u/>
            <sz val="12"/>
            <color indexed="81"/>
            <rFont val="Tahoma"/>
            <family val="2"/>
          </rPr>
          <t>Do not</t>
        </r>
        <r>
          <rPr>
            <sz val="12"/>
            <color indexed="81"/>
            <rFont val="Tahoma"/>
            <family val="2"/>
          </rPr>
          <t xml:space="preserve"> use "ALL".
Only 1 location is allowed per row and must be a valid seaport.</t>
        </r>
      </text>
    </comment>
    <comment ref="AA193" authorId="2" shapeId="0" xr:uid="{D55BEA69-8886-4023-85AB-F2A1CB69648A}">
      <text>
        <r>
          <rPr>
            <sz val="12"/>
            <color indexed="81"/>
            <rFont val="Tahoma"/>
            <family val="2"/>
          </rPr>
          <t xml:space="preserve">Enter the POD if necessary.  </t>
        </r>
        <r>
          <rPr>
            <u/>
            <sz val="12"/>
            <color indexed="81"/>
            <rFont val="Tahoma"/>
            <family val="2"/>
          </rPr>
          <t>Do not</t>
        </r>
        <r>
          <rPr>
            <sz val="12"/>
            <color indexed="81"/>
            <rFont val="Tahoma"/>
            <family val="2"/>
          </rPr>
          <t xml:space="preserve"> use "ALL".
Only 1 location is allowed per row and must be a valid seaport.</t>
        </r>
      </text>
    </comment>
    <comment ref="AB193" authorId="2" shapeId="0" xr:uid="{01F63760-F763-4DD8-951D-EE22060EC19E}">
      <text>
        <r>
          <rPr>
            <sz val="12"/>
            <color indexed="81"/>
            <rFont val="Tahoma"/>
            <family val="2"/>
          </rPr>
          <t xml:space="preserve">Specify the Place of Delivery if necessary.  </t>
        </r>
        <r>
          <rPr>
            <u/>
            <sz val="12"/>
            <color indexed="81"/>
            <rFont val="Tahoma"/>
            <family val="2"/>
          </rPr>
          <t>Do not</t>
        </r>
        <r>
          <rPr>
            <sz val="12"/>
            <color indexed="81"/>
            <rFont val="Tahoma"/>
            <family val="2"/>
          </rPr>
          <t xml:space="preserve"> use "ALL".
Only 1 location may be entered per row.</t>
        </r>
      </text>
    </comment>
    <comment ref="AC193" authorId="3" shapeId="0" xr:uid="{33BCE58A-6B07-4401-90A7-9648397FAEE9}">
      <text>
        <r>
          <rPr>
            <sz val="12"/>
            <color indexed="81"/>
            <rFont val="Tahoma"/>
            <family val="2"/>
          </rPr>
          <t xml:space="preserve">Enter the Country Code ONLY.  </t>
        </r>
        <r>
          <rPr>
            <u/>
            <sz val="12"/>
            <color indexed="81"/>
            <rFont val="Tahoma"/>
            <family val="2"/>
          </rPr>
          <t>Cannot</t>
        </r>
        <r>
          <rPr>
            <sz val="12"/>
            <color indexed="81"/>
            <rFont val="Tahoma"/>
            <family val="2"/>
          </rPr>
          <t xml:space="preserve"> use "ALL" or country name</t>
        </r>
      </text>
    </comment>
    <comment ref="AD193" authorId="2" shapeId="0" xr:uid="{B1AD7DC7-A102-4510-BA96-72017C081177}">
      <text>
        <r>
          <rPr>
            <sz val="12"/>
            <color indexed="81"/>
            <rFont val="Tahoma"/>
            <family val="2"/>
          </rPr>
          <t xml:space="preserve">Enter additional notes only when absolutely necessary.  
</t>
        </r>
        <r>
          <rPr>
            <u/>
            <sz val="12"/>
            <color indexed="81"/>
            <rFont val="Tahoma"/>
            <family val="2"/>
          </rPr>
          <t>IMPORTANT</t>
        </r>
        <r>
          <rPr>
            <sz val="12"/>
            <color indexed="81"/>
            <rFont val="Tahoma"/>
            <family val="2"/>
          </rPr>
          <t xml:space="preserve">:  Named accounts and specific commodities </t>
        </r>
        <r>
          <rPr>
            <b/>
            <u/>
            <sz val="12"/>
            <color indexed="81"/>
            <rFont val="Tahoma"/>
            <family val="2"/>
          </rPr>
          <t>may not</t>
        </r>
        <r>
          <rPr>
            <sz val="12"/>
            <color indexed="81"/>
            <rFont val="Tahoma"/>
            <family val="2"/>
          </rPr>
          <t xml:space="preserve"> be listed as Notes.</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ext.obouge</author>
    <author>William MALLOL</author>
    <author>usa.gewan</author>
    <author>GENDER Charlie - NOR</author>
  </authors>
  <commentList>
    <comment ref="B13" authorId="0" shapeId="0" xr:uid="{00000000-0006-0000-0D00-000001000000}">
      <text>
        <r>
          <rPr>
            <b/>
            <sz val="12"/>
            <color indexed="81"/>
            <rFont val="Tahoma"/>
            <family val="2"/>
          </rPr>
          <t>Please use comma to separate commodities.</t>
        </r>
      </text>
    </comment>
    <comment ref="A20" authorId="1" shapeId="0" xr:uid="{00000000-0006-0000-0D00-000002000000}">
      <text>
        <r>
          <rPr>
            <b/>
            <sz val="14"/>
            <color indexed="81"/>
            <rFont val="Tahoma"/>
            <family val="2"/>
          </rPr>
          <t>Port Group Codes can be used to group any two or more valid seaports that are common rated.
Port Group Codes cannot be used for inland locations.</t>
        </r>
      </text>
    </comment>
    <comment ref="B20" authorId="0" shapeId="0" xr:uid="{00000000-0006-0000-0D00-000003000000}">
      <text>
        <r>
          <rPr>
            <b/>
            <sz val="14"/>
            <color indexed="81"/>
            <rFont val="Tahoma"/>
            <family val="2"/>
          </rPr>
          <t>Please use comma to separate ports.
Only valid sea ports may be included.</t>
        </r>
      </text>
    </comment>
    <comment ref="A30" authorId="1" shapeId="0" xr:uid="{00000000-0006-0000-0D00-000004000000}">
      <text>
        <r>
          <rPr>
            <b/>
            <sz val="14"/>
            <color indexed="81"/>
            <rFont val="Tahoma"/>
            <family val="2"/>
          </rPr>
          <t>Please use FAK/ Bullets defined above.</t>
        </r>
      </text>
    </comment>
    <comment ref="B30" authorId="1" shapeId="0" xr:uid="{00000000-0006-0000-0D00-000005000000}">
      <text>
        <r>
          <rPr>
            <b/>
            <sz val="14"/>
            <color indexed="81"/>
            <rFont val="Tahoma"/>
            <family val="2"/>
          </rPr>
          <t>City, State / ZIP Code</t>
        </r>
      </text>
    </comment>
    <comment ref="C30" authorId="1" shapeId="0" xr:uid="{00000000-0006-0000-0D00-000006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D30" authorId="1" shapeId="0" xr:uid="{00000000-0006-0000-0D00-000007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E30" authorId="1" shapeId="0" xr:uid="{00000000-0006-0000-0D00-000008000000}">
      <text>
        <r>
          <rPr>
            <b/>
            <sz val="14"/>
            <color indexed="81"/>
            <rFont val="Tahoma"/>
            <family val="2"/>
          </rPr>
          <t>City, State / ZIP Code</t>
        </r>
      </text>
    </comment>
    <comment ref="F30" authorId="2" shapeId="0" xr:uid="{00000000-0006-0000-0D00-000009000000}">
      <text>
        <r>
          <rPr>
            <b/>
            <sz val="14"/>
            <color indexed="81"/>
            <rFont val="Tahoma"/>
            <family val="2"/>
          </rPr>
          <t>Indicate the mode of transportation at origin and destination.
Mode cannot begin with CY if there is a location listed as place of receipt.
Mode cannot end with CY if there is a location is listed as place of delivery</t>
        </r>
      </text>
    </comment>
    <comment ref="G30" authorId="2" shapeId="0" xr:uid="{00000000-0006-0000-0D00-00000A000000}">
      <text>
        <r>
          <rPr>
            <b/>
            <sz val="14"/>
            <color indexed="81"/>
            <rFont val="Tahoma"/>
            <family val="2"/>
          </rPr>
          <t>Indicate whether or not door service is included at origin and destination</t>
        </r>
      </text>
    </comment>
    <comment ref="M30" authorId="2" shapeId="0" xr:uid="{00000000-0006-0000-0D00-00000B000000}">
      <text>
        <r>
          <rPr>
            <b/>
            <sz val="14"/>
            <color indexed="81"/>
            <rFont val="Tahoma"/>
            <family val="2"/>
          </rPr>
          <t>Use these columns for exceptions to surcharge applicability in note 2</t>
        </r>
      </text>
    </comment>
    <comment ref="AA30" authorId="2" shapeId="0" xr:uid="{00000000-0006-0000-0D00-00000C000000}">
      <text>
        <r>
          <rPr>
            <b/>
            <sz val="14"/>
            <color indexed="81"/>
            <rFont val="Tahoma"/>
            <family val="2"/>
          </rPr>
          <t>This field controls construction using Arbitraries and Inland Tariffs
Y = allowed in US, N = not allowed in US, 
E = allowed at origin, I = allowed at destination,
B = allowed at both origin and destination
X = not allowed at either origin or destination</t>
        </r>
      </text>
    </comment>
    <comment ref="A39" authorId="1" shapeId="0" xr:uid="{00000000-0006-0000-0D00-00000D000000}">
      <text>
        <r>
          <rPr>
            <b/>
            <sz val="14"/>
            <color indexed="81"/>
            <rFont val="Tahoma"/>
            <family val="2"/>
          </rPr>
          <t>Please use FAK/ Bullets defined above.</t>
        </r>
      </text>
    </comment>
    <comment ref="B39" authorId="1" shapeId="0" xr:uid="{00000000-0006-0000-0D00-00000E000000}">
      <text>
        <r>
          <rPr>
            <b/>
            <sz val="14"/>
            <color indexed="81"/>
            <rFont val="Tahoma"/>
            <family val="2"/>
          </rPr>
          <t>City, State / ZIP Code</t>
        </r>
      </text>
    </comment>
    <comment ref="C39" authorId="1" shapeId="0" xr:uid="{00000000-0006-0000-0D00-00000F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D39" authorId="1" shapeId="0" xr:uid="{00000000-0006-0000-0D00-000010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E39" authorId="1" shapeId="0" xr:uid="{00000000-0006-0000-0D00-000011000000}">
      <text>
        <r>
          <rPr>
            <b/>
            <sz val="14"/>
            <color indexed="81"/>
            <rFont val="Tahoma"/>
            <family val="2"/>
          </rPr>
          <t>City, State / ZIP Code</t>
        </r>
      </text>
    </comment>
    <comment ref="F39" authorId="2" shapeId="0" xr:uid="{00000000-0006-0000-0D00-000012000000}">
      <text>
        <r>
          <rPr>
            <b/>
            <sz val="14"/>
            <color indexed="81"/>
            <rFont val="Tahoma"/>
            <family val="2"/>
          </rPr>
          <t>Indicate the mode of transportation at origin and destination.
Mode cannot begin with CY if there is a location listed as place of receipt.
Mode cannot end with CY if there is a location is listed as place of delivery</t>
        </r>
      </text>
    </comment>
    <comment ref="G39" authorId="2" shapeId="0" xr:uid="{00000000-0006-0000-0D00-000013000000}">
      <text>
        <r>
          <rPr>
            <b/>
            <sz val="14"/>
            <color indexed="81"/>
            <rFont val="Tahoma"/>
            <family val="2"/>
          </rPr>
          <t>Indicate whether or not door service is included at origin and destination</t>
        </r>
      </text>
    </comment>
    <comment ref="O39" authorId="2" shapeId="0" xr:uid="{00000000-0006-0000-0D00-000014000000}">
      <text>
        <r>
          <rPr>
            <b/>
            <sz val="14"/>
            <color indexed="81"/>
            <rFont val="Tahoma"/>
            <family val="2"/>
          </rPr>
          <t>Use these columns for exceptions to surcharge applicability in note 2</t>
        </r>
      </text>
    </comment>
    <comment ref="AA39" authorId="2" shapeId="0" xr:uid="{00000000-0006-0000-0D00-000015000000}">
      <text>
        <r>
          <rPr>
            <b/>
            <sz val="14"/>
            <color indexed="81"/>
            <rFont val="Tahoma"/>
            <family val="2"/>
          </rPr>
          <t>This field controls construction using Arbitraries and Inland Tariffs
Y = allowed in US, N = not allowed in US, 
E = allowed at origin, I = allowed at destination,
B = allowed at both origin and destination
X = not allowed at either origin or destination</t>
        </r>
      </text>
    </comment>
    <comment ref="A48" authorId="1" shapeId="0" xr:uid="{00000000-0006-0000-0D00-000016000000}">
      <text>
        <r>
          <rPr>
            <b/>
            <sz val="14"/>
            <color indexed="81"/>
            <rFont val="Tahoma"/>
            <family val="2"/>
          </rPr>
          <t>Please use FAK/ Bullets defined above.</t>
        </r>
      </text>
    </comment>
    <comment ref="B48" authorId="1" shapeId="0" xr:uid="{00000000-0006-0000-0D00-000017000000}">
      <text>
        <r>
          <rPr>
            <b/>
            <sz val="14"/>
            <color indexed="81"/>
            <rFont val="Tahoma"/>
            <family val="2"/>
          </rPr>
          <t>City, State / ZIP Code</t>
        </r>
      </text>
    </comment>
    <comment ref="C48" authorId="1" shapeId="0" xr:uid="{00000000-0006-0000-0D00-000018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D48" authorId="1" shapeId="0" xr:uid="{00000000-0006-0000-0D00-000019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E48" authorId="1" shapeId="0" xr:uid="{00000000-0006-0000-0D00-00001A000000}">
      <text>
        <r>
          <rPr>
            <b/>
            <sz val="14"/>
            <color indexed="81"/>
            <rFont val="Tahoma"/>
            <family val="2"/>
          </rPr>
          <t>City, State / ZIP Code</t>
        </r>
      </text>
    </comment>
    <comment ref="F48" authorId="2" shapeId="0" xr:uid="{00000000-0006-0000-0D00-00001B000000}">
      <text>
        <r>
          <rPr>
            <b/>
            <sz val="14"/>
            <color indexed="81"/>
            <rFont val="Tahoma"/>
            <family val="2"/>
          </rPr>
          <t>Indicate the mode of transportation at origin and destination.
Mode cannot begin with CY if there is a location listed as place of receipt.
Mode cannot end with CY if there is a location is listed as place of delivery</t>
        </r>
      </text>
    </comment>
    <comment ref="G48" authorId="2" shapeId="0" xr:uid="{00000000-0006-0000-0D00-00001C000000}">
      <text>
        <r>
          <rPr>
            <b/>
            <sz val="14"/>
            <color indexed="81"/>
            <rFont val="Tahoma"/>
            <family val="2"/>
          </rPr>
          <t>Indicate whether or not door service is included at origin and destination</t>
        </r>
      </text>
    </comment>
    <comment ref="Q48" authorId="2" shapeId="0" xr:uid="{00000000-0006-0000-0D00-00001D000000}">
      <text>
        <r>
          <rPr>
            <b/>
            <sz val="14"/>
            <color indexed="81"/>
            <rFont val="Tahoma"/>
            <family val="2"/>
          </rPr>
          <t>Use these columns for exceptions to surcharge applicability in note 2</t>
        </r>
      </text>
    </comment>
    <comment ref="AC48" authorId="2" shapeId="0" xr:uid="{00000000-0006-0000-0D00-00001E000000}">
      <text>
        <r>
          <rPr>
            <b/>
            <sz val="14"/>
            <color indexed="81"/>
            <rFont val="Tahoma"/>
            <family val="2"/>
          </rPr>
          <t>This field controls construction using Arbitraries and Inland Tariffs
Y = allowed in US, N = not allowed in US, 
E = allowed at origin, I = allowed at destination,
B = allowed at both origin and destination
X = not allowed at either origin or destination</t>
        </r>
      </text>
    </comment>
    <comment ref="B65" authorId="2" shapeId="0" xr:uid="{00000000-0006-0000-0D00-00001F000000}">
      <text>
        <r>
          <rPr>
            <b/>
            <sz val="14"/>
            <color indexed="81"/>
            <rFont val="Tahoma"/>
            <family val="2"/>
          </rPr>
          <t>Place of Origin - may be an outport for feeder (CY) arbitraries or an inland origin
Format is:  City, State or ZIP Code</t>
        </r>
      </text>
    </comment>
    <comment ref="E65" authorId="2" shapeId="0" xr:uid="{00000000-0006-0000-0D00-000020000000}">
      <text>
        <r>
          <rPr>
            <b/>
            <sz val="14"/>
            <color indexed="81"/>
            <rFont val="Tahoma"/>
            <family val="2"/>
          </rPr>
          <t xml:space="preserve">Please use only one port or a group of ports (Port groups must be defined in the Port Group Codes table).
Arbitrary construction can only occur with rate conditions which show these ports as the POL.
</t>
        </r>
        <r>
          <rPr>
            <b/>
            <i/>
            <sz val="14"/>
            <color indexed="81"/>
            <rFont val="Tahoma"/>
            <family val="2"/>
          </rPr>
          <t>All ports must be valid SEA ports.</t>
        </r>
      </text>
    </comment>
    <comment ref="F65" authorId="2" shapeId="0" xr:uid="{00000000-0006-0000-0D00-000021000000}">
      <text>
        <r>
          <rPr>
            <b/>
            <sz val="14"/>
            <color indexed="81"/>
            <rFont val="Tahoma"/>
            <family val="2"/>
          </rPr>
          <t>Indicate the mode of transportation between the arbitrary place of receipt and arbitrary POL.
CY modes can only be used when the mode of transportation is by Feeder.
Use of CY mode requires both the locations to be valid SEA ports.</t>
        </r>
      </text>
    </comment>
    <comment ref="G65" authorId="2" shapeId="0" xr:uid="{00000000-0006-0000-0D00-000022000000}">
      <text>
        <r>
          <rPr>
            <b/>
            <sz val="14"/>
            <color indexed="81"/>
            <rFont val="Tahoma"/>
            <family val="2"/>
          </rPr>
          <t>Indicate whether or not door service is included in the arbitrary rate</t>
        </r>
      </text>
    </comment>
    <comment ref="H65" authorId="2" shapeId="0" xr:uid="{00000000-0006-0000-0D00-000023000000}">
      <text>
        <r>
          <rPr>
            <b/>
            <sz val="14"/>
            <color indexed="81"/>
            <rFont val="Tahoma"/>
            <family val="2"/>
          </rPr>
          <t>Input the rate in this field when the same amount applies for all container sizes</t>
        </r>
      </text>
    </comment>
    <comment ref="N65" authorId="2" shapeId="0" xr:uid="{00000000-0006-0000-0D00-000024000000}">
      <text>
        <r>
          <rPr>
            <b/>
            <sz val="14"/>
            <color indexed="81"/>
            <rFont val="Tahoma"/>
            <family val="2"/>
          </rPr>
          <t>Each Arbitrary applies only to FAK / Bullets as specifically listed in this field.</t>
        </r>
      </text>
    </comment>
    <comment ref="B80" authorId="2" shapeId="0" xr:uid="{00000000-0006-0000-0D00-000025000000}">
      <text>
        <r>
          <rPr>
            <b/>
            <sz val="14"/>
            <color indexed="81"/>
            <rFont val="Tahoma"/>
            <family val="2"/>
          </rPr>
          <t>Place of Destination - may be an outport for feeder (CY) arbitraries or an inland destination
Format is:  City, State or ZIP Code</t>
        </r>
      </text>
    </comment>
    <comment ref="E80" authorId="2" shapeId="0" xr:uid="{00000000-0006-0000-0D00-000026000000}">
      <text>
        <r>
          <rPr>
            <b/>
            <sz val="14"/>
            <color indexed="81"/>
            <rFont val="Tahoma"/>
            <family val="2"/>
          </rPr>
          <t xml:space="preserve">Please use only one port or a group of ports (Port groups must be defined in the Port Group Codes table).
Arbitrary construction can only occur with rate conditions which show these ports as the POD.
</t>
        </r>
        <r>
          <rPr>
            <b/>
            <i/>
            <sz val="14"/>
            <color indexed="81"/>
            <rFont val="Tahoma"/>
            <family val="2"/>
          </rPr>
          <t>All ports must be valid SEA ports.</t>
        </r>
      </text>
    </comment>
    <comment ref="F80" authorId="2" shapeId="0" xr:uid="{00000000-0006-0000-0D00-000027000000}">
      <text>
        <r>
          <rPr>
            <b/>
            <sz val="14"/>
            <color indexed="81"/>
            <rFont val="Tahoma"/>
            <family val="2"/>
          </rPr>
          <t>Indicate the mode of transportation between the arbitrary POD and arbitrary place of delivery.
CY modes can only be used when the mode of transportation is by Feeder.
Use of CY mode requires both the locations to be valid SEA ports.</t>
        </r>
      </text>
    </comment>
    <comment ref="G80" authorId="2" shapeId="0" xr:uid="{00000000-0006-0000-0D00-000028000000}">
      <text>
        <r>
          <rPr>
            <b/>
            <sz val="14"/>
            <color indexed="81"/>
            <rFont val="Tahoma"/>
            <family val="2"/>
          </rPr>
          <t>Indicate whether or not door service is included in the arbitrary rate</t>
        </r>
      </text>
    </comment>
    <comment ref="H80" authorId="2" shapeId="0" xr:uid="{00000000-0006-0000-0D00-000029000000}">
      <text>
        <r>
          <rPr>
            <b/>
            <sz val="14"/>
            <color indexed="81"/>
            <rFont val="Tahoma"/>
            <family val="2"/>
          </rPr>
          <t>Input the rate in this field when the same amount applies for all container sizes</t>
        </r>
      </text>
    </comment>
    <comment ref="N80" authorId="2" shapeId="0" xr:uid="{00000000-0006-0000-0D00-00002A000000}">
      <text>
        <r>
          <rPr>
            <b/>
            <sz val="14"/>
            <color indexed="81"/>
            <rFont val="Tahoma"/>
            <family val="2"/>
          </rPr>
          <t>Each Arbitrary applies only to FAK / Bullets as specifically listed in this field.</t>
        </r>
      </text>
    </comment>
    <comment ref="L90" authorId="2" shapeId="0" xr:uid="{00000000-0006-0000-0D00-00002B000000}">
      <text>
        <r>
          <rPr>
            <b/>
            <sz val="14"/>
            <color indexed="81"/>
            <rFont val="Tahoma"/>
            <family val="2"/>
          </rPr>
          <t>Surcharge applicability mentioned on any row applies specifically to the individual port mentioned in this field.
If the Applicable Port field is blank, then the  surcharge applicability stated on that row applies to all ports.</t>
        </r>
      </text>
    </comment>
    <comment ref="A185" authorId="2" shapeId="0" xr:uid="{00000000-0006-0000-0D00-00002C000000}">
      <text>
        <r>
          <rPr>
            <sz val="12"/>
            <color indexed="81"/>
            <rFont val="Tahoma"/>
            <family val="2"/>
          </rPr>
          <t>Select the bullet for which the exception applies.
If exception applies to all bullets, select "ALL".</t>
        </r>
      </text>
    </comment>
    <comment ref="B185" authorId="2" shapeId="0" xr:uid="{00000000-0006-0000-0D00-00002D000000}">
      <text>
        <r>
          <rPr>
            <sz val="12"/>
            <color indexed="81"/>
            <rFont val="Tahoma"/>
            <family val="2"/>
          </rPr>
          <t xml:space="preserve">Specify if Free Time condition applies to Export or Import:
</t>
        </r>
        <r>
          <rPr>
            <b/>
            <sz val="12"/>
            <color indexed="81"/>
            <rFont val="Tahoma"/>
            <family val="2"/>
          </rPr>
          <t xml:space="preserve">E </t>
        </r>
        <r>
          <rPr>
            <sz val="12"/>
            <color indexed="81"/>
            <rFont val="Tahoma"/>
            <family val="2"/>
          </rPr>
          <t xml:space="preserve">(Export) = applies at origin
</t>
        </r>
        <r>
          <rPr>
            <b/>
            <sz val="12"/>
            <color indexed="81"/>
            <rFont val="Tahoma"/>
            <family val="2"/>
          </rPr>
          <t xml:space="preserve">I </t>
        </r>
        <r>
          <rPr>
            <sz val="12"/>
            <color indexed="81"/>
            <rFont val="Tahoma"/>
            <family val="2"/>
          </rPr>
          <t>(Import) = applies at destination</t>
        </r>
      </text>
    </comment>
    <comment ref="C185" authorId="2" shapeId="0" xr:uid="{00000000-0006-0000-0D00-00002E000000}">
      <text>
        <r>
          <rPr>
            <sz val="12"/>
            <color indexed="81"/>
            <rFont val="Tahoma"/>
            <family val="2"/>
          </rPr>
          <t>Enter Type of Free Time:</t>
        </r>
        <r>
          <rPr>
            <u/>
            <sz val="12"/>
            <color indexed="81"/>
            <rFont val="Tahoma"/>
            <family val="2"/>
          </rPr>
          <t xml:space="preserve">
</t>
        </r>
        <r>
          <rPr>
            <sz val="12"/>
            <color indexed="81"/>
            <rFont val="Tahoma"/>
            <family val="2"/>
          </rPr>
          <t xml:space="preserve">
</t>
        </r>
        <r>
          <rPr>
            <b/>
            <sz val="12"/>
            <color indexed="81"/>
            <rFont val="Tahoma"/>
            <family val="2"/>
          </rPr>
          <t>Detention
Demurrage
Merged</t>
        </r>
      </text>
    </comment>
    <comment ref="F185" authorId="2" shapeId="0" xr:uid="{00000000-0006-0000-0D00-00002F000000}">
      <text>
        <r>
          <rPr>
            <sz val="12"/>
            <color indexed="81"/>
            <rFont val="Tahoma"/>
            <family val="2"/>
          </rPr>
          <t xml:space="preserve">Specify Equipment Type (blank field indicates applicability to all Eq Types):
</t>
        </r>
        <r>
          <rPr>
            <b/>
            <sz val="12"/>
            <color indexed="81"/>
            <rFont val="Tahoma"/>
            <family val="2"/>
          </rPr>
          <t>D</t>
        </r>
        <r>
          <rPr>
            <sz val="12"/>
            <color indexed="81"/>
            <rFont val="Tahoma"/>
            <family val="2"/>
          </rPr>
          <t xml:space="preserve"> = Dry
</t>
        </r>
        <r>
          <rPr>
            <b/>
            <sz val="12"/>
            <color indexed="81"/>
            <rFont val="Tahoma"/>
            <family val="2"/>
          </rPr>
          <t>R</t>
        </r>
        <r>
          <rPr>
            <sz val="12"/>
            <color indexed="81"/>
            <rFont val="Tahoma"/>
            <family val="2"/>
          </rPr>
          <t xml:space="preserve"> = Reefer
</t>
        </r>
        <r>
          <rPr>
            <b/>
            <sz val="12"/>
            <color indexed="81"/>
            <rFont val="Tahoma"/>
            <family val="2"/>
          </rPr>
          <t>OT</t>
        </r>
        <r>
          <rPr>
            <sz val="12"/>
            <color indexed="81"/>
            <rFont val="Tahoma"/>
            <family val="2"/>
          </rPr>
          <t xml:space="preserve"> = Open Top
</t>
        </r>
        <r>
          <rPr>
            <b/>
            <sz val="12"/>
            <color indexed="81"/>
            <rFont val="Tahoma"/>
            <family val="2"/>
          </rPr>
          <t>FR</t>
        </r>
        <r>
          <rPr>
            <sz val="12"/>
            <color indexed="81"/>
            <rFont val="Tahoma"/>
            <family val="2"/>
          </rPr>
          <t xml:space="preserve"> = Flat Rack</t>
        </r>
      </text>
    </comment>
    <comment ref="G185" authorId="2" shapeId="0" xr:uid="{00000000-0006-0000-0D00-000030000000}">
      <text>
        <r>
          <rPr>
            <sz val="12"/>
            <color indexed="81"/>
            <rFont val="Tahoma"/>
            <family val="2"/>
          </rPr>
          <t>Select "OR" from the drop down list if condition applies to Operating Reefers</t>
        </r>
      </text>
    </comment>
    <comment ref="H185" authorId="2" shapeId="0" xr:uid="{00000000-0006-0000-0D00-000031000000}">
      <text>
        <r>
          <rPr>
            <sz val="12"/>
            <color indexed="81"/>
            <rFont val="Tahoma"/>
            <family val="2"/>
          </rPr>
          <t xml:space="preserve">Specify the Place of Receipt if necessary.  </t>
        </r>
        <r>
          <rPr>
            <u/>
            <sz val="12"/>
            <color indexed="81"/>
            <rFont val="Tahoma"/>
            <family val="2"/>
          </rPr>
          <t>Do not</t>
        </r>
        <r>
          <rPr>
            <sz val="12"/>
            <color indexed="81"/>
            <rFont val="Tahoma"/>
            <family val="2"/>
          </rPr>
          <t xml:space="preserve"> use "ALL".
Only 1 location may be entered per row.</t>
        </r>
      </text>
    </comment>
    <comment ref="I185" authorId="2" shapeId="0" xr:uid="{00000000-0006-0000-0D00-000032000000}">
      <text>
        <r>
          <rPr>
            <sz val="12"/>
            <color indexed="81"/>
            <rFont val="Tahoma"/>
            <family val="2"/>
          </rPr>
          <t xml:space="preserve">Enter the POL if necessary.  </t>
        </r>
        <r>
          <rPr>
            <u/>
            <sz val="12"/>
            <color indexed="81"/>
            <rFont val="Tahoma"/>
            <family val="2"/>
          </rPr>
          <t>Do not</t>
        </r>
        <r>
          <rPr>
            <sz val="12"/>
            <color indexed="81"/>
            <rFont val="Tahoma"/>
            <family val="2"/>
          </rPr>
          <t xml:space="preserve"> use "ALL".
Only 1 location is allowed per row and must be a valid seaport.</t>
        </r>
      </text>
    </comment>
    <comment ref="J185" authorId="2" shapeId="0" xr:uid="{00000000-0006-0000-0D00-000033000000}">
      <text>
        <r>
          <rPr>
            <sz val="12"/>
            <color indexed="81"/>
            <rFont val="Tahoma"/>
            <family val="2"/>
          </rPr>
          <t xml:space="preserve">Enter the POD if necessary.  </t>
        </r>
        <r>
          <rPr>
            <u/>
            <sz val="12"/>
            <color indexed="81"/>
            <rFont val="Tahoma"/>
            <family val="2"/>
          </rPr>
          <t>Do not</t>
        </r>
        <r>
          <rPr>
            <sz val="12"/>
            <color indexed="81"/>
            <rFont val="Tahoma"/>
            <family val="2"/>
          </rPr>
          <t xml:space="preserve"> use "ALL".
Only 1 location is allowed per row and must be a valid seaport.</t>
        </r>
      </text>
    </comment>
    <comment ref="K185" authorId="2" shapeId="0" xr:uid="{00000000-0006-0000-0D00-000034000000}">
      <text>
        <r>
          <rPr>
            <sz val="12"/>
            <color indexed="81"/>
            <rFont val="Tahoma"/>
            <family val="2"/>
          </rPr>
          <t xml:space="preserve">Specify the Place of Delivery if necessary.  </t>
        </r>
        <r>
          <rPr>
            <u/>
            <sz val="12"/>
            <color indexed="81"/>
            <rFont val="Tahoma"/>
            <family val="2"/>
          </rPr>
          <t>Do not</t>
        </r>
        <r>
          <rPr>
            <sz val="12"/>
            <color indexed="81"/>
            <rFont val="Tahoma"/>
            <family val="2"/>
          </rPr>
          <t xml:space="preserve"> use "ALL".
Only 1 location may be entered per row.</t>
        </r>
      </text>
    </comment>
    <comment ref="L185" authorId="3" shapeId="0" xr:uid="{8480B2A4-C678-4148-A64C-FA58224606D2}">
      <text>
        <r>
          <rPr>
            <sz val="12"/>
            <color indexed="81"/>
            <rFont val="Tahoma"/>
            <family val="2"/>
          </rPr>
          <t xml:space="preserve">Enter the Country Code ONLY.  </t>
        </r>
        <r>
          <rPr>
            <u/>
            <sz val="12"/>
            <color indexed="81"/>
            <rFont val="Tahoma"/>
            <family val="2"/>
          </rPr>
          <t>Cannot</t>
        </r>
        <r>
          <rPr>
            <sz val="12"/>
            <color indexed="81"/>
            <rFont val="Tahoma"/>
            <family val="2"/>
          </rPr>
          <t xml:space="preserve"> use "ALL" or country name</t>
        </r>
      </text>
    </comment>
    <comment ref="M185" authorId="2" shapeId="0" xr:uid="{00000000-0006-0000-0D00-000035000000}">
      <text>
        <r>
          <rPr>
            <sz val="12"/>
            <color indexed="81"/>
            <rFont val="Tahoma"/>
            <family val="2"/>
          </rPr>
          <t xml:space="preserve">Enter additional notes only when absolutely necessary.  
</t>
        </r>
        <r>
          <rPr>
            <u/>
            <sz val="12"/>
            <color indexed="81"/>
            <rFont val="Tahoma"/>
            <family val="2"/>
          </rPr>
          <t>IMPORTANT</t>
        </r>
        <r>
          <rPr>
            <sz val="12"/>
            <color indexed="81"/>
            <rFont val="Tahoma"/>
            <family val="2"/>
          </rPr>
          <t xml:space="preserve">:  Named accounts and specific commodities </t>
        </r>
        <r>
          <rPr>
            <b/>
            <u/>
            <sz val="12"/>
            <color indexed="81"/>
            <rFont val="Tahoma"/>
            <family val="2"/>
          </rPr>
          <t>may not</t>
        </r>
        <r>
          <rPr>
            <sz val="12"/>
            <color indexed="81"/>
            <rFont val="Tahoma"/>
            <family val="2"/>
          </rPr>
          <t xml:space="preserve"> be listed as Notes.</t>
        </r>
      </text>
    </comment>
    <comment ref="A198" authorId="2" shapeId="0" xr:uid="{63446CA6-4FEC-488F-ACDD-DFA502A160B6}">
      <text>
        <r>
          <rPr>
            <sz val="12"/>
            <color indexed="81"/>
            <rFont val="Tahoma"/>
            <family val="2"/>
          </rPr>
          <t>Select the bullet for which the exception applies.
If exception applies to all bullets, select "ALL".</t>
        </r>
      </text>
    </comment>
    <comment ref="B198" authorId="2" shapeId="0" xr:uid="{79C7A01C-2CAB-4E7F-B88A-4917DD4B6C2B}">
      <text>
        <r>
          <rPr>
            <sz val="12"/>
            <color indexed="81"/>
            <rFont val="Tahoma"/>
            <family val="2"/>
          </rPr>
          <t xml:space="preserve">Specify if Free Time condition applies to Export or Import:
</t>
        </r>
        <r>
          <rPr>
            <b/>
            <sz val="12"/>
            <color indexed="81"/>
            <rFont val="Tahoma"/>
            <family val="2"/>
          </rPr>
          <t xml:space="preserve">E </t>
        </r>
        <r>
          <rPr>
            <sz val="12"/>
            <color indexed="81"/>
            <rFont val="Tahoma"/>
            <family val="2"/>
          </rPr>
          <t xml:space="preserve">(Export) = applies at origin
</t>
        </r>
        <r>
          <rPr>
            <b/>
            <sz val="12"/>
            <color indexed="81"/>
            <rFont val="Tahoma"/>
            <family val="2"/>
          </rPr>
          <t xml:space="preserve">I </t>
        </r>
        <r>
          <rPr>
            <sz val="12"/>
            <color indexed="81"/>
            <rFont val="Tahoma"/>
            <family val="2"/>
          </rPr>
          <t>(Import) = applies at destination</t>
        </r>
      </text>
    </comment>
    <comment ref="C198" authorId="2" shapeId="0" xr:uid="{99DBE732-F249-4AFB-83A6-E1B97732A9A6}">
      <text>
        <r>
          <rPr>
            <sz val="12"/>
            <color indexed="81"/>
            <rFont val="Tahoma"/>
            <family val="2"/>
          </rPr>
          <t>Enter Type of Free Time:</t>
        </r>
        <r>
          <rPr>
            <u/>
            <sz val="12"/>
            <color indexed="81"/>
            <rFont val="Tahoma"/>
            <family val="2"/>
          </rPr>
          <t xml:space="preserve">
</t>
        </r>
        <r>
          <rPr>
            <sz val="12"/>
            <color indexed="81"/>
            <rFont val="Tahoma"/>
            <family val="2"/>
          </rPr>
          <t xml:space="preserve">
</t>
        </r>
        <r>
          <rPr>
            <b/>
            <sz val="12"/>
            <color indexed="81"/>
            <rFont val="Tahoma"/>
            <family val="2"/>
          </rPr>
          <t>Detention
Demurrage
Merged</t>
        </r>
      </text>
    </comment>
    <comment ref="F198" authorId="2" shapeId="0" xr:uid="{951FDEB7-7CEA-48D4-BBAD-B0A89E3C0664}">
      <text>
        <r>
          <rPr>
            <sz val="12"/>
            <color indexed="81"/>
            <rFont val="Tahoma"/>
            <family val="2"/>
          </rPr>
          <t>If any exceptional charges are offered, then the currency is required to be shown.</t>
        </r>
      </text>
    </comment>
    <comment ref="W198" authorId="2" shapeId="0" xr:uid="{0EEF99C1-30E3-45FB-8D75-4431A1A660AE}">
      <text>
        <r>
          <rPr>
            <sz val="12"/>
            <color indexed="81"/>
            <rFont val="Tahoma"/>
            <family val="2"/>
          </rPr>
          <t xml:space="preserve">Specify Equipment Type (blank field indicates applicability to all Eq Types):
</t>
        </r>
        <r>
          <rPr>
            <b/>
            <sz val="12"/>
            <color indexed="81"/>
            <rFont val="Tahoma"/>
            <family val="2"/>
          </rPr>
          <t>D</t>
        </r>
        <r>
          <rPr>
            <sz val="12"/>
            <color indexed="81"/>
            <rFont val="Tahoma"/>
            <family val="2"/>
          </rPr>
          <t xml:space="preserve"> = Dry
</t>
        </r>
        <r>
          <rPr>
            <b/>
            <sz val="12"/>
            <color indexed="81"/>
            <rFont val="Tahoma"/>
            <family val="2"/>
          </rPr>
          <t>R</t>
        </r>
        <r>
          <rPr>
            <sz val="12"/>
            <color indexed="81"/>
            <rFont val="Tahoma"/>
            <family val="2"/>
          </rPr>
          <t xml:space="preserve"> = Reefer
</t>
        </r>
        <r>
          <rPr>
            <b/>
            <sz val="12"/>
            <color indexed="81"/>
            <rFont val="Tahoma"/>
            <family val="2"/>
          </rPr>
          <t>OT</t>
        </r>
        <r>
          <rPr>
            <sz val="12"/>
            <color indexed="81"/>
            <rFont val="Tahoma"/>
            <family val="2"/>
          </rPr>
          <t xml:space="preserve"> = Open Top
</t>
        </r>
        <r>
          <rPr>
            <b/>
            <sz val="12"/>
            <color indexed="81"/>
            <rFont val="Tahoma"/>
            <family val="2"/>
          </rPr>
          <t>FR</t>
        </r>
        <r>
          <rPr>
            <sz val="12"/>
            <color indexed="81"/>
            <rFont val="Tahoma"/>
            <family val="2"/>
          </rPr>
          <t xml:space="preserve"> = Flat Rack</t>
        </r>
      </text>
    </comment>
    <comment ref="X198" authorId="2" shapeId="0" xr:uid="{F1C52AE4-7054-4688-A07B-1B48ABFD0EFA}">
      <text>
        <r>
          <rPr>
            <sz val="12"/>
            <color indexed="81"/>
            <rFont val="Tahoma"/>
            <family val="2"/>
          </rPr>
          <t>Select "OR" from the drop down list if condition applies to Operating Reefers</t>
        </r>
      </text>
    </comment>
    <comment ref="Y198" authorId="2" shapeId="0" xr:uid="{8D7C6F0E-38ED-469D-97DE-2F9BB9330E43}">
      <text>
        <r>
          <rPr>
            <sz val="12"/>
            <color indexed="81"/>
            <rFont val="Tahoma"/>
            <family val="2"/>
          </rPr>
          <t xml:space="preserve">Specify the Place of Receipt if necessary.  </t>
        </r>
        <r>
          <rPr>
            <u/>
            <sz val="12"/>
            <color indexed="81"/>
            <rFont val="Tahoma"/>
            <family val="2"/>
          </rPr>
          <t>Do not</t>
        </r>
        <r>
          <rPr>
            <sz val="12"/>
            <color indexed="81"/>
            <rFont val="Tahoma"/>
            <family val="2"/>
          </rPr>
          <t xml:space="preserve"> use "ALL".
Only 1 location may be entered per row.</t>
        </r>
      </text>
    </comment>
    <comment ref="Z198" authorId="2" shapeId="0" xr:uid="{7381E99E-C451-4EC3-ABEF-90880D06EE5D}">
      <text>
        <r>
          <rPr>
            <sz val="12"/>
            <color indexed="81"/>
            <rFont val="Tahoma"/>
            <family val="2"/>
          </rPr>
          <t xml:space="preserve">Enter the POL if necessary.  </t>
        </r>
        <r>
          <rPr>
            <u/>
            <sz val="12"/>
            <color indexed="81"/>
            <rFont val="Tahoma"/>
            <family val="2"/>
          </rPr>
          <t>Do not</t>
        </r>
        <r>
          <rPr>
            <sz val="12"/>
            <color indexed="81"/>
            <rFont val="Tahoma"/>
            <family val="2"/>
          </rPr>
          <t xml:space="preserve"> use "ALL".
Only 1 location is allowed per row and must be a valid seaport.</t>
        </r>
      </text>
    </comment>
    <comment ref="AA198" authorId="2" shapeId="0" xr:uid="{DAE84BE2-02C7-4A7C-AF5D-035A798A7AE1}">
      <text>
        <r>
          <rPr>
            <sz val="12"/>
            <color indexed="81"/>
            <rFont val="Tahoma"/>
            <family val="2"/>
          </rPr>
          <t xml:space="preserve">Enter the POD if necessary.  </t>
        </r>
        <r>
          <rPr>
            <u/>
            <sz val="12"/>
            <color indexed="81"/>
            <rFont val="Tahoma"/>
            <family val="2"/>
          </rPr>
          <t>Do not</t>
        </r>
        <r>
          <rPr>
            <sz val="12"/>
            <color indexed="81"/>
            <rFont val="Tahoma"/>
            <family val="2"/>
          </rPr>
          <t xml:space="preserve"> use "ALL".
Only 1 location is allowed per row and must be a valid seaport.</t>
        </r>
      </text>
    </comment>
    <comment ref="AB198" authorId="2" shapeId="0" xr:uid="{5BA755F6-25F4-4E2F-9A97-9257D47057DA}">
      <text>
        <r>
          <rPr>
            <sz val="12"/>
            <color indexed="81"/>
            <rFont val="Tahoma"/>
            <family val="2"/>
          </rPr>
          <t xml:space="preserve">Specify the Place of Delivery if necessary.  </t>
        </r>
        <r>
          <rPr>
            <u/>
            <sz val="12"/>
            <color indexed="81"/>
            <rFont val="Tahoma"/>
            <family val="2"/>
          </rPr>
          <t>Do not</t>
        </r>
        <r>
          <rPr>
            <sz val="12"/>
            <color indexed="81"/>
            <rFont val="Tahoma"/>
            <family val="2"/>
          </rPr>
          <t xml:space="preserve"> use "ALL".
Only 1 location may be entered per row.</t>
        </r>
      </text>
    </comment>
    <comment ref="AC198" authorId="3" shapeId="0" xr:uid="{88B9EBB4-B812-41C4-BE7F-234FC94B7F13}">
      <text>
        <r>
          <rPr>
            <sz val="12"/>
            <color indexed="81"/>
            <rFont val="Tahoma"/>
            <family val="2"/>
          </rPr>
          <t xml:space="preserve">Enter the Country Code ONLY.  </t>
        </r>
        <r>
          <rPr>
            <u/>
            <sz val="12"/>
            <color indexed="81"/>
            <rFont val="Tahoma"/>
            <family val="2"/>
          </rPr>
          <t>Cannot</t>
        </r>
        <r>
          <rPr>
            <sz val="12"/>
            <color indexed="81"/>
            <rFont val="Tahoma"/>
            <family val="2"/>
          </rPr>
          <t xml:space="preserve"> use "ALL" or country name</t>
        </r>
      </text>
    </comment>
    <comment ref="AD198" authorId="2" shapeId="0" xr:uid="{58243CD9-E18F-4200-8E3B-BBB412B5839C}">
      <text>
        <r>
          <rPr>
            <sz val="12"/>
            <color indexed="81"/>
            <rFont val="Tahoma"/>
            <family val="2"/>
          </rPr>
          <t xml:space="preserve">Enter additional notes only when absolutely necessary.  
</t>
        </r>
        <r>
          <rPr>
            <u/>
            <sz val="12"/>
            <color indexed="81"/>
            <rFont val="Tahoma"/>
            <family val="2"/>
          </rPr>
          <t>IMPORTANT</t>
        </r>
        <r>
          <rPr>
            <sz val="12"/>
            <color indexed="81"/>
            <rFont val="Tahoma"/>
            <family val="2"/>
          </rPr>
          <t xml:space="preserve">:  Named accounts and specific commodities </t>
        </r>
        <r>
          <rPr>
            <b/>
            <u/>
            <sz val="12"/>
            <color indexed="81"/>
            <rFont val="Tahoma"/>
            <family val="2"/>
          </rPr>
          <t>may not</t>
        </r>
        <r>
          <rPr>
            <sz val="12"/>
            <color indexed="81"/>
            <rFont val="Tahoma"/>
            <family val="2"/>
          </rPr>
          <t xml:space="preserve"> be listed as Notes.</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ext.obouge</author>
    <author>William MALLOL</author>
    <author>usa.gewan</author>
    <author>GENDER Charlie - NOR</author>
  </authors>
  <commentList>
    <comment ref="B13" authorId="0" shapeId="0" xr:uid="{00000000-0006-0000-0E00-000001000000}">
      <text>
        <r>
          <rPr>
            <b/>
            <sz val="12"/>
            <color indexed="81"/>
            <rFont val="Tahoma"/>
            <family val="2"/>
          </rPr>
          <t>Please use comma to separate commodities.</t>
        </r>
      </text>
    </comment>
    <comment ref="A20" authorId="1" shapeId="0" xr:uid="{00000000-0006-0000-0E00-000002000000}">
      <text>
        <r>
          <rPr>
            <b/>
            <sz val="14"/>
            <color indexed="81"/>
            <rFont val="Tahoma"/>
            <family val="2"/>
          </rPr>
          <t>Port Group Codes can be used to group any two or more valid seaports that are common rated.
Port Group Codes cannot be used for inland locations.</t>
        </r>
      </text>
    </comment>
    <comment ref="B20" authorId="0" shapeId="0" xr:uid="{00000000-0006-0000-0E00-000003000000}">
      <text>
        <r>
          <rPr>
            <b/>
            <sz val="14"/>
            <color indexed="81"/>
            <rFont val="Tahoma"/>
            <family val="2"/>
          </rPr>
          <t>Please use comma to separate ports.
Only valid sea ports may be included.</t>
        </r>
      </text>
    </comment>
    <comment ref="A30" authorId="1" shapeId="0" xr:uid="{00000000-0006-0000-0E00-000004000000}">
      <text>
        <r>
          <rPr>
            <b/>
            <sz val="14"/>
            <color indexed="81"/>
            <rFont val="Tahoma"/>
            <family val="2"/>
          </rPr>
          <t>Please use FAK/ Bullets defined above.</t>
        </r>
      </text>
    </comment>
    <comment ref="B30" authorId="1" shapeId="0" xr:uid="{00000000-0006-0000-0E00-000005000000}">
      <text>
        <r>
          <rPr>
            <b/>
            <sz val="14"/>
            <color indexed="81"/>
            <rFont val="Tahoma"/>
            <family val="2"/>
          </rPr>
          <t>City, State / ZIP Code</t>
        </r>
      </text>
    </comment>
    <comment ref="C30" authorId="1" shapeId="0" xr:uid="{00000000-0006-0000-0E00-000006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D30" authorId="1" shapeId="0" xr:uid="{00000000-0006-0000-0E00-000007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E30" authorId="1" shapeId="0" xr:uid="{00000000-0006-0000-0E00-000008000000}">
      <text>
        <r>
          <rPr>
            <b/>
            <sz val="14"/>
            <color indexed="81"/>
            <rFont val="Tahoma"/>
            <family val="2"/>
          </rPr>
          <t>City, State / ZIP Code</t>
        </r>
      </text>
    </comment>
    <comment ref="F30" authorId="2" shapeId="0" xr:uid="{00000000-0006-0000-0E00-000009000000}">
      <text>
        <r>
          <rPr>
            <b/>
            <sz val="14"/>
            <color indexed="81"/>
            <rFont val="Tahoma"/>
            <family val="2"/>
          </rPr>
          <t>Indicate the mode of transportation at origin and destination.
Mode cannot begin with CY if there is a location listed as place of receipt.
Mode cannot end with CY if there is a location is listed as place of delivery</t>
        </r>
      </text>
    </comment>
    <comment ref="G30" authorId="2" shapeId="0" xr:uid="{00000000-0006-0000-0E00-00000A000000}">
      <text>
        <r>
          <rPr>
            <b/>
            <sz val="14"/>
            <color indexed="81"/>
            <rFont val="Tahoma"/>
            <family val="2"/>
          </rPr>
          <t>Indicate whether or not door service is included at origin and destination</t>
        </r>
      </text>
    </comment>
    <comment ref="M30" authorId="2" shapeId="0" xr:uid="{00000000-0006-0000-0E00-00000B000000}">
      <text>
        <r>
          <rPr>
            <b/>
            <sz val="14"/>
            <color indexed="81"/>
            <rFont val="Tahoma"/>
            <family val="2"/>
          </rPr>
          <t>Use these columns for exceptions to surcharge applicability in note 2</t>
        </r>
      </text>
    </comment>
    <comment ref="AA30" authorId="2" shapeId="0" xr:uid="{00000000-0006-0000-0E00-00000C000000}">
      <text>
        <r>
          <rPr>
            <b/>
            <sz val="14"/>
            <color indexed="81"/>
            <rFont val="Tahoma"/>
            <family val="2"/>
          </rPr>
          <t>This field controls construction using Arbitraries and Inland Tariffs
Y = allowed in US, N = not allowed in US, 
E = allowed at origin, I = allowed at destination,
B = allowed at both origin and destination
X = not allowed at either origin or destination</t>
        </r>
      </text>
    </comment>
    <comment ref="A39" authorId="1" shapeId="0" xr:uid="{00000000-0006-0000-0E00-00000D000000}">
      <text>
        <r>
          <rPr>
            <b/>
            <sz val="14"/>
            <color indexed="81"/>
            <rFont val="Tahoma"/>
            <family val="2"/>
          </rPr>
          <t>Please use FAK/ Bullets defined above.</t>
        </r>
      </text>
    </comment>
    <comment ref="B39" authorId="1" shapeId="0" xr:uid="{00000000-0006-0000-0E00-00000E000000}">
      <text>
        <r>
          <rPr>
            <b/>
            <sz val="14"/>
            <color indexed="81"/>
            <rFont val="Tahoma"/>
            <family val="2"/>
          </rPr>
          <t>City, State / ZIP Code</t>
        </r>
      </text>
    </comment>
    <comment ref="C39" authorId="1" shapeId="0" xr:uid="{00000000-0006-0000-0E00-00000F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D39" authorId="1" shapeId="0" xr:uid="{00000000-0006-0000-0E00-000010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E39" authorId="1" shapeId="0" xr:uid="{00000000-0006-0000-0E00-000011000000}">
      <text>
        <r>
          <rPr>
            <b/>
            <sz val="14"/>
            <color indexed="81"/>
            <rFont val="Tahoma"/>
            <family val="2"/>
          </rPr>
          <t>City, State / ZIP Code</t>
        </r>
      </text>
    </comment>
    <comment ref="F39" authorId="2" shapeId="0" xr:uid="{00000000-0006-0000-0E00-000012000000}">
      <text>
        <r>
          <rPr>
            <b/>
            <sz val="14"/>
            <color indexed="81"/>
            <rFont val="Tahoma"/>
            <family val="2"/>
          </rPr>
          <t>Indicate the mode of transportation at origin and destination.
Mode cannot begin with CY if there is a location listed as place of receipt.
Mode cannot end with CY if there is a location is listed as place of delivery</t>
        </r>
      </text>
    </comment>
    <comment ref="G39" authorId="2" shapeId="0" xr:uid="{00000000-0006-0000-0E00-000013000000}">
      <text>
        <r>
          <rPr>
            <b/>
            <sz val="14"/>
            <color indexed="81"/>
            <rFont val="Tahoma"/>
            <family val="2"/>
          </rPr>
          <t>Indicate whether or not door service is included at origin and destination</t>
        </r>
      </text>
    </comment>
    <comment ref="O39" authorId="2" shapeId="0" xr:uid="{00000000-0006-0000-0E00-000014000000}">
      <text>
        <r>
          <rPr>
            <b/>
            <sz val="14"/>
            <color indexed="81"/>
            <rFont val="Tahoma"/>
            <family val="2"/>
          </rPr>
          <t>Use these columns for exceptions to surcharge applicability in note 2</t>
        </r>
      </text>
    </comment>
    <comment ref="AA39" authorId="2" shapeId="0" xr:uid="{00000000-0006-0000-0E00-000015000000}">
      <text>
        <r>
          <rPr>
            <b/>
            <sz val="14"/>
            <color indexed="81"/>
            <rFont val="Tahoma"/>
            <family val="2"/>
          </rPr>
          <t>This field controls construction using Arbitraries and Inland Tariffs
Y = allowed in US, N = not allowed in US, 
E = allowed at origin, I = allowed at destination,
B = allowed at both origin and destination
X = not allowed at either origin or destination</t>
        </r>
      </text>
    </comment>
    <comment ref="A48" authorId="1" shapeId="0" xr:uid="{00000000-0006-0000-0E00-000016000000}">
      <text>
        <r>
          <rPr>
            <b/>
            <sz val="14"/>
            <color indexed="81"/>
            <rFont val="Tahoma"/>
            <family val="2"/>
          </rPr>
          <t>Please use FAK/ Bullets defined above.</t>
        </r>
      </text>
    </comment>
    <comment ref="B48" authorId="1" shapeId="0" xr:uid="{00000000-0006-0000-0E00-000017000000}">
      <text>
        <r>
          <rPr>
            <b/>
            <sz val="14"/>
            <color indexed="81"/>
            <rFont val="Tahoma"/>
            <family val="2"/>
          </rPr>
          <t>City, State / ZIP Code</t>
        </r>
      </text>
    </comment>
    <comment ref="C48" authorId="1" shapeId="0" xr:uid="{00000000-0006-0000-0E00-000018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D48" authorId="1" shapeId="0" xr:uid="{00000000-0006-0000-0E00-000019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E48" authorId="1" shapeId="0" xr:uid="{00000000-0006-0000-0E00-00001A000000}">
      <text>
        <r>
          <rPr>
            <b/>
            <sz val="14"/>
            <color indexed="81"/>
            <rFont val="Tahoma"/>
            <family val="2"/>
          </rPr>
          <t>City, State / ZIP Code</t>
        </r>
      </text>
    </comment>
    <comment ref="F48" authorId="2" shapeId="0" xr:uid="{00000000-0006-0000-0E00-00001B000000}">
      <text>
        <r>
          <rPr>
            <b/>
            <sz val="14"/>
            <color indexed="81"/>
            <rFont val="Tahoma"/>
            <family val="2"/>
          </rPr>
          <t>Indicate the mode of transportation at origin and destination.
Mode cannot begin with CY if there is a location listed as place of receipt.
Mode cannot end with CY if there is a location is listed as place of delivery</t>
        </r>
      </text>
    </comment>
    <comment ref="G48" authorId="2" shapeId="0" xr:uid="{00000000-0006-0000-0E00-00001C000000}">
      <text>
        <r>
          <rPr>
            <b/>
            <sz val="14"/>
            <color indexed="81"/>
            <rFont val="Tahoma"/>
            <family val="2"/>
          </rPr>
          <t>Indicate whether or not door service is included at origin and destination</t>
        </r>
      </text>
    </comment>
    <comment ref="Q48" authorId="2" shapeId="0" xr:uid="{00000000-0006-0000-0E00-00001D000000}">
      <text>
        <r>
          <rPr>
            <b/>
            <sz val="14"/>
            <color indexed="81"/>
            <rFont val="Tahoma"/>
            <family val="2"/>
          </rPr>
          <t>Use these columns for exceptions to surcharge applicability in note 2</t>
        </r>
      </text>
    </comment>
    <comment ref="AC48" authorId="2" shapeId="0" xr:uid="{00000000-0006-0000-0E00-00001E000000}">
      <text>
        <r>
          <rPr>
            <b/>
            <sz val="14"/>
            <color indexed="81"/>
            <rFont val="Tahoma"/>
            <family val="2"/>
          </rPr>
          <t>This field controls construction using Arbitraries and Inland Tariffs
Y = allowed in US, N = not allowed in US, 
E = allowed at origin, I = allowed at destination,
B = allowed at both origin and destination
X = not allowed at either origin or destination</t>
        </r>
      </text>
    </comment>
    <comment ref="B65" authorId="2" shapeId="0" xr:uid="{00000000-0006-0000-0E00-00001F000000}">
      <text>
        <r>
          <rPr>
            <b/>
            <sz val="14"/>
            <color indexed="81"/>
            <rFont val="Tahoma"/>
            <family val="2"/>
          </rPr>
          <t>Place of Origin - may be an outport for feeder (CY) arbitraries or an inland origin
Format is:  City, State or ZIP Code</t>
        </r>
      </text>
    </comment>
    <comment ref="E65" authorId="2" shapeId="0" xr:uid="{00000000-0006-0000-0E00-000020000000}">
      <text>
        <r>
          <rPr>
            <b/>
            <sz val="14"/>
            <color indexed="81"/>
            <rFont val="Tahoma"/>
            <family val="2"/>
          </rPr>
          <t xml:space="preserve">Please use only one port or a group of ports (Port groups must be defined in the Port Group Codes table).
Arbitrary construction can only occur with rate conditions which show these ports as the POL.
</t>
        </r>
        <r>
          <rPr>
            <b/>
            <i/>
            <sz val="14"/>
            <color indexed="81"/>
            <rFont val="Tahoma"/>
            <family val="2"/>
          </rPr>
          <t>All ports must be valid SEA ports.</t>
        </r>
      </text>
    </comment>
    <comment ref="F65" authorId="2" shapeId="0" xr:uid="{00000000-0006-0000-0E00-000021000000}">
      <text>
        <r>
          <rPr>
            <b/>
            <sz val="14"/>
            <color indexed="81"/>
            <rFont val="Tahoma"/>
            <family val="2"/>
          </rPr>
          <t>Indicate the mode of transportation between the arbitrary place of receipt and arbitrary POL.
CY modes can only be used when the mode of transportation is by Feeder.
Use of CY mode requires both the locations to be valid SEA ports.</t>
        </r>
      </text>
    </comment>
    <comment ref="G65" authorId="2" shapeId="0" xr:uid="{00000000-0006-0000-0E00-000022000000}">
      <text>
        <r>
          <rPr>
            <b/>
            <sz val="14"/>
            <color indexed="81"/>
            <rFont val="Tahoma"/>
            <family val="2"/>
          </rPr>
          <t>Indicate whether or not door service is included in the arbitrary rate</t>
        </r>
      </text>
    </comment>
    <comment ref="H65" authorId="2" shapeId="0" xr:uid="{00000000-0006-0000-0E00-000023000000}">
      <text>
        <r>
          <rPr>
            <b/>
            <sz val="14"/>
            <color indexed="81"/>
            <rFont val="Tahoma"/>
            <family val="2"/>
          </rPr>
          <t>Input the rate in this field when the same amount applies for all container sizes</t>
        </r>
      </text>
    </comment>
    <comment ref="N65" authorId="2" shapeId="0" xr:uid="{00000000-0006-0000-0E00-000024000000}">
      <text>
        <r>
          <rPr>
            <b/>
            <sz val="14"/>
            <color indexed="81"/>
            <rFont val="Tahoma"/>
            <family val="2"/>
          </rPr>
          <t>Each Arbitrary applies only to FAK / Bullets as specifically listed in this field.</t>
        </r>
      </text>
    </comment>
    <comment ref="B80" authorId="2" shapeId="0" xr:uid="{00000000-0006-0000-0E00-000025000000}">
      <text>
        <r>
          <rPr>
            <b/>
            <sz val="14"/>
            <color indexed="81"/>
            <rFont val="Tahoma"/>
            <family val="2"/>
          </rPr>
          <t>Place of Destination - may be an outport for feeder (CY) arbitraries or an inland destination
Format is:  City, State or ZIP Code</t>
        </r>
      </text>
    </comment>
    <comment ref="E80" authorId="2" shapeId="0" xr:uid="{00000000-0006-0000-0E00-000026000000}">
      <text>
        <r>
          <rPr>
            <b/>
            <sz val="14"/>
            <color indexed="81"/>
            <rFont val="Tahoma"/>
            <family val="2"/>
          </rPr>
          <t xml:space="preserve">Please use only one port or a group of ports (Port groups must be defined in the Port Group Codes table).
Arbitrary construction can only occur with rate conditions which show these ports as the POD.
</t>
        </r>
        <r>
          <rPr>
            <b/>
            <i/>
            <sz val="14"/>
            <color indexed="81"/>
            <rFont val="Tahoma"/>
            <family val="2"/>
          </rPr>
          <t>All ports must be valid SEA ports.</t>
        </r>
      </text>
    </comment>
    <comment ref="F80" authorId="2" shapeId="0" xr:uid="{00000000-0006-0000-0E00-000027000000}">
      <text>
        <r>
          <rPr>
            <b/>
            <sz val="14"/>
            <color indexed="81"/>
            <rFont val="Tahoma"/>
            <family val="2"/>
          </rPr>
          <t>Indicate the mode of transportation between the arbitrary POD and arbitrary place of delivery.
CY modes can only be used when the mode of transportation is by Feeder.
Use of CY mode requires both the locations to be valid SEA ports.</t>
        </r>
      </text>
    </comment>
    <comment ref="G80" authorId="2" shapeId="0" xr:uid="{00000000-0006-0000-0E00-000028000000}">
      <text>
        <r>
          <rPr>
            <b/>
            <sz val="14"/>
            <color indexed="81"/>
            <rFont val="Tahoma"/>
            <family val="2"/>
          </rPr>
          <t>Indicate whether or not door service is included in the arbitrary rate</t>
        </r>
      </text>
    </comment>
    <comment ref="H80" authorId="2" shapeId="0" xr:uid="{00000000-0006-0000-0E00-000029000000}">
      <text>
        <r>
          <rPr>
            <b/>
            <sz val="14"/>
            <color indexed="81"/>
            <rFont val="Tahoma"/>
            <family val="2"/>
          </rPr>
          <t>Input the rate in this field when the same amount applies for all container sizes</t>
        </r>
      </text>
    </comment>
    <comment ref="N80" authorId="2" shapeId="0" xr:uid="{00000000-0006-0000-0E00-00002A000000}">
      <text>
        <r>
          <rPr>
            <b/>
            <sz val="14"/>
            <color indexed="81"/>
            <rFont val="Tahoma"/>
            <family val="2"/>
          </rPr>
          <t>Each Arbitrary applies only to FAK / Bullets as specifically listed in this field.</t>
        </r>
      </text>
    </comment>
    <comment ref="L90" authorId="2" shapeId="0" xr:uid="{00000000-0006-0000-0E00-00002B000000}">
      <text>
        <r>
          <rPr>
            <b/>
            <sz val="14"/>
            <color indexed="81"/>
            <rFont val="Tahoma"/>
            <family val="2"/>
          </rPr>
          <t>Surcharge applicability mentioned on any row applies specifically to the individual port mentioned in this field.
If the Applicable Port field is blank, then the  surcharge applicability stated on that row applies to all ports.</t>
        </r>
      </text>
    </comment>
    <comment ref="A180" authorId="2" shapeId="0" xr:uid="{00000000-0006-0000-0E00-00002C000000}">
      <text>
        <r>
          <rPr>
            <sz val="12"/>
            <color indexed="81"/>
            <rFont val="Tahoma"/>
            <family val="2"/>
          </rPr>
          <t>Select the bullet for which the exception applies.
If exception applies to all bullets, select "ALL".</t>
        </r>
      </text>
    </comment>
    <comment ref="B180" authorId="2" shapeId="0" xr:uid="{00000000-0006-0000-0E00-00002D000000}">
      <text>
        <r>
          <rPr>
            <sz val="12"/>
            <color indexed="81"/>
            <rFont val="Tahoma"/>
            <family val="2"/>
          </rPr>
          <t xml:space="preserve">Specify if Free Time condition applies to Export or Import:
</t>
        </r>
        <r>
          <rPr>
            <b/>
            <sz val="12"/>
            <color indexed="81"/>
            <rFont val="Tahoma"/>
            <family val="2"/>
          </rPr>
          <t xml:space="preserve">E </t>
        </r>
        <r>
          <rPr>
            <sz val="12"/>
            <color indexed="81"/>
            <rFont val="Tahoma"/>
            <family val="2"/>
          </rPr>
          <t xml:space="preserve">(Export) = applies at origin
</t>
        </r>
        <r>
          <rPr>
            <b/>
            <sz val="12"/>
            <color indexed="81"/>
            <rFont val="Tahoma"/>
            <family val="2"/>
          </rPr>
          <t xml:space="preserve">I </t>
        </r>
        <r>
          <rPr>
            <sz val="12"/>
            <color indexed="81"/>
            <rFont val="Tahoma"/>
            <family val="2"/>
          </rPr>
          <t>(Import) = applies at destination</t>
        </r>
      </text>
    </comment>
    <comment ref="C180" authorId="2" shapeId="0" xr:uid="{00000000-0006-0000-0E00-00002E000000}">
      <text>
        <r>
          <rPr>
            <sz val="12"/>
            <color indexed="81"/>
            <rFont val="Tahoma"/>
            <family val="2"/>
          </rPr>
          <t>Enter Type of Free Time:</t>
        </r>
        <r>
          <rPr>
            <u/>
            <sz val="12"/>
            <color indexed="81"/>
            <rFont val="Tahoma"/>
            <family val="2"/>
          </rPr>
          <t xml:space="preserve">
</t>
        </r>
        <r>
          <rPr>
            <sz val="12"/>
            <color indexed="81"/>
            <rFont val="Tahoma"/>
            <family val="2"/>
          </rPr>
          <t xml:space="preserve">
</t>
        </r>
        <r>
          <rPr>
            <b/>
            <sz val="12"/>
            <color indexed="81"/>
            <rFont val="Tahoma"/>
            <family val="2"/>
          </rPr>
          <t>Detention
Demurrage
Merged</t>
        </r>
      </text>
    </comment>
    <comment ref="F180" authorId="2" shapeId="0" xr:uid="{00000000-0006-0000-0E00-00002F000000}">
      <text>
        <r>
          <rPr>
            <sz val="12"/>
            <color indexed="81"/>
            <rFont val="Tahoma"/>
            <family val="2"/>
          </rPr>
          <t xml:space="preserve">Specify Equipment Type (blank field indicates applicability to all Eq Types):
</t>
        </r>
        <r>
          <rPr>
            <b/>
            <sz val="12"/>
            <color indexed="81"/>
            <rFont val="Tahoma"/>
            <family val="2"/>
          </rPr>
          <t>D</t>
        </r>
        <r>
          <rPr>
            <sz val="12"/>
            <color indexed="81"/>
            <rFont val="Tahoma"/>
            <family val="2"/>
          </rPr>
          <t xml:space="preserve"> = Dry
</t>
        </r>
        <r>
          <rPr>
            <b/>
            <sz val="12"/>
            <color indexed="81"/>
            <rFont val="Tahoma"/>
            <family val="2"/>
          </rPr>
          <t>R</t>
        </r>
        <r>
          <rPr>
            <sz val="12"/>
            <color indexed="81"/>
            <rFont val="Tahoma"/>
            <family val="2"/>
          </rPr>
          <t xml:space="preserve"> = Reefer
</t>
        </r>
        <r>
          <rPr>
            <b/>
            <sz val="12"/>
            <color indexed="81"/>
            <rFont val="Tahoma"/>
            <family val="2"/>
          </rPr>
          <t>OT</t>
        </r>
        <r>
          <rPr>
            <sz val="12"/>
            <color indexed="81"/>
            <rFont val="Tahoma"/>
            <family val="2"/>
          </rPr>
          <t xml:space="preserve"> = Open Top
</t>
        </r>
        <r>
          <rPr>
            <b/>
            <sz val="12"/>
            <color indexed="81"/>
            <rFont val="Tahoma"/>
            <family val="2"/>
          </rPr>
          <t>FR</t>
        </r>
        <r>
          <rPr>
            <sz val="12"/>
            <color indexed="81"/>
            <rFont val="Tahoma"/>
            <family val="2"/>
          </rPr>
          <t xml:space="preserve"> = Flat Rack</t>
        </r>
      </text>
    </comment>
    <comment ref="G180" authorId="2" shapeId="0" xr:uid="{00000000-0006-0000-0E00-000030000000}">
      <text>
        <r>
          <rPr>
            <sz val="12"/>
            <color indexed="81"/>
            <rFont val="Tahoma"/>
            <family val="2"/>
          </rPr>
          <t>Select "OR" from the drop down list if condition applies to Operating Reefers</t>
        </r>
      </text>
    </comment>
    <comment ref="H180" authorId="2" shapeId="0" xr:uid="{00000000-0006-0000-0E00-000031000000}">
      <text>
        <r>
          <rPr>
            <sz val="12"/>
            <color indexed="81"/>
            <rFont val="Tahoma"/>
            <family val="2"/>
          </rPr>
          <t xml:space="preserve">Specify the Place of Receipt if necessary.  </t>
        </r>
        <r>
          <rPr>
            <u/>
            <sz val="12"/>
            <color indexed="81"/>
            <rFont val="Tahoma"/>
            <family val="2"/>
          </rPr>
          <t>Do not</t>
        </r>
        <r>
          <rPr>
            <sz val="12"/>
            <color indexed="81"/>
            <rFont val="Tahoma"/>
            <family val="2"/>
          </rPr>
          <t xml:space="preserve"> use "ALL".
Only 1 location may be entered per row.</t>
        </r>
      </text>
    </comment>
    <comment ref="I180" authorId="2" shapeId="0" xr:uid="{00000000-0006-0000-0E00-000032000000}">
      <text>
        <r>
          <rPr>
            <sz val="12"/>
            <color indexed="81"/>
            <rFont val="Tahoma"/>
            <family val="2"/>
          </rPr>
          <t xml:space="preserve">Enter the POL if necessary.  </t>
        </r>
        <r>
          <rPr>
            <u/>
            <sz val="12"/>
            <color indexed="81"/>
            <rFont val="Tahoma"/>
            <family val="2"/>
          </rPr>
          <t>Do not</t>
        </r>
        <r>
          <rPr>
            <sz val="12"/>
            <color indexed="81"/>
            <rFont val="Tahoma"/>
            <family val="2"/>
          </rPr>
          <t xml:space="preserve"> use "ALL".
Only 1 location is allowed per row and must be a valid seaport.</t>
        </r>
      </text>
    </comment>
    <comment ref="J180" authorId="2" shapeId="0" xr:uid="{00000000-0006-0000-0E00-000033000000}">
      <text>
        <r>
          <rPr>
            <sz val="12"/>
            <color indexed="81"/>
            <rFont val="Tahoma"/>
            <family val="2"/>
          </rPr>
          <t xml:space="preserve">Enter the POD if necessary.  </t>
        </r>
        <r>
          <rPr>
            <u/>
            <sz val="12"/>
            <color indexed="81"/>
            <rFont val="Tahoma"/>
            <family val="2"/>
          </rPr>
          <t>Do not</t>
        </r>
        <r>
          <rPr>
            <sz val="12"/>
            <color indexed="81"/>
            <rFont val="Tahoma"/>
            <family val="2"/>
          </rPr>
          <t xml:space="preserve"> use "ALL".
Only 1 location is allowed per row and must be a valid seaport.</t>
        </r>
      </text>
    </comment>
    <comment ref="K180" authorId="2" shapeId="0" xr:uid="{00000000-0006-0000-0E00-000034000000}">
      <text>
        <r>
          <rPr>
            <sz val="12"/>
            <color indexed="81"/>
            <rFont val="Tahoma"/>
            <family val="2"/>
          </rPr>
          <t xml:space="preserve">Specify the Place of Delivery if necessary.  </t>
        </r>
        <r>
          <rPr>
            <u/>
            <sz val="12"/>
            <color indexed="81"/>
            <rFont val="Tahoma"/>
            <family val="2"/>
          </rPr>
          <t>Do not</t>
        </r>
        <r>
          <rPr>
            <sz val="12"/>
            <color indexed="81"/>
            <rFont val="Tahoma"/>
            <family val="2"/>
          </rPr>
          <t xml:space="preserve"> use "ALL".
Only 1 location may be entered per row.</t>
        </r>
      </text>
    </comment>
    <comment ref="L180" authorId="3" shapeId="0" xr:uid="{B221227B-D3AB-4D07-995A-EE7C4A0E2E5B}">
      <text>
        <r>
          <rPr>
            <sz val="12"/>
            <color indexed="81"/>
            <rFont val="Tahoma"/>
            <family val="2"/>
          </rPr>
          <t xml:space="preserve">Enter the Country Code ONLY.  </t>
        </r>
        <r>
          <rPr>
            <u/>
            <sz val="12"/>
            <color indexed="81"/>
            <rFont val="Tahoma"/>
            <family val="2"/>
          </rPr>
          <t>Cannot</t>
        </r>
        <r>
          <rPr>
            <sz val="12"/>
            <color indexed="81"/>
            <rFont val="Tahoma"/>
            <family val="2"/>
          </rPr>
          <t xml:space="preserve"> use "ALL" or country name</t>
        </r>
      </text>
    </comment>
    <comment ref="M180" authorId="2" shapeId="0" xr:uid="{00000000-0006-0000-0E00-000035000000}">
      <text>
        <r>
          <rPr>
            <sz val="12"/>
            <color indexed="81"/>
            <rFont val="Tahoma"/>
            <family val="2"/>
          </rPr>
          <t xml:space="preserve">Enter additional notes only when absolutely necessary.  
</t>
        </r>
        <r>
          <rPr>
            <u/>
            <sz val="12"/>
            <color indexed="81"/>
            <rFont val="Tahoma"/>
            <family val="2"/>
          </rPr>
          <t>IMPORTANT</t>
        </r>
        <r>
          <rPr>
            <sz val="12"/>
            <color indexed="81"/>
            <rFont val="Tahoma"/>
            <family val="2"/>
          </rPr>
          <t xml:space="preserve">:  Named accounts and specific commodities </t>
        </r>
        <r>
          <rPr>
            <b/>
            <u/>
            <sz val="12"/>
            <color indexed="81"/>
            <rFont val="Tahoma"/>
            <family val="2"/>
          </rPr>
          <t>may not</t>
        </r>
        <r>
          <rPr>
            <sz val="12"/>
            <color indexed="81"/>
            <rFont val="Tahoma"/>
            <family val="2"/>
          </rPr>
          <t xml:space="preserve"> be listed as Notes.</t>
        </r>
      </text>
    </comment>
    <comment ref="A193" authorId="2" shapeId="0" xr:uid="{BFA96CF2-F4D5-4608-84E5-A8FD52436C77}">
      <text>
        <r>
          <rPr>
            <sz val="12"/>
            <color indexed="81"/>
            <rFont val="Tahoma"/>
            <family val="2"/>
          </rPr>
          <t>Select the bullet for which the exception applies.
If exception applies to all bullets, select "ALL".</t>
        </r>
      </text>
    </comment>
    <comment ref="B193" authorId="2" shapeId="0" xr:uid="{51B024DE-484F-4A01-A6ED-D78BD1B6809A}">
      <text>
        <r>
          <rPr>
            <sz val="12"/>
            <color indexed="81"/>
            <rFont val="Tahoma"/>
            <family val="2"/>
          </rPr>
          <t xml:space="preserve">Specify if Free Time condition applies to Export or Import:
</t>
        </r>
        <r>
          <rPr>
            <b/>
            <sz val="12"/>
            <color indexed="81"/>
            <rFont val="Tahoma"/>
            <family val="2"/>
          </rPr>
          <t xml:space="preserve">E </t>
        </r>
        <r>
          <rPr>
            <sz val="12"/>
            <color indexed="81"/>
            <rFont val="Tahoma"/>
            <family val="2"/>
          </rPr>
          <t xml:space="preserve">(Export) = applies at origin
</t>
        </r>
        <r>
          <rPr>
            <b/>
            <sz val="12"/>
            <color indexed="81"/>
            <rFont val="Tahoma"/>
            <family val="2"/>
          </rPr>
          <t xml:space="preserve">I </t>
        </r>
        <r>
          <rPr>
            <sz val="12"/>
            <color indexed="81"/>
            <rFont val="Tahoma"/>
            <family val="2"/>
          </rPr>
          <t>(Import) = applies at destination</t>
        </r>
      </text>
    </comment>
    <comment ref="C193" authorId="2" shapeId="0" xr:uid="{EACBA743-5D99-4FD6-9CB8-BAFD661021F3}">
      <text>
        <r>
          <rPr>
            <sz val="12"/>
            <color indexed="81"/>
            <rFont val="Tahoma"/>
            <family val="2"/>
          </rPr>
          <t>Enter Type of Free Time:</t>
        </r>
        <r>
          <rPr>
            <u/>
            <sz val="12"/>
            <color indexed="81"/>
            <rFont val="Tahoma"/>
            <family val="2"/>
          </rPr>
          <t xml:space="preserve">
</t>
        </r>
        <r>
          <rPr>
            <sz val="12"/>
            <color indexed="81"/>
            <rFont val="Tahoma"/>
            <family val="2"/>
          </rPr>
          <t xml:space="preserve">
</t>
        </r>
        <r>
          <rPr>
            <b/>
            <sz val="12"/>
            <color indexed="81"/>
            <rFont val="Tahoma"/>
            <family val="2"/>
          </rPr>
          <t>Detention
Demurrage
Merged</t>
        </r>
      </text>
    </comment>
    <comment ref="F193" authorId="2" shapeId="0" xr:uid="{D8C51457-45C0-4218-BE26-AB957609C0D9}">
      <text>
        <r>
          <rPr>
            <sz val="12"/>
            <color indexed="81"/>
            <rFont val="Tahoma"/>
            <family val="2"/>
          </rPr>
          <t>If any exceptional charges are offered, then the currency is required to be shown.</t>
        </r>
      </text>
    </comment>
    <comment ref="W193" authorId="2" shapeId="0" xr:uid="{30D0A614-6804-4A0F-9287-C919D7A3365C}">
      <text>
        <r>
          <rPr>
            <sz val="12"/>
            <color indexed="81"/>
            <rFont val="Tahoma"/>
            <family val="2"/>
          </rPr>
          <t xml:space="preserve">Specify Equipment Type (blank field indicates applicability to all Eq Types):
</t>
        </r>
        <r>
          <rPr>
            <b/>
            <sz val="12"/>
            <color indexed="81"/>
            <rFont val="Tahoma"/>
            <family val="2"/>
          </rPr>
          <t>D</t>
        </r>
        <r>
          <rPr>
            <sz val="12"/>
            <color indexed="81"/>
            <rFont val="Tahoma"/>
            <family val="2"/>
          </rPr>
          <t xml:space="preserve"> = Dry
</t>
        </r>
        <r>
          <rPr>
            <b/>
            <sz val="12"/>
            <color indexed="81"/>
            <rFont val="Tahoma"/>
            <family val="2"/>
          </rPr>
          <t>R</t>
        </r>
        <r>
          <rPr>
            <sz val="12"/>
            <color indexed="81"/>
            <rFont val="Tahoma"/>
            <family val="2"/>
          </rPr>
          <t xml:space="preserve"> = Reefer
</t>
        </r>
        <r>
          <rPr>
            <b/>
            <sz val="12"/>
            <color indexed="81"/>
            <rFont val="Tahoma"/>
            <family val="2"/>
          </rPr>
          <t>OT</t>
        </r>
        <r>
          <rPr>
            <sz val="12"/>
            <color indexed="81"/>
            <rFont val="Tahoma"/>
            <family val="2"/>
          </rPr>
          <t xml:space="preserve"> = Open Top
</t>
        </r>
        <r>
          <rPr>
            <b/>
            <sz val="12"/>
            <color indexed="81"/>
            <rFont val="Tahoma"/>
            <family val="2"/>
          </rPr>
          <t>FR</t>
        </r>
        <r>
          <rPr>
            <sz val="12"/>
            <color indexed="81"/>
            <rFont val="Tahoma"/>
            <family val="2"/>
          </rPr>
          <t xml:space="preserve"> = Flat Rack</t>
        </r>
      </text>
    </comment>
    <comment ref="X193" authorId="2" shapeId="0" xr:uid="{EBBDEA2F-049C-4CED-A44A-A43E17E2B6D5}">
      <text>
        <r>
          <rPr>
            <sz val="12"/>
            <color indexed="81"/>
            <rFont val="Tahoma"/>
            <family val="2"/>
          </rPr>
          <t>Select "OR" from the drop down list if condition applies to Operating Reefers</t>
        </r>
      </text>
    </comment>
    <comment ref="Y193" authorId="2" shapeId="0" xr:uid="{31F11A7E-1AA4-4759-B4F6-EF160BA68A55}">
      <text>
        <r>
          <rPr>
            <sz val="12"/>
            <color indexed="81"/>
            <rFont val="Tahoma"/>
            <family val="2"/>
          </rPr>
          <t xml:space="preserve">Specify the Place of Receipt if necessary.  </t>
        </r>
        <r>
          <rPr>
            <u/>
            <sz val="12"/>
            <color indexed="81"/>
            <rFont val="Tahoma"/>
            <family val="2"/>
          </rPr>
          <t>Do not</t>
        </r>
        <r>
          <rPr>
            <sz val="12"/>
            <color indexed="81"/>
            <rFont val="Tahoma"/>
            <family val="2"/>
          </rPr>
          <t xml:space="preserve"> use "ALL".
Only 1 location may be entered per row.</t>
        </r>
      </text>
    </comment>
    <comment ref="Z193" authorId="2" shapeId="0" xr:uid="{CF9B98E9-CB13-4330-95D6-8EC46E941C98}">
      <text>
        <r>
          <rPr>
            <sz val="12"/>
            <color indexed="81"/>
            <rFont val="Tahoma"/>
            <family val="2"/>
          </rPr>
          <t xml:space="preserve">Enter the POL if necessary.  </t>
        </r>
        <r>
          <rPr>
            <u/>
            <sz val="12"/>
            <color indexed="81"/>
            <rFont val="Tahoma"/>
            <family val="2"/>
          </rPr>
          <t>Do not</t>
        </r>
        <r>
          <rPr>
            <sz val="12"/>
            <color indexed="81"/>
            <rFont val="Tahoma"/>
            <family val="2"/>
          </rPr>
          <t xml:space="preserve"> use "ALL".
Only 1 location is allowed per row and must be a valid seaport.</t>
        </r>
      </text>
    </comment>
    <comment ref="AA193" authorId="2" shapeId="0" xr:uid="{219ABFB1-0522-4700-B74F-E1BA8D81838A}">
      <text>
        <r>
          <rPr>
            <sz val="12"/>
            <color indexed="81"/>
            <rFont val="Tahoma"/>
            <family val="2"/>
          </rPr>
          <t xml:space="preserve">Enter the POD if necessary.  </t>
        </r>
        <r>
          <rPr>
            <u/>
            <sz val="12"/>
            <color indexed="81"/>
            <rFont val="Tahoma"/>
            <family val="2"/>
          </rPr>
          <t>Do not</t>
        </r>
        <r>
          <rPr>
            <sz val="12"/>
            <color indexed="81"/>
            <rFont val="Tahoma"/>
            <family val="2"/>
          </rPr>
          <t xml:space="preserve"> use "ALL".
Only 1 location is allowed per row and must be a valid seaport.</t>
        </r>
      </text>
    </comment>
    <comment ref="AB193" authorId="2" shapeId="0" xr:uid="{BE480CF0-C705-40FE-B105-B5CFE1ACA500}">
      <text>
        <r>
          <rPr>
            <sz val="12"/>
            <color indexed="81"/>
            <rFont val="Tahoma"/>
            <family val="2"/>
          </rPr>
          <t xml:space="preserve">Specify the Place of Delivery if necessary.  </t>
        </r>
        <r>
          <rPr>
            <u/>
            <sz val="12"/>
            <color indexed="81"/>
            <rFont val="Tahoma"/>
            <family val="2"/>
          </rPr>
          <t>Do not</t>
        </r>
        <r>
          <rPr>
            <sz val="12"/>
            <color indexed="81"/>
            <rFont val="Tahoma"/>
            <family val="2"/>
          </rPr>
          <t xml:space="preserve"> use "ALL".
Only 1 location may be entered per row.</t>
        </r>
      </text>
    </comment>
    <comment ref="AC193" authorId="3" shapeId="0" xr:uid="{83404976-BF1A-43AA-807C-99299212DCD7}">
      <text>
        <r>
          <rPr>
            <sz val="12"/>
            <color indexed="81"/>
            <rFont val="Tahoma"/>
            <family val="2"/>
          </rPr>
          <t xml:space="preserve">Enter the Country Code ONLY.  </t>
        </r>
        <r>
          <rPr>
            <u/>
            <sz val="12"/>
            <color indexed="81"/>
            <rFont val="Tahoma"/>
            <family val="2"/>
          </rPr>
          <t>Cannot</t>
        </r>
        <r>
          <rPr>
            <sz val="12"/>
            <color indexed="81"/>
            <rFont val="Tahoma"/>
            <family val="2"/>
          </rPr>
          <t xml:space="preserve"> use "ALL" or country name</t>
        </r>
      </text>
    </comment>
    <comment ref="AD193" authorId="2" shapeId="0" xr:uid="{86B489BC-C94E-40E1-8691-145A7A074C90}">
      <text>
        <r>
          <rPr>
            <sz val="12"/>
            <color indexed="81"/>
            <rFont val="Tahoma"/>
            <family val="2"/>
          </rPr>
          <t xml:space="preserve">Enter additional notes only when absolutely necessary.  
</t>
        </r>
        <r>
          <rPr>
            <u/>
            <sz val="12"/>
            <color indexed="81"/>
            <rFont val="Tahoma"/>
            <family val="2"/>
          </rPr>
          <t>IMPORTANT</t>
        </r>
        <r>
          <rPr>
            <sz val="12"/>
            <color indexed="81"/>
            <rFont val="Tahoma"/>
            <family val="2"/>
          </rPr>
          <t xml:space="preserve">:  Named accounts and specific commodities </t>
        </r>
        <r>
          <rPr>
            <b/>
            <u/>
            <sz val="12"/>
            <color indexed="81"/>
            <rFont val="Tahoma"/>
            <family val="2"/>
          </rPr>
          <t>may not</t>
        </r>
        <r>
          <rPr>
            <sz val="12"/>
            <color indexed="81"/>
            <rFont val="Tahoma"/>
            <family val="2"/>
          </rPr>
          <t xml:space="preserve"> be listed as Notes.</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ext.obouge</author>
    <author>William MALLOL</author>
    <author>usa.gewan</author>
    <author>GENDER Charlie - NOR</author>
  </authors>
  <commentList>
    <comment ref="B13" authorId="0" shapeId="0" xr:uid="{00000000-0006-0000-0F00-000001000000}">
      <text>
        <r>
          <rPr>
            <b/>
            <sz val="12"/>
            <color indexed="81"/>
            <rFont val="Tahoma"/>
            <family val="2"/>
          </rPr>
          <t>Please use comma to separate commodities.</t>
        </r>
      </text>
    </comment>
    <comment ref="A20" authorId="1" shapeId="0" xr:uid="{00000000-0006-0000-0F00-000002000000}">
      <text>
        <r>
          <rPr>
            <b/>
            <sz val="14"/>
            <color indexed="81"/>
            <rFont val="Tahoma"/>
            <family val="2"/>
          </rPr>
          <t>Port Group Codes can be used to group any two or more valid seaports that are common rated.
Port Group Codes cannot be used for inland locations.</t>
        </r>
      </text>
    </comment>
    <comment ref="B20" authorId="0" shapeId="0" xr:uid="{00000000-0006-0000-0F00-000003000000}">
      <text>
        <r>
          <rPr>
            <b/>
            <sz val="14"/>
            <color indexed="81"/>
            <rFont val="Tahoma"/>
            <family val="2"/>
          </rPr>
          <t>Please use comma to separate ports.
Only valid sea ports may be included.</t>
        </r>
      </text>
    </comment>
    <comment ref="A30" authorId="1" shapeId="0" xr:uid="{00000000-0006-0000-0F00-000004000000}">
      <text>
        <r>
          <rPr>
            <b/>
            <sz val="14"/>
            <color indexed="81"/>
            <rFont val="Tahoma"/>
            <family val="2"/>
          </rPr>
          <t>Please use FAK/ Bullets defined above.</t>
        </r>
      </text>
    </comment>
    <comment ref="B30" authorId="1" shapeId="0" xr:uid="{00000000-0006-0000-0F00-000005000000}">
      <text>
        <r>
          <rPr>
            <b/>
            <sz val="14"/>
            <color indexed="81"/>
            <rFont val="Tahoma"/>
            <family val="2"/>
          </rPr>
          <t>City, State / ZIP Code</t>
        </r>
      </text>
    </comment>
    <comment ref="C30" authorId="1" shapeId="0" xr:uid="{00000000-0006-0000-0F00-000006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D30" authorId="1" shapeId="0" xr:uid="{00000000-0006-0000-0F00-000007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E30" authorId="1" shapeId="0" xr:uid="{00000000-0006-0000-0F00-000008000000}">
      <text>
        <r>
          <rPr>
            <b/>
            <sz val="14"/>
            <color indexed="81"/>
            <rFont val="Tahoma"/>
            <family val="2"/>
          </rPr>
          <t>City, State / ZIP Code</t>
        </r>
      </text>
    </comment>
    <comment ref="F30" authorId="2" shapeId="0" xr:uid="{00000000-0006-0000-0F00-000009000000}">
      <text>
        <r>
          <rPr>
            <b/>
            <sz val="14"/>
            <color indexed="81"/>
            <rFont val="Tahoma"/>
            <family val="2"/>
          </rPr>
          <t>Indicate the mode of transportation at origin and destination.
Mode cannot begin with CY if there is a location listed as place of receipt.
Mode cannot end with CY if there is a location is listed as place of delivery</t>
        </r>
      </text>
    </comment>
    <comment ref="G30" authorId="2" shapeId="0" xr:uid="{00000000-0006-0000-0F00-00000A000000}">
      <text>
        <r>
          <rPr>
            <b/>
            <sz val="14"/>
            <color indexed="81"/>
            <rFont val="Tahoma"/>
            <family val="2"/>
          </rPr>
          <t>Indicate whether or not door service is included at origin and destination</t>
        </r>
      </text>
    </comment>
    <comment ref="M30" authorId="2" shapeId="0" xr:uid="{00000000-0006-0000-0F00-00000B000000}">
      <text>
        <r>
          <rPr>
            <b/>
            <sz val="14"/>
            <color indexed="81"/>
            <rFont val="Tahoma"/>
            <family val="2"/>
          </rPr>
          <t>Use these columns for exceptions to surcharge applicability in note 2</t>
        </r>
      </text>
    </comment>
    <comment ref="AA30" authorId="2" shapeId="0" xr:uid="{00000000-0006-0000-0F00-00000C000000}">
      <text>
        <r>
          <rPr>
            <b/>
            <sz val="14"/>
            <color indexed="81"/>
            <rFont val="Tahoma"/>
            <family val="2"/>
          </rPr>
          <t>This field controls construction using Arbitraries and Inland Tariffs
Y = allowed in US, N = not allowed in US, 
E = allowed at origin, I = allowed at destination,
B = allowed at both origin and destination
X = not allowed at either origin or destination</t>
        </r>
      </text>
    </comment>
    <comment ref="A39" authorId="1" shapeId="0" xr:uid="{00000000-0006-0000-0F00-00000D000000}">
      <text>
        <r>
          <rPr>
            <b/>
            <sz val="14"/>
            <color indexed="81"/>
            <rFont val="Tahoma"/>
            <family val="2"/>
          </rPr>
          <t>Please use FAK/ Bullets defined above.</t>
        </r>
      </text>
    </comment>
    <comment ref="B39" authorId="1" shapeId="0" xr:uid="{00000000-0006-0000-0F00-00000E000000}">
      <text>
        <r>
          <rPr>
            <b/>
            <sz val="14"/>
            <color indexed="81"/>
            <rFont val="Tahoma"/>
            <family val="2"/>
          </rPr>
          <t>City, State / ZIP Code</t>
        </r>
      </text>
    </comment>
    <comment ref="C39" authorId="1" shapeId="0" xr:uid="{00000000-0006-0000-0F00-00000F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D39" authorId="1" shapeId="0" xr:uid="{00000000-0006-0000-0F00-000010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E39" authorId="1" shapeId="0" xr:uid="{00000000-0006-0000-0F00-000011000000}">
      <text>
        <r>
          <rPr>
            <b/>
            <sz val="14"/>
            <color indexed="81"/>
            <rFont val="Tahoma"/>
            <family val="2"/>
          </rPr>
          <t>City, State / ZIP Code</t>
        </r>
      </text>
    </comment>
    <comment ref="F39" authorId="2" shapeId="0" xr:uid="{00000000-0006-0000-0F00-000012000000}">
      <text>
        <r>
          <rPr>
            <b/>
            <sz val="14"/>
            <color indexed="81"/>
            <rFont val="Tahoma"/>
            <family val="2"/>
          </rPr>
          <t>Indicate the mode of transportation at origin and destination.
Mode cannot begin with CY if there is a location listed as place of receipt.
Mode cannot end with CY if there is a location is listed as place of delivery</t>
        </r>
      </text>
    </comment>
    <comment ref="G39" authorId="2" shapeId="0" xr:uid="{00000000-0006-0000-0F00-000013000000}">
      <text>
        <r>
          <rPr>
            <b/>
            <sz val="14"/>
            <color indexed="81"/>
            <rFont val="Tahoma"/>
            <family val="2"/>
          </rPr>
          <t>Indicate whether or not door service is included at origin and destination</t>
        </r>
      </text>
    </comment>
    <comment ref="O39" authorId="2" shapeId="0" xr:uid="{00000000-0006-0000-0F00-000014000000}">
      <text>
        <r>
          <rPr>
            <b/>
            <sz val="14"/>
            <color indexed="81"/>
            <rFont val="Tahoma"/>
            <family val="2"/>
          </rPr>
          <t>Use these columns for exceptions to surcharge applicability in note 2</t>
        </r>
      </text>
    </comment>
    <comment ref="AA39" authorId="2" shapeId="0" xr:uid="{00000000-0006-0000-0F00-000015000000}">
      <text>
        <r>
          <rPr>
            <b/>
            <sz val="14"/>
            <color indexed="81"/>
            <rFont val="Tahoma"/>
            <family val="2"/>
          </rPr>
          <t>This field controls construction using Arbitraries and Inland Tariffs
Y = allowed in US, N = not allowed in US, 
E = allowed at origin, I = allowed at destination,
B = allowed at both origin and destination
X = not allowed at either origin or destination</t>
        </r>
      </text>
    </comment>
    <comment ref="A48" authorId="1" shapeId="0" xr:uid="{00000000-0006-0000-0F00-000016000000}">
      <text>
        <r>
          <rPr>
            <b/>
            <sz val="14"/>
            <color indexed="81"/>
            <rFont val="Tahoma"/>
            <family val="2"/>
          </rPr>
          <t>Please use FAK/ Bullets defined above.</t>
        </r>
      </text>
    </comment>
    <comment ref="B48" authorId="1" shapeId="0" xr:uid="{00000000-0006-0000-0F00-000017000000}">
      <text>
        <r>
          <rPr>
            <b/>
            <sz val="14"/>
            <color indexed="81"/>
            <rFont val="Tahoma"/>
            <family val="2"/>
          </rPr>
          <t>City, State / ZIP Code</t>
        </r>
      </text>
    </comment>
    <comment ref="C48" authorId="1" shapeId="0" xr:uid="{00000000-0006-0000-0F00-000018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D48" authorId="1" shapeId="0" xr:uid="{00000000-0006-0000-0F00-000019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E48" authorId="1" shapeId="0" xr:uid="{00000000-0006-0000-0F00-00001A000000}">
      <text>
        <r>
          <rPr>
            <b/>
            <sz val="14"/>
            <color indexed="81"/>
            <rFont val="Tahoma"/>
            <family val="2"/>
          </rPr>
          <t>City, State / ZIP Code</t>
        </r>
      </text>
    </comment>
    <comment ref="F48" authorId="2" shapeId="0" xr:uid="{00000000-0006-0000-0F00-00001B000000}">
      <text>
        <r>
          <rPr>
            <b/>
            <sz val="14"/>
            <color indexed="81"/>
            <rFont val="Tahoma"/>
            <family val="2"/>
          </rPr>
          <t>Indicate the mode of transportation at origin and destination.
Mode cannot begin with CY if there is a location listed as place of receipt.
Mode cannot end with CY if there is a location is listed as place of delivery</t>
        </r>
      </text>
    </comment>
    <comment ref="G48" authorId="2" shapeId="0" xr:uid="{00000000-0006-0000-0F00-00001C000000}">
      <text>
        <r>
          <rPr>
            <b/>
            <sz val="14"/>
            <color indexed="81"/>
            <rFont val="Tahoma"/>
            <family val="2"/>
          </rPr>
          <t>Indicate whether or not door service is included at origin and destination</t>
        </r>
      </text>
    </comment>
    <comment ref="Q48" authorId="2" shapeId="0" xr:uid="{00000000-0006-0000-0F00-00001D000000}">
      <text>
        <r>
          <rPr>
            <b/>
            <sz val="14"/>
            <color indexed="81"/>
            <rFont val="Tahoma"/>
            <family val="2"/>
          </rPr>
          <t>Use these columns for exceptions to surcharge applicability in note 2</t>
        </r>
      </text>
    </comment>
    <comment ref="AC48" authorId="2" shapeId="0" xr:uid="{00000000-0006-0000-0F00-00001E000000}">
      <text>
        <r>
          <rPr>
            <b/>
            <sz val="14"/>
            <color indexed="81"/>
            <rFont val="Tahoma"/>
            <family val="2"/>
          </rPr>
          <t>This field controls construction using Arbitraries and Inland Tariffs
Y = allowed in US, N = not allowed in US, 
E = allowed at origin, I = allowed at destination,
B = allowed at both origin and destination
X = not allowed at either origin or destination</t>
        </r>
      </text>
    </comment>
    <comment ref="B65" authorId="2" shapeId="0" xr:uid="{00000000-0006-0000-0F00-00001F000000}">
      <text>
        <r>
          <rPr>
            <b/>
            <sz val="14"/>
            <color indexed="81"/>
            <rFont val="Tahoma"/>
            <family val="2"/>
          </rPr>
          <t>Place of Origin - may be an outport for feeder (CY) arbitraries or an inland origin
Format is:  City, State or ZIP Code</t>
        </r>
      </text>
    </comment>
    <comment ref="E65" authorId="2" shapeId="0" xr:uid="{00000000-0006-0000-0F00-000020000000}">
      <text>
        <r>
          <rPr>
            <b/>
            <sz val="14"/>
            <color indexed="81"/>
            <rFont val="Tahoma"/>
            <family val="2"/>
          </rPr>
          <t xml:space="preserve">Please use only one port or a group of ports (Port groups must be defined in the Port Group Codes table).
Arbitrary construction can only occur with rate conditions which show these ports as the POL.
</t>
        </r>
        <r>
          <rPr>
            <b/>
            <i/>
            <sz val="14"/>
            <color indexed="81"/>
            <rFont val="Tahoma"/>
            <family val="2"/>
          </rPr>
          <t>All ports must be valid SEA ports.</t>
        </r>
      </text>
    </comment>
    <comment ref="F65" authorId="2" shapeId="0" xr:uid="{00000000-0006-0000-0F00-000021000000}">
      <text>
        <r>
          <rPr>
            <b/>
            <sz val="14"/>
            <color indexed="81"/>
            <rFont val="Tahoma"/>
            <family val="2"/>
          </rPr>
          <t>Indicate the mode of transportation between the arbitrary place of receipt and arbitrary POL.
CY modes can only be used when the mode of transportation is by Feeder.
Use of CY mode requires both the locations to be valid SEA ports.</t>
        </r>
      </text>
    </comment>
    <comment ref="G65" authorId="2" shapeId="0" xr:uid="{00000000-0006-0000-0F00-000022000000}">
      <text>
        <r>
          <rPr>
            <b/>
            <sz val="14"/>
            <color indexed="81"/>
            <rFont val="Tahoma"/>
            <family val="2"/>
          </rPr>
          <t>Indicate whether or not door service is included in the arbitrary rate</t>
        </r>
      </text>
    </comment>
    <comment ref="H65" authorId="2" shapeId="0" xr:uid="{00000000-0006-0000-0F00-000023000000}">
      <text>
        <r>
          <rPr>
            <b/>
            <sz val="14"/>
            <color indexed="81"/>
            <rFont val="Tahoma"/>
            <family val="2"/>
          </rPr>
          <t>Input the rate in this field when the same amount applies for all container sizes</t>
        </r>
      </text>
    </comment>
    <comment ref="N65" authorId="2" shapeId="0" xr:uid="{00000000-0006-0000-0F00-000024000000}">
      <text>
        <r>
          <rPr>
            <b/>
            <sz val="14"/>
            <color indexed="81"/>
            <rFont val="Tahoma"/>
            <family val="2"/>
          </rPr>
          <t>Each Arbitrary applies only to FAK / Bullets as specifically listed in this field.</t>
        </r>
      </text>
    </comment>
    <comment ref="B80" authorId="2" shapeId="0" xr:uid="{00000000-0006-0000-0F00-000025000000}">
      <text>
        <r>
          <rPr>
            <b/>
            <sz val="14"/>
            <color indexed="81"/>
            <rFont val="Tahoma"/>
            <family val="2"/>
          </rPr>
          <t>Place of Destination - may be an outport for feeder (CY) arbitraries or an inland destination
Format is:  City, State or ZIP Code</t>
        </r>
      </text>
    </comment>
    <comment ref="E80" authorId="2" shapeId="0" xr:uid="{00000000-0006-0000-0F00-000026000000}">
      <text>
        <r>
          <rPr>
            <b/>
            <sz val="14"/>
            <color indexed="81"/>
            <rFont val="Tahoma"/>
            <family val="2"/>
          </rPr>
          <t xml:space="preserve">Please use only one port or a group of ports (Port groups must be defined in the Port Group Codes table).
Arbitrary construction can only occur with rate conditions which show these ports as the POD.
</t>
        </r>
        <r>
          <rPr>
            <b/>
            <i/>
            <sz val="14"/>
            <color indexed="81"/>
            <rFont val="Tahoma"/>
            <family val="2"/>
          </rPr>
          <t>All ports must be valid SEA ports.</t>
        </r>
      </text>
    </comment>
    <comment ref="F80" authorId="2" shapeId="0" xr:uid="{00000000-0006-0000-0F00-000027000000}">
      <text>
        <r>
          <rPr>
            <b/>
            <sz val="14"/>
            <color indexed="81"/>
            <rFont val="Tahoma"/>
            <family val="2"/>
          </rPr>
          <t>Indicate the mode of transportation between the arbitrary POD and arbitrary place of delivery.
CY modes can only be used when the mode of transportation is by Feeder.
Use of CY mode requires both the locations to be valid SEA ports.</t>
        </r>
      </text>
    </comment>
    <comment ref="G80" authorId="2" shapeId="0" xr:uid="{00000000-0006-0000-0F00-000028000000}">
      <text>
        <r>
          <rPr>
            <b/>
            <sz val="14"/>
            <color indexed="81"/>
            <rFont val="Tahoma"/>
            <family val="2"/>
          </rPr>
          <t>Indicate whether or not door service is included in the arbitrary rate</t>
        </r>
      </text>
    </comment>
    <comment ref="H80" authorId="2" shapeId="0" xr:uid="{00000000-0006-0000-0F00-000029000000}">
      <text>
        <r>
          <rPr>
            <b/>
            <sz val="14"/>
            <color indexed="81"/>
            <rFont val="Tahoma"/>
            <family val="2"/>
          </rPr>
          <t>Input the rate in this field when the same amount applies for all container sizes</t>
        </r>
      </text>
    </comment>
    <comment ref="N80" authorId="2" shapeId="0" xr:uid="{00000000-0006-0000-0F00-00002A000000}">
      <text>
        <r>
          <rPr>
            <b/>
            <sz val="14"/>
            <color indexed="81"/>
            <rFont val="Tahoma"/>
            <family val="2"/>
          </rPr>
          <t>Each Arbitrary applies only to FAK / Bullets as specifically listed in this field.</t>
        </r>
      </text>
    </comment>
    <comment ref="L90" authorId="2" shapeId="0" xr:uid="{00000000-0006-0000-0F00-00002B000000}">
      <text>
        <r>
          <rPr>
            <b/>
            <sz val="14"/>
            <color indexed="81"/>
            <rFont val="Tahoma"/>
            <family val="2"/>
          </rPr>
          <t>Surcharge applicability mentioned on any row applies specifically to the individual port mentioned in this field.
If the Applicable Port field is blank, then the  surcharge applicability stated on that row applies to all ports.</t>
        </r>
      </text>
    </comment>
    <comment ref="A181" authorId="2" shapeId="0" xr:uid="{00000000-0006-0000-0F00-00002C000000}">
      <text>
        <r>
          <rPr>
            <sz val="12"/>
            <color indexed="81"/>
            <rFont val="Tahoma"/>
            <family val="2"/>
          </rPr>
          <t>Select the bullet for which the exception applies.
If exception applies to all bullets, select "ALL".</t>
        </r>
      </text>
    </comment>
    <comment ref="B181" authorId="2" shapeId="0" xr:uid="{00000000-0006-0000-0F00-00002D000000}">
      <text>
        <r>
          <rPr>
            <sz val="12"/>
            <color indexed="81"/>
            <rFont val="Tahoma"/>
            <family val="2"/>
          </rPr>
          <t xml:space="preserve">Specify if Free Time condition applies to Export or Import:
</t>
        </r>
        <r>
          <rPr>
            <b/>
            <sz val="12"/>
            <color indexed="81"/>
            <rFont val="Tahoma"/>
            <family val="2"/>
          </rPr>
          <t xml:space="preserve">E </t>
        </r>
        <r>
          <rPr>
            <sz val="12"/>
            <color indexed="81"/>
            <rFont val="Tahoma"/>
            <family val="2"/>
          </rPr>
          <t xml:space="preserve">(Export) = applies at origin
</t>
        </r>
        <r>
          <rPr>
            <b/>
            <sz val="12"/>
            <color indexed="81"/>
            <rFont val="Tahoma"/>
            <family val="2"/>
          </rPr>
          <t xml:space="preserve">I </t>
        </r>
        <r>
          <rPr>
            <sz val="12"/>
            <color indexed="81"/>
            <rFont val="Tahoma"/>
            <family val="2"/>
          </rPr>
          <t>(Import) = applies at destination</t>
        </r>
      </text>
    </comment>
    <comment ref="C181" authorId="2" shapeId="0" xr:uid="{00000000-0006-0000-0F00-00002E000000}">
      <text>
        <r>
          <rPr>
            <sz val="12"/>
            <color indexed="81"/>
            <rFont val="Tahoma"/>
            <family val="2"/>
          </rPr>
          <t>Enter Type of Free Time:</t>
        </r>
        <r>
          <rPr>
            <u/>
            <sz val="12"/>
            <color indexed="81"/>
            <rFont val="Tahoma"/>
            <family val="2"/>
          </rPr>
          <t xml:space="preserve">
</t>
        </r>
        <r>
          <rPr>
            <sz val="12"/>
            <color indexed="81"/>
            <rFont val="Tahoma"/>
            <family val="2"/>
          </rPr>
          <t xml:space="preserve">
</t>
        </r>
        <r>
          <rPr>
            <b/>
            <sz val="12"/>
            <color indexed="81"/>
            <rFont val="Tahoma"/>
            <family val="2"/>
          </rPr>
          <t>Detention
Demurrage
Merged</t>
        </r>
      </text>
    </comment>
    <comment ref="F181" authorId="2" shapeId="0" xr:uid="{00000000-0006-0000-0F00-00002F000000}">
      <text>
        <r>
          <rPr>
            <sz val="12"/>
            <color indexed="81"/>
            <rFont val="Tahoma"/>
            <family val="2"/>
          </rPr>
          <t xml:space="preserve">Specify Equipment Type (blank field indicates applicability to all Eq Types):
</t>
        </r>
        <r>
          <rPr>
            <b/>
            <sz val="12"/>
            <color indexed="81"/>
            <rFont val="Tahoma"/>
            <family val="2"/>
          </rPr>
          <t>D</t>
        </r>
        <r>
          <rPr>
            <sz val="12"/>
            <color indexed="81"/>
            <rFont val="Tahoma"/>
            <family val="2"/>
          </rPr>
          <t xml:space="preserve"> = Dry
</t>
        </r>
        <r>
          <rPr>
            <b/>
            <sz val="12"/>
            <color indexed="81"/>
            <rFont val="Tahoma"/>
            <family val="2"/>
          </rPr>
          <t>R</t>
        </r>
        <r>
          <rPr>
            <sz val="12"/>
            <color indexed="81"/>
            <rFont val="Tahoma"/>
            <family val="2"/>
          </rPr>
          <t xml:space="preserve"> = Reefer
</t>
        </r>
        <r>
          <rPr>
            <b/>
            <sz val="12"/>
            <color indexed="81"/>
            <rFont val="Tahoma"/>
            <family val="2"/>
          </rPr>
          <t>OT</t>
        </r>
        <r>
          <rPr>
            <sz val="12"/>
            <color indexed="81"/>
            <rFont val="Tahoma"/>
            <family val="2"/>
          </rPr>
          <t xml:space="preserve"> = Open Top
</t>
        </r>
        <r>
          <rPr>
            <b/>
            <sz val="12"/>
            <color indexed="81"/>
            <rFont val="Tahoma"/>
            <family val="2"/>
          </rPr>
          <t>FR</t>
        </r>
        <r>
          <rPr>
            <sz val="12"/>
            <color indexed="81"/>
            <rFont val="Tahoma"/>
            <family val="2"/>
          </rPr>
          <t xml:space="preserve"> = Flat Rack</t>
        </r>
      </text>
    </comment>
    <comment ref="G181" authorId="2" shapeId="0" xr:uid="{00000000-0006-0000-0F00-000030000000}">
      <text>
        <r>
          <rPr>
            <sz val="12"/>
            <color indexed="81"/>
            <rFont val="Tahoma"/>
            <family val="2"/>
          </rPr>
          <t>Select "OR" from the drop down list if condition applies to Operating Reefers</t>
        </r>
      </text>
    </comment>
    <comment ref="H181" authorId="2" shapeId="0" xr:uid="{00000000-0006-0000-0F00-000031000000}">
      <text>
        <r>
          <rPr>
            <sz val="12"/>
            <color indexed="81"/>
            <rFont val="Tahoma"/>
            <family val="2"/>
          </rPr>
          <t xml:space="preserve">Specify the Place of Receipt if necessary.  </t>
        </r>
        <r>
          <rPr>
            <u/>
            <sz val="12"/>
            <color indexed="81"/>
            <rFont val="Tahoma"/>
            <family val="2"/>
          </rPr>
          <t>Do not</t>
        </r>
        <r>
          <rPr>
            <sz val="12"/>
            <color indexed="81"/>
            <rFont val="Tahoma"/>
            <family val="2"/>
          </rPr>
          <t xml:space="preserve"> use "ALL".
Only 1 location may be entered per row.</t>
        </r>
      </text>
    </comment>
    <comment ref="I181" authorId="2" shapeId="0" xr:uid="{00000000-0006-0000-0F00-000032000000}">
      <text>
        <r>
          <rPr>
            <sz val="12"/>
            <color indexed="81"/>
            <rFont val="Tahoma"/>
            <family val="2"/>
          </rPr>
          <t xml:space="preserve">Enter the POL if necessary.  </t>
        </r>
        <r>
          <rPr>
            <u/>
            <sz val="12"/>
            <color indexed="81"/>
            <rFont val="Tahoma"/>
            <family val="2"/>
          </rPr>
          <t>Do not</t>
        </r>
        <r>
          <rPr>
            <sz val="12"/>
            <color indexed="81"/>
            <rFont val="Tahoma"/>
            <family val="2"/>
          </rPr>
          <t xml:space="preserve"> use "ALL".
Only 1 location is allowed per row and must be a valid seaport.</t>
        </r>
      </text>
    </comment>
    <comment ref="J181" authorId="2" shapeId="0" xr:uid="{00000000-0006-0000-0F00-000033000000}">
      <text>
        <r>
          <rPr>
            <sz val="12"/>
            <color indexed="81"/>
            <rFont val="Tahoma"/>
            <family val="2"/>
          </rPr>
          <t xml:space="preserve">Enter the POD if necessary.  </t>
        </r>
        <r>
          <rPr>
            <u/>
            <sz val="12"/>
            <color indexed="81"/>
            <rFont val="Tahoma"/>
            <family val="2"/>
          </rPr>
          <t>Do not</t>
        </r>
        <r>
          <rPr>
            <sz val="12"/>
            <color indexed="81"/>
            <rFont val="Tahoma"/>
            <family val="2"/>
          </rPr>
          <t xml:space="preserve"> use "ALL".
Only 1 location is allowed per row and must be a valid seaport.</t>
        </r>
      </text>
    </comment>
    <comment ref="K181" authorId="2" shapeId="0" xr:uid="{00000000-0006-0000-0F00-000034000000}">
      <text>
        <r>
          <rPr>
            <sz val="12"/>
            <color indexed="81"/>
            <rFont val="Tahoma"/>
            <family val="2"/>
          </rPr>
          <t xml:space="preserve">Specify the Place of Delivery if necessary.  </t>
        </r>
        <r>
          <rPr>
            <u/>
            <sz val="12"/>
            <color indexed="81"/>
            <rFont val="Tahoma"/>
            <family val="2"/>
          </rPr>
          <t>Do not</t>
        </r>
        <r>
          <rPr>
            <sz val="12"/>
            <color indexed="81"/>
            <rFont val="Tahoma"/>
            <family val="2"/>
          </rPr>
          <t xml:space="preserve"> use "ALL".
Only 1 location may be entered per row.</t>
        </r>
      </text>
    </comment>
    <comment ref="L181" authorId="3" shapeId="0" xr:uid="{2339AF5F-52F3-42A9-BBB8-01AD245A386C}">
      <text>
        <r>
          <rPr>
            <sz val="12"/>
            <color indexed="81"/>
            <rFont val="Tahoma"/>
            <family val="2"/>
          </rPr>
          <t xml:space="preserve">Enter the Country Code ONLY.  </t>
        </r>
        <r>
          <rPr>
            <u/>
            <sz val="12"/>
            <color indexed="81"/>
            <rFont val="Tahoma"/>
            <family val="2"/>
          </rPr>
          <t>Cannot</t>
        </r>
        <r>
          <rPr>
            <sz val="12"/>
            <color indexed="81"/>
            <rFont val="Tahoma"/>
            <family val="2"/>
          </rPr>
          <t xml:space="preserve"> use "ALL" or country name</t>
        </r>
      </text>
    </comment>
    <comment ref="M181" authorId="2" shapeId="0" xr:uid="{00000000-0006-0000-0F00-000035000000}">
      <text>
        <r>
          <rPr>
            <sz val="12"/>
            <color indexed="81"/>
            <rFont val="Tahoma"/>
            <family val="2"/>
          </rPr>
          <t xml:space="preserve">Enter additional notes only when absolutely necessary.  
</t>
        </r>
        <r>
          <rPr>
            <u/>
            <sz val="12"/>
            <color indexed="81"/>
            <rFont val="Tahoma"/>
            <family val="2"/>
          </rPr>
          <t>IMPORTANT</t>
        </r>
        <r>
          <rPr>
            <sz val="12"/>
            <color indexed="81"/>
            <rFont val="Tahoma"/>
            <family val="2"/>
          </rPr>
          <t xml:space="preserve">:  Named accounts and specific commodities </t>
        </r>
        <r>
          <rPr>
            <b/>
            <u/>
            <sz val="12"/>
            <color indexed="81"/>
            <rFont val="Tahoma"/>
            <family val="2"/>
          </rPr>
          <t>may not</t>
        </r>
        <r>
          <rPr>
            <sz val="12"/>
            <color indexed="81"/>
            <rFont val="Tahoma"/>
            <family val="2"/>
          </rPr>
          <t xml:space="preserve"> be listed as Notes.</t>
        </r>
      </text>
    </comment>
    <comment ref="A194" authorId="2" shapeId="0" xr:uid="{72178135-75E2-42B0-B15D-A1FE12A76EB4}">
      <text>
        <r>
          <rPr>
            <sz val="12"/>
            <color indexed="81"/>
            <rFont val="Tahoma"/>
            <family val="2"/>
          </rPr>
          <t>Select the bullet for which the exception applies.
If exception applies to all bullets, select "ALL".</t>
        </r>
      </text>
    </comment>
    <comment ref="B194" authorId="2" shapeId="0" xr:uid="{7CF8AA64-3201-4EB5-AD7B-5F058E5AB09F}">
      <text>
        <r>
          <rPr>
            <sz val="12"/>
            <color indexed="81"/>
            <rFont val="Tahoma"/>
            <family val="2"/>
          </rPr>
          <t xml:space="preserve">Specify if Free Time condition applies to Export or Import:
</t>
        </r>
        <r>
          <rPr>
            <b/>
            <sz val="12"/>
            <color indexed="81"/>
            <rFont val="Tahoma"/>
            <family val="2"/>
          </rPr>
          <t xml:space="preserve">E </t>
        </r>
        <r>
          <rPr>
            <sz val="12"/>
            <color indexed="81"/>
            <rFont val="Tahoma"/>
            <family val="2"/>
          </rPr>
          <t xml:space="preserve">(Export) = applies at origin
</t>
        </r>
        <r>
          <rPr>
            <b/>
            <sz val="12"/>
            <color indexed="81"/>
            <rFont val="Tahoma"/>
            <family val="2"/>
          </rPr>
          <t xml:space="preserve">I </t>
        </r>
        <r>
          <rPr>
            <sz val="12"/>
            <color indexed="81"/>
            <rFont val="Tahoma"/>
            <family val="2"/>
          </rPr>
          <t>(Import) = applies at destination</t>
        </r>
      </text>
    </comment>
    <comment ref="C194" authorId="2" shapeId="0" xr:uid="{CA45AB6B-A66A-4CC2-9964-FAB8E9257295}">
      <text>
        <r>
          <rPr>
            <sz val="12"/>
            <color indexed="81"/>
            <rFont val="Tahoma"/>
            <family val="2"/>
          </rPr>
          <t>Enter Type of Free Time:</t>
        </r>
        <r>
          <rPr>
            <u/>
            <sz val="12"/>
            <color indexed="81"/>
            <rFont val="Tahoma"/>
            <family val="2"/>
          </rPr>
          <t xml:space="preserve">
</t>
        </r>
        <r>
          <rPr>
            <sz val="12"/>
            <color indexed="81"/>
            <rFont val="Tahoma"/>
            <family val="2"/>
          </rPr>
          <t xml:space="preserve">
</t>
        </r>
        <r>
          <rPr>
            <b/>
            <sz val="12"/>
            <color indexed="81"/>
            <rFont val="Tahoma"/>
            <family val="2"/>
          </rPr>
          <t>Detention
Demurrage
Merged</t>
        </r>
      </text>
    </comment>
    <comment ref="F194" authorId="2" shapeId="0" xr:uid="{0628982B-CCEB-469B-B252-49C7F8BAF5C7}">
      <text>
        <r>
          <rPr>
            <sz val="12"/>
            <color indexed="81"/>
            <rFont val="Tahoma"/>
            <family val="2"/>
          </rPr>
          <t>If any exceptional charges are offered, then the currency is required to be shown.</t>
        </r>
      </text>
    </comment>
    <comment ref="W194" authorId="2" shapeId="0" xr:uid="{70D4DC7D-1C07-454C-9CD7-44EA04B938B6}">
      <text>
        <r>
          <rPr>
            <sz val="12"/>
            <color indexed="81"/>
            <rFont val="Tahoma"/>
            <family val="2"/>
          </rPr>
          <t xml:space="preserve">Specify Equipment Type (blank field indicates applicability to all Eq Types):
</t>
        </r>
        <r>
          <rPr>
            <b/>
            <sz val="12"/>
            <color indexed="81"/>
            <rFont val="Tahoma"/>
            <family val="2"/>
          </rPr>
          <t>D</t>
        </r>
        <r>
          <rPr>
            <sz val="12"/>
            <color indexed="81"/>
            <rFont val="Tahoma"/>
            <family val="2"/>
          </rPr>
          <t xml:space="preserve"> = Dry
</t>
        </r>
        <r>
          <rPr>
            <b/>
            <sz val="12"/>
            <color indexed="81"/>
            <rFont val="Tahoma"/>
            <family val="2"/>
          </rPr>
          <t>R</t>
        </r>
        <r>
          <rPr>
            <sz val="12"/>
            <color indexed="81"/>
            <rFont val="Tahoma"/>
            <family val="2"/>
          </rPr>
          <t xml:space="preserve"> = Reefer
</t>
        </r>
        <r>
          <rPr>
            <b/>
            <sz val="12"/>
            <color indexed="81"/>
            <rFont val="Tahoma"/>
            <family val="2"/>
          </rPr>
          <t>OT</t>
        </r>
        <r>
          <rPr>
            <sz val="12"/>
            <color indexed="81"/>
            <rFont val="Tahoma"/>
            <family val="2"/>
          </rPr>
          <t xml:space="preserve"> = Open Top
</t>
        </r>
        <r>
          <rPr>
            <b/>
            <sz val="12"/>
            <color indexed="81"/>
            <rFont val="Tahoma"/>
            <family val="2"/>
          </rPr>
          <t>FR</t>
        </r>
        <r>
          <rPr>
            <sz val="12"/>
            <color indexed="81"/>
            <rFont val="Tahoma"/>
            <family val="2"/>
          </rPr>
          <t xml:space="preserve"> = Flat Rack</t>
        </r>
      </text>
    </comment>
    <comment ref="X194" authorId="2" shapeId="0" xr:uid="{DD727CD9-99D1-4BA2-9D89-8FA8499BCEC4}">
      <text>
        <r>
          <rPr>
            <sz val="12"/>
            <color indexed="81"/>
            <rFont val="Tahoma"/>
            <family val="2"/>
          </rPr>
          <t>Select "OR" from the drop down list if condition applies to Operating Reefers</t>
        </r>
      </text>
    </comment>
    <comment ref="Y194" authorId="2" shapeId="0" xr:uid="{BB1DE6B3-49F5-4864-A199-5F4B35EC43CD}">
      <text>
        <r>
          <rPr>
            <sz val="12"/>
            <color indexed="81"/>
            <rFont val="Tahoma"/>
            <family val="2"/>
          </rPr>
          <t xml:space="preserve">Specify the Place of Receipt if necessary.  </t>
        </r>
        <r>
          <rPr>
            <u/>
            <sz val="12"/>
            <color indexed="81"/>
            <rFont val="Tahoma"/>
            <family val="2"/>
          </rPr>
          <t>Do not</t>
        </r>
        <r>
          <rPr>
            <sz val="12"/>
            <color indexed="81"/>
            <rFont val="Tahoma"/>
            <family val="2"/>
          </rPr>
          <t xml:space="preserve"> use "ALL".
Only 1 location may be entered per row.</t>
        </r>
      </text>
    </comment>
    <comment ref="Z194" authorId="2" shapeId="0" xr:uid="{BE220BBC-8AF5-4B65-A55A-15073BD9A27A}">
      <text>
        <r>
          <rPr>
            <sz val="12"/>
            <color indexed="81"/>
            <rFont val="Tahoma"/>
            <family val="2"/>
          </rPr>
          <t xml:space="preserve">Enter the POL if necessary.  </t>
        </r>
        <r>
          <rPr>
            <u/>
            <sz val="12"/>
            <color indexed="81"/>
            <rFont val="Tahoma"/>
            <family val="2"/>
          </rPr>
          <t>Do not</t>
        </r>
        <r>
          <rPr>
            <sz val="12"/>
            <color indexed="81"/>
            <rFont val="Tahoma"/>
            <family val="2"/>
          </rPr>
          <t xml:space="preserve"> use "ALL".
Only 1 location is allowed per row and must be a valid seaport.</t>
        </r>
      </text>
    </comment>
    <comment ref="AA194" authorId="2" shapeId="0" xr:uid="{379B8451-E207-4EC9-AEBF-A866B17614F1}">
      <text>
        <r>
          <rPr>
            <sz val="12"/>
            <color indexed="81"/>
            <rFont val="Tahoma"/>
            <family val="2"/>
          </rPr>
          <t xml:space="preserve">Enter the POD if necessary.  </t>
        </r>
        <r>
          <rPr>
            <u/>
            <sz val="12"/>
            <color indexed="81"/>
            <rFont val="Tahoma"/>
            <family val="2"/>
          </rPr>
          <t>Do not</t>
        </r>
        <r>
          <rPr>
            <sz val="12"/>
            <color indexed="81"/>
            <rFont val="Tahoma"/>
            <family val="2"/>
          </rPr>
          <t xml:space="preserve"> use "ALL".
Only 1 location is allowed per row and must be a valid seaport.</t>
        </r>
      </text>
    </comment>
    <comment ref="AB194" authorId="2" shapeId="0" xr:uid="{9E6852CE-8BCF-40A2-ACB3-A2F09504870C}">
      <text>
        <r>
          <rPr>
            <sz val="12"/>
            <color indexed="81"/>
            <rFont val="Tahoma"/>
            <family val="2"/>
          </rPr>
          <t xml:space="preserve">Specify the Place of Delivery if necessary.  </t>
        </r>
        <r>
          <rPr>
            <u/>
            <sz val="12"/>
            <color indexed="81"/>
            <rFont val="Tahoma"/>
            <family val="2"/>
          </rPr>
          <t>Do not</t>
        </r>
        <r>
          <rPr>
            <sz val="12"/>
            <color indexed="81"/>
            <rFont val="Tahoma"/>
            <family val="2"/>
          </rPr>
          <t xml:space="preserve"> use "ALL".
Only 1 location may be entered per row.</t>
        </r>
      </text>
    </comment>
    <comment ref="AC194" authorId="3" shapeId="0" xr:uid="{2AFA2F6F-3D5A-4007-82E6-EA2C376A6763}">
      <text>
        <r>
          <rPr>
            <sz val="12"/>
            <color indexed="81"/>
            <rFont val="Tahoma"/>
            <family val="2"/>
          </rPr>
          <t xml:space="preserve">Enter the Country Code ONLY.  </t>
        </r>
        <r>
          <rPr>
            <u/>
            <sz val="12"/>
            <color indexed="81"/>
            <rFont val="Tahoma"/>
            <family val="2"/>
          </rPr>
          <t>Cannot</t>
        </r>
        <r>
          <rPr>
            <sz val="12"/>
            <color indexed="81"/>
            <rFont val="Tahoma"/>
            <family val="2"/>
          </rPr>
          <t xml:space="preserve"> use "ALL" or country name</t>
        </r>
      </text>
    </comment>
    <comment ref="AD194" authorId="2" shapeId="0" xr:uid="{F7FEA2B1-0319-4A74-B332-82B507E844F1}">
      <text>
        <r>
          <rPr>
            <sz val="12"/>
            <color indexed="81"/>
            <rFont val="Tahoma"/>
            <family val="2"/>
          </rPr>
          <t xml:space="preserve">Enter additional notes only when absolutely necessary.  
</t>
        </r>
        <r>
          <rPr>
            <u/>
            <sz val="12"/>
            <color indexed="81"/>
            <rFont val="Tahoma"/>
            <family val="2"/>
          </rPr>
          <t>IMPORTANT</t>
        </r>
        <r>
          <rPr>
            <sz val="12"/>
            <color indexed="81"/>
            <rFont val="Tahoma"/>
            <family val="2"/>
          </rPr>
          <t xml:space="preserve">:  Named accounts and specific commodities </t>
        </r>
        <r>
          <rPr>
            <b/>
            <u/>
            <sz val="12"/>
            <color indexed="81"/>
            <rFont val="Tahoma"/>
            <family val="2"/>
          </rPr>
          <t>may not</t>
        </r>
        <r>
          <rPr>
            <sz val="12"/>
            <color indexed="81"/>
            <rFont val="Tahoma"/>
            <family val="2"/>
          </rPr>
          <t xml:space="preserve"> be listed as Notes.</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ext.obouge</author>
    <author>William MALLOL</author>
    <author>usa.gewan</author>
    <author>GENDER Charlie - NOR</author>
  </authors>
  <commentList>
    <comment ref="B13" authorId="0" shapeId="0" xr:uid="{00000000-0006-0000-1000-000001000000}">
      <text>
        <r>
          <rPr>
            <b/>
            <sz val="12"/>
            <color indexed="81"/>
            <rFont val="Tahoma"/>
            <family val="2"/>
          </rPr>
          <t>Please use comma to separate commodities.</t>
        </r>
      </text>
    </comment>
    <comment ref="A20" authorId="1" shapeId="0" xr:uid="{00000000-0006-0000-1000-000002000000}">
      <text>
        <r>
          <rPr>
            <b/>
            <sz val="14"/>
            <color indexed="81"/>
            <rFont val="Tahoma"/>
            <family val="2"/>
          </rPr>
          <t>Port Group Codes can be used to group any two or more valid seaports that are common rated.
Port Group Codes cannot be used for inland locations.</t>
        </r>
      </text>
    </comment>
    <comment ref="B20" authorId="0" shapeId="0" xr:uid="{00000000-0006-0000-1000-000003000000}">
      <text>
        <r>
          <rPr>
            <b/>
            <sz val="14"/>
            <color indexed="81"/>
            <rFont val="Tahoma"/>
            <family val="2"/>
          </rPr>
          <t>Please use comma to separate ports.
Only valid sea ports may be included.</t>
        </r>
      </text>
    </comment>
    <comment ref="A30" authorId="1" shapeId="0" xr:uid="{00000000-0006-0000-1000-000004000000}">
      <text>
        <r>
          <rPr>
            <b/>
            <sz val="14"/>
            <color indexed="81"/>
            <rFont val="Tahoma"/>
            <family val="2"/>
          </rPr>
          <t>Please use FAK/ Bullets defined above.</t>
        </r>
      </text>
    </comment>
    <comment ref="B30" authorId="1" shapeId="0" xr:uid="{00000000-0006-0000-1000-000005000000}">
      <text>
        <r>
          <rPr>
            <b/>
            <sz val="14"/>
            <color indexed="81"/>
            <rFont val="Tahoma"/>
            <family val="2"/>
          </rPr>
          <t>City, State / ZIP Code</t>
        </r>
      </text>
    </comment>
    <comment ref="C30" authorId="1" shapeId="0" xr:uid="{00000000-0006-0000-1000-000006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D30" authorId="1" shapeId="0" xr:uid="{00000000-0006-0000-1000-000007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E30" authorId="1" shapeId="0" xr:uid="{00000000-0006-0000-1000-000008000000}">
      <text>
        <r>
          <rPr>
            <b/>
            <sz val="14"/>
            <color indexed="81"/>
            <rFont val="Tahoma"/>
            <family val="2"/>
          </rPr>
          <t>City, State / ZIP Code</t>
        </r>
      </text>
    </comment>
    <comment ref="F30" authorId="2" shapeId="0" xr:uid="{00000000-0006-0000-1000-000009000000}">
      <text>
        <r>
          <rPr>
            <b/>
            <sz val="14"/>
            <color indexed="81"/>
            <rFont val="Tahoma"/>
            <family val="2"/>
          </rPr>
          <t>Indicate the mode of transportation at origin and destination.
Mode cannot begin with CY if there is a location listed as place of receipt.
Mode cannot end with CY if there is a location is listed as place of delivery</t>
        </r>
      </text>
    </comment>
    <comment ref="G30" authorId="2" shapeId="0" xr:uid="{00000000-0006-0000-1000-00000A000000}">
      <text>
        <r>
          <rPr>
            <b/>
            <sz val="14"/>
            <color indexed="81"/>
            <rFont val="Tahoma"/>
            <family val="2"/>
          </rPr>
          <t>Indicate whether or not door service is included at origin and destination</t>
        </r>
      </text>
    </comment>
    <comment ref="M30" authorId="2" shapeId="0" xr:uid="{00000000-0006-0000-1000-00000B000000}">
      <text>
        <r>
          <rPr>
            <b/>
            <sz val="14"/>
            <color indexed="81"/>
            <rFont val="Tahoma"/>
            <family val="2"/>
          </rPr>
          <t>Use these columns for exceptions to surcharge applicability in note 2</t>
        </r>
      </text>
    </comment>
    <comment ref="AA30" authorId="2" shapeId="0" xr:uid="{00000000-0006-0000-1000-00000C000000}">
      <text>
        <r>
          <rPr>
            <b/>
            <sz val="14"/>
            <color indexed="81"/>
            <rFont val="Tahoma"/>
            <family val="2"/>
          </rPr>
          <t>This field controls construction using Arbitraries and Inland Tariffs
Y = allowed in US, N = not allowed in US, 
E = allowed at origin, I = allowed at destination,
B = allowed at both origin and destination
X = not allowed at either origin or destination</t>
        </r>
      </text>
    </comment>
    <comment ref="A39" authorId="1" shapeId="0" xr:uid="{00000000-0006-0000-1000-00000D000000}">
      <text>
        <r>
          <rPr>
            <b/>
            <sz val="14"/>
            <color indexed="81"/>
            <rFont val="Tahoma"/>
            <family val="2"/>
          </rPr>
          <t>Please use FAK/ Bullets defined above.</t>
        </r>
      </text>
    </comment>
    <comment ref="B39" authorId="1" shapeId="0" xr:uid="{00000000-0006-0000-1000-00000E000000}">
      <text>
        <r>
          <rPr>
            <b/>
            <sz val="14"/>
            <color indexed="81"/>
            <rFont val="Tahoma"/>
            <family val="2"/>
          </rPr>
          <t>City, State / ZIP Code</t>
        </r>
      </text>
    </comment>
    <comment ref="C39" authorId="1" shapeId="0" xr:uid="{00000000-0006-0000-1000-00000F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D39" authorId="1" shapeId="0" xr:uid="{00000000-0006-0000-1000-000010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E39" authorId="1" shapeId="0" xr:uid="{00000000-0006-0000-1000-000011000000}">
      <text>
        <r>
          <rPr>
            <b/>
            <sz val="14"/>
            <color indexed="81"/>
            <rFont val="Tahoma"/>
            <family val="2"/>
          </rPr>
          <t>City, State / ZIP Code</t>
        </r>
      </text>
    </comment>
    <comment ref="F39" authorId="2" shapeId="0" xr:uid="{00000000-0006-0000-1000-000012000000}">
      <text>
        <r>
          <rPr>
            <b/>
            <sz val="14"/>
            <color indexed="81"/>
            <rFont val="Tahoma"/>
            <family val="2"/>
          </rPr>
          <t>Indicate the mode of transportation at origin and destination.
Mode cannot begin with CY if there is a location listed as place of receipt.
Mode cannot end with CY if there is a location is listed as place of delivery</t>
        </r>
      </text>
    </comment>
    <comment ref="G39" authorId="2" shapeId="0" xr:uid="{00000000-0006-0000-1000-000013000000}">
      <text>
        <r>
          <rPr>
            <b/>
            <sz val="14"/>
            <color indexed="81"/>
            <rFont val="Tahoma"/>
            <family val="2"/>
          </rPr>
          <t>Indicate whether or not door service is included at origin and destination</t>
        </r>
      </text>
    </comment>
    <comment ref="O39" authorId="2" shapeId="0" xr:uid="{00000000-0006-0000-1000-000014000000}">
      <text>
        <r>
          <rPr>
            <b/>
            <sz val="14"/>
            <color indexed="81"/>
            <rFont val="Tahoma"/>
            <family val="2"/>
          </rPr>
          <t>Use these columns for exceptions to surcharge applicability in note 2</t>
        </r>
      </text>
    </comment>
    <comment ref="AA39" authorId="2" shapeId="0" xr:uid="{00000000-0006-0000-1000-000015000000}">
      <text>
        <r>
          <rPr>
            <b/>
            <sz val="14"/>
            <color indexed="81"/>
            <rFont val="Tahoma"/>
            <family val="2"/>
          </rPr>
          <t>This field controls construction using Arbitraries and Inland Tariffs
Y = allowed in US, N = not allowed in US, 
E = allowed at origin, I = allowed at destination,
B = allowed at both origin and destination
X = not allowed at either origin or destination</t>
        </r>
      </text>
    </comment>
    <comment ref="A48" authorId="1" shapeId="0" xr:uid="{00000000-0006-0000-1000-000016000000}">
      <text>
        <r>
          <rPr>
            <b/>
            <sz val="14"/>
            <color indexed="81"/>
            <rFont val="Tahoma"/>
            <family val="2"/>
          </rPr>
          <t>Please use FAK/ Bullets defined above.</t>
        </r>
      </text>
    </comment>
    <comment ref="B48" authorId="1" shapeId="0" xr:uid="{00000000-0006-0000-1000-000017000000}">
      <text>
        <r>
          <rPr>
            <b/>
            <sz val="14"/>
            <color indexed="81"/>
            <rFont val="Tahoma"/>
            <family val="2"/>
          </rPr>
          <t>City, State / ZIP Code</t>
        </r>
      </text>
    </comment>
    <comment ref="C48" authorId="1" shapeId="0" xr:uid="{00000000-0006-0000-1000-000018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D48" authorId="1" shapeId="0" xr:uid="{00000000-0006-0000-1000-000019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E48" authorId="1" shapeId="0" xr:uid="{00000000-0006-0000-1000-00001A000000}">
      <text>
        <r>
          <rPr>
            <b/>
            <sz val="14"/>
            <color indexed="81"/>
            <rFont val="Tahoma"/>
            <family val="2"/>
          </rPr>
          <t>City, State / ZIP Code</t>
        </r>
      </text>
    </comment>
    <comment ref="F48" authorId="2" shapeId="0" xr:uid="{00000000-0006-0000-1000-00001B000000}">
      <text>
        <r>
          <rPr>
            <b/>
            <sz val="14"/>
            <color indexed="81"/>
            <rFont val="Tahoma"/>
            <family val="2"/>
          </rPr>
          <t>Indicate the mode of transportation at origin and destination.
Mode cannot begin with CY if there is a location listed as place of receipt.
Mode cannot end with CY if there is a location is listed as place of delivery</t>
        </r>
      </text>
    </comment>
    <comment ref="G48" authorId="2" shapeId="0" xr:uid="{00000000-0006-0000-1000-00001C000000}">
      <text>
        <r>
          <rPr>
            <b/>
            <sz val="14"/>
            <color indexed="81"/>
            <rFont val="Tahoma"/>
            <family val="2"/>
          </rPr>
          <t>Indicate whether or not door service is included at origin and destination</t>
        </r>
      </text>
    </comment>
    <comment ref="Q48" authorId="2" shapeId="0" xr:uid="{00000000-0006-0000-1000-00001D000000}">
      <text>
        <r>
          <rPr>
            <b/>
            <sz val="14"/>
            <color indexed="81"/>
            <rFont val="Tahoma"/>
            <family val="2"/>
          </rPr>
          <t>Use these columns for exceptions to surcharge applicability in note 2</t>
        </r>
      </text>
    </comment>
    <comment ref="AC48" authorId="2" shapeId="0" xr:uid="{00000000-0006-0000-1000-00001E000000}">
      <text>
        <r>
          <rPr>
            <b/>
            <sz val="14"/>
            <color indexed="81"/>
            <rFont val="Tahoma"/>
            <family val="2"/>
          </rPr>
          <t>This field controls construction using Arbitraries and Inland Tariffs
Y = allowed in US, N = not allowed in US, 
E = allowed at origin, I = allowed at destination,
B = allowed at both origin and destination
X = not allowed at either origin or destination</t>
        </r>
      </text>
    </comment>
    <comment ref="B65" authorId="2" shapeId="0" xr:uid="{00000000-0006-0000-1000-00001F000000}">
      <text>
        <r>
          <rPr>
            <b/>
            <sz val="14"/>
            <color indexed="81"/>
            <rFont val="Tahoma"/>
            <family val="2"/>
          </rPr>
          <t>Place of Origin - may be an outport for feeder (CY) arbitraries or an inland origin
Format is:  City, State or ZIP Code</t>
        </r>
      </text>
    </comment>
    <comment ref="E65" authorId="2" shapeId="0" xr:uid="{00000000-0006-0000-1000-000020000000}">
      <text>
        <r>
          <rPr>
            <b/>
            <sz val="14"/>
            <color indexed="81"/>
            <rFont val="Tahoma"/>
            <family val="2"/>
          </rPr>
          <t xml:space="preserve">Please use only one port or a group of ports (Port groups must be defined in the Port Group Codes table).
Arbitrary construction can only occur with rate conditions which show these ports as the POL.
</t>
        </r>
        <r>
          <rPr>
            <b/>
            <i/>
            <sz val="14"/>
            <color indexed="81"/>
            <rFont val="Tahoma"/>
            <family val="2"/>
          </rPr>
          <t>All ports must be valid SEA ports.</t>
        </r>
      </text>
    </comment>
    <comment ref="F65" authorId="2" shapeId="0" xr:uid="{00000000-0006-0000-1000-000021000000}">
      <text>
        <r>
          <rPr>
            <b/>
            <sz val="14"/>
            <color indexed="81"/>
            <rFont val="Tahoma"/>
            <family val="2"/>
          </rPr>
          <t>Indicate the mode of transportation between the arbitrary place of receipt and arbitrary POL.
CY modes can only be used when the mode of transportation is by Feeder.
Use of CY mode requires both the locations to be valid SEA ports.</t>
        </r>
      </text>
    </comment>
    <comment ref="G65" authorId="2" shapeId="0" xr:uid="{00000000-0006-0000-1000-000022000000}">
      <text>
        <r>
          <rPr>
            <b/>
            <sz val="14"/>
            <color indexed="81"/>
            <rFont val="Tahoma"/>
            <family val="2"/>
          </rPr>
          <t>Indicate whether or not door service is included in the arbitrary rate</t>
        </r>
      </text>
    </comment>
    <comment ref="H65" authorId="2" shapeId="0" xr:uid="{00000000-0006-0000-1000-000023000000}">
      <text>
        <r>
          <rPr>
            <b/>
            <sz val="14"/>
            <color indexed="81"/>
            <rFont val="Tahoma"/>
            <family val="2"/>
          </rPr>
          <t>Input the rate in this field when the same amount applies for all container sizes</t>
        </r>
      </text>
    </comment>
    <comment ref="N65" authorId="2" shapeId="0" xr:uid="{00000000-0006-0000-1000-000024000000}">
      <text>
        <r>
          <rPr>
            <b/>
            <sz val="14"/>
            <color indexed="81"/>
            <rFont val="Tahoma"/>
            <family val="2"/>
          </rPr>
          <t>Each Arbitrary applies only to FAK / Bullets as specifically listed in this field.</t>
        </r>
      </text>
    </comment>
    <comment ref="B80" authorId="2" shapeId="0" xr:uid="{00000000-0006-0000-1000-000025000000}">
      <text>
        <r>
          <rPr>
            <b/>
            <sz val="14"/>
            <color indexed="81"/>
            <rFont val="Tahoma"/>
            <family val="2"/>
          </rPr>
          <t>Place of Destination - may be an outport for feeder (CY) arbitraries or an inland destination
Format is:  City, State or ZIP Code</t>
        </r>
      </text>
    </comment>
    <comment ref="E80" authorId="2" shapeId="0" xr:uid="{00000000-0006-0000-1000-000026000000}">
      <text>
        <r>
          <rPr>
            <b/>
            <sz val="14"/>
            <color indexed="81"/>
            <rFont val="Tahoma"/>
            <family val="2"/>
          </rPr>
          <t xml:space="preserve">Please use only one port or a group of ports (Port groups must be defined in the Port Group Codes table).
Arbitrary construction can only occur with rate conditions which show these ports as the POD.
</t>
        </r>
        <r>
          <rPr>
            <b/>
            <i/>
            <sz val="14"/>
            <color indexed="81"/>
            <rFont val="Tahoma"/>
            <family val="2"/>
          </rPr>
          <t>All ports must be valid SEA ports.</t>
        </r>
      </text>
    </comment>
    <comment ref="F80" authorId="2" shapeId="0" xr:uid="{00000000-0006-0000-1000-000027000000}">
      <text>
        <r>
          <rPr>
            <b/>
            <sz val="14"/>
            <color indexed="81"/>
            <rFont val="Tahoma"/>
            <family val="2"/>
          </rPr>
          <t>Indicate the mode of transportation between the arbitrary POD and arbitrary place of delivery.
CY modes can only be used when the mode of transportation is by Feeder.
Use of CY mode requires both the locations to be valid SEA ports.</t>
        </r>
      </text>
    </comment>
    <comment ref="G80" authorId="2" shapeId="0" xr:uid="{00000000-0006-0000-1000-000028000000}">
      <text>
        <r>
          <rPr>
            <b/>
            <sz val="14"/>
            <color indexed="81"/>
            <rFont val="Tahoma"/>
            <family val="2"/>
          </rPr>
          <t>Indicate whether or not door service is included in the arbitrary rate</t>
        </r>
      </text>
    </comment>
    <comment ref="H80" authorId="2" shapeId="0" xr:uid="{00000000-0006-0000-1000-000029000000}">
      <text>
        <r>
          <rPr>
            <b/>
            <sz val="14"/>
            <color indexed="81"/>
            <rFont val="Tahoma"/>
            <family val="2"/>
          </rPr>
          <t>Input the rate in this field when the same amount applies for all container sizes</t>
        </r>
      </text>
    </comment>
    <comment ref="N80" authorId="2" shapeId="0" xr:uid="{00000000-0006-0000-1000-00002A000000}">
      <text>
        <r>
          <rPr>
            <b/>
            <sz val="14"/>
            <color indexed="81"/>
            <rFont val="Tahoma"/>
            <family val="2"/>
          </rPr>
          <t>Each Arbitrary applies only to FAK / Bullets as specifically listed in this field.</t>
        </r>
      </text>
    </comment>
    <comment ref="L90" authorId="2" shapeId="0" xr:uid="{00000000-0006-0000-1000-00002B000000}">
      <text>
        <r>
          <rPr>
            <b/>
            <sz val="14"/>
            <color indexed="81"/>
            <rFont val="Tahoma"/>
            <family val="2"/>
          </rPr>
          <t>Surcharge applicability mentioned on any row applies specifically to the individual port mentioned in this field.
If the Applicable Port field is blank, then the  surcharge applicability stated on that row applies to all ports.</t>
        </r>
      </text>
    </comment>
    <comment ref="A183" authorId="2" shapeId="0" xr:uid="{00000000-0006-0000-1000-00002C000000}">
      <text>
        <r>
          <rPr>
            <sz val="12"/>
            <color indexed="81"/>
            <rFont val="Tahoma"/>
            <family val="2"/>
          </rPr>
          <t>Select the bullet for which the exception applies.
If exception applies to all bullets, select "ALL".</t>
        </r>
      </text>
    </comment>
    <comment ref="B183" authorId="2" shapeId="0" xr:uid="{00000000-0006-0000-1000-00002D000000}">
      <text>
        <r>
          <rPr>
            <sz val="12"/>
            <color indexed="81"/>
            <rFont val="Tahoma"/>
            <family val="2"/>
          </rPr>
          <t xml:space="preserve">Specify if Free Time condition applies to Export or Import:
</t>
        </r>
        <r>
          <rPr>
            <b/>
            <sz val="12"/>
            <color indexed="81"/>
            <rFont val="Tahoma"/>
            <family val="2"/>
          </rPr>
          <t xml:space="preserve">E </t>
        </r>
        <r>
          <rPr>
            <sz val="12"/>
            <color indexed="81"/>
            <rFont val="Tahoma"/>
            <family val="2"/>
          </rPr>
          <t xml:space="preserve">(Export) = applies at origin
</t>
        </r>
        <r>
          <rPr>
            <b/>
            <sz val="12"/>
            <color indexed="81"/>
            <rFont val="Tahoma"/>
            <family val="2"/>
          </rPr>
          <t xml:space="preserve">I </t>
        </r>
        <r>
          <rPr>
            <sz val="12"/>
            <color indexed="81"/>
            <rFont val="Tahoma"/>
            <family val="2"/>
          </rPr>
          <t>(Import) = applies at destination</t>
        </r>
      </text>
    </comment>
    <comment ref="C183" authorId="2" shapeId="0" xr:uid="{00000000-0006-0000-1000-00002E000000}">
      <text>
        <r>
          <rPr>
            <sz val="12"/>
            <color indexed="81"/>
            <rFont val="Tahoma"/>
            <family val="2"/>
          </rPr>
          <t>Enter Type of Free Time:</t>
        </r>
        <r>
          <rPr>
            <u/>
            <sz val="12"/>
            <color indexed="81"/>
            <rFont val="Tahoma"/>
            <family val="2"/>
          </rPr>
          <t xml:space="preserve">
</t>
        </r>
        <r>
          <rPr>
            <sz val="12"/>
            <color indexed="81"/>
            <rFont val="Tahoma"/>
            <family val="2"/>
          </rPr>
          <t xml:space="preserve">
</t>
        </r>
        <r>
          <rPr>
            <b/>
            <sz val="12"/>
            <color indexed="81"/>
            <rFont val="Tahoma"/>
            <family val="2"/>
          </rPr>
          <t>Detention
Demurrage
Merged</t>
        </r>
      </text>
    </comment>
    <comment ref="F183" authorId="2" shapeId="0" xr:uid="{00000000-0006-0000-1000-00002F000000}">
      <text>
        <r>
          <rPr>
            <sz val="12"/>
            <color indexed="81"/>
            <rFont val="Tahoma"/>
            <family val="2"/>
          </rPr>
          <t xml:space="preserve">Specify Equipment Type (blank field indicates applicability to all Eq Types):
</t>
        </r>
        <r>
          <rPr>
            <b/>
            <sz val="12"/>
            <color indexed="81"/>
            <rFont val="Tahoma"/>
            <family val="2"/>
          </rPr>
          <t>D</t>
        </r>
        <r>
          <rPr>
            <sz val="12"/>
            <color indexed="81"/>
            <rFont val="Tahoma"/>
            <family val="2"/>
          </rPr>
          <t xml:space="preserve"> = Dry
</t>
        </r>
        <r>
          <rPr>
            <b/>
            <sz val="12"/>
            <color indexed="81"/>
            <rFont val="Tahoma"/>
            <family val="2"/>
          </rPr>
          <t>R</t>
        </r>
        <r>
          <rPr>
            <sz val="12"/>
            <color indexed="81"/>
            <rFont val="Tahoma"/>
            <family val="2"/>
          </rPr>
          <t xml:space="preserve"> = Reefer
</t>
        </r>
        <r>
          <rPr>
            <b/>
            <sz val="12"/>
            <color indexed="81"/>
            <rFont val="Tahoma"/>
            <family val="2"/>
          </rPr>
          <t>OT</t>
        </r>
        <r>
          <rPr>
            <sz val="12"/>
            <color indexed="81"/>
            <rFont val="Tahoma"/>
            <family val="2"/>
          </rPr>
          <t xml:space="preserve"> = Open Top
</t>
        </r>
        <r>
          <rPr>
            <b/>
            <sz val="12"/>
            <color indexed="81"/>
            <rFont val="Tahoma"/>
            <family val="2"/>
          </rPr>
          <t>FR</t>
        </r>
        <r>
          <rPr>
            <sz val="12"/>
            <color indexed="81"/>
            <rFont val="Tahoma"/>
            <family val="2"/>
          </rPr>
          <t xml:space="preserve"> = Flat Rack</t>
        </r>
      </text>
    </comment>
    <comment ref="G183" authorId="2" shapeId="0" xr:uid="{00000000-0006-0000-1000-000030000000}">
      <text>
        <r>
          <rPr>
            <sz val="12"/>
            <color indexed="81"/>
            <rFont val="Tahoma"/>
            <family val="2"/>
          </rPr>
          <t>Select "OR" from the drop down list if condition applies to Operating Reefers</t>
        </r>
      </text>
    </comment>
    <comment ref="H183" authorId="2" shapeId="0" xr:uid="{00000000-0006-0000-1000-000031000000}">
      <text>
        <r>
          <rPr>
            <sz val="12"/>
            <color indexed="81"/>
            <rFont val="Tahoma"/>
            <family val="2"/>
          </rPr>
          <t xml:space="preserve">Specify the Place of Receipt if necessary.  </t>
        </r>
        <r>
          <rPr>
            <u/>
            <sz val="12"/>
            <color indexed="81"/>
            <rFont val="Tahoma"/>
            <family val="2"/>
          </rPr>
          <t>Do not</t>
        </r>
        <r>
          <rPr>
            <sz val="12"/>
            <color indexed="81"/>
            <rFont val="Tahoma"/>
            <family val="2"/>
          </rPr>
          <t xml:space="preserve"> use "ALL".
Only 1 location may be entered per row.</t>
        </r>
      </text>
    </comment>
    <comment ref="I183" authorId="2" shapeId="0" xr:uid="{00000000-0006-0000-1000-000032000000}">
      <text>
        <r>
          <rPr>
            <sz val="12"/>
            <color indexed="81"/>
            <rFont val="Tahoma"/>
            <family val="2"/>
          </rPr>
          <t xml:space="preserve">Enter the POL if necessary.  </t>
        </r>
        <r>
          <rPr>
            <u/>
            <sz val="12"/>
            <color indexed="81"/>
            <rFont val="Tahoma"/>
            <family val="2"/>
          </rPr>
          <t>Do not</t>
        </r>
        <r>
          <rPr>
            <sz val="12"/>
            <color indexed="81"/>
            <rFont val="Tahoma"/>
            <family val="2"/>
          </rPr>
          <t xml:space="preserve"> use "ALL".
Only 1 location is allowed per row and must be a valid seaport.</t>
        </r>
      </text>
    </comment>
    <comment ref="J183" authorId="2" shapeId="0" xr:uid="{00000000-0006-0000-1000-000033000000}">
      <text>
        <r>
          <rPr>
            <sz val="12"/>
            <color indexed="81"/>
            <rFont val="Tahoma"/>
            <family val="2"/>
          </rPr>
          <t xml:space="preserve">Enter the POD if necessary.  </t>
        </r>
        <r>
          <rPr>
            <u/>
            <sz val="12"/>
            <color indexed="81"/>
            <rFont val="Tahoma"/>
            <family val="2"/>
          </rPr>
          <t>Do not</t>
        </r>
        <r>
          <rPr>
            <sz val="12"/>
            <color indexed="81"/>
            <rFont val="Tahoma"/>
            <family val="2"/>
          </rPr>
          <t xml:space="preserve"> use "ALL".
Only 1 location is allowed per row and must be a valid seaport.</t>
        </r>
      </text>
    </comment>
    <comment ref="K183" authorId="2" shapeId="0" xr:uid="{00000000-0006-0000-1000-000034000000}">
      <text>
        <r>
          <rPr>
            <sz val="12"/>
            <color indexed="81"/>
            <rFont val="Tahoma"/>
            <family val="2"/>
          </rPr>
          <t xml:space="preserve">Specify the Place of Delivery if necessary.  </t>
        </r>
        <r>
          <rPr>
            <u/>
            <sz val="12"/>
            <color indexed="81"/>
            <rFont val="Tahoma"/>
            <family val="2"/>
          </rPr>
          <t>Do not</t>
        </r>
        <r>
          <rPr>
            <sz val="12"/>
            <color indexed="81"/>
            <rFont val="Tahoma"/>
            <family val="2"/>
          </rPr>
          <t xml:space="preserve"> use "ALL".
Only 1 location may be entered per row.</t>
        </r>
      </text>
    </comment>
    <comment ref="L183" authorId="3" shapeId="0" xr:uid="{B1C983D3-63D2-4E29-AED2-B74A1DFA75CD}">
      <text>
        <r>
          <rPr>
            <sz val="12"/>
            <color indexed="81"/>
            <rFont val="Tahoma"/>
            <family val="2"/>
          </rPr>
          <t xml:space="preserve">Enter the Country Code ONLY.  </t>
        </r>
        <r>
          <rPr>
            <u/>
            <sz val="12"/>
            <color indexed="81"/>
            <rFont val="Tahoma"/>
            <family val="2"/>
          </rPr>
          <t>Cannot</t>
        </r>
        <r>
          <rPr>
            <sz val="12"/>
            <color indexed="81"/>
            <rFont val="Tahoma"/>
            <family val="2"/>
          </rPr>
          <t xml:space="preserve"> use "ALL" or country name</t>
        </r>
      </text>
    </comment>
    <comment ref="M183" authorId="2" shapeId="0" xr:uid="{00000000-0006-0000-1000-000035000000}">
      <text>
        <r>
          <rPr>
            <sz val="12"/>
            <color indexed="81"/>
            <rFont val="Tahoma"/>
            <family val="2"/>
          </rPr>
          <t xml:space="preserve">Enter additional notes only when absolutely necessary.  
</t>
        </r>
        <r>
          <rPr>
            <u/>
            <sz val="12"/>
            <color indexed="81"/>
            <rFont val="Tahoma"/>
            <family val="2"/>
          </rPr>
          <t>IMPORTANT</t>
        </r>
        <r>
          <rPr>
            <sz val="12"/>
            <color indexed="81"/>
            <rFont val="Tahoma"/>
            <family val="2"/>
          </rPr>
          <t xml:space="preserve">:  Named accounts and specific commodities </t>
        </r>
        <r>
          <rPr>
            <b/>
            <u/>
            <sz val="12"/>
            <color indexed="81"/>
            <rFont val="Tahoma"/>
            <family val="2"/>
          </rPr>
          <t>may not</t>
        </r>
        <r>
          <rPr>
            <sz val="12"/>
            <color indexed="81"/>
            <rFont val="Tahoma"/>
            <family val="2"/>
          </rPr>
          <t xml:space="preserve"> be listed as Notes.</t>
        </r>
      </text>
    </comment>
    <comment ref="A196" authorId="2" shapeId="0" xr:uid="{FB9461FC-1082-4311-8EB6-21274C58C26C}">
      <text>
        <r>
          <rPr>
            <sz val="12"/>
            <color indexed="81"/>
            <rFont val="Tahoma"/>
            <family val="2"/>
          </rPr>
          <t>Select the bullet for which the exception applies.
If exception applies to all bullets, select "ALL".</t>
        </r>
      </text>
    </comment>
    <comment ref="B196" authorId="2" shapeId="0" xr:uid="{DF516769-AD6C-4514-A0B9-1002C119A74A}">
      <text>
        <r>
          <rPr>
            <sz val="12"/>
            <color indexed="81"/>
            <rFont val="Tahoma"/>
            <family val="2"/>
          </rPr>
          <t xml:space="preserve">Specify if Free Time condition applies to Export or Import:
</t>
        </r>
        <r>
          <rPr>
            <b/>
            <sz val="12"/>
            <color indexed="81"/>
            <rFont val="Tahoma"/>
            <family val="2"/>
          </rPr>
          <t xml:space="preserve">E </t>
        </r>
        <r>
          <rPr>
            <sz val="12"/>
            <color indexed="81"/>
            <rFont val="Tahoma"/>
            <family val="2"/>
          </rPr>
          <t xml:space="preserve">(Export) = applies at origin
</t>
        </r>
        <r>
          <rPr>
            <b/>
            <sz val="12"/>
            <color indexed="81"/>
            <rFont val="Tahoma"/>
            <family val="2"/>
          </rPr>
          <t xml:space="preserve">I </t>
        </r>
        <r>
          <rPr>
            <sz val="12"/>
            <color indexed="81"/>
            <rFont val="Tahoma"/>
            <family val="2"/>
          </rPr>
          <t>(Import) = applies at destination</t>
        </r>
      </text>
    </comment>
    <comment ref="C196" authorId="2" shapeId="0" xr:uid="{DE47734E-2A3A-4FA5-A9A7-B00E4DA4FF41}">
      <text>
        <r>
          <rPr>
            <sz val="12"/>
            <color indexed="81"/>
            <rFont val="Tahoma"/>
            <family val="2"/>
          </rPr>
          <t>Enter Type of Free Time:</t>
        </r>
        <r>
          <rPr>
            <u/>
            <sz val="12"/>
            <color indexed="81"/>
            <rFont val="Tahoma"/>
            <family val="2"/>
          </rPr>
          <t xml:space="preserve">
</t>
        </r>
        <r>
          <rPr>
            <sz val="12"/>
            <color indexed="81"/>
            <rFont val="Tahoma"/>
            <family val="2"/>
          </rPr>
          <t xml:space="preserve">
</t>
        </r>
        <r>
          <rPr>
            <b/>
            <sz val="12"/>
            <color indexed="81"/>
            <rFont val="Tahoma"/>
            <family val="2"/>
          </rPr>
          <t>Detention
Demurrage
Merged</t>
        </r>
      </text>
    </comment>
    <comment ref="F196" authorId="2" shapeId="0" xr:uid="{E2A10EE0-8DDC-4654-B501-B6BDD1AEA0E6}">
      <text>
        <r>
          <rPr>
            <sz val="12"/>
            <color indexed="81"/>
            <rFont val="Tahoma"/>
            <family val="2"/>
          </rPr>
          <t>If any exceptional charges are offered, then the currency is required to be shown.</t>
        </r>
      </text>
    </comment>
    <comment ref="W196" authorId="2" shapeId="0" xr:uid="{18558E20-919A-44BC-B14A-C8ABF492DE4D}">
      <text>
        <r>
          <rPr>
            <sz val="12"/>
            <color indexed="81"/>
            <rFont val="Tahoma"/>
            <family val="2"/>
          </rPr>
          <t xml:space="preserve">Specify Equipment Type (blank field indicates applicability to all Eq Types):
</t>
        </r>
        <r>
          <rPr>
            <b/>
            <sz val="12"/>
            <color indexed="81"/>
            <rFont val="Tahoma"/>
            <family val="2"/>
          </rPr>
          <t>D</t>
        </r>
        <r>
          <rPr>
            <sz val="12"/>
            <color indexed="81"/>
            <rFont val="Tahoma"/>
            <family val="2"/>
          </rPr>
          <t xml:space="preserve"> = Dry
</t>
        </r>
        <r>
          <rPr>
            <b/>
            <sz val="12"/>
            <color indexed="81"/>
            <rFont val="Tahoma"/>
            <family val="2"/>
          </rPr>
          <t>R</t>
        </r>
        <r>
          <rPr>
            <sz val="12"/>
            <color indexed="81"/>
            <rFont val="Tahoma"/>
            <family val="2"/>
          </rPr>
          <t xml:space="preserve"> = Reefer
</t>
        </r>
        <r>
          <rPr>
            <b/>
            <sz val="12"/>
            <color indexed="81"/>
            <rFont val="Tahoma"/>
            <family val="2"/>
          </rPr>
          <t>OT</t>
        </r>
        <r>
          <rPr>
            <sz val="12"/>
            <color indexed="81"/>
            <rFont val="Tahoma"/>
            <family val="2"/>
          </rPr>
          <t xml:space="preserve"> = Open Top
</t>
        </r>
        <r>
          <rPr>
            <b/>
            <sz val="12"/>
            <color indexed="81"/>
            <rFont val="Tahoma"/>
            <family val="2"/>
          </rPr>
          <t>FR</t>
        </r>
        <r>
          <rPr>
            <sz val="12"/>
            <color indexed="81"/>
            <rFont val="Tahoma"/>
            <family val="2"/>
          </rPr>
          <t xml:space="preserve"> = Flat Rack</t>
        </r>
      </text>
    </comment>
    <comment ref="X196" authorId="2" shapeId="0" xr:uid="{F4BB6D9C-E7A9-4850-8872-ECE66C8F50A5}">
      <text>
        <r>
          <rPr>
            <sz val="12"/>
            <color indexed="81"/>
            <rFont val="Tahoma"/>
            <family val="2"/>
          </rPr>
          <t>Select "OR" from the drop down list if condition applies to Operating Reefers</t>
        </r>
      </text>
    </comment>
    <comment ref="Y196" authorId="2" shapeId="0" xr:uid="{BC829F6F-107D-4B1D-90AA-09FF186482A4}">
      <text>
        <r>
          <rPr>
            <sz val="12"/>
            <color indexed="81"/>
            <rFont val="Tahoma"/>
            <family val="2"/>
          </rPr>
          <t xml:space="preserve">Specify the Place of Receipt if necessary.  </t>
        </r>
        <r>
          <rPr>
            <u/>
            <sz val="12"/>
            <color indexed="81"/>
            <rFont val="Tahoma"/>
            <family val="2"/>
          </rPr>
          <t>Do not</t>
        </r>
        <r>
          <rPr>
            <sz val="12"/>
            <color indexed="81"/>
            <rFont val="Tahoma"/>
            <family val="2"/>
          </rPr>
          <t xml:space="preserve"> use "ALL".
Only 1 location may be entered per row.</t>
        </r>
      </text>
    </comment>
    <comment ref="Z196" authorId="2" shapeId="0" xr:uid="{81AE80C1-2368-4EEE-B420-3F62569D0D1E}">
      <text>
        <r>
          <rPr>
            <sz val="12"/>
            <color indexed="81"/>
            <rFont val="Tahoma"/>
            <family val="2"/>
          </rPr>
          <t xml:space="preserve">Enter the POL if necessary.  </t>
        </r>
        <r>
          <rPr>
            <u/>
            <sz val="12"/>
            <color indexed="81"/>
            <rFont val="Tahoma"/>
            <family val="2"/>
          </rPr>
          <t>Do not</t>
        </r>
        <r>
          <rPr>
            <sz val="12"/>
            <color indexed="81"/>
            <rFont val="Tahoma"/>
            <family val="2"/>
          </rPr>
          <t xml:space="preserve"> use "ALL".
Only 1 location is allowed per row and must be a valid seaport.</t>
        </r>
      </text>
    </comment>
    <comment ref="AA196" authorId="2" shapeId="0" xr:uid="{C275E027-54AF-4864-97E6-240B0A66D146}">
      <text>
        <r>
          <rPr>
            <sz val="12"/>
            <color indexed="81"/>
            <rFont val="Tahoma"/>
            <family val="2"/>
          </rPr>
          <t xml:space="preserve">Enter the POD if necessary.  </t>
        </r>
        <r>
          <rPr>
            <u/>
            <sz val="12"/>
            <color indexed="81"/>
            <rFont val="Tahoma"/>
            <family val="2"/>
          </rPr>
          <t>Do not</t>
        </r>
        <r>
          <rPr>
            <sz val="12"/>
            <color indexed="81"/>
            <rFont val="Tahoma"/>
            <family val="2"/>
          </rPr>
          <t xml:space="preserve"> use "ALL".
Only 1 location is allowed per row and must be a valid seaport.</t>
        </r>
      </text>
    </comment>
    <comment ref="AB196" authorId="2" shapeId="0" xr:uid="{19AF4A7B-E19A-4BE3-881F-6B7789A566C2}">
      <text>
        <r>
          <rPr>
            <sz val="12"/>
            <color indexed="81"/>
            <rFont val="Tahoma"/>
            <family val="2"/>
          </rPr>
          <t xml:space="preserve">Specify the Place of Delivery if necessary.  </t>
        </r>
        <r>
          <rPr>
            <u/>
            <sz val="12"/>
            <color indexed="81"/>
            <rFont val="Tahoma"/>
            <family val="2"/>
          </rPr>
          <t>Do not</t>
        </r>
        <r>
          <rPr>
            <sz val="12"/>
            <color indexed="81"/>
            <rFont val="Tahoma"/>
            <family val="2"/>
          </rPr>
          <t xml:space="preserve"> use "ALL".
Only 1 location may be entered per row.</t>
        </r>
      </text>
    </comment>
    <comment ref="AC196" authorId="3" shapeId="0" xr:uid="{0263C2AC-C05E-4D84-96CC-E7CB627BAA30}">
      <text>
        <r>
          <rPr>
            <sz val="12"/>
            <color indexed="81"/>
            <rFont val="Tahoma"/>
            <family val="2"/>
          </rPr>
          <t xml:space="preserve">Enter the Country Code ONLY.  </t>
        </r>
        <r>
          <rPr>
            <u/>
            <sz val="12"/>
            <color indexed="81"/>
            <rFont val="Tahoma"/>
            <family val="2"/>
          </rPr>
          <t>Cannot</t>
        </r>
        <r>
          <rPr>
            <sz val="12"/>
            <color indexed="81"/>
            <rFont val="Tahoma"/>
            <family val="2"/>
          </rPr>
          <t xml:space="preserve"> use "ALL" or country name</t>
        </r>
      </text>
    </comment>
    <comment ref="AD196" authorId="2" shapeId="0" xr:uid="{35C1D6B1-CCD8-4C9A-A526-3375D0604DC0}">
      <text>
        <r>
          <rPr>
            <sz val="12"/>
            <color indexed="81"/>
            <rFont val="Tahoma"/>
            <family val="2"/>
          </rPr>
          <t xml:space="preserve">Enter additional notes only when absolutely necessary.  
</t>
        </r>
        <r>
          <rPr>
            <u/>
            <sz val="12"/>
            <color indexed="81"/>
            <rFont val="Tahoma"/>
            <family val="2"/>
          </rPr>
          <t>IMPORTANT</t>
        </r>
        <r>
          <rPr>
            <sz val="12"/>
            <color indexed="81"/>
            <rFont val="Tahoma"/>
            <family val="2"/>
          </rPr>
          <t xml:space="preserve">:  Named accounts and specific commodities </t>
        </r>
        <r>
          <rPr>
            <b/>
            <u/>
            <sz val="12"/>
            <color indexed="81"/>
            <rFont val="Tahoma"/>
            <family val="2"/>
          </rPr>
          <t>may not</t>
        </r>
        <r>
          <rPr>
            <sz val="12"/>
            <color indexed="81"/>
            <rFont val="Tahoma"/>
            <family val="2"/>
          </rPr>
          <t xml:space="preserve"> be listed as Notes.</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ext.obouge</author>
    <author>William MALLOL</author>
    <author>usa.gewan</author>
    <author>GENDER Charlie - NOR</author>
  </authors>
  <commentList>
    <comment ref="B13" authorId="0" shapeId="0" xr:uid="{00000000-0006-0000-1100-000001000000}">
      <text>
        <r>
          <rPr>
            <b/>
            <sz val="12"/>
            <color indexed="81"/>
            <rFont val="Tahoma"/>
            <family val="2"/>
          </rPr>
          <t>Please use comma to separate commodities.</t>
        </r>
      </text>
    </comment>
    <comment ref="A20" authorId="1" shapeId="0" xr:uid="{00000000-0006-0000-1100-000002000000}">
      <text>
        <r>
          <rPr>
            <b/>
            <sz val="14"/>
            <color indexed="81"/>
            <rFont val="Tahoma"/>
            <family val="2"/>
          </rPr>
          <t>Port Group Codes can be used to group any two or more valid seaports that are common rated.
Port Group Codes cannot be used for inland locations.</t>
        </r>
      </text>
    </comment>
    <comment ref="B20" authorId="0" shapeId="0" xr:uid="{00000000-0006-0000-1100-000003000000}">
      <text>
        <r>
          <rPr>
            <b/>
            <sz val="14"/>
            <color indexed="81"/>
            <rFont val="Tahoma"/>
            <family val="2"/>
          </rPr>
          <t>Please use comma to separate ports.
Only valid sea ports may be included.</t>
        </r>
      </text>
    </comment>
    <comment ref="A30" authorId="1" shapeId="0" xr:uid="{00000000-0006-0000-1100-000004000000}">
      <text>
        <r>
          <rPr>
            <b/>
            <sz val="14"/>
            <color indexed="81"/>
            <rFont val="Tahoma"/>
            <family val="2"/>
          </rPr>
          <t>Please use FAK/ Bullets defined above.</t>
        </r>
      </text>
    </comment>
    <comment ref="B30" authorId="1" shapeId="0" xr:uid="{00000000-0006-0000-1100-000005000000}">
      <text>
        <r>
          <rPr>
            <b/>
            <sz val="14"/>
            <color indexed="81"/>
            <rFont val="Tahoma"/>
            <family val="2"/>
          </rPr>
          <t>City, State / ZIP Code</t>
        </r>
      </text>
    </comment>
    <comment ref="C30" authorId="1" shapeId="0" xr:uid="{00000000-0006-0000-1100-000006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D30" authorId="1" shapeId="0" xr:uid="{00000000-0006-0000-1100-000007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E30" authorId="1" shapeId="0" xr:uid="{00000000-0006-0000-1100-000008000000}">
      <text>
        <r>
          <rPr>
            <b/>
            <sz val="14"/>
            <color indexed="81"/>
            <rFont val="Tahoma"/>
            <family val="2"/>
          </rPr>
          <t>City, State / ZIP Code</t>
        </r>
      </text>
    </comment>
    <comment ref="F30" authorId="2" shapeId="0" xr:uid="{00000000-0006-0000-1100-000009000000}">
      <text>
        <r>
          <rPr>
            <b/>
            <sz val="14"/>
            <color indexed="81"/>
            <rFont val="Tahoma"/>
            <family val="2"/>
          </rPr>
          <t>Indicate the mode of transportation at origin and destination.
Mode cannot begin with CY if there is a location listed as place of receipt.
Mode cannot end with CY if there is a location is listed as place of delivery</t>
        </r>
      </text>
    </comment>
    <comment ref="G30" authorId="2" shapeId="0" xr:uid="{00000000-0006-0000-1100-00000A000000}">
      <text>
        <r>
          <rPr>
            <b/>
            <sz val="14"/>
            <color indexed="81"/>
            <rFont val="Tahoma"/>
            <family val="2"/>
          </rPr>
          <t>Indicate whether or not door service is included at origin and destination</t>
        </r>
      </text>
    </comment>
    <comment ref="M30" authorId="2" shapeId="0" xr:uid="{00000000-0006-0000-1100-00000B000000}">
      <text>
        <r>
          <rPr>
            <b/>
            <sz val="14"/>
            <color indexed="81"/>
            <rFont val="Tahoma"/>
            <family val="2"/>
          </rPr>
          <t>Use these columns for exceptions to surcharge applicability in note 2</t>
        </r>
      </text>
    </comment>
    <comment ref="AA30" authorId="2" shapeId="0" xr:uid="{00000000-0006-0000-1100-00000C000000}">
      <text>
        <r>
          <rPr>
            <b/>
            <sz val="14"/>
            <color indexed="81"/>
            <rFont val="Tahoma"/>
            <family val="2"/>
          </rPr>
          <t>This field controls construction using Arbitraries and Inland Tariffs
Y = allowed in US, N = not allowed in US, 
E = allowed at origin, I = allowed at destination,
B = allowed at both origin and destination
X = not allowed at either origin or destination</t>
        </r>
      </text>
    </comment>
    <comment ref="A39" authorId="1" shapeId="0" xr:uid="{00000000-0006-0000-1100-00000D000000}">
      <text>
        <r>
          <rPr>
            <b/>
            <sz val="14"/>
            <color indexed="81"/>
            <rFont val="Tahoma"/>
            <family val="2"/>
          </rPr>
          <t>Please use FAK/ Bullets defined above.</t>
        </r>
      </text>
    </comment>
    <comment ref="B39" authorId="1" shapeId="0" xr:uid="{00000000-0006-0000-1100-00000E000000}">
      <text>
        <r>
          <rPr>
            <b/>
            <sz val="14"/>
            <color indexed="81"/>
            <rFont val="Tahoma"/>
            <family val="2"/>
          </rPr>
          <t>City, State / ZIP Code</t>
        </r>
      </text>
    </comment>
    <comment ref="C39" authorId="1" shapeId="0" xr:uid="{00000000-0006-0000-1100-00000F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D39" authorId="1" shapeId="0" xr:uid="{00000000-0006-0000-1100-000010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E39" authorId="1" shapeId="0" xr:uid="{00000000-0006-0000-1100-000011000000}">
      <text>
        <r>
          <rPr>
            <b/>
            <sz val="14"/>
            <color indexed="81"/>
            <rFont val="Tahoma"/>
            <family val="2"/>
          </rPr>
          <t>City, State / ZIP Code</t>
        </r>
      </text>
    </comment>
    <comment ref="F39" authorId="2" shapeId="0" xr:uid="{00000000-0006-0000-1100-000012000000}">
      <text>
        <r>
          <rPr>
            <b/>
            <sz val="14"/>
            <color indexed="81"/>
            <rFont val="Tahoma"/>
            <family val="2"/>
          </rPr>
          <t>Indicate the mode of transportation at origin and destination.
Mode cannot begin with CY if there is a location listed as place of receipt.
Mode cannot end with CY if there is a location is listed as place of delivery</t>
        </r>
      </text>
    </comment>
    <comment ref="G39" authorId="2" shapeId="0" xr:uid="{00000000-0006-0000-1100-000013000000}">
      <text>
        <r>
          <rPr>
            <b/>
            <sz val="14"/>
            <color indexed="81"/>
            <rFont val="Tahoma"/>
            <family val="2"/>
          </rPr>
          <t>Indicate whether or not door service is included at origin and destination</t>
        </r>
      </text>
    </comment>
    <comment ref="O39" authorId="2" shapeId="0" xr:uid="{00000000-0006-0000-1100-000014000000}">
      <text>
        <r>
          <rPr>
            <b/>
            <sz val="14"/>
            <color indexed="81"/>
            <rFont val="Tahoma"/>
            <family val="2"/>
          </rPr>
          <t>Use these columns for exceptions to surcharge applicability in note 2</t>
        </r>
      </text>
    </comment>
    <comment ref="AA39" authorId="2" shapeId="0" xr:uid="{00000000-0006-0000-1100-000015000000}">
      <text>
        <r>
          <rPr>
            <b/>
            <sz val="14"/>
            <color indexed="81"/>
            <rFont val="Tahoma"/>
            <family val="2"/>
          </rPr>
          <t>This field controls construction using Arbitraries and Inland Tariffs
Y = allowed in US, N = not allowed in US, 
E = allowed at origin, I = allowed at destination,
B = allowed at both origin and destination
X = not allowed at either origin or destination</t>
        </r>
      </text>
    </comment>
    <comment ref="A48" authorId="1" shapeId="0" xr:uid="{00000000-0006-0000-1100-000016000000}">
      <text>
        <r>
          <rPr>
            <b/>
            <sz val="14"/>
            <color indexed="81"/>
            <rFont val="Tahoma"/>
            <family val="2"/>
          </rPr>
          <t>Please use FAK/ Bullets defined above.</t>
        </r>
      </text>
    </comment>
    <comment ref="B48" authorId="1" shapeId="0" xr:uid="{00000000-0006-0000-1100-000017000000}">
      <text>
        <r>
          <rPr>
            <b/>
            <sz val="14"/>
            <color indexed="81"/>
            <rFont val="Tahoma"/>
            <family val="2"/>
          </rPr>
          <t>City, State / ZIP Code</t>
        </r>
      </text>
    </comment>
    <comment ref="C48" authorId="1" shapeId="0" xr:uid="{00000000-0006-0000-1100-000018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D48" authorId="1" shapeId="0" xr:uid="{00000000-0006-0000-1100-000019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E48" authorId="1" shapeId="0" xr:uid="{00000000-0006-0000-1100-00001A000000}">
      <text>
        <r>
          <rPr>
            <b/>
            <sz val="14"/>
            <color indexed="81"/>
            <rFont val="Tahoma"/>
            <family val="2"/>
          </rPr>
          <t>City, State / ZIP Code</t>
        </r>
      </text>
    </comment>
    <comment ref="F48" authorId="2" shapeId="0" xr:uid="{00000000-0006-0000-1100-00001B000000}">
      <text>
        <r>
          <rPr>
            <b/>
            <sz val="14"/>
            <color indexed="81"/>
            <rFont val="Tahoma"/>
            <family val="2"/>
          </rPr>
          <t>Indicate the mode of transportation at origin and destination.
Mode cannot begin with CY if there is a location listed as place of receipt.
Mode cannot end with CY if there is a location is listed as place of delivery</t>
        </r>
      </text>
    </comment>
    <comment ref="G48" authorId="2" shapeId="0" xr:uid="{00000000-0006-0000-1100-00001C000000}">
      <text>
        <r>
          <rPr>
            <b/>
            <sz val="14"/>
            <color indexed="81"/>
            <rFont val="Tahoma"/>
            <family val="2"/>
          </rPr>
          <t>Indicate whether or not door service is included at origin and destination</t>
        </r>
      </text>
    </comment>
    <comment ref="Q48" authorId="2" shapeId="0" xr:uid="{00000000-0006-0000-1100-00001D000000}">
      <text>
        <r>
          <rPr>
            <b/>
            <sz val="14"/>
            <color indexed="81"/>
            <rFont val="Tahoma"/>
            <family val="2"/>
          </rPr>
          <t>Use these columns for exceptions to surcharge applicability in note 2</t>
        </r>
      </text>
    </comment>
    <comment ref="AC48" authorId="2" shapeId="0" xr:uid="{00000000-0006-0000-1100-00001E000000}">
      <text>
        <r>
          <rPr>
            <b/>
            <sz val="14"/>
            <color indexed="81"/>
            <rFont val="Tahoma"/>
            <family val="2"/>
          </rPr>
          <t>This field controls construction using Arbitraries and Inland Tariffs
Y = allowed in US, N = not allowed in US, 
E = allowed at origin, I = allowed at destination,
B = allowed at both origin and destination
X = not allowed at either origin or destination</t>
        </r>
      </text>
    </comment>
    <comment ref="B65" authorId="2" shapeId="0" xr:uid="{00000000-0006-0000-1100-00001F000000}">
      <text>
        <r>
          <rPr>
            <b/>
            <sz val="14"/>
            <color indexed="81"/>
            <rFont val="Tahoma"/>
            <family val="2"/>
          </rPr>
          <t>Place of Origin - may be an outport for feeder (CY) arbitraries or an inland origin
Format is:  City, State or ZIP Code</t>
        </r>
      </text>
    </comment>
    <comment ref="E65" authorId="2" shapeId="0" xr:uid="{00000000-0006-0000-1100-000020000000}">
      <text>
        <r>
          <rPr>
            <b/>
            <sz val="14"/>
            <color indexed="81"/>
            <rFont val="Tahoma"/>
            <family val="2"/>
          </rPr>
          <t xml:space="preserve">Please use only one port or a group of ports (Port groups must be defined in the Port Group Codes table).
Arbitrary construction can only occur with rate conditions which show these ports as the POL.
</t>
        </r>
        <r>
          <rPr>
            <b/>
            <i/>
            <sz val="14"/>
            <color indexed="81"/>
            <rFont val="Tahoma"/>
            <family val="2"/>
          </rPr>
          <t>All ports must be valid SEA ports.</t>
        </r>
      </text>
    </comment>
    <comment ref="F65" authorId="2" shapeId="0" xr:uid="{00000000-0006-0000-1100-000021000000}">
      <text>
        <r>
          <rPr>
            <b/>
            <sz val="14"/>
            <color indexed="81"/>
            <rFont val="Tahoma"/>
            <family val="2"/>
          </rPr>
          <t>Indicate the mode of transportation between the arbitrary place of receipt and arbitrary POL.
CY modes can only be used when the mode of transportation is by Feeder.
Use of CY mode requires both the locations to be valid SEA ports.</t>
        </r>
      </text>
    </comment>
    <comment ref="G65" authorId="2" shapeId="0" xr:uid="{00000000-0006-0000-1100-000022000000}">
      <text>
        <r>
          <rPr>
            <b/>
            <sz val="14"/>
            <color indexed="81"/>
            <rFont val="Tahoma"/>
            <family val="2"/>
          </rPr>
          <t>Indicate whether or not door service is included in the arbitrary rate</t>
        </r>
      </text>
    </comment>
    <comment ref="H65" authorId="2" shapeId="0" xr:uid="{00000000-0006-0000-1100-000023000000}">
      <text>
        <r>
          <rPr>
            <b/>
            <sz val="14"/>
            <color indexed="81"/>
            <rFont val="Tahoma"/>
            <family val="2"/>
          </rPr>
          <t>Input the rate in this field when the same amount applies for all container sizes</t>
        </r>
      </text>
    </comment>
    <comment ref="N65" authorId="2" shapeId="0" xr:uid="{00000000-0006-0000-1100-000024000000}">
      <text>
        <r>
          <rPr>
            <b/>
            <sz val="14"/>
            <color indexed="81"/>
            <rFont val="Tahoma"/>
            <family val="2"/>
          </rPr>
          <t>Each Arbitrary applies only to FAK / Bullets as specifically listed in this field.</t>
        </r>
      </text>
    </comment>
    <comment ref="B80" authorId="2" shapeId="0" xr:uid="{00000000-0006-0000-1100-000025000000}">
      <text>
        <r>
          <rPr>
            <b/>
            <sz val="14"/>
            <color indexed="81"/>
            <rFont val="Tahoma"/>
            <family val="2"/>
          </rPr>
          <t>Place of Destination - may be an outport for feeder (CY) arbitraries or an inland destination
Format is:  City, State or ZIP Code</t>
        </r>
      </text>
    </comment>
    <comment ref="E80" authorId="2" shapeId="0" xr:uid="{00000000-0006-0000-1100-000026000000}">
      <text>
        <r>
          <rPr>
            <b/>
            <sz val="14"/>
            <color indexed="81"/>
            <rFont val="Tahoma"/>
            <family val="2"/>
          </rPr>
          <t xml:space="preserve">Please use only one port or a group of ports (Port groups must be defined in the Port Group Codes table).
Arbitrary construction can only occur with rate conditions which show these ports as the POD.
</t>
        </r>
        <r>
          <rPr>
            <b/>
            <i/>
            <sz val="14"/>
            <color indexed="81"/>
            <rFont val="Tahoma"/>
            <family val="2"/>
          </rPr>
          <t>All ports must be valid SEA ports.</t>
        </r>
      </text>
    </comment>
    <comment ref="F80" authorId="2" shapeId="0" xr:uid="{00000000-0006-0000-1100-000027000000}">
      <text>
        <r>
          <rPr>
            <b/>
            <sz val="14"/>
            <color indexed="81"/>
            <rFont val="Tahoma"/>
            <family val="2"/>
          </rPr>
          <t>Indicate the mode of transportation between the arbitrary POD and arbitrary place of delivery.
CY modes can only be used when the mode of transportation is by Feeder.
Use of CY mode requires both the locations to be valid SEA ports.</t>
        </r>
      </text>
    </comment>
    <comment ref="G80" authorId="2" shapeId="0" xr:uid="{00000000-0006-0000-1100-000028000000}">
      <text>
        <r>
          <rPr>
            <b/>
            <sz val="14"/>
            <color indexed="81"/>
            <rFont val="Tahoma"/>
            <family val="2"/>
          </rPr>
          <t>Indicate whether or not door service is included in the arbitrary rate</t>
        </r>
      </text>
    </comment>
    <comment ref="H80" authorId="2" shapeId="0" xr:uid="{00000000-0006-0000-1100-000029000000}">
      <text>
        <r>
          <rPr>
            <b/>
            <sz val="14"/>
            <color indexed="81"/>
            <rFont val="Tahoma"/>
            <family val="2"/>
          </rPr>
          <t>Input the rate in this field when the same amount applies for all container sizes</t>
        </r>
      </text>
    </comment>
    <comment ref="N80" authorId="2" shapeId="0" xr:uid="{00000000-0006-0000-1100-00002A000000}">
      <text>
        <r>
          <rPr>
            <b/>
            <sz val="14"/>
            <color indexed="81"/>
            <rFont val="Tahoma"/>
            <family val="2"/>
          </rPr>
          <t>Each Arbitrary applies only to FAK / Bullets as specifically listed in this field.</t>
        </r>
      </text>
    </comment>
    <comment ref="L90" authorId="2" shapeId="0" xr:uid="{00000000-0006-0000-1100-00002B000000}">
      <text>
        <r>
          <rPr>
            <b/>
            <sz val="14"/>
            <color indexed="81"/>
            <rFont val="Tahoma"/>
            <family val="2"/>
          </rPr>
          <t>Surcharge applicability mentioned on any row applies specifically to the individual port mentioned in this field.
If the Applicable Port field is blank, then the  surcharge applicability stated on that row applies to all ports.</t>
        </r>
      </text>
    </comment>
    <comment ref="A182" authorId="2" shapeId="0" xr:uid="{00000000-0006-0000-1100-00002C000000}">
      <text>
        <r>
          <rPr>
            <sz val="12"/>
            <color indexed="81"/>
            <rFont val="Tahoma"/>
            <family val="2"/>
          </rPr>
          <t>Select the bullet for which the exception applies.
If exception applies to all bullets, select "ALL".</t>
        </r>
      </text>
    </comment>
    <comment ref="B182" authorId="2" shapeId="0" xr:uid="{00000000-0006-0000-1100-00002D000000}">
      <text>
        <r>
          <rPr>
            <sz val="12"/>
            <color indexed="81"/>
            <rFont val="Tahoma"/>
            <family val="2"/>
          </rPr>
          <t xml:space="preserve">Specify if Free Time condition applies to Export or Import:
</t>
        </r>
        <r>
          <rPr>
            <b/>
            <sz val="12"/>
            <color indexed="81"/>
            <rFont val="Tahoma"/>
            <family val="2"/>
          </rPr>
          <t xml:space="preserve">E </t>
        </r>
        <r>
          <rPr>
            <sz val="12"/>
            <color indexed="81"/>
            <rFont val="Tahoma"/>
            <family val="2"/>
          </rPr>
          <t xml:space="preserve">(Export) = applies at origin
</t>
        </r>
        <r>
          <rPr>
            <b/>
            <sz val="12"/>
            <color indexed="81"/>
            <rFont val="Tahoma"/>
            <family val="2"/>
          </rPr>
          <t xml:space="preserve">I </t>
        </r>
        <r>
          <rPr>
            <sz val="12"/>
            <color indexed="81"/>
            <rFont val="Tahoma"/>
            <family val="2"/>
          </rPr>
          <t>(Import) = applies at destination</t>
        </r>
      </text>
    </comment>
    <comment ref="C182" authorId="2" shapeId="0" xr:uid="{00000000-0006-0000-1100-00002E000000}">
      <text>
        <r>
          <rPr>
            <sz val="12"/>
            <color indexed="81"/>
            <rFont val="Tahoma"/>
            <family val="2"/>
          </rPr>
          <t>Enter Type of Free Time:</t>
        </r>
        <r>
          <rPr>
            <u/>
            <sz val="12"/>
            <color indexed="81"/>
            <rFont val="Tahoma"/>
            <family val="2"/>
          </rPr>
          <t xml:space="preserve">
</t>
        </r>
        <r>
          <rPr>
            <sz val="12"/>
            <color indexed="81"/>
            <rFont val="Tahoma"/>
            <family val="2"/>
          </rPr>
          <t xml:space="preserve">
</t>
        </r>
        <r>
          <rPr>
            <b/>
            <sz val="12"/>
            <color indexed="81"/>
            <rFont val="Tahoma"/>
            <family val="2"/>
          </rPr>
          <t>Detention
Demurrage
Merged</t>
        </r>
      </text>
    </comment>
    <comment ref="F182" authorId="2" shapeId="0" xr:uid="{00000000-0006-0000-1100-00002F000000}">
      <text>
        <r>
          <rPr>
            <sz val="12"/>
            <color indexed="81"/>
            <rFont val="Tahoma"/>
            <family val="2"/>
          </rPr>
          <t xml:space="preserve">Specify Equipment Type (blank field indicates applicability to all Eq Types):
</t>
        </r>
        <r>
          <rPr>
            <b/>
            <sz val="12"/>
            <color indexed="81"/>
            <rFont val="Tahoma"/>
            <family val="2"/>
          </rPr>
          <t>D</t>
        </r>
        <r>
          <rPr>
            <sz val="12"/>
            <color indexed="81"/>
            <rFont val="Tahoma"/>
            <family val="2"/>
          </rPr>
          <t xml:space="preserve"> = Dry
</t>
        </r>
        <r>
          <rPr>
            <b/>
            <sz val="12"/>
            <color indexed="81"/>
            <rFont val="Tahoma"/>
            <family val="2"/>
          </rPr>
          <t>R</t>
        </r>
        <r>
          <rPr>
            <sz val="12"/>
            <color indexed="81"/>
            <rFont val="Tahoma"/>
            <family val="2"/>
          </rPr>
          <t xml:space="preserve"> = Reefer
</t>
        </r>
        <r>
          <rPr>
            <b/>
            <sz val="12"/>
            <color indexed="81"/>
            <rFont val="Tahoma"/>
            <family val="2"/>
          </rPr>
          <t>OT</t>
        </r>
        <r>
          <rPr>
            <sz val="12"/>
            <color indexed="81"/>
            <rFont val="Tahoma"/>
            <family val="2"/>
          </rPr>
          <t xml:space="preserve"> = Open Top
</t>
        </r>
        <r>
          <rPr>
            <b/>
            <sz val="12"/>
            <color indexed="81"/>
            <rFont val="Tahoma"/>
            <family val="2"/>
          </rPr>
          <t>FR</t>
        </r>
        <r>
          <rPr>
            <sz val="12"/>
            <color indexed="81"/>
            <rFont val="Tahoma"/>
            <family val="2"/>
          </rPr>
          <t xml:space="preserve"> = Flat Rack</t>
        </r>
      </text>
    </comment>
    <comment ref="G182" authorId="2" shapeId="0" xr:uid="{00000000-0006-0000-1100-000030000000}">
      <text>
        <r>
          <rPr>
            <sz val="12"/>
            <color indexed="81"/>
            <rFont val="Tahoma"/>
            <family val="2"/>
          </rPr>
          <t>Select "OR" from the drop down list if condition applies to Operating Reefers</t>
        </r>
      </text>
    </comment>
    <comment ref="H182" authorId="2" shapeId="0" xr:uid="{00000000-0006-0000-1100-000031000000}">
      <text>
        <r>
          <rPr>
            <sz val="12"/>
            <color indexed="81"/>
            <rFont val="Tahoma"/>
            <family val="2"/>
          </rPr>
          <t xml:space="preserve">Specify the Place of Receipt if necessary.  </t>
        </r>
        <r>
          <rPr>
            <u/>
            <sz val="12"/>
            <color indexed="81"/>
            <rFont val="Tahoma"/>
            <family val="2"/>
          </rPr>
          <t>Do not</t>
        </r>
        <r>
          <rPr>
            <sz val="12"/>
            <color indexed="81"/>
            <rFont val="Tahoma"/>
            <family val="2"/>
          </rPr>
          <t xml:space="preserve"> use "ALL".
Only 1 location may be entered per row.</t>
        </r>
      </text>
    </comment>
    <comment ref="I182" authorId="2" shapeId="0" xr:uid="{00000000-0006-0000-1100-000032000000}">
      <text>
        <r>
          <rPr>
            <sz val="12"/>
            <color indexed="81"/>
            <rFont val="Tahoma"/>
            <family val="2"/>
          </rPr>
          <t xml:space="preserve">Enter the POL if necessary.  </t>
        </r>
        <r>
          <rPr>
            <u/>
            <sz val="12"/>
            <color indexed="81"/>
            <rFont val="Tahoma"/>
            <family val="2"/>
          </rPr>
          <t>Do not</t>
        </r>
        <r>
          <rPr>
            <sz val="12"/>
            <color indexed="81"/>
            <rFont val="Tahoma"/>
            <family val="2"/>
          </rPr>
          <t xml:space="preserve"> use "ALL".
Only 1 location is allowed per row and must be a valid seaport.</t>
        </r>
      </text>
    </comment>
    <comment ref="J182" authorId="2" shapeId="0" xr:uid="{00000000-0006-0000-1100-000033000000}">
      <text>
        <r>
          <rPr>
            <sz val="12"/>
            <color indexed="81"/>
            <rFont val="Tahoma"/>
            <family val="2"/>
          </rPr>
          <t xml:space="preserve">Enter the POD if necessary.  </t>
        </r>
        <r>
          <rPr>
            <u/>
            <sz val="12"/>
            <color indexed="81"/>
            <rFont val="Tahoma"/>
            <family val="2"/>
          </rPr>
          <t>Do not</t>
        </r>
        <r>
          <rPr>
            <sz val="12"/>
            <color indexed="81"/>
            <rFont val="Tahoma"/>
            <family val="2"/>
          </rPr>
          <t xml:space="preserve"> use "ALL".
Only 1 location is allowed per row and must be a valid seaport.</t>
        </r>
      </text>
    </comment>
    <comment ref="K182" authorId="2" shapeId="0" xr:uid="{00000000-0006-0000-1100-000034000000}">
      <text>
        <r>
          <rPr>
            <sz val="12"/>
            <color indexed="81"/>
            <rFont val="Tahoma"/>
            <family val="2"/>
          </rPr>
          <t xml:space="preserve">Specify the Place of Delivery if necessary.  </t>
        </r>
        <r>
          <rPr>
            <u/>
            <sz val="12"/>
            <color indexed="81"/>
            <rFont val="Tahoma"/>
            <family val="2"/>
          </rPr>
          <t>Do not</t>
        </r>
        <r>
          <rPr>
            <sz val="12"/>
            <color indexed="81"/>
            <rFont val="Tahoma"/>
            <family val="2"/>
          </rPr>
          <t xml:space="preserve"> use "ALL".
Only 1 location may be entered per row.</t>
        </r>
      </text>
    </comment>
    <comment ref="L182" authorId="3" shapeId="0" xr:uid="{712109BE-A5E7-471F-9E26-96FAA97C5257}">
      <text>
        <r>
          <rPr>
            <sz val="12"/>
            <color indexed="81"/>
            <rFont val="Tahoma"/>
            <family val="2"/>
          </rPr>
          <t xml:space="preserve">Enter the Country Code ONLY.  </t>
        </r>
        <r>
          <rPr>
            <u/>
            <sz val="12"/>
            <color indexed="81"/>
            <rFont val="Tahoma"/>
            <family val="2"/>
          </rPr>
          <t>Cannot</t>
        </r>
        <r>
          <rPr>
            <sz val="12"/>
            <color indexed="81"/>
            <rFont val="Tahoma"/>
            <family val="2"/>
          </rPr>
          <t xml:space="preserve"> use "ALL" or country name</t>
        </r>
      </text>
    </comment>
    <comment ref="M182" authorId="2" shapeId="0" xr:uid="{00000000-0006-0000-1100-000035000000}">
      <text>
        <r>
          <rPr>
            <sz val="12"/>
            <color indexed="81"/>
            <rFont val="Tahoma"/>
            <family val="2"/>
          </rPr>
          <t xml:space="preserve">Enter additional notes only when absolutely necessary.  
</t>
        </r>
        <r>
          <rPr>
            <u/>
            <sz val="12"/>
            <color indexed="81"/>
            <rFont val="Tahoma"/>
            <family val="2"/>
          </rPr>
          <t>IMPORTANT</t>
        </r>
        <r>
          <rPr>
            <sz val="12"/>
            <color indexed="81"/>
            <rFont val="Tahoma"/>
            <family val="2"/>
          </rPr>
          <t xml:space="preserve">:  Named accounts and specific commodities </t>
        </r>
        <r>
          <rPr>
            <b/>
            <u/>
            <sz val="12"/>
            <color indexed="81"/>
            <rFont val="Tahoma"/>
            <family val="2"/>
          </rPr>
          <t>may not</t>
        </r>
        <r>
          <rPr>
            <sz val="12"/>
            <color indexed="81"/>
            <rFont val="Tahoma"/>
            <family val="2"/>
          </rPr>
          <t xml:space="preserve"> be listed as Notes.</t>
        </r>
      </text>
    </comment>
    <comment ref="A195" authorId="2" shapeId="0" xr:uid="{731AF19E-CCE8-461E-8FD1-54D0D1C5841C}">
      <text>
        <r>
          <rPr>
            <sz val="12"/>
            <color indexed="81"/>
            <rFont val="Tahoma"/>
            <family val="2"/>
          </rPr>
          <t>Select the bullet for which the exception applies.
If exception applies to all bullets, select "ALL".</t>
        </r>
      </text>
    </comment>
    <comment ref="B195" authorId="2" shapeId="0" xr:uid="{C763E1FB-37F9-449A-ACAC-9A6B614F4E02}">
      <text>
        <r>
          <rPr>
            <sz val="12"/>
            <color indexed="81"/>
            <rFont val="Tahoma"/>
            <family val="2"/>
          </rPr>
          <t xml:space="preserve">Specify if Free Time condition applies to Export or Import:
</t>
        </r>
        <r>
          <rPr>
            <b/>
            <sz val="12"/>
            <color indexed="81"/>
            <rFont val="Tahoma"/>
            <family val="2"/>
          </rPr>
          <t xml:space="preserve">E </t>
        </r>
        <r>
          <rPr>
            <sz val="12"/>
            <color indexed="81"/>
            <rFont val="Tahoma"/>
            <family val="2"/>
          </rPr>
          <t xml:space="preserve">(Export) = applies at origin
</t>
        </r>
        <r>
          <rPr>
            <b/>
            <sz val="12"/>
            <color indexed="81"/>
            <rFont val="Tahoma"/>
            <family val="2"/>
          </rPr>
          <t xml:space="preserve">I </t>
        </r>
        <r>
          <rPr>
            <sz val="12"/>
            <color indexed="81"/>
            <rFont val="Tahoma"/>
            <family val="2"/>
          </rPr>
          <t>(Import) = applies at destination</t>
        </r>
      </text>
    </comment>
    <comment ref="C195" authorId="2" shapeId="0" xr:uid="{71DC5135-399E-4DD5-A21C-D46692B55BEC}">
      <text>
        <r>
          <rPr>
            <sz val="12"/>
            <color indexed="81"/>
            <rFont val="Tahoma"/>
            <family val="2"/>
          </rPr>
          <t>Enter Type of Free Time:</t>
        </r>
        <r>
          <rPr>
            <u/>
            <sz val="12"/>
            <color indexed="81"/>
            <rFont val="Tahoma"/>
            <family val="2"/>
          </rPr>
          <t xml:space="preserve">
</t>
        </r>
        <r>
          <rPr>
            <sz val="12"/>
            <color indexed="81"/>
            <rFont val="Tahoma"/>
            <family val="2"/>
          </rPr>
          <t xml:space="preserve">
</t>
        </r>
        <r>
          <rPr>
            <b/>
            <sz val="12"/>
            <color indexed="81"/>
            <rFont val="Tahoma"/>
            <family val="2"/>
          </rPr>
          <t>Detention
Demurrage
Merged</t>
        </r>
      </text>
    </comment>
    <comment ref="F195" authorId="2" shapeId="0" xr:uid="{16C83A46-4CE3-4213-BA82-1CBA8D247AC3}">
      <text>
        <r>
          <rPr>
            <sz val="12"/>
            <color indexed="81"/>
            <rFont val="Tahoma"/>
            <family val="2"/>
          </rPr>
          <t>If any exceptional charges are offered, then the currency is required to be shown.</t>
        </r>
      </text>
    </comment>
    <comment ref="W195" authorId="2" shapeId="0" xr:uid="{01DC72F7-3F91-48A3-B0D6-0299F31434E3}">
      <text>
        <r>
          <rPr>
            <sz val="12"/>
            <color indexed="81"/>
            <rFont val="Tahoma"/>
            <family val="2"/>
          </rPr>
          <t xml:space="preserve">Specify Equipment Type (blank field indicates applicability to all Eq Types):
</t>
        </r>
        <r>
          <rPr>
            <b/>
            <sz val="12"/>
            <color indexed="81"/>
            <rFont val="Tahoma"/>
            <family val="2"/>
          </rPr>
          <t>D</t>
        </r>
        <r>
          <rPr>
            <sz val="12"/>
            <color indexed="81"/>
            <rFont val="Tahoma"/>
            <family val="2"/>
          </rPr>
          <t xml:space="preserve"> = Dry
</t>
        </r>
        <r>
          <rPr>
            <b/>
            <sz val="12"/>
            <color indexed="81"/>
            <rFont val="Tahoma"/>
            <family val="2"/>
          </rPr>
          <t>R</t>
        </r>
        <r>
          <rPr>
            <sz val="12"/>
            <color indexed="81"/>
            <rFont val="Tahoma"/>
            <family val="2"/>
          </rPr>
          <t xml:space="preserve"> = Reefer
</t>
        </r>
        <r>
          <rPr>
            <b/>
            <sz val="12"/>
            <color indexed="81"/>
            <rFont val="Tahoma"/>
            <family val="2"/>
          </rPr>
          <t>OT</t>
        </r>
        <r>
          <rPr>
            <sz val="12"/>
            <color indexed="81"/>
            <rFont val="Tahoma"/>
            <family val="2"/>
          </rPr>
          <t xml:space="preserve"> = Open Top
</t>
        </r>
        <r>
          <rPr>
            <b/>
            <sz val="12"/>
            <color indexed="81"/>
            <rFont val="Tahoma"/>
            <family val="2"/>
          </rPr>
          <t>FR</t>
        </r>
        <r>
          <rPr>
            <sz val="12"/>
            <color indexed="81"/>
            <rFont val="Tahoma"/>
            <family val="2"/>
          </rPr>
          <t xml:space="preserve"> = Flat Rack</t>
        </r>
      </text>
    </comment>
    <comment ref="X195" authorId="2" shapeId="0" xr:uid="{DDD5D5F4-96F0-4C66-9B28-01BEA4B766D0}">
      <text>
        <r>
          <rPr>
            <sz val="12"/>
            <color indexed="81"/>
            <rFont val="Tahoma"/>
            <family val="2"/>
          </rPr>
          <t>Select "OR" from the drop down list if condition applies to Operating Reefers</t>
        </r>
      </text>
    </comment>
    <comment ref="Y195" authorId="2" shapeId="0" xr:uid="{1F6C712A-6AA3-44D1-83FF-8C86391344F2}">
      <text>
        <r>
          <rPr>
            <sz val="12"/>
            <color indexed="81"/>
            <rFont val="Tahoma"/>
            <family val="2"/>
          </rPr>
          <t xml:space="preserve">Specify the Place of Receipt if necessary.  </t>
        </r>
        <r>
          <rPr>
            <u/>
            <sz val="12"/>
            <color indexed="81"/>
            <rFont val="Tahoma"/>
            <family val="2"/>
          </rPr>
          <t>Do not</t>
        </r>
        <r>
          <rPr>
            <sz val="12"/>
            <color indexed="81"/>
            <rFont val="Tahoma"/>
            <family val="2"/>
          </rPr>
          <t xml:space="preserve"> use "ALL".
Only 1 location may be entered per row.</t>
        </r>
      </text>
    </comment>
    <comment ref="Z195" authorId="2" shapeId="0" xr:uid="{4F221CE7-AEFE-4C43-A586-547BA3DA5514}">
      <text>
        <r>
          <rPr>
            <sz val="12"/>
            <color indexed="81"/>
            <rFont val="Tahoma"/>
            <family val="2"/>
          </rPr>
          <t xml:space="preserve">Enter the POL if necessary.  </t>
        </r>
        <r>
          <rPr>
            <u/>
            <sz val="12"/>
            <color indexed="81"/>
            <rFont val="Tahoma"/>
            <family val="2"/>
          </rPr>
          <t>Do not</t>
        </r>
        <r>
          <rPr>
            <sz val="12"/>
            <color indexed="81"/>
            <rFont val="Tahoma"/>
            <family val="2"/>
          </rPr>
          <t xml:space="preserve"> use "ALL".
Only 1 location is allowed per row and must be a valid seaport.</t>
        </r>
      </text>
    </comment>
    <comment ref="AA195" authorId="2" shapeId="0" xr:uid="{8AFE5B06-77F5-4C22-BA4D-BC888E8D445E}">
      <text>
        <r>
          <rPr>
            <sz val="12"/>
            <color indexed="81"/>
            <rFont val="Tahoma"/>
            <family val="2"/>
          </rPr>
          <t xml:space="preserve">Enter the POD if necessary.  </t>
        </r>
        <r>
          <rPr>
            <u/>
            <sz val="12"/>
            <color indexed="81"/>
            <rFont val="Tahoma"/>
            <family val="2"/>
          </rPr>
          <t>Do not</t>
        </r>
        <r>
          <rPr>
            <sz val="12"/>
            <color indexed="81"/>
            <rFont val="Tahoma"/>
            <family val="2"/>
          </rPr>
          <t xml:space="preserve"> use "ALL".
Only 1 location is allowed per row and must be a valid seaport.</t>
        </r>
      </text>
    </comment>
    <comment ref="AB195" authorId="2" shapeId="0" xr:uid="{50A4F74B-CA51-4784-A039-52A2FBCEC4C8}">
      <text>
        <r>
          <rPr>
            <sz val="12"/>
            <color indexed="81"/>
            <rFont val="Tahoma"/>
            <family val="2"/>
          </rPr>
          <t xml:space="preserve">Specify the Place of Delivery if necessary.  </t>
        </r>
        <r>
          <rPr>
            <u/>
            <sz val="12"/>
            <color indexed="81"/>
            <rFont val="Tahoma"/>
            <family val="2"/>
          </rPr>
          <t>Do not</t>
        </r>
        <r>
          <rPr>
            <sz val="12"/>
            <color indexed="81"/>
            <rFont val="Tahoma"/>
            <family val="2"/>
          </rPr>
          <t xml:space="preserve"> use "ALL".
Only 1 location may be entered per row.</t>
        </r>
      </text>
    </comment>
    <comment ref="AC195" authorId="3" shapeId="0" xr:uid="{5506B3BC-3CB6-4DEE-9AAE-E664E939807D}">
      <text>
        <r>
          <rPr>
            <sz val="12"/>
            <color indexed="81"/>
            <rFont val="Tahoma"/>
            <family val="2"/>
          </rPr>
          <t xml:space="preserve">Enter the Country Code ONLY.  </t>
        </r>
        <r>
          <rPr>
            <u/>
            <sz val="12"/>
            <color indexed="81"/>
            <rFont val="Tahoma"/>
            <family val="2"/>
          </rPr>
          <t>Cannot</t>
        </r>
        <r>
          <rPr>
            <sz val="12"/>
            <color indexed="81"/>
            <rFont val="Tahoma"/>
            <family val="2"/>
          </rPr>
          <t xml:space="preserve"> use "ALL" or country name</t>
        </r>
      </text>
    </comment>
    <comment ref="AD195" authorId="2" shapeId="0" xr:uid="{99C4569F-F5F6-40CD-AAF6-435D4C703101}">
      <text>
        <r>
          <rPr>
            <sz val="12"/>
            <color indexed="81"/>
            <rFont val="Tahoma"/>
            <family val="2"/>
          </rPr>
          <t xml:space="preserve">Enter additional notes only when absolutely necessary.  
</t>
        </r>
        <r>
          <rPr>
            <u/>
            <sz val="12"/>
            <color indexed="81"/>
            <rFont val="Tahoma"/>
            <family val="2"/>
          </rPr>
          <t>IMPORTANT</t>
        </r>
        <r>
          <rPr>
            <sz val="12"/>
            <color indexed="81"/>
            <rFont val="Tahoma"/>
            <family val="2"/>
          </rPr>
          <t xml:space="preserve">:  Named accounts and specific commodities </t>
        </r>
        <r>
          <rPr>
            <b/>
            <u/>
            <sz val="12"/>
            <color indexed="81"/>
            <rFont val="Tahoma"/>
            <family val="2"/>
          </rPr>
          <t>may not</t>
        </r>
        <r>
          <rPr>
            <sz val="12"/>
            <color indexed="81"/>
            <rFont val="Tahoma"/>
            <family val="2"/>
          </rPr>
          <t xml:space="preserve"> be listed as Notes.</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ext.obouge</author>
    <author>William MALLOL</author>
    <author>usa.gewan</author>
    <author>GENDER Charlie - NOR</author>
  </authors>
  <commentList>
    <comment ref="B13" authorId="0" shapeId="0" xr:uid="{00000000-0006-0000-1200-000001000000}">
      <text>
        <r>
          <rPr>
            <b/>
            <sz val="12"/>
            <color indexed="81"/>
            <rFont val="Tahoma"/>
            <family val="2"/>
          </rPr>
          <t>Please use comma to separate commodities.</t>
        </r>
      </text>
    </comment>
    <comment ref="A20" authorId="1" shapeId="0" xr:uid="{00000000-0006-0000-1200-000002000000}">
      <text>
        <r>
          <rPr>
            <b/>
            <sz val="14"/>
            <color indexed="81"/>
            <rFont val="Tahoma"/>
            <family val="2"/>
          </rPr>
          <t>Port Group Codes can be used to group any two or more valid seaports that are common rated.
Port Group Codes cannot be used for inland locations.</t>
        </r>
      </text>
    </comment>
    <comment ref="B20" authorId="0" shapeId="0" xr:uid="{00000000-0006-0000-1200-000003000000}">
      <text>
        <r>
          <rPr>
            <b/>
            <sz val="14"/>
            <color indexed="81"/>
            <rFont val="Tahoma"/>
            <family val="2"/>
          </rPr>
          <t>Please use comma to separate ports.
Only valid sea ports may be included.</t>
        </r>
      </text>
    </comment>
    <comment ref="A30" authorId="1" shapeId="0" xr:uid="{00000000-0006-0000-1200-000004000000}">
      <text>
        <r>
          <rPr>
            <b/>
            <sz val="14"/>
            <color indexed="81"/>
            <rFont val="Tahoma"/>
            <family val="2"/>
          </rPr>
          <t>Please use FAK/ Bullets defined above.</t>
        </r>
      </text>
    </comment>
    <comment ref="B30" authorId="1" shapeId="0" xr:uid="{00000000-0006-0000-1200-000005000000}">
      <text>
        <r>
          <rPr>
            <b/>
            <sz val="14"/>
            <color indexed="81"/>
            <rFont val="Tahoma"/>
            <family val="2"/>
          </rPr>
          <t>City, State / ZIP Code</t>
        </r>
      </text>
    </comment>
    <comment ref="C30" authorId="1" shapeId="0" xr:uid="{00000000-0006-0000-1200-000006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D30" authorId="1" shapeId="0" xr:uid="{00000000-0006-0000-1200-000007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E30" authorId="1" shapeId="0" xr:uid="{00000000-0006-0000-1200-000008000000}">
      <text>
        <r>
          <rPr>
            <b/>
            <sz val="14"/>
            <color indexed="81"/>
            <rFont val="Tahoma"/>
            <family val="2"/>
          </rPr>
          <t>City, State / ZIP Code</t>
        </r>
      </text>
    </comment>
    <comment ref="F30" authorId="2" shapeId="0" xr:uid="{00000000-0006-0000-1200-000009000000}">
      <text>
        <r>
          <rPr>
            <b/>
            <sz val="14"/>
            <color indexed="81"/>
            <rFont val="Tahoma"/>
            <family val="2"/>
          </rPr>
          <t>Indicate the mode of transportation at origin and destination.
Mode cannot begin with CY if there is a location listed as place of receipt.
Mode cannot end with CY if there is a location is listed as place of delivery</t>
        </r>
      </text>
    </comment>
    <comment ref="G30" authorId="2" shapeId="0" xr:uid="{00000000-0006-0000-1200-00000A000000}">
      <text>
        <r>
          <rPr>
            <b/>
            <sz val="14"/>
            <color indexed="81"/>
            <rFont val="Tahoma"/>
            <family val="2"/>
          </rPr>
          <t>Indicate whether or not door service is included at origin and destination</t>
        </r>
      </text>
    </comment>
    <comment ref="M30" authorId="2" shapeId="0" xr:uid="{00000000-0006-0000-1200-00000B000000}">
      <text>
        <r>
          <rPr>
            <b/>
            <sz val="14"/>
            <color indexed="81"/>
            <rFont val="Tahoma"/>
            <family val="2"/>
          </rPr>
          <t>Use these columns for exceptions to surcharge applicability in note 2</t>
        </r>
      </text>
    </comment>
    <comment ref="AA30" authorId="2" shapeId="0" xr:uid="{00000000-0006-0000-1200-00000C000000}">
      <text>
        <r>
          <rPr>
            <b/>
            <sz val="14"/>
            <color indexed="81"/>
            <rFont val="Tahoma"/>
            <family val="2"/>
          </rPr>
          <t>This field controls construction using Arbitraries and Inland Tariffs
Y = allowed in US, N = not allowed in US, 
E = allowed at origin, I = allowed at destination,
B = allowed at both origin and destination
X = not allowed at either origin or destination</t>
        </r>
      </text>
    </comment>
    <comment ref="A39" authorId="1" shapeId="0" xr:uid="{00000000-0006-0000-1200-00000D000000}">
      <text>
        <r>
          <rPr>
            <b/>
            <sz val="14"/>
            <color indexed="81"/>
            <rFont val="Tahoma"/>
            <family val="2"/>
          </rPr>
          <t>Please use FAK/ Bullets defined above.</t>
        </r>
      </text>
    </comment>
    <comment ref="B39" authorId="1" shapeId="0" xr:uid="{00000000-0006-0000-1200-00000E000000}">
      <text>
        <r>
          <rPr>
            <b/>
            <sz val="14"/>
            <color indexed="81"/>
            <rFont val="Tahoma"/>
            <family val="2"/>
          </rPr>
          <t>City, State / ZIP Code</t>
        </r>
      </text>
    </comment>
    <comment ref="C39" authorId="1" shapeId="0" xr:uid="{00000000-0006-0000-1200-00000F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D39" authorId="1" shapeId="0" xr:uid="{00000000-0006-0000-1200-000010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E39" authorId="1" shapeId="0" xr:uid="{00000000-0006-0000-1200-000011000000}">
      <text>
        <r>
          <rPr>
            <b/>
            <sz val="14"/>
            <color indexed="81"/>
            <rFont val="Tahoma"/>
            <family val="2"/>
          </rPr>
          <t>City, State / ZIP Code</t>
        </r>
      </text>
    </comment>
    <comment ref="F39" authorId="2" shapeId="0" xr:uid="{00000000-0006-0000-1200-000012000000}">
      <text>
        <r>
          <rPr>
            <b/>
            <sz val="14"/>
            <color indexed="81"/>
            <rFont val="Tahoma"/>
            <family val="2"/>
          </rPr>
          <t>Indicate the mode of transportation at origin and destination.
Mode cannot begin with CY if there is a location listed as place of receipt.
Mode cannot end with CY if there is a location is listed as place of delivery</t>
        </r>
      </text>
    </comment>
    <comment ref="G39" authorId="2" shapeId="0" xr:uid="{00000000-0006-0000-1200-000013000000}">
      <text>
        <r>
          <rPr>
            <b/>
            <sz val="14"/>
            <color indexed="81"/>
            <rFont val="Tahoma"/>
            <family val="2"/>
          </rPr>
          <t>Indicate whether or not door service is included at origin and destination</t>
        </r>
      </text>
    </comment>
    <comment ref="O39" authorId="2" shapeId="0" xr:uid="{00000000-0006-0000-1200-000014000000}">
      <text>
        <r>
          <rPr>
            <b/>
            <sz val="14"/>
            <color indexed="81"/>
            <rFont val="Tahoma"/>
            <family val="2"/>
          </rPr>
          <t>Use these columns for exceptions to surcharge applicability in note 2</t>
        </r>
      </text>
    </comment>
    <comment ref="AA39" authorId="2" shapeId="0" xr:uid="{00000000-0006-0000-1200-000015000000}">
      <text>
        <r>
          <rPr>
            <b/>
            <sz val="14"/>
            <color indexed="81"/>
            <rFont val="Tahoma"/>
            <family val="2"/>
          </rPr>
          <t>This field controls construction using Arbitraries and Inland Tariffs
Y = allowed in US, N = not allowed in US, 
E = allowed at origin, I = allowed at destination,
B = allowed at both origin and destination
X = not allowed at either origin or destination</t>
        </r>
      </text>
    </comment>
    <comment ref="A48" authorId="1" shapeId="0" xr:uid="{00000000-0006-0000-1200-000016000000}">
      <text>
        <r>
          <rPr>
            <b/>
            <sz val="14"/>
            <color indexed="81"/>
            <rFont val="Tahoma"/>
            <family val="2"/>
          </rPr>
          <t>Please use FAK/ Bullets defined above.</t>
        </r>
      </text>
    </comment>
    <comment ref="B48" authorId="1" shapeId="0" xr:uid="{00000000-0006-0000-1200-000017000000}">
      <text>
        <r>
          <rPr>
            <b/>
            <sz val="14"/>
            <color indexed="81"/>
            <rFont val="Tahoma"/>
            <family val="2"/>
          </rPr>
          <t>City, State / ZIP Code</t>
        </r>
      </text>
    </comment>
    <comment ref="C48" authorId="1" shapeId="0" xr:uid="{00000000-0006-0000-1200-000018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D48" authorId="1" shapeId="0" xr:uid="{00000000-0006-0000-1200-000019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E48" authorId="1" shapeId="0" xr:uid="{00000000-0006-0000-1200-00001A000000}">
      <text>
        <r>
          <rPr>
            <b/>
            <sz val="14"/>
            <color indexed="81"/>
            <rFont val="Tahoma"/>
            <family val="2"/>
          </rPr>
          <t>City, State / ZIP Code</t>
        </r>
      </text>
    </comment>
    <comment ref="F48" authorId="2" shapeId="0" xr:uid="{00000000-0006-0000-1200-00001B000000}">
      <text>
        <r>
          <rPr>
            <b/>
            <sz val="14"/>
            <color indexed="81"/>
            <rFont val="Tahoma"/>
            <family val="2"/>
          </rPr>
          <t>Indicate the mode of transportation at origin and destination.
Mode cannot begin with CY if there is a location listed as place of receipt.
Mode cannot end with CY if there is a location is listed as place of delivery</t>
        </r>
      </text>
    </comment>
    <comment ref="G48" authorId="2" shapeId="0" xr:uid="{00000000-0006-0000-1200-00001C000000}">
      <text>
        <r>
          <rPr>
            <b/>
            <sz val="14"/>
            <color indexed="81"/>
            <rFont val="Tahoma"/>
            <family val="2"/>
          </rPr>
          <t>Indicate whether or not door service is included at origin and destination</t>
        </r>
      </text>
    </comment>
    <comment ref="Q48" authorId="2" shapeId="0" xr:uid="{00000000-0006-0000-1200-00001D000000}">
      <text>
        <r>
          <rPr>
            <b/>
            <sz val="14"/>
            <color indexed="81"/>
            <rFont val="Tahoma"/>
            <family val="2"/>
          </rPr>
          <t>Use these columns for exceptions to surcharge applicability in note 2</t>
        </r>
      </text>
    </comment>
    <comment ref="AC48" authorId="2" shapeId="0" xr:uid="{00000000-0006-0000-1200-00001E000000}">
      <text>
        <r>
          <rPr>
            <b/>
            <sz val="14"/>
            <color indexed="81"/>
            <rFont val="Tahoma"/>
            <family val="2"/>
          </rPr>
          <t>This field controls construction using Arbitraries and Inland Tariffs
Y = allowed in US, N = not allowed in US, 
E = allowed at origin, I = allowed at destination,
B = allowed at both origin and destination
X = not allowed at either origin or destination</t>
        </r>
      </text>
    </comment>
    <comment ref="B65" authorId="2" shapeId="0" xr:uid="{00000000-0006-0000-1200-00001F000000}">
      <text>
        <r>
          <rPr>
            <b/>
            <sz val="14"/>
            <color indexed="81"/>
            <rFont val="Tahoma"/>
            <family val="2"/>
          </rPr>
          <t>Place of Origin - may be an outport for feeder (CY) arbitraries or an inland origin
Format is:  City, State or ZIP Code</t>
        </r>
      </text>
    </comment>
    <comment ref="E65" authorId="2" shapeId="0" xr:uid="{00000000-0006-0000-1200-000020000000}">
      <text>
        <r>
          <rPr>
            <b/>
            <sz val="14"/>
            <color indexed="81"/>
            <rFont val="Tahoma"/>
            <family val="2"/>
          </rPr>
          <t xml:space="preserve">Please use only one port or a group of ports (Port groups must be defined in the Port Group Codes table).
Arbitrary construction can only occur with rate conditions which show these ports as the POL.
</t>
        </r>
        <r>
          <rPr>
            <b/>
            <i/>
            <sz val="14"/>
            <color indexed="81"/>
            <rFont val="Tahoma"/>
            <family val="2"/>
          </rPr>
          <t>All ports must be valid SEA ports.</t>
        </r>
      </text>
    </comment>
    <comment ref="F65" authorId="2" shapeId="0" xr:uid="{00000000-0006-0000-1200-000021000000}">
      <text>
        <r>
          <rPr>
            <b/>
            <sz val="14"/>
            <color indexed="81"/>
            <rFont val="Tahoma"/>
            <family val="2"/>
          </rPr>
          <t>Indicate the mode of transportation between the arbitrary place of receipt and arbitrary POL.
CY modes can only be used when the mode of transportation is by Feeder.
Use of CY mode requires both the locations to be valid SEA ports.</t>
        </r>
      </text>
    </comment>
    <comment ref="G65" authorId="2" shapeId="0" xr:uid="{00000000-0006-0000-1200-000022000000}">
      <text>
        <r>
          <rPr>
            <b/>
            <sz val="14"/>
            <color indexed="81"/>
            <rFont val="Tahoma"/>
            <family val="2"/>
          </rPr>
          <t>Indicate whether or not door service is included in the arbitrary rate</t>
        </r>
      </text>
    </comment>
    <comment ref="H65" authorId="2" shapeId="0" xr:uid="{00000000-0006-0000-1200-000023000000}">
      <text>
        <r>
          <rPr>
            <b/>
            <sz val="14"/>
            <color indexed="81"/>
            <rFont val="Tahoma"/>
            <family val="2"/>
          </rPr>
          <t>Input the rate in this field when the same amount applies for all container sizes</t>
        </r>
      </text>
    </comment>
    <comment ref="N65" authorId="2" shapeId="0" xr:uid="{00000000-0006-0000-1200-000024000000}">
      <text>
        <r>
          <rPr>
            <b/>
            <sz val="14"/>
            <color indexed="81"/>
            <rFont val="Tahoma"/>
            <family val="2"/>
          </rPr>
          <t>Each Arbitrary applies only to FAK / Bullets as specifically listed in this field.</t>
        </r>
      </text>
    </comment>
    <comment ref="B80" authorId="2" shapeId="0" xr:uid="{00000000-0006-0000-1200-000025000000}">
      <text>
        <r>
          <rPr>
            <b/>
            <sz val="14"/>
            <color indexed="81"/>
            <rFont val="Tahoma"/>
            <family val="2"/>
          </rPr>
          <t>Place of Destination - may be an outport for feeder (CY) arbitraries or an inland destination
Format is:  City, State or ZIP Code</t>
        </r>
      </text>
    </comment>
    <comment ref="E80" authorId="2" shapeId="0" xr:uid="{00000000-0006-0000-1200-000026000000}">
      <text>
        <r>
          <rPr>
            <b/>
            <sz val="14"/>
            <color indexed="81"/>
            <rFont val="Tahoma"/>
            <family val="2"/>
          </rPr>
          <t xml:space="preserve">Please use only one port or a group of ports (Port groups must be defined in the Port Group Codes table).
Arbitrary construction can only occur with rate conditions which show these ports as the POD.
</t>
        </r>
        <r>
          <rPr>
            <b/>
            <i/>
            <sz val="14"/>
            <color indexed="81"/>
            <rFont val="Tahoma"/>
            <family val="2"/>
          </rPr>
          <t>All ports must be valid SEA ports.</t>
        </r>
      </text>
    </comment>
    <comment ref="F80" authorId="2" shapeId="0" xr:uid="{00000000-0006-0000-1200-000027000000}">
      <text>
        <r>
          <rPr>
            <b/>
            <sz val="14"/>
            <color indexed="81"/>
            <rFont val="Tahoma"/>
            <family val="2"/>
          </rPr>
          <t>Indicate the mode of transportation between the arbitrary POD and arbitrary place of delivery.
CY modes can only be used when the mode of transportation is by Feeder.
Use of CY mode requires both the locations to be valid SEA ports.</t>
        </r>
      </text>
    </comment>
    <comment ref="G80" authorId="2" shapeId="0" xr:uid="{00000000-0006-0000-1200-000028000000}">
      <text>
        <r>
          <rPr>
            <b/>
            <sz val="14"/>
            <color indexed="81"/>
            <rFont val="Tahoma"/>
            <family val="2"/>
          </rPr>
          <t>Indicate whether or not door service is included in the arbitrary rate</t>
        </r>
      </text>
    </comment>
    <comment ref="H80" authorId="2" shapeId="0" xr:uid="{00000000-0006-0000-1200-000029000000}">
      <text>
        <r>
          <rPr>
            <b/>
            <sz val="14"/>
            <color indexed="81"/>
            <rFont val="Tahoma"/>
            <family val="2"/>
          </rPr>
          <t>Input the rate in this field when the same amount applies for all container sizes</t>
        </r>
      </text>
    </comment>
    <comment ref="N80" authorId="2" shapeId="0" xr:uid="{00000000-0006-0000-1200-00002A000000}">
      <text>
        <r>
          <rPr>
            <b/>
            <sz val="14"/>
            <color indexed="81"/>
            <rFont val="Tahoma"/>
            <family val="2"/>
          </rPr>
          <t>Each Arbitrary applies only to FAK / Bullets as specifically listed in this field.</t>
        </r>
      </text>
    </comment>
    <comment ref="L90" authorId="2" shapeId="0" xr:uid="{00000000-0006-0000-1200-00002B000000}">
      <text>
        <r>
          <rPr>
            <b/>
            <sz val="14"/>
            <color indexed="81"/>
            <rFont val="Tahoma"/>
            <family val="2"/>
          </rPr>
          <t>Surcharge applicability mentioned on any row applies specifically to the individual port mentioned in this field.
If the Applicable Port field is blank, then the  surcharge applicability stated on that row applies to all ports.</t>
        </r>
      </text>
    </comment>
    <comment ref="A174" authorId="2" shapeId="0" xr:uid="{00000000-0006-0000-1200-00002C000000}">
      <text>
        <r>
          <rPr>
            <sz val="12"/>
            <color indexed="81"/>
            <rFont val="Tahoma"/>
            <family val="2"/>
          </rPr>
          <t>Select the bullet for which the exception applies.
If exception applies to all bullets, select "ALL".</t>
        </r>
      </text>
    </comment>
    <comment ref="B174" authorId="2" shapeId="0" xr:uid="{00000000-0006-0000-1200-00002D000000}">
      <text>
        <r>
          <rPr>
            <sz val="12"/>
            <color indexed="81"/>
            <rFont val="Tahoma"/>
            <family val="2"/>
          </rPr>
          <t xml:space="preserve">Specify if Free Time condition applies to Export or Import:
</t>
        </r>
        <r>
          <rPr>
            <b/>
            <sz val="12"/>
            <color indexed="81"/>
            <rFont val="Tahoma"/>
            <family val="2"/>
          </rPr>
          <t xml:space="preserve">E </t>
        </r>
        <r>
          <rPr>
            <sz val="12"/>
            <color indexed="81"/>
            <rFont val="Tahoma"/>
            <family val="2"/>
          </rPr>
          <t xml:space="preserve">(Export) = applies at origin
</t>
        </r>
        <r>
          <rPr>
            <b/>
            <sz val="12"/>
            <color indexed="81"/>
            <rFont val="Tahoma"/>
            <family val="2"/>
          </rPr>
          <t xml:space="preserve">I </t>
        </r>
        <r>
          <rPr>
            <sz val="12"/>
            <color indexed="81"/>
            <rFont val="Tahoma"/>
            <family val="2"/>
          </rPr>
          <t>(Import) = applies at destination</t>
        </r>
      </text>
    </comment>
    <comment ref="C174" authorId="2" shapeId="0" xr:uid="{00000000-0006-0000-1200-00002E000000}">
      <text>
        <r>
          <rPr>
            <sz val="12"/>
            <color indexed="81"/>
            <rFont val="Tahoma"/>
            <family val="2"/>
          </rPr>
          <t>Enter Type of Free Time:</t>
        </r>
        <r>
          <rPr>
            <u/>
            <sz val="12"/>
            <color indexed="81"/>
            <rFont val="Tahoma"/>
            <family val="2"/>
          </rPr>
          <t xml:space="preserve">
</t>
        </r>
        <r>
          <rPr>
            <sz val="12"/>
            <color indexed="81"/>
            <rFont val="Tahoma"/>
            <family val="2"/>
          </rPr>
          <t xml:space="preserve">
</t>
        </r>
        <r>
          <rPr>
            <b/>
            <sz val="12"/>
            <color indexed="81"/>
            <rFont val="Tahoma"/>
            <family val="2"/>
          </rPr>
          <t>Detention
Demurrage
Merged</t>
        </r>
      </text>
    </comment>
    <comment ref="F174" authorId="2" shapeId="0" xr:uid="{00000000-0006-0000-1200-00002F000000}">
      <text>
        <r>
          <rPr>
            <sz val="12"/>
            <color indexed="81"/>
            <rFont val="Tahoma"/>
            <family val="2"/>
          </rPr>
          <t xml:space="preserve">Specify Equipment Type (blank field indicates applicability to all Eq Types):
</t>
        </r>
        <r>
          <rPr>
            <b/>
            <sz val="12"/>
            <color indexed="81"/>
            <rFont val="Tahoma"/>
            <family val="2"/>
          </rPr>
          <t>D</t>
        </r>
        <r>
          <rPr>
            <sz val="12"/>
            <color indexed="81"/>
            <rFont val="Tahoma"/>
            <family val="2"/>
          </rPr>
          <t xml:space="preserve"> = Dry
</t>
        </r>
        <r>
          <rPr>
            <b/>
            <sz val="12"/>
            <color indexed="81"/>
            <rFont val="Tahoma"/>
            <family val="2"/>
          </rPr>
          <t>R</t>
        </r>
        <r>
          <rPr>
            <sz val="12"/>
            <color indexed="81"/>
            <rFont val="Tahoma"/>
            <family val="2"/>
          </rPr>
          <t xml:space="preserve"> = Reefer
</t>
        </r>
        <r>
          <rPr>
            <b/>
            <sz val="12"/>
            <color indexed="81"/>
            <rFont val="Tahoma"/>
            <family val="2"/>
          </rPr>
          <t>OT</t>
        </r>
        <r>
          <rPr>
            <sz val="12"/>
            <color indexed="81"/>
            <rFont val="Tahoma"/>
            <family val="2"/>
          </rPr>
          <t xml:space="preserve"> = Open Top
</t>
        </r>
        <r>
          <rPr>
            <b/>
            <sz val="12"/>
            <color indexed="81"/>
            <rFont val="Tahoma"/>
            <family val="2"/>
          </rPr>
          <t>FR</t>
        </r>
        <r>
          <rPr>
            <sz val="12"/>
            <color indexed="81"/>
            <rFont val="Tahoma"/>
            <family val="2"/>
          </rPr>
          <t xml:space="preserve"> = Flat Rack</t>
        </r>
      </text>
    </comment>
    <comment ref="G174" authorId="2" shapeId="0" xr:uid="{00000000-0006-0000-1200-000030000000}">
      <text>
        <r>
          <rPr>
            <sz val="12"/>
            <color indexed="81"/>
            <rFont val="Tahoma"/>
            <family val="2"/>
          </rPr>
          <t>Select "OR" from the drop down list if condition applies to Operating Reefers</t>
        </r>
      </text>
    </comment>
    <comment ref="H174" authorId="2" shapeId="0" xr:uid="{00000000-0006-0000-1200-000031000000}">
      <text>
        <r>
          <rPr>
            <sz val="12"/>
            <color indexed="81"/>
            <rFont val="Tahoma"/>
            <family val="2"/>
          </rPr>
          <t xml:space="preserve">Specify the Place of Receipt if necessary.  </t>
        </r>
        <r>
          <rPr>
            <u/>
            <sz val="12"/>
            <color indexed="81"/>
            <rFont val="Tahoma"/>
            <family val="2"/>
          </rPr>
          <t>Do not</t>
        </r>
        <r>
          <rPr>
            <sz val="12"/>
            <color indexed="81"/>
            <rFont val="Tahoma"/>
            <family val="2"/>
          </rPr>
          <t xml:space="preserve"> use "ALL".
Only 1 location may be entered per row.</t>
        </r>
      </text>
    </comment>
    <comment ref="I174" authorId="2" shapeId="0" xr:uid="{00000000-0006-0000-1200-000032000000}">
      <text>
        <r>
          <rPr>
            <sz val="12"/>
            <color indexed="81"/>
            <rFont val="Tahoma"/>
            <family val="2"/>
          </rPr>
          <t xml:space="preserve">Enter the POL if necessary.  </t>
        </r>
        <r>
          <rPr>
            <u/>
            <sz val="12"/>
            <color indexed="81"/>
            <rFont val="Tahoma"/>
            <family val="2"/>
          </rPr>
          <t>Do not</t>
        </r>
        <r>
          <rPr>
            <sz val="12"/>
            <color indexed="81"/>
            <rFont val="Tahoma"/>
            <family val="2"/>
          </rPr>
          <t xml:space="preserve"> use "ALL".
Only 1 location is allowed per row and must be a valid seaport.</t>
        </r>
      </text>
    </comment>
    <comment ref="J174" authorId="2" shapeId="0" xr:uid="{00000000-0006-0000-1200-000033000000}">
      <text>
        <r>
          <rPr>
            <sz val="12"/>
            <color indexed="81"/>
            <rFont val="Tahoma"/>
            <family val="2"/>
          </rPr>
          <t xml:space="preserve">Enter the POD if necessary.  </t>
        </r>
        <r>
          <rPr>
            <u/>
            <sz val="12"/>
            <color indexed="81"/>
            <rFont val="Tahoma"/>
            <family val="2"/>
          </rPr>
          <t>Do not</t>
        </r>
        <r>
          <rPr>
            <sz val="12"/>
            <color indexed="81"/>
            <rFont val="Tahoma"/>
            <family val="2"/>
          </rPr>
          <t xml:space="preserve"> use "ALL".
Only 1 location is allowed per row and must be a valid seaport.</t>
        </r>
      </text>
    </comment>
    <comment ref="K174" authorId="2" shapeId="0" xr:uid="{00000000-0006-0000-1200-000034000000}">
      <text>
        <r>
          <rPr>
            <sz val="12"/>
            <color indexed="81"/>
            <rFont val="Tahoma"/>
            <family val="2"/>
          </rPr>
          <t xml:space="preserve">Specify the Place of Delivery if necessary.  </t>
        </r>
        <r>
          <rPr>
            <u/>
            <sz val="12"/>
            <color indexed="81"/>
            <rFont val="Tahoma"/>
            <family val="2"/>
          </rPr>
          <t>Do not</t>
        </r>
        <r>
          <rPr>
            <sz val="12"/>
            <color indexed="81"/>
            <rFont val="Tahoma"/>
            <family val="2"/>
          </rPr>
          <t xml:space="preserve"> use "ALL".
Only 1 location may be entered per row.</t>
        </r>
      </text>
    </comment>
    <comment ref="L174" authorId="3" shapeId="0" xr:uid="{008BB6D9-33B8-434A-9B0E-27C170A1E220}">
      <text>
        <r>
          <rPr>
            <sz val="12"/>
            <color indexed="81"/>
            <rFont val="Tahoma"/>
            <family val="2"/>
          </rPr>
          <t xml:space="preserve">Enter the Country Code ONLY.  </t>
        </r>
        <r>
          <rPr>
            <u/>
            <sz val="12"/>
            <color indexed="81"/>
            <rFont val="Tahoma"/>
            <family val="2"/>
          </rPr>
          <t>Cannot</t>
        </r>
        <r>
          <rPr>
            <sz val="12"/>
            <color indexed="81"/>
            <rFont val="Tahoma"/>
            <family val="2"/>
          </rPr>
          <t xml:space="preserve"> use "ALL" or country name</t>
        </r>
      </text>
    </comment>
    <comment ref="M174" authorId="2" shapeId="0" xr:uid="{00000000-0006-0000-1200-000035000000}">
      <text>
        <r>
          <rPr>
            <sz val="12"/>
            <color indexed="81"/>
            <rFont val="Tahoma"/>
            <family val="2"/>
          </rPr>
          <t xml:space="preserve">Enter additional notes only when absolutely necessary.  
</t>
        </r>
        <r>
          <rPr>
            <u/>
            <sz val="12"/>
            <color indexed="81"/>
            <rFont val="Tahoma"/>
            <family val="2"/>
          </rPr>
          <t>IMPORTANT</t>
        </r>
        <r>
          <rPr>
            <sz val="12"/>
            <color indexed="81"/>
            <rFont val="Tahoma"/>
            <family val="2"/>
          </rPr>
          <t xml:space="preserve">:  Named accounts and specific commodities </t>
        </r>
        <r>
          <rPr>
            <b/>
            <u/>
            <sz val="12"/>
            <color indexed="81"/>
            <rFont val="Tahoma"/>
            <family val="2"/>
          </rPr>
          <t>may not</t>
        </r>
        <r>
          <rPr>
            <sz val="12"/>
            <color indexed="81"/>
            <rFont val="Tahoma"/>
            <family val="2"/>
          </rPr>
          <t xml:space="preserve"> be listed as Notes.</t>
        </r>
      </text>
    </comment>
    <comment ref="A187" authorId="2" shapeId="0" xr:uid="{DC71D5B5-7753-4182-BE8C-A39990B65537}">
      <text>
        <r>
          <rPr>
            <sz val="12"/>
            <color indexed="81"/>
            <rFont val="Tahoma"/>
            <family val="2"/>
          </rPr>
          <t>Select the bullet for which the exception applies.
If exception applies to all bullets, select "ALL".</t>
        </r>
      </text>
    </comment>
    <comment ref="B187" authorId="2" shapeId="0" xr:uid="{9C41DFD1-C004-4D15-812D-1C1D95782119}">
      <text>
        <r>
          <rPr>
            <sz val="12"/>
            <color indexed="81"/>
            <rFont val="Tahoma"/>
            <family val="2"/>
          </rPr>
          <t xml:space="preserve">Specify if Free Time condition applies to Export or Import:
</t>
        </r>
        <r>
          <rPr>
            <b/>
            <sz val="12"/>
            <color indexed="81"/>
            <rFont val="Tahoma"/>
            <family val="2"/>
          </rPr>
          <t xml:space="preserve">E </t>
        </r>
        <r>
          <rPr>
            <sz val="12"/>
            <color indexed="81"/>
            <rFont val="Tahoma"/>
            <family val="2"/>
          </rPr>
          <t xml:space="preserve">(Export) = applies at origin
</t>
        </r>
        <r>
          <rPr>
            <b/>
            <sz val="12"/>
            <color indexed="81"/>
            <rFont val="Tahoma"/>
            <family val="2"/>
          </rPr>
          <t xml:space="preserve">I </t>
        </r>
        <r>
          <rPr>
            <sz val="12"/>
            <color indexed="81"/>
            <rFont val="Tahoma"/>
            <family val="2"/>
          </rPr>
          <t>(Import) = applies at destination</t>
        </r>
      </text>
    </comment>
    <comment ref="C187" authorId="2" shapeId="0" xr:uid="{AE128D66-FBCC-4B11-8CAD-F4D492CEB1E6}">
      <text>
        <r>
          <rPr>
            <sz val="12"/>
            <color indexed="81"/>
            <rFont val="Tahoma"/>
            <family val="2"/>
          </rPr>
          <t>Enter Type of Free Time:</t>
        </r>
        <r>
          <rPr>
            <u/>
            <sz val="12"/>
            <color indexed="81"/>
            <rFont val="Tahoma"/>
            <family val="2"/>
          </rPr>
          <t xml:space="preserve">
</t>
        </r>
        <r>
          <rPr>
            <sz val="12"/>
            <color indexed="81"/>
            <rFont val="Tahoma"/>
            <family val="2"/>
          </rPr>
          <t xml:space="preserve">
</t>
        </r>
        <r>
          <rPr>
            <b/>
            <sz val="12"/>
            <color indexed="81"/>
            <rFont val="Tahoma"/>
            <family val="2"/>
          </rPr>
          <t>Detention
Demurrage
Merged</t>
        </r>
      </text>
    </comment>
    <comment ref="F187" authorId="2" shapeId="0" xr:uid="{4937072B-ACD4-426D-B026-C5D922C8C031}">
      <text>
        <r>
          <rPr>
            <sz val="12"/>
            <color indexed="81"/>
            <rFont val="Tahoma"/>
            <family val="2"/>
          </rPr>
          <t>If any exceptional charges are offered, then the currency is required to be shown.</t>
        </r>
      </text>
    </comment>
    <comment ref="W187" authorId="2" shapeId="0" xr:uid="{FF6B7441-859F-46FA-B303-BEDE54999470}">
      <text>
        <r>
          <rPr>
            <sz val="12"/>
            <color indexed="81"/>
            <rFont val="Tahoma"/>
            <family val="2"/>
          </rPr>
          <t xml:space="preserve">Specify Equipment Type (blank field indicates applicability to all Eq Types):
</t>
        </r>
        <r>
          <rPr>
            <b/>
            <sz val="12"/>
            <color indexed="81"/>
            <rFont val="Tahoma"/>
            <family val="2"/>
          </rPr>
          <t>D</t>
        </r>
        <r>
          <rPr>
            <sz val="12"/>
            <color indexed="81"/>
            <rFont val="Tahoma"/>
            <family val="2"/>
          </rPr>
          <t xml:space="preserve"> = Dry
</t>
        </r>
        <r>
          <rPr>
            <b/>
            <sz val="12"/>
            <color indexed="81"/>
            <rFont val="Tahoma"/>
            <family val="2"/>
          </rPr>
          <t>R</t>
        </r>
        <r>
          <rPr>
            <sz val="12"/>
            <color indexed="81"/>
            <rFont val="Tahoma"/>
            <family val="2"/>
          </rPr>
          <t xml:space="preserve"> = Reefer
</t>
        </r>
        <r>
          <rPr>
            <b/>
            <sz val="12"/>
            <color indexed="81"/>
            <rFont val="Tahoma"/>
            <family val="2"/>
          </rPr>
          <t>OT</t>
        </r>
        <r>
          <rPr>
            <sz val="12"/>
            <color indexed="81"/>
            <rFont val="Tahoma"/>
            <family val="2"/>
          </rPr>
          <t xml:space="preserve"> = Open Top
</t>
        </r>
        <r>
          <rPr>
            <b/>
            <sz val="12"/>
            <color indexed="81"/>
            <rFont val="Tahoma"/>
            <family val="2"/>
          </rPr>
          <t>FR</t>
        </r>
        <r>
          <rPr>
            <sz val="12"/>
            <color indexed="81"/>
            <rFont val="Tahoma"/>
            <family val="2"/>
          </rPr>
          <t xml:space="preserve"> = Flat Rack</t>
        </r>
      </text>
    </comment>
    <comment ref="X187" authorId="2" shapeId="0" xr:uid="{E38ECE1A-DA64-462A-A34C-ACED25C14370}">
      <text>
        <r>
          <rPr>
            <sz val="12"/>
            <color indexed="81"/>
            <rFont val="Tahoma"/>
            <family val="2"/>
          </rPr>
          <t>Select "OR" from the drop down list if condition applies to Operating Reefers</t>
        </r>
      </text>
    </comment>
    <comment ref="Y187" authorId="2" shapeId="0" xr:uid="{CDAB3CF2-40D0-4D08-86CA-7770B24875C9}">
      <text>
        <r>
          <rPr>
            <sz val="12"/>
            <color indexed="81"/>
            <rFont val="Tahoma"/>
            <family val="2"/>
          </rPr>
          <t xml:space="preserve">Specify the Place of Receipt if necessary.  </t>
        </r>
        <r>
          <rPr>
            <u/>
            <sz val="12"/>
            <color indexed="81"/>
            <rFont val="Tahoma"/>
            <family val="2"/>
          </rPr>
          <t>Do not</t>
        </r>
        <r>
          <rPr>
            <sz val="12"/>
            <color indexed="81"/>
            <rFont val="Tahoma"/>
            <family val="2"/>
          </rPr>
          <t xml:space="preserve"> use "ALL".
Only 1 location may be entered per row.</t>
        </r>
      </text>
    </comment>
    <comment ref="Z187" authorId="2" shapeId="0" xr:uid="{6801309E-8866-4A35-949A-B248B77BF4D9}">
      <text>
        <r>
          <rPr>
            <sz val="12"/>
            <color indexed="81"/>
            <rFont val="Tahoma"/>
            <family val="2"/>
          </rPr>
          <t xml:space="preserve">Enter the POL if necessary.  </t>
        </r>
        <r>
          <rPr>
            <u/>
            <sz val="12"/>
            <color indexed="81"/>
            <rFont val="Tahoma"/>
            <family val="2"/>
          </rPr>
          <t>Do not</t>
        </r>
        <r>
          <rPr>
            <sz val="12"/>
            <color indexed="81"/>
            <rFont val="Tahoma"/>
            <family val="2"/>
          </rPr>
          <t xml:space="preserve"> use "ALL".
Only 1 location is allowed per row and must be a valid seaport.</t>
        </r>
      </text>
    </comment>
    <comment ref="AA187" authorId="2" shapeId="0" xr:uid="{CC030803-6EBD-402D-AC20-3B27A8D05D6F}">
      <text>
        <r>
          <rPr>
            <sz val="12"/>
            <color indexed="81"/>
            <rFont val="Tahoma"/>
            <family val="2"/>
          </rPr>
          <t xml:space="preserve">Enter the POD if necessary.  </t>
        </r>
        <r>
          <rPr>
            <u/>
            <sz val="12"/>
            <color indexed="81"/>
            <rFont val="Tahoma"/>
            <family val="2"/>
          </rPr>
          <t>Do not</t>
        </r>
        <r>
          <rPr>
            <sz val="12"/>
            <color indexed="81"/>
            <rFont val="Tahoma"/>
            <family val="2"/>
          </rPr>
          <t xml:space="preserve"> use "ALL".
Only 1 location is allowed per row and must be a valid seaport.</t>
        </r>
      </text>
    </comment>
    <comment ref="AB187" authorId="2" shapeId="0" xr:uid="{8A39444D-43F8-4C82-802A-F7C66AE905F9}">
      <text>
        <r>
          <rPr>
            <sz val="12"/>
            <color indexed="81"/>
            <rFont val="Tahoma"/>
            <family val="2"/>
          </rPr>
          <t xml:space="preserve">Specify the Place of Delivery if necessary.  </t>
        </r>
        <r>
          <rPr>
            <u/>
            <sz val="12"/>
            <color indexed="81"/>
            <rFont val="Tahoma"/>
            <family val="2"/>
          </rPr>
          <t>Do not</t>
        </r>
        <r>
          <rPr>
            <sz val="12"/>
            <color indexed="81"/>
            <rFont val="Tahoma"/>
            <family val="2"/>
          </rPr>
          <t xml:space="preserve"> use "ALL".
Only 1 location may be entered per row.</t>
        </r>
      </text>
    </comment>
    <comment ref="AC187" authorId="3" shapeId="0" xr:uid="{B921DF77-92AE-4EB1-B307-0851C29968A8}">
      <text>
        <r>
          <rPr>
            <sz val="12"/>
            <color indexed="81"/>
            <rFont val="Tahoma"/>
            <family val="2"/>
          </rPr>
          <t xml:space="preserve">Enter the Country Code ONLY.  </t>
        </r>
        <r>
          <rPr>
            <u/>
            <sz val="12"/>
            <color indexed="81"/>
            <rFont val="Tahoma"/>
            <family val="2"/>
          </rPr>
          <t>Cannot</t>
        </r>
        <r>
          <rPr>
            <sz val="12"/>
            <color indexed="81"/>
            <rFont val="Tahoma"/>
            <family val="2"/>
          </rPr>
          <t xml:space="preserve"> use "ALL" or country name</t>
        </r>
      </text>
    </comment>
    <comment ref="AD187" authorId="2" shapeId="0" xr:uid="{F4263E56-6D6F-420D-9412-E7F1E7CFC019}">
      <text>
        <r>
          <rPr>
            <sz val="12"/>
            <color indexed="81"/>
            <rFont val="Tahoma"/>
            <family val="2"/>
          </rPr>
          <t xml:space="preserve">Enter additional notes only when absolutely necessary.  
</t>
        </r>
        <r>
          <rPr>
            <u/>
            <sz val="12"/>
            <color indexed="81"/>
            <rFont val="Tahoma"/>
            <family val="2"/>
          </rPr>
          <t>IMPORTANT</t>
        </r>
        <r>
          <rPr>
            <sz val="12"/>
            <color indexed="81"/>
            <rFont val="Tahoma"/>
            <family val="2"/>
          </rPr>
          <t xml:space="preserve">:  Named accounts and specific commodities </t>
        </r>
        <r>
          <rPr>
            <b/>
            <u/>
            <sz val="12"/>
            <color indexed="81"/>
            <rFont val="Tahoma"/>
            <family val="2"/>
          </rPr>
          <t>may not</t>
        </r>
        <r>
          <rPr>
            <sz val="12"/>
            <color indexed="81"/>
            <rFont val="Tahoma"/>
            <family val="2"/>
          </rPr>
          <t xml:space="preserve"> be listed as Notes.</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ext.obouge</author>
    <author>William MALLOL</author>
    <author>usa.gewan</author>
    <author>GENDER Charlie - NOR</author>
  </authors>
  <commentList>
    <comment ref="B13" authorId="0" shapeId="0" xr:uid="{00000000-0006-0000-1300-000001000000}">
      <text>
        <r>
          <rPr>
            <b/>
            <sz val="12"/>
            <color indexed="81"/>
            <rFont val="Tahoma"/>
            <family val="2"/>
          </rPr>
          <t>Please use comma to separate commodities.</t>
        </r>
      </text>
    </comment>
    <comment ref="A20" authorId="1" shapeId="0" xr:uid="{00000000-0006-0000-1300-000002000000}">
      <text>
        <r>
          <rPr>
            <b/>
            <sz val="14"/>
            <color indexed="81"/>
            <rFont val="Tahoma"/>
            <family val="2"/>
          </rPr>
          <t>Port Group Codes can be used to group any two or more valid seaports that are common rated.
Port Group Codes cannot be used for inland locations.</t>
        </r>
      </text>
    </comment>
    <comment ref="B20" authorId="0" shapeId="0" xr:uid="{00000000-0006-0000-1300-000003000000}">
      <text>
        <r>
          <rPr>
            <b/>
            <sz val="14"/>
            <color indexed="81"/>
            <rFont val="Tahoma"/>
            <family val="2"/>
          </rPr>
          <t>Please use comma to separate ports.
Only valid sea ports may be included.</t>
        </r>
      </text>
    </comment>
    <comment ref="A30" authorId="1" shapeId="0" xr:uid="{00000000-0006-0000-1300-000004000000}">
      <text>
        <r>
          <rPr>
            <b/>
            <sz val="14"/>
            <color indexed="81"/>
            <rFont val="Tahoma"/>
            <family val="2"/>
          </rPr>
          <t>Please use FAK/ Bullets defined above.</t>
        </r>
      </text>
    </comment>
    <comment ref="B30" authorId="1" shapeId="0" xr:uid="{00000000-0006-0000-1300-000005000000}">
      <text>
        <r>
          <rPr>
            <b/>
            <sz val="14"/>
            <color indexed="81"/>
            <rFont val="Tahoma"/>
            <family val="2"/>
          </rPr>
          <t>City, State / ZIP Code</t>
        </r>
      </text>
    </comment>
    <comment ref="C30" authorId="1" shapeId="0" xr:uid="{00000000-0006-0000-1300-000006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D30" authorId="1" shapeId="0" xr:uid="{00000000-0006-0000-1300-000007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E30" authorId="1" shapeId="0" xr:uid="{00000000-0006-0000-1300-000008000000}">
      <text>
        <r>
          <rPr>
            <b/>
            <sz val="14"/>
            <color indexed="81"/>
            <rFont val="Tahoma"/>
            <family val="2"/>
          </rPr>
          <t>City, State / ZIP Code</t>
        </r>
      </text>
    </comment>
    <comment ref="F30" authorId="2" shapeId="0" xr:uid="{00000000-0006-0000-1300-000009000000}">
      <text>
        <r>
          <rPr>
            <b/>
            <sz val="14"/>
            <color indexed="81"/>
            <rFont val="Tahoma"/>
            <family val="2"/>
          </rPr>
          <t>Indicate the mode of transportation at origin and destination.
Mode cannot begin with CY if there is a location listed as place of receipt.
Mode cannot end with CY if there is a location is listed as place of delivery</t>
        </r>
      </text>
    </comment>
    <comment ref="G30" authorId="2" shapeId="0" xr:uid="{00000000-0006-0000-1300-00000A000000}">
      <text>
        <r>
          <rPr>
            <b/>
            <sz val="14"/>
            <color indexed="81"/>
            <rFont val="Tahoma"/>
            <family val="2"/>
          </rPr>
          <t>Indicate whether or not door service is included at origin and destination</t>
        </r>
      </text>
    </comment>
    <comment ref="M30" authorId="2" shapeId="0" xr:uid="{00000000-0006-0000-1300-00000B000000}">
      <text>
        <r>
          <rPr>
            <b/>
            <sz val="14"/>
            <color indexed="81"/>
            <rFont val="Tahoma"/>
            <family val="2"/>
          </rPr>
          <t>Use these columns for exceptions to surcharge applicability in note 2</t>
        </r>
      </text>
    </comment>
    <comment ref="AA30" authorId="2" shapeId="0" xr:uid="{00000000-0006-0000-1300-00000C000000}">
      <text>
        <r>
          <rPr>
            <b/>
            <sz val="14"/>
            <color indexed="81"/>
            <rFont val="Tahoma"/>
            <family val="2"/>
          </rPr>
          <t>This field controls construction using Arbitraries and Inland Tariffs
Y = allowed in US, N = not allowed in US, 
E = allowed at origin, I = allowed at destination,
B = allowed at both origin and destination
X = not allowed at either origin or destination</t>
        </r>
      </text>
    </comment>
    <comment ref="A39" authorId="1" shapeId="0" xr:uid="{00000000-0006-0000-1300-00000D000000}">
      <text>
        <r>
          <rPr>
            <b/>
            <sz val="14"/>
            <color indexed="81"/>
            <rFont val="Tahoma"/>
            <family val="2"/>
          </rPr>
          <t>Please use FAK/ Bullets defined above.</t>
        </r>
      </text>
    </comment>
    <comment ref="B39" authorId="1" shapeId="0" xr:uid="{00000000-0006-0000-1300-00000E000000}">
      <text>
        <r>
          <rPr>
            <b/>
            <sz val="14"/>
            <color indexed="81"/>
            <rFont val="Tahoma"/>
            <family val="2"/>
          </rPr>
          <t>City, State / ZIP Code</t>
        </r>
      </text>
    </comment>
    <comment ref="C39" authorId="1" shapeId="0" xr:uid="{00000000-0006-0000-1300-00000F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D39" authorId="1" shapeId="0" xr:uid="{00000000-0006-0000-1300-000010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E39" authorId="1" shapeId="0" xr:uid="{00000000-0006-0000-1300-000011000000}">
      <text>
        <r>
          <rPr>
            <b/>
            <sz val="14"/>
            <color indexed="81"/>
            <rFont val="Tahoma"/>
            <family val="2"/>
          </rPr>
          <t>City, State / ZIP Code</t>
        </r>
      </text>
    </comment>
    <comment ref="F39" authorId="2" shapeId="0" xr:uid="{00000000-0006-0000-1300-000012000000}">
      <text>
        <r>
          <rPr>
            <b/>
            <sz val="14"/>
            <color indexed="81"/>
            <rFont val="Tahoma"/>
            <family val="2"/>
          </rPr>
          <t>Indicate the mode of transportation at origin and destination.
Mode cannot begin with CY if there is a location listed as place of receipt.
Mode cannot end with CY if there is a location is listed as place of delivery</t>
        </r>
      </text>
    </comment>
    <comment ref="G39" authorId="2" shapeId="0" xr:uid="{00000000-0006-0000-1300-000013000000}">
      <text>
        <r>
          <rPr>
            <b/>
            <sz val="14"/>
            <color indexed="81"/>
            <rFont val="Tahoma"/>
            <family val="2"/>
          </rPr>
          <t>Indicate whether or not door service is included at origin and destination</t>
        </r>
      </text>
    </comment>
    <comment ref="O39" authorId="2" shapeId="0" xr:uid="{00000000-0006-0000-1300-000014000000}">
      <text>
        <r>
          <rPr>
            <b/>
            <sz val="14"/>
            <color indexed="81"/>
            <rFont val="Tahoma"/>
            <family val="2"/>
          </rPr>
          <t>Use these columns for exceptions to surcharge applicability in note 2</t>
        </r>
      </text>
    </comment>
    <comment ref="AA39" authorId="2" shapeId="0" xr:uid="{00000000-0006-0000-1300-000015000000}">
      <text>
        <r>
          <rPr>
            <b/>
            <sz val="14"/>
            <color indexed="81"/>
            <rFont val="Tahoma"/>
            <family val="2"/>
          </rPr>
          <t>This field controls construction using Arbitraries and Inland Tariffs
Y = allowed in US, N = not allowed in US, 
E = allowed at origin, I = allowed at destination,
B = allowed at both origin and destination
X = not allowed at either origin or destination</t>
        </r>
      </text>
    </comment>
    <comment ref="A48" authorId="1" shapeId="0" xr:uid="{00000000-0006-0000-1300-000016000000}">
      <text>
        <r>
          <rPr>
            <b/>
            <sz val="14"/>
            <color indexed="81"/>
            <rFont val="Tahoma"/>
            <family val="2"/>
          </rPr>
          <t>Please use FAK/ Bullets defined above.</t>
        </r>
      </text>
    </comment>
    <comment ref="B48" authorId="1" shapeId="0" xr:uid="{00000000-0006-0000-1300-000017000000}">
      <text>
        <r>
          <rPr>
            <b/>
            <sz val="14"/>
            <color indexed="81"/>
            <rFont val="Tahoma"/>
            <family val="2"/>
          </rPr>
          <t>City, State / ZIP Code</t>
        </r>
      </text>
    </comment>
    <comment ref="C48" authorId="1" shapeId="0" xr:uid="{00000000-0006-0000-1300-000018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D48" authorId="1" shapeId="0" xr:uid="{00000000-0006-0000-1300-000019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E48" authorId="1" shapeId="0" xr:uid="{00000000-0006-0000-1300-00001A000000}">
      <text>
        <r>
          <rPr>
            <b/>
            <sz val="14"/>
            <color indexed="81"/>
            <rFont val="Tahoma"/>
            <family val="2"/>
          </rPr>
          <t>City, State / ZIP Code</t>
        </r>
      </text>
    </comment>
    <comment ref="F48" authorId="2" shapeId="0" xr:uid="{00000000-0006-0000-1300-00001B000000}">
      <text>
        <r>
          <rPr>
            <b/>
            <sz val="14"/>
            <color indexed="81"/>
            <rFont val="Tahoma"/>
            <family val="2"/>
          </rPr>
          <t>Indicate the mode of transportation at origin and destination.
Mode cannot begin with CY if there is a location listed as place of receipt.
Mode cannot end with CY if there is a location is listed as place of delivery</t>
        </r>
      </text>
    </comment>
    <comment ref="G48" authorId="2" shapeId="0" xr:uid="{00000000-0006-0000-1300-00001C000000}">
      <text>
        <r>
          <rPr>
            <b/>
            <sz val="14"/>
            <color indexed="81"/>
            <rFont val="Tahoma"/>
            <family val="2"/>
          </rPr>
          <t>Indicate whether or not door service is included at origin and destination</t>
        </r>
      </text>
    </comment>
    <comment ref="Q48" authorId="2" shapeId="0" xr:uid="{00000000-0006-0000-1300-00001D000000}">
      <text>
        <r>
          <rPr>
            <b/>
            <sz val="14"/>
            <color indexed="81"/>
            <rFont val="Tahoma"/>
            <family val="2"/>
          </rPr>
          <t>Use these columns for exceptions to surcharge applicability in note 2</t>
        </r>
      </text>
    </comment>
    <comment ref="AC48" authorId="2" shapeId="0" xr:uid="{00000000-0006-0000-1300-00001E000000}">
      <text>
        <r>
          <rPr>
            <b/>
            <sz val="14"/>
            <color indexed="81"/>
            <rFont val="Tahoma"/>
            <family val="2"/>
          </rPr>
          <t>This field controls construction using Arbitraries and Inland Tariffs
Y = allowed in US, N = not allowed in US, 
E = allowed at origin, I = allowed at destination,
B = allowed at both origin and destination
X = not allowed at either origin or destination</t>
        </r>
      </text>
    </comment>
    <comment ref="B65" authorId="2" shapeId="0" xr:uid="{00000000-0006-0000-1300-00001F000000}">
      <text>
        <r>
          <rPr>
            <b/>
            <sz val="14"/>
            <color indexed="81"/>
            <rFont val="Tahoma"/>
            <family val="2"/>
          </rPr>
          <t>Place of Origin - may be an outport for feeder (CY) arbitraries or an inland origin
Format is:  City, State or ZIP Code</t>
        </r>
      </text>
    </comment>
    <comment ref="E65" authorId="2" shapeId="0" xr:uid="{00000000-0006-0000-1300-000020000000}">
      <text>
        <r>
          <rPr>
            <b/>
            <sz val="14"/>
            <color indexed="81"/>
            <rFont val="Tahoma"/>
            <family val="2"/>
          </rPr>
          <t xml:space="preserve">Please use only one port or a group of ports (Port groups must be defined in the Port Group Codes table).
Arbitrary construction can only occur with rate conditions which show these ports as the POL.
</t>
        </r>
        <r>
          <rPr>
            <b/>
            <i/>
            <sz val="14"/>
            <color indexed="81"/>
            <rFont val="Tahoma"/>
            <family val="2"/>
          </rPr>
          <t>All ports must be valid SEA ports.</t>
        </r>
      </text>
    </comment>
    <comment ref="F65" authorId="2" shapeId="0" xr:uid="{00000000-0006-0000-1300-000021000000}">
      <text>
        <r>
          <rPr>
            <b/>
            <sz val="14"/>
            <color indexed="81"/>
            <rFont val="Tahoma"/>
            <family val="2"/>
          </rPr>
          <t>Indicate the mode of transportation between the arbitrary place of receipt and arbitrary POL.
CY modes can only be used when the mode of transportation is by Feeder.
Use of CY mode requires both the locations to be valid SEA ports.</t>
        </r>
      </text>
    </comment>
    <comment ref="G65" authorId="2" shapeId="0" xr:uid="{00000000-0006-0000-1300-000022000000}">
      <text>
        <r>
          <rPr>
            <b/>
            <sz val="14"/>
            <color indexed="81"/>
            <rFont val="Tahoma"/>
            <family val="2"/>
          </rPr>
          <t>Indicate whether or not door service is included in the arbitrary rate</t>
        </r>
      </text>
    </comment>
    <comment ref="H65" authorId="2" shapeId="0" xr:uid="{00000000-0006-0000-1300-000023000000}">
      <text>
        <r>
          <rPr>
            <b/>
            <sz val="14"/>
            <color indexed="81"/>
            <rFont val="Tahoma"/>
            <family val="2"/>
          </rPr>
          <t>Input the rate in this field when the same amount applies for all container sizes</t>
        </r>
      </text>
    </comment>
    <comment ref="N65" authorId="2" shapeId="0" xr:uid="{00000000-0006-0000-1300-000024000000}">
      <text>
        <r>
          <rPr>
            <b/>
            <sz val="14"/>
            <color indexed="81"/>
            <rFont val="Tahoma"/>
            <family val="2"/>
          </rPr>
          <t>Each Arbitrary applies only to FAK / Bullets as specifically listed in this field.</t>
        </r>
      </text>
    </comment>
    <comment ref="B80" authorId="2" shapeId="0" xr:uid="{00000000-0006-0000-1300-000025000000}">
      <text>
        <r>
          <rPr>
            <b/>
            <sz val="14"/>
            <color indexed="81"/>
            <rFont val="Tahoma"/>
            <family val="2"/>
          </rPr>
          <t>Place of Destination - may be an outport for feeder (CY) arbitraries or an inland destination
Format is:  City, State or ZIP Code</t>
        </r>
      </text>
    </comment>
    <comment ref="E80" authorId="2" shapeId="0" xr:uid="{00000000-0006-0000-1300-000026000000}">
      <text>
        <r>
          <rPr>
            <b/>
            <sz val="14"/>
            <color indexed="81"/>
            <rFont val="Tahoma"/>
            <family val="2"/>
          </rPr>
          <t xml:space="preserve">Please use only one port or a group of ports (Port groups must be defined in the Port Group Codes table).
Arbitrary construction can only occur with rate conditions which show these ports as the POD.
</t>
        </r>
        <r>
          <rPr>
            <b/>
            <i/>
            <sz val="14"/>
            <color indexed="81"/>
            <rFont val="Tahoma"/>
            <family val="2"/>
          </rPr>
          <t>All ports must be valid SEA ports.</t>
        </r>
      </text>
    </comment>
    <comment ref="F80" authorId="2" shapeId="0" xr:uid="{00000000-0006-0000-1300-000027000000}">
      <text>
        <r>
          <rPr>
            <b/>
            <sz val="14"/>
            <color indexed="81"/>
            <rFont val="Tahoma"/>
            <family val="2"/>
          </rPr>
          <t>Indicate the mode of transportation between the arbitrary POD and arbitrary place of delivery.
CY modes can only be used when the mode of transportation is by Feeder.
Use of CY mode requires both the locations to be valid SEA ports.</t>
        </r>
      </text>
    </comment>
    <comment ref="G80" authorId="2" shapeId="0" xr:uid="{00000000-0006-0000-1300-000028000000}">
      <text>
        <r>
          <rPr>
            <b/>
            <sz val="14"/>
            <color indexed="81"/>
            <rFont val="Tahoma"/>
            <family val="2"/>
          </rPr>
          <t>Indicate whether or not door service is included in the arbitrary rate</t>
        </r>
      </text>
    </comment>
    <comment ref="H80" authorId="2" shapeId="0" xr:uid="{00000000-0006-0000-1300-000029000000}">
      <text>
        <r>
          <rPr>
            <b/>
            <sz val="14"/>
            <color indexed="81"/>
            <rFont val="Tahoma"/>
            <family val="2"/>
          </rPr>
          <t>Input the rate in this field when the same amount applies for all container sizes</t>
        </r>
      </text>
    </comment>
    <comment ref="N80" authorId="2" shapeId="0" xr:uid="{00000000-0006-0000-1300-00002A000000}">
      <text>
        <r>
          <rPr>
            <b/>
            <sz val="14"/>
            <color indexed="81"/>
            <rFont val="Tahoma"/>
            <family val="2"/>
          </rPr>
          <t>Each Arbitrary applies only to FAK / Bullets as specifically listed in this field.</t>
        </r>
      </text>
    </comment>
    <comment ref="L90" authorId="2" shapeId="0" xr:uid="{00000000-0006-0000-1300-00002B000000}">
      <text>
        <r>
          <rPr>
            <b/>
            <sz val="14"/>
            <color indexed="81"/>
            <rFont val="Tahoma"/>
            <family val="2"/>
          </rPr>
          <t>Surcharge applicability mentioned on any row applies specifically to the individual port mentioned in this field.
If the Applicable Port field is blank, then the  surcharge applicability stated on that row applies to all ports.</t>
        </r>
      </text>
    </comment>
    <comment ref="A183" authorId="2" shapeId="0" xr:uid="{00000000-0006-0000-1300-00002C000000}">
      <text>
        <r>
          <rPr>
            <sz val="12"/>
            <color indexed="81"/>
            <rFont val="Tahoma"/>
            <family val="2"/>
          </rPr>
          <t>Select the bullet for which the exception applies.
If exception applies to all bullets, select "ALL".</t>
        </r>
      </text>
    </comment>
    <comment ref="B183" authorId="2" shapeId="0" xr:uid="{00000000-0006-0000-1300-00002D000000}">
      <text>
        <r>
          <rPr>
            <sz val="12"/>
            <color indexed="81"/>
            <rFont val="Tahoma"/>
            <family val="2"/>
          </rPr>
          <t xml:space="preserve">Specify if Free Time condition applies to Export or Import:
</t>
        </r>
        <r>
          <rPr>
            <b/>
            <sz val="12"/>
            <color indexed="81"/>
            <rFont val="Tahoma"/>
            <family val="2"/>
          </rPr>
          <t xml:space="preserve">E </t>
        </r>
        <r>
          <rPr>
            <sz val="12"/>
            <color indexed="81"/>
            <rFont val="Tahoma"/>
            <family val="2"/>
          </rPr>
          <t xml:space="preserve">(Export) = applies at origin
</t>
        </r>
        <r>
          <rPr>
            <b/>
            <sz val="12"/>
            <color indexed="81"/>
            <rFont val="Tahoma"/>
            <family val="2"/>
          </rPr>
          <t xml:space="preserve">I </t>
        </r>
        <r>
          <rPr>
            <sz val="12"/>
            <color indexed="81"/>
            <rFont val="Tahoma"/>
            <family val="2"/>
          </rPr>
          <t>(Import) = applies at destination</t>
        </r>
      </text>
    </comment>
    <comment ref="C183" authorId="2" shapeId="0" xr:uid="{00000000-0006-0000-1300-00002E000000}">
      <text>
        <r>
          <rPr>
            <sz val="12"/>
            <color indexed="81"/>
            <rFont val="Tahoma"/>
            <family val="2"/>
          </rPr>
          <t>Enter Type of Free Time:</t>
        </r>
        <r>
          <rPr>
            <u/>
            <sz val="12"/>
            <color indexed="81"/>
            <rFont val="Tahoma"/>
            <family val="2"/>
          </rPr>
          <t xml:space="preserve">
</t>
        </r>
        <r>
          <rPr>
            <sz val="12"/>
            <color indexed="81"/>
            <rFont val="Tahoma"/>
            <family val="2"/>
          </rPr>
          <t xml:space="preserve">
</t>
        </r>
        <r>
          <rPr>
            <b/>
            <sz val="12"/>
            <color indexed="81"/>
            <rFont val="Tahoma"/>
            <family val="2"/>
          </rPr>
          <t>Detention
Demurrage
Merged</t>
        </r>
      </text>
    </comment>
    <comment ref="F183" authorId="2" shapeId="0" xr:uid="{00000000-0006-0000-1300-00002F000000}">
      <text>
        <r>
          <rPr>
            <sz val="12"/>
            <color indexed="81"/>
            <rFont val="Tahoma"/>
            <family val="2"/>
          </rPr>
          <t xml:space="preserve">Specify Equipment Type (blank field indicates applicability to all Eq Types):
</t>
        </r>
        <r>
          <rPr>
            <b/>
            <sz val="12"/>
            <color indexed="81"/>
            <rFont val="Tahoma"/>
            <family val="2"/>
          </rPr>
          <t>D</t>
        </r>
        <r>
          <rPr>
            <sz val="12"/>
            <color indexed="81"/>
            <rFont val="Tahoma"/>
            <family val="2"/>
          </rPr>
          <t xml:space="preserve"> = Dry
</t>
        </r>
        <r>
          <rPr>
            <b/>
            <sz val="12"/>
            <color indexed="81"/>
            <rFont val="Tahoma"/>
            <family val="2"/>
          </rPr>
          <t>R</t>
        </r>
        <r>
          <rPr>
            <sz val="12"/>
            <color indexed="81"/>
            <rFont val="Tahoma"/>
            <family val="2"/>
          </rPr>
          <t xml:space="preserve"> = Reefer
</t>
        </r>
        <r>
          <rPr>
            <b/>
            <sz val="12"/>
            <color indexed="81"/>
            <rFont val="Tahoma"/>
            <family val="2"/>
          </rPr>
          <t>OT</t>
        </r>
        <r>
          <rPr>
            <sz val="12"/>
            <color indexed="81"/>
            <rFont val="Tahoma"/>
            <family val="2"/>
          </rPr>
          <t xml:space="preserve"> = Open Top
</t>
        </r>
        <r>
          <rPr>
            <b/>
            <sz val="12"/>
            <color indexed="81"/>
            <rFont val="Tahoma"/>
            <family val="2"/>
          </rPr>
          <t>FR</t>
        </r>
        <r>
          <rPr>
            <sz val="12"/>
            <color indexed="81"/>
            <rFont val="Tahoma"/>
            <family val="2"/>
          </rPr>
          <t xml:space="preserve"> = Flat Rack</t>
        </r>
      </text>
    </comment>
    <comment ref="G183" authorId="2" shapeId="0" xr:uid="{00000000-0006-0000-1300-000030000000}">
      <text>
        <r>
          <rPr>
            <sz val="12"/>
            <color indexed="81"/>
            <rFont val="Tahoma"/>
            <family val="2"/>
          </rPr>
          <t>Select "OR" from the drop down list if condition applies to Operating Reefers</t>
        </r>
      </text>
    </comment>
    <comment ref="H183" authorId="2" shapeId="0" xr:uid="{00000000-0006-0000-1300-000031000000}">
      <text>
        <r>
          <rPr>
            <sz val="12"/>
            <color indexed="81"/>
            <rFont val="Tahoma"/>
            <family val="2"/>
          </rPr>
          <t xml:space="preserve">Specify the Place of Receipt if necessary.  </t>
        </r>
        <r>
          <rPr>
            <u/>
            <sz val="12"/>
            <color indexed="81"/>
            <rFont val="Tahoma"/>
            <family val="2"/>
          </rPr>
          <t>Do not</t>
        </r>
        <r>
          <rPr>
            <sz val="12"/>
            <color indexed="81"/>
            <rFont val="Tahoma"/>
            <family val="2"/>
          </rPr>
          <t xml:space="preserve"> use "ALL".
Only 1 location may be entered per row.</t>
        </r>
      </text>
    </comment>
    <comment ref="I183" authorId="2" shapeId="0" xr:uid="{00000000-0006-0000-1300-000032000000}">
      <text>
        <r>
          <rPr>
            <sz val="12"/>
            <color indexed="81"/>
            <rFont val="Tahoma"/>
            <family val="2"/>
          </rPr>
          <t xml:space="preserve">Enter the POL if necessary.  </t>
        </r>
        <r>
          <rPr>
            <u/>
            <sz val="12"/>
            <color indexed="81"/>
            <rFont val="Tahoma"/>
            <family val="2"/>
          </rPr>
          <t>Do not</t>
        </r>
        <r>
          <rPr>
            <sz val="12"/>
            <color indexed="81"/>
            <rFont val="Tahoma"/>
            <family val="2"/>
          </rPr>
          <t xml:space="preserve"> use "ALL".
Only 1 location is allowed per row and must be a valid seaport.</t>
        </r>
      </text>
    </comment>
    <comment ref="J183" authorId="2" shapeId="0" xr:uid="{00000000-0006-0000-1300-000033000000}">
      <text>
        <r>
          <rPr>
            <sz val="12"/>
            <color indexed="81"/>
            <rFont val="Tahoma"/>
            <family val="2"/>
          </rPr>
          <t xml:space="preserve">Enter the POD if necessary.  </t>
        </r>
        <r>
          <rPr>
            <u/>
            <sz val="12"/>
            <color indexed="81"/>
            <rFont val="Tahoma"/>
            <family val="2"/>
          </rPr>
          <t>Do not</t>
        </r>
        <r>
          <rPr>
            <sz val="12"/>
            <color indexed="81"/>
            <rFont val="Tahoma"/>
            <family val="2"/>
          </rPr>
          <t xml:space="preserve"> use "ALL".
Only 1 location is allowed per row and must be a valid seaport.</t>
        </r>
      </text>
    </comment>
    <comment ref="K183" authorId="2" shapeId="0" xr:uid="{00000000-0006-0000-1300-000034000000}">
      <text>
        <r>
          <rPr>
            <sz val="12"/>
            <color indexed="81"/>
            <rFont val="Tahoma"/>
            <family val="2"/>
          </rPr>
          <t xml:space="preserve">Specify the Place of Delivery if necessary.  </t>
        </r>
        <r>
          <rPr>
            <u/>
            <sz val="12"/>
            <color indexed="81"/>
            <rFont val="Tahoma"/>
            <family val="2"/>
          </rPr>
          <t>Do not</t>
        </r>
        <r>
          <rPr>
            <sz val="12"/>
            <color indexed="81"/>
            <rFont val="Tahoma"/>
            <family val="2"/>
          </rPr>
          <t xml:space="preserve"> use "ALL".
Only 1 location may be entered per row.</t>
        </r>
      </text>
    </comment>
    <comment ref="L183" authorId="3" shapeId="0" xr:uid="{600C0D81-85AF-40F5-AEEF-FB7A89630BB4}">
      <text>
        <r>
          <rPr>
            <sz val="12"/>
            <color indexed="81"/>
            <rFont val="Tahoma"/>
            <family val="2"/>
          </rPr>
          <t xml:space="preserve">Enter the Country Code ONLY.  </t>
        </r>
        <r>
          <rPr>
            <u/>
            <sz val="12"/>
            <color indexed="81"/>
            <rFont val="Tahoma"/>
            <family val="2"/>
          </rPr>
          <t>Cannot</t>
        </r>
        <r>
          <rPr>
            <sz val="12"/>
            <color indexed="81"/>
            <rFont val="Tahoma"/>
            <family val="2"/>
          </rPr>
          <t xml:space="preserve"> use "ALL" or country name</t>
        </r>
      </text>
    </comment>
    <comment ref="M183" authorId="2" shapeId="0" xr:uid="{00000000-0006-0000-1300-000035000000}">
      <text>
        <r>
          <rPr>
            <sz val="12"/>
            <color indexed="81"/>
            <rFont val="Tahoma"/>
            <family val="2"/>
          </rPr>
          <t xml:space="preserve">Enter additional notes only when absolutely necessary.  
</t>
        </r>
        <r>
          <rPr>
            <u/>
            <sz val="12"/>
            <color indexed="81"/>
            <rFont val="Tahoma"/>
            <family val="2"/>
          </rPr>
          <t>IMPORTANT</t>
        </r>
        <r>
          <rPr>
            <sz val="12"/>
            <color indexed="81"/>
            <rFont val="Tahoma"/>
            <family val="2"/>
          </rPr>
          <t xml:space="preserve">:  Named accounts and specific commodities </t>
        </r>
        <r>
          <rPr>
            <b/>
            <u/>
            <sz val="12"/>
            <color indexed="81"/>
            <rFont val="Tahoma"/>
            <family val="2"/>
          </rPr>
          <t>may not</t>
        </r>
        <r>
          <rPr>
            <sz val="12"/>
            <color indexed="81"/>
            <rFont val="Tahoma"/>
            <family val="2"/>
          </rPr>
          <t xml:space="preserve"> be listed as Notes.</t>
        </r>
      </text>
    </comment>
    <comment ref="A196" authorId="2" shapeId="0" xr:uid="{7F750FD4-B4F6-4FF3-956F-A39088CFCAAF}">
      <text>
        <r>
          <rPr>
            <sz val="12"/>
            <color indexed="81"/>
            <rFont val="Tahoma"/>
            <family val="2"/>
          </rPr>
          <t>Select the bullet for which the exception applies.
If exception applies to all bullets, select "ALL".</t>
        </r>
      </text>
    </comment>
    <comment ref="B196" authorId="2" shapeId="0" xr:uid="{5FD8E110-099F-4BB6-A74E-1829053BD847}">
      <text>
        <r>
          <rPr>
            <sz val="12"/>
            <color indexed="81"/>
            <rFont val="Tahoma"/>
            <family val="2"/>
          </rPr>
          <t xml:space="preserve">Specify if Free Time condition applies to Export or Import:
</t>
        </r>
        <r>
          <rPr>
            <b/>
            <sz val="12"/>
            <color indexed="81"/>
            <rFont val="Tahoma"/>
            <family val="2"/>
          </rPr>
          <t xml:space="preserve">E </t>
        </r>
        <r>
          <rPr>
            <sz val="12"/>
            <color indexed="81"/>
            <rFont val="Tahoma"/>
            <family val="2"/>
          </rPr>
          <t xml:space="preserve">(Export) = applies at origin
</t>
        </r>
        <r>
          <rPr>
            <b/>
            <sz val="12"/>
            <color indexed="81"/>
            <rFont val="Tahoma"/>
            <family val="2"/>
          </rPr>
          <t xml:space="preserve">I </t>
        </r>
        <r>
          <rPr>
            <sz val="12"/>
            <color indexed="81"/>
            <rFont val="Tahoma"/>
            <family val="2"/>
          </rPr>
          <t>(Import) = applies at destination</t>
        </r>
      </text>
    </comment>
    <comment ref="C196" authorId="2" shapeId="0" xr:uid="{7C9CFB5E-D71E-49E2-AE8E-3F0E15B7D2E8}">
      <text>
        <r>
          <rPr>
            <sz val="12"/>
            <color indexed="81"/>
            <rFont val="Tahoma"/>
            <family val="2"/>
          </rPr>
          <t>Enter Type of Free Time:</t>
        </r>
        <r>
          <rPr>
            <u/>
            <sz val="12"/>
            <color indexed="81"/>
            <rFont val="Tahoma"/>
            <family val="2"/>
          </rPr>
          <t xml:space="preserve">
</t>
        </r>
        <r>
          <rPr>
            <sz val="12"/>
            <color indexed="81"/>
            <rFont val="Tahoma"/>
            <family val="2"/>
          </rPr>
          <t xml:space="preserve">
</t>
        </r>
        <r>
          <rPr>
            <b/>
            <sz val="12"/>
            <color indexed="81"/>
            <rFont val="Tahoma"/>
            <family val="2"/>
          </rPr>
          <t>Detention
Demurrage
Merged</t>
        </r>
      </text>
    </comment>
    <comment ref="F196" authorId="2" shapeId="0" xr:uid="{8B9AA7E1-91FA-4397-8BCB-B36FD9A410E5}">
      <text>
        <r>
          <rPr>
            <sz val="12"/>
            <color indexed="81"/>
            <rFont val="Tahoma"/>
            <family val="2"/>
          </rPr>
          <t>If any exceptional charges are offered, then the currency is required to be shown.</t>
        </r>
      </text>
    </comment>
    <comment ref="W196" authorId="2" shapeId="0" xr:uid="{7581E879-F2D8-4DF1-8D81-05B9798CE135}">
      <text>
        <r>
          <rPr>
            <sz val="12"/>
            <color indexed="81"/>
            <rFont val="Tahoma"/>
            <family val="2"/>
          </rPr>
          <t xml:space="preserve">Specify Equipment Type (blank field indicates applicability to all Eq Types):
</t>
        </r>
        <r>
          <rPr>
            <b/>
            <sz val="12"/>
            <color indexed="81"/>
            <rFont val="Tahoma"/>
            <family val="2"/>
          </rPr>
          <t>D</t>
        </r>
        <r>
          <rPr>
            <sz val="12"/>
            <color indexed="81"/>
            <rFont val="Tahoma"/>
            <family val="2"/>
          </rPr>
          <t xml:space="preserve"> = Dry
</t>
        </r>
        <r>
          <rPr>
            <b/>
            <sz val="12"/>
            <color indexed="81"/>
            <rFont val="Tahoma"/>
            <family val="2"/>
          </rPr>
          <t>R</t>
        </r>
        <r>
          <rPr>
            <sz val="12"/>
            <color indexed="81"/>
            <rFont val="Tahoma"/>
            <family val="2"/>
          </rPr>
          <t xml:space="preserve"> = Reefer
</t>
        </r>
        <r>
          <rPr>
            <b/>
            <sz val="12"/>
            <color indexed="81"/>
            <rFont val="Tahoma"/>
            <family val="2"/>
          </rPr>
          <t>OT</t>
        </r>
        <r>
          <rPr>
            <sz val="12"/>
            <color indexed="81"/>
            <rFont val="Tahoma"/>
            <family val="2"/>
          </rPr>
          <t xml:space="preserve"> = Open Top
</t>
        </r>
        <r>
          <rPr>
            <b/>
            <sz val="12"/>
            <color indexed="81"/>
            <rFont val="Tahoma"/>
            <family val="2"/>
          </rPr>
          <t>FR</t>
        </r>
        <r>
          <rPr>
            <sz val="12"/>
            <color indexed="81"/>
            <rFont val="Tahoma"/>
            <family val="2"/>
          </rPr>
          <t xml:space="preserve"> = Flat Rack</t>
        </r>
      </text>
    </comment>
    <comment ref="X196" authorId="2" shapeId="0" xr:uid="{87853769-8584-481A-829A-AD831B46EEA3}">
      <text>
        <r>
          <rPr>
            <sz val="12"/>
            <color indexed="81"/>
            <rFont val="Tahoma"/>
            <family val="2"/>
          </rPr>
          <t>Select "OR" from the drop down list if condition applies to Operating Reefers</t>
        </r>
      </text>
    </comment>
    <comment ref="Y196" authorId="2" shapeId="0" xr:uid="{ABFAEA19-BB8E-48E4-A784-90FC0B11373B}">
      <text>
        <r>
          <rPr>
            <sz val="12"/>
            <color indexed="81"/>
            <rFont val="Tahoma"/>
            <family val="2"/>
          </rPr>
          <t xml:space="preserve">Specify the Place of Receipt if necessary.  </t>
        </r>
        <r>
          <rPr>
            <u/>
            <sz val="12"/>
            <color indexed="81"/>
            <rFont val="Tahoma"/>
            <family val="2"/>
          </rPr>
          <t>Do not</t>
        </r>
        <r>
          <rPr>
            <sz val="12"/>
            <color indexed="81"/>
            <rFont val="Tahoma"/>
            <family val="2"/>
          </rPr>
          <t xml:space="preserve"> use "ALL".
Only 1 location may be entered per row.</t>
        </r>
      </text>
    </comment>
    <comment ref="Z196" authorId="2" shapeId="0" xr:uid="{2931D6E7-9670-407E-8709-03F1C5C23211}">
      <text>
        <r>
          <rPr>
            <sz val="12"/>
            <color indexed="81"/>
            <rFont val="Tahoma"/>
            <family val="2"/>
          </rPr>
          <t xml:space="preserve">Enter the POL if necessary.  </t>
        </r>
        <r>
          <rPr>
            <u/>
            <sz val="12"/>
            <color indexed="81"/>
            <rFont val="Tahoma"/>
            <family val="2"/>
          </rPr>
          <t>Do not</t>
        </r>
        <r>
          <rPr>
            <sz val="12"/>
            <color indexed="81"/>
            <rFont val="Tahoma"/>
            <family val="2"/>
          </rPr>
          <t xml:space="preserve"> use "ALL".
Only 1 location is allowed per row and must be a valid seaport.</t>
        </r>
      </text>
    </comment>
    <comment ref="AA196" authorId="2" shapeId="0" xr:uid="{820CC8CF-7312-454E-9476-6BF18232FDFC}">
      <text>
        <r>
          <rPr>
            <sz val="12"/>
            <color indexed="81"/>
            <rFont val="Tahoma"/>
            <family val="2"/>
          </rPr>
          <t xml:space="preserve">Enter the POD if necessary.  </t>
        </r>
        <r>
          <rPr>
            <u/>
            <sz val="12"/>
            <color indexed="81"/>
            <rFont val="Tahoma"/>
            <family val="2"/>
          </rPr>
          <t>Do not</t>
        </r>
        <r>
          <rPr>
            <sz val="12"/>
            <color indexed="81"/>
            <rFont val="Tahoma"/>
            <family val="2"/>
          </rPr>
          <t xml:space="preserve"> use "ALL".
Only 1 location is allowed per row and must be a valid seaport.</t>
        </r>
      </text>
    </comment>
    <comment ref="AB196" authorId="2" shapeId="0" xr:uid="{11C36DD4-1DB1-4E40-A68F-45CCBF6DFAD4}">
      <text>
        <r>
          <rPr>
            <sz val="12"/>
            <color indexed="81"/>
            <rFont val="Tahoma"/>
            <family val="2"/>
          </rPr>
          <t xml:space="preserve">Specify the Place of Delivery if necessary.  </t>
        </r>
        <r>
          <rPr>
            <u/>
            <sz val="12"/>
            <color indexed="81"/>
            <rFont val="Tahoma"/>
            <family val="2"/>
          </rPr>
          <t>Do not</t>
        </r>
        <r>
          <rPr>
            <sz val="12"/>
            <color indexed="81"/>
            <rFont val="Tahoma"/>
            <family val="2"/>
          </rPr>
          <t xml:space="preserve"> use "ALL".
Only 1 location may be entered per row.</t>
        </r>
      </text>
    </comment>
    <comment ref="AC196" authorId="3" shapeId="0" xr:uid="{9C954163-C3C3-4636-B105-B929A342AE64}">
      <text>
        <r>
          <rPr>
            <sz val="12"/>
            <color indexed="81"/>
            <rFont val="Tahoma"/>
            <family val="2"/>
          </rPr>
          <t xml:space="preserve">Enter the Country Code ONLY.  </t>
        </r>
        <r>
          <rPr>
            <u/>
            <sz val="12"/>
            <color indexed="81"/>
            <rFont val="Tahoma"/>
            <family val="2"/>
          </rPr>
          <t>Cannot</t>
        </r>
        <r>
          <rPr>
            <sz val="12"/>
            <color indexed="81"/>
            <rFont val="Tahoma"/>
            <family val="2"/>
          </rPr>
          <t xml:space="preserve"> use "ALL" or country name</t>
        </r>
      </text>
    </comment>
    <comment ref="AD196" authorId="2" shapeId="0" xr:uid="{3C2EFEEF-8E4A-411C-9ADC-2B8021A0A40D}">
      <text>
        <r>
          <rPr>
            <sz val="12"/>
            <color indexed="81"/>
            <rFont val="Tahoma"/>
            <family val="2"/>
          </rPr>
          <t xml:space="preserve">Enter additional notes only when absolutely necessary.  
</t>
        </r>
        <r>
          <rPr>
            <u/>
            <sz val="12"/>
            <color indexed="81"/>
            <rFont val="Tahoma"/>
            <family val="2"/>
          </rPr>
          <t>IMPORTANT</t>
        </r>
        <r>
          <rPr>
            <sz val="12"/>
            <color indexed="81"/>
            <rFont val="Tahoma"/>
            <family val="2"/>
          </rPr>
          <t xml:space="preserve">:  Named accounts and specific commodities </t>
        </r>
        <r>
          <rPr>
            <b/>
            <u/>
            <sz val="12"/>
            <color indexed="81"/>
            <rFont val="Tahoma"/>
            <family val="2"/>
          </rPr>
          <t>may not</t>
        </r>
        <r>
          <rPr>
            <sz val="12"/>
            <color indexed="81"/>
            <rFont val="Tahoma"/>
            <family val="2"/>
          </rPr>
          <t xml:space="preserve"> be listed as Notes.</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ext.obouge</author>
    <author>William MALLOL</author>
    <author>usa.gewan</author>
    <author>GENDER Charlie - NOR</author>
  </authors>
  <commentList>
    <comment ref="B13" authorId="0" shapeId="0" xr:uid="{00000000-0006-0000-1400-000001000000}">
      <text>
        <r>
          <rPr>
            <b/>
            <sz val="12"/>
            <color indexed="81"/>
            <rFont val="Tahoma"/>
            <family val="2"/>
          </rPr>
          <t>Please use comma to separate commodities.</t>
        </r>
      </text>
    </comment>
    <comment ref="A20" authorId="1" shapeId="0" xr:uid="{00000000-0006-0000-1400-000002000000}">
      <text>
        <r>
          <rPr>
            <b/>
            <sz val="14"/>
            <color indexed="81"/>
            <rFont val="Tahoma"/>
            <family val="2"/>
          </rPr>
          <t>Port Group Codes can be used to group any two or more valid seaports that are common rated.
Port Group Codes cannot be used for inland locations.</t>
        </r>
      </text>
    </comment>
    <comment ref="B20" authorId="0" shapeId="0" xr:uid="{00000000-0006-0000-1400-000003000000}">
      <text>
        <r>
          <rPr>
            <b/>
            <sz val="14"/>
            <color indexed="81"/>
            <rFont val="Tahoma"/>
            <family val="2"/>
          </rPr>
          <t>Please use comma to separate ports.
Only valid sea ports may be included.</t>
        </r>
      </text>
    </comment>
    <comment ref="A32" authorId="1" shapeId="0" xr:uid="{00000000-0006-0000-1400-000004000000}">
      <text>
        <r>
          <rPr>
            <b/>
            <sz val="14"/>
            <color indexed="81"/>
            <rFont val="Tahoma"/>
            <family val="2"/>
          </rPr>
          <t>Please use FAK/ Bullets defined above.</t>
        </r>
      </text>
    </comment>
    <comment ref="B32" authorId="1" shapeId="0" xr:uid="{00000000-0006-0000-1400-000005000000}">
      <text>
        <r>
          <rPr>
            <b/>
            <sz val="14"/>
            <color indexed="81"/>
            <rFont val="Tahoma"/>
            <family val="2"/>
          </rPr>
          <t>City, State / ZIP Code</t>
        </r>
      </text>
    </comment>
    <comment ref="C32" authorId="1" shapeId="0" xr:uid="{00000000-0006-0000-1400-000006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D32" authorId="1" shapeId="0" xr:uid="{00000000-0006-0000-1400-000007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E32" authorId="1" shapeId="0" xr:uid="{00000000-0006-0000-1400-000008000000}">
      <text>
        <r>
          <rPr>
            <b/>
            <sz val="14"/>
            <color indexed="81"/>
            <rFont val="Tahoma"/>
            <family val="2"/>
          </rPr>
          <t>City, State / ZIP Code</t>
        </r>
      </text>
    </comment>
    <comment ref="F32" authorId="2" shapeId="0" xr:uid="{00000000-0006-0000-1400-000009000000}">
      <text>
        <r>
          <rPr>
            <b/>
            <sz val="14"/>
            <color indexed="81"/>
            <rFont val="Tahoma"/>
            <family val="2"/>
          </rPr>
          <t>Indicate the mode of transportation at origin and destination.
Mode cannot begin with CY if there is a location listed as place of receipt.
Mode cannot end with CY if there is a location is listed as place of delivery</t>
        </r>
      </text>
    </comment>
    <comment ref="G32" authorId="2" shapeId="0" xr:uid="{00000000-0006-0000-1400-00000A000000}">
      <text>
        <r>
          <rPr>
            <b/>
            <sz val="14"/>
            <color indexed="81"/>
            <rFont val="Tahoma"/>
            <family val="2"/>
          </rPr>
          <t>Indicate whether or not door service is included at origin and destination</t>
        </r>
      </text>
    </comment>
    <comment ref="M32" authorId="2" shapeId="0" xr:uid="{00000000-0006-0000-1400-00000B000000}">
      <text>
        <r>
          <rPr>
            <b/>
            <sz val="14"/>
            <color indexed="81"/>
            <rFont val="Tahoma"/>
            <family val="2"/>
          </rPr>
          <t>Use these columns for exceptions to surcharge applicability in note 2</t>
        </r>
      </text>
    </comment>
    <comment ref="AA32" authorId="2" shapeId="0" xr:uid="{00000000-0006-0000-1400-00000C000000}">
      <text>
        <r>
          <rPr>
            <b/>
            <sz val="14"/>
            <color indexed="81"/>
            <rFont val="Tahoma"/>
            <family val="2"/>
          </rPr>
          <t>This field controls construction using Arbitraries and Inland Tariffs
Y = allowed in US, N = not allowed in US, 
E = allowed at origin, I = allowed at destination,
B = allowed at both origin and destination
X = not allowed at either origin or destination</t>
        </r>
      </text>
    </comment>
    <comment ref="A41" authorId="1" shapeId="0" xr:uid="{00000000-0006-0000-1400-00000D000000}">
      <text>
        <r>
          <rPr>
            <b/>
            <sz val="14"/>
            <color indexed="81"/>
            <rFont val="Tahoma"/>
            <family val="2"/>
          </rPr>
          <t>Please use FAK/ Bullets defined above.</t>
        </r>
      </text>
    </comment>
    <comment ref="B41" authorId="1" shapeId="0" xr:uid="{00000000-0006-0000-1400-00000E000000}">
      <text>
        <r>
          <rPr>
            <b/>
            <sz val="14"/>
            <color indexed="81"/>
            <rFont val="Tahoma"/>
            <family val="2"/>
          </rPr>
          <t>City, State / ZIP Code</t>
        </r>
      </text>
    </comment>
    <comment ref="C41" authorId="1" shapeId="0" xr:uid="{00000000-0006-0000-1400-00000F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D41" authorId="1" shapeId="0" xr:uid="{00000000-0006-0000-1400-000010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E41" authorId="1" shapeId="0" xr:uid="{00000000-0006-0000-1400-000011000000}">
      <text>
        <r>
          <rPr>
            <b/>
            <sz val="14"/>
            <color indexed="81"/>
            <rFont val="Tahoma"/>
            <family val="2"/>
          </rPr>
          <t>City, State / ZIP Code</t>
        </r>
      </text>
    </comment>
    <comment ref="F41" authorId="2" shapeId="0" xr:uid="{00000000-0006-0000-1400-000012000000}">
      <text>
        <r>
          <rPr>
            <b/>
            <sz val="14"/>
            <color indexed="81"/>
            <rFont val="Tahoma"/>
            <family val="2"/>
          </rPr>
          <t>Indicate the mode of transportation at origin and destination.
Mode cannot begin with CY if there is a location listed as place of receipt.
Mode cannot end with CY if there is a location is listed as place of delivery</t>
        </r>
      </text>
    </comment>
    <comment ref="G41" authorId="2" shapeId="0" xr:uid="{00000000-0006-0000-1400-000013000000}">
      <text>
        <r>
          <rPr>
            <b/>
            <sz val="14"/>
            <color indexed="81"/>
            <rFont val="Tahoma"/>
            <family val="2"/>
          </rPr>
          <t>Indicate whether or not door service is included at origin and destination</t>
        </r>
      </text>
    </comment>
    <comment ref="O41" authorId="2" shapeId="0" xr:uid="{00000000-0006-0000-1400-000014000000}">
      <text>
        <r>
          <rPr>
            <b/>
            <sz val="14"/>
            <color indexed="81"/>
            <rFont val="Tahoma"/>
            <family val="2"/>
          </rPr>
          <t>Use these columns for exceptions to surcharge applicability in note 2</t>
        </r>
      </text>
    </comment>
    <comment ref="AA41" authorId="2" shapeId="0" xr:uid="{00000000-0006-0000-1400-000015000000}">
      <text>
        <r>
          <rPr>
            <b/>
            <sz val="14"/>
            <color indexed="81"/>
            <rFont val="Tahoma"/>
            <family val="2"/>
          </rPr>
          <t>This field controls construction using Arbitraries and Inland Tariffs
Y = allowed in US, N = not allowed in US, 
E = allowed at origin, I = allowed at destination,
B = allowed at both origin and destination
X = not allowed at either origin or destination</t>
        </r>
      </text>
    </comment>
    <comment ref="A50" authorId="1" shapeId="0" xr:uid="{00000000-0006-0000-1400-000016000000}">
      <text>
        <r>
          <rPr>
            <b/>
            <sz val="14"/>
            <color indexed="81"/>
            <rFont val="Tahoma"/>
            <family val="2"/>
          </rPr>
          <t>Please use FAK/ Bullets defined above.</t>
        </r>
      </text>
    </comment>
    <comment ref="B50" authorId="1" shapeId="0" xr:uid="{00000000-0006-0000-1400-000017000000}">
      <text>
        <r>
          <rPr>
            <b/>
            <sz val="14"/>
            <color indexed="81"/>
            <rFont val="Tahoma"/>
            <family val="2"/>
          </rPr>
          <t>City, State / ZIP Code</t>
        </r>
      </text>
    </comment>
    <comment ref="C50" authorId="1" shapeId="0" xr:uid="{00000000-0006-0000-1400-000018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D50" authorId="1" shapeId="0" xr:uid="{00000000-0006-0000-1400-000019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E50" authorId="1" shapeId="0" xr:uid="{00000000-0006-0000-1400-00001A000000}">
      <text>
        <r>
          <rPr>
            <b/>
            <sz val="14"/>
            <color indexed="81"/>
            <rFont val="Tahoma"/>
            <family val="2"/>
          </rPr>
          <t>City, State / ZIP Code</t>
        </r>
      </text>
    </comment>
    <comment ref="F50" authorId="2" shapeId="0" xr:uid="{00000000-0006-0000-1400-00001B000000}">
      <text>
        <r>
          <rPr>
            <b/>
            <sz val="14"/>
            <color indexed="81"/>
            <rFont val="Tahoma"/>
            <family val="2"/>
          </rPr>
          <t>Indicate the mode of transportation at origin and destination.
Mode cannot begin with CY if there is a location listed as place of receipt.
Mode cannot end with CY if there is a location is listed as place of delivery</t>
        </r>
      </text>
    </comment>
    <comment ref="G50" authorId="2" shapeId="0" xr:uid="{00000000-0006-0000-1400-00001C000000}">
      <text>
        <r>
          <rPr>
            <b/>
            <sz val="14"/>
            <color indexed="81"/>
            <rFont val="Tahoma"/>
            <family val="2"/>
          </rPr>
          <t>Indicate whether or not door service is included at origin and destination</t>
        </r>
      </text>
    </comment>
    <comment ref="Q50" authorId="2" shapeId="0" xr:uid="{00000000-0006-0000-1400-00001D000000}">
      <text>
        <r>
          <rPr>
            <b/>
            <sz val="14"/>
            <color indexed="81"/>
            <rFont val="Tahoma"/>
            <family val="2"/>
          </rPr>
          <t>Use these columns for exceptions to surcharge applicability in note 2</t>
        </r>
      </text>
    </comment>
    <comment ref="AC50" authorId="2" shapeId="0" xr:uid="{00000000-0006-0000-1400-00001E000000}">
      <text>
        <r>
          <rPr>
            <b/>
            <sz val="14"/>
            <color indexed="81"/>
            <rFont val="Tahoma"/>
            <family val="2"/>
          </rPr>
          <t>This field controls construction using Arbitraries and Inland Tariffs
Y = allowed in US, N = not allowed in US, 
E = allowed at origin, I = allowed at destination,
B = allowed at both origin and destination
X = not allowed at either origin or destination</t>
        </r>
      </text>
    </comment>
    <comment ref="B67" authorId="2" shapeId="0" xr:uid="{00000000-0006-0000-1400-00001F000000}">
      <text>
        <r>
          <rPr>
            <b/>
            <sz val="14"/>
            <color indexed="81"/>
            <rFont val="Tahoma"/>
            <family val="2"/>
          </rPr>
          <t>Place of Origin - may be an outport for feeder (CY) arbitraries or an inland origin
Format is:  City, State or ZIP Code</t>
        </r>
      </text>
    </comment>
    <comment ref="E67" authorId="2" shapeId="0" xr:uid="{00000000-0006-0000-1400-000020000000}">
      <text>
        <r>
          <rPr>
            <b/>
            <sz val="14"/>
            <color indexed="81"/>
            <rFont val="Tahoma"/>
            <family val="2"/>
          </rPr>
          <t xml:space="preserve">Please use only one port or a group of ports (Port groups must be defined in the Port Group Codes table).
Arbitrary construction can only occur with rate conditions which show these ports as the POL.
</t>
        </r>
        <r>
          <rPr>
            <b/>
            <i/>
            <sz val="14"/>
            <color indexed="81"/>
            <rFont val="Tahoma"/>
            <family val="2"/>
          </rPr>
          <t>All ports must be valid SEA ports.</t>
        </r>
      </text>
    </comment>
    <comment ref="F67" authorId="2" shapeId="0" xr:uid="{00000000-0006-0000-1400-000021000000}">
      <text>
        <r>
          <rPr>
            <b/>
            <sz val="14"/>
            <color indexed="81"/>
            <rFont val="Tahoma"/>
            <family val="2"/>
          </rPr>
          <t>Indicate the mode of transportation between the arbitrary place of receipt and arbitrary POL.
CY modes can only be used when the mode of transportation is by Feeder.
Use of CY mode requires both the locations to be valid SEA ports.</t>
        </r>
      </text>
    </comment>
    <comment ref="G67" authorId="2" shapeId="0" xr:uid="{00000000-0006-0000-1400-000022000000}">
      <text>
        <r>
          <rPr>
            <b/>
            <sz val="14"/>
            <color indexed="81"/>
            <rFont val="Tahoma"/>
            <family val="2"/>
          </rPr>
          <t>Indicate whether or not door service is included in the arbitrary rate</t>
        </r>
      </text>
    </comment>
    <comment ref="H67" authorId="2" shapeId="0" xr:uid="{00000000-0006-0000-1400-000023000000}">
      <text>
        <r>
          <rPr>
            <b/>
            <sz val="14"/>
            <color indexed="81"/>
            <rFont val="Tahoma"/>
            <family val="2"/>
          </rPr>
          <t>Input the rate in this field when the same amount applies for all container sizes</t>
        </r>
      </text>
    </comment>
    <comment ref="N67" authorId="2" shapeId="0" xr:uid="{00000000-0006-0000-1400-000024000000}">
      <text>
        <r>
          <rPr>
            <b/>
            <sz val="14"/>
            <color indexed="81"/>
            <rFont val="Tahoma"/>
            <family val="2"/>
          </rPr>
          <t>Each Arbitrary applies only to FAK / Bullets as specifically listed in this field.</t>
        </r>
      </text>
    </comment>
    <comment ref="B82" authorId="2" shapeId="0" xr:uid="{00000000-0006-0000-1400-000025000000}">
      <text>
        <r>
          <rPr>
            <b/>
            <sz val="14"/>
            <color indexed="81"/>
            <rFont val="Tahoma"/>
            <family val="2"/>
          </rPr>
          <t>Place of Destination - may be an outport for feeder (CY) arbitraries or an inland destination
Format is:  City, State or ZIP Code</t>
        </r>
      </text>
    </comment>
    <comment ref="E82" authorId="2" shapeId="0" xr:uid="{00000000-0006-0000-1400-000026000000}">
      <text>
        <r>
          <rPr>
            <b/>
            <sz val="14"/>
            <color indexed="81"/>
            <rFont val="Tahoma"/>
            <family val="2"/>
          </rPr>
          <t xml:space="preserve">Please use only one port or a group of ports (Port groups must be defined in the Port Group Codes table).
Arbitrary construction can only occur with rate conditions which show these ports as the POD.
</t>
        </r>
        <r>
          <rPr>
            <b/>
            <i/>
            <sz val="14"/>
            <color indexed="81"/>
            <rFont val="Tahoma"/>
            <family val="2"/>
          </rPr>
          <t>All ports must be valid SEA ports.</t>
        </r>
      </text>
    </comment>
    <comment ref="F82" authorId="2" shapeId="0" xr:uid="{00000000-0006-0000-1400-000027000000}">
      <text>
        <r>
          <rPr>
            <b/>
            <sz val="14"/>
            <color indexed="81"/>
            <rFont val="Tahoma"/>
            <family val="2"/>
          </rPr>
          <t>Indicate the mode of transportation between the arbitrary POD and arbitrary place of delivery.
CY modes can only be used when the mode of transportation is by Feeder.
Use of CY mode requires both the locations to be valid SEA ports.</t>
        </r>
      </text>
    </comment>
    <comment ref="G82" authorId="2" shapeId="0" xr:uid="{00000000-0006-0000-1400-000028000000}">
      <text>
        <r>
          <rPr>
            <b/>
            <sz val="14"/>
            <color indexed="81"/>
            <rFont val="Tahoma"/>
            <family val="2"/>
          </rPr>
          <t>Indicate whether or not door service is included in the arbitrary rate</t>
        </r>
      </text>
    </comment>
    <comment ref="H82" authorId="2" shapeId="0" xr:uid="{00000000-0006-0000-1400-000029000000}">
      <text>
        <r>
          <rPr>
            <b/>
            <sz val="14"/>
            <color indexed="81"/>
            <rFont val="Tahoma"/>
            <family val="2"/>
          </rPr>
          <t>Input the rate in this field when the same amount applies for all container sizes</t>
        </r>
      </text>
    </comment>
    <comment ref="N82" authorId="2" shapeId="0" xr:uid="{00000000-0006-0000-1400-00002A000000}">
      <text>
        <r>
          <rPr>
            <b/>
            <sz val="14"/>
            <color indexed="81"/>
            <rFont val="Tahoma"/>
            <family val="2"/>
          </rPr>
          <t>Each Arbitrary applies only to FAK / Bullets as specifically listed in this field.</t>
        </r>
      </text>
    </comment>
    <comment ref="L92" authorId="2" shapeId="0" xr:uid="{00000000-0006-0000-1400-00002B000000}">
      <text>
        <r>
          <rPr>
            <b/>
            <sz val="14"/>
            <color indexed="81"/>
            <rFont val="Tahoma"/>
            <family val="2"/>
          </rPr>
          <t>Surcharge applicability mentioned on any row applies specifically to the individual port mentioned in this field.
If the Applicable Port field is blank, then the  surcharge applicability stated on that row applies to all ports.</t>
        </r>
      </text>
    </comment>
    <comment ref="A180" authorId="2" shapeId="0" xr:uid="{00000000-0006-0000-1400-00002C000000}">
      <text>
        <r>
          <rPr>
            <sz val="12"/>
            <color indexed="81"/>
            <rFont val="Tahoma"/>
            <family val="2"/>
          </rPr>
          <t>Select the bullet for which the exception applies.
If exception applies to all bullets, select "ALL".</t>
        </r>
      </text>
    </comment>
    <comment ref="B180" authorId="2" shapeId="0" xr:uid="{00000000-0006-0000-1400-00002D000000}">
      <text>
        <r>
          <rPr>
            <sz val="12"/>
            <color indexed="81"/>
            <rFont val="Tahoma"/>
            <family val="2"/>
          </rPr>
          <t xml:space="preserve">Specify if Free Time condition applies to Export or Import:
</t>
        </r>
        <r>
          <rPr>
            <b/>
            <sz val="12"/>
            <color indexed="81"/>
            <rFont val="Tahoma"/>
            <family val="2"/>
          </rPr>
          <t xml:space="preserve">E </t>
        </r>
        <r>
          <rPr>
            <sz val="12"/>
            <color indexed="81"/>
            <rFont val="Tahoma"/>
            <family val="2"/>
          </rPr>
          <t xml:space="preserve">(Export) = applies at origin
</t>
        </r>
        <r>
          <rPr>
            <b/>
            <sz val="12"/>
            <color indexed="81"/>
            <rFont val="Tahoma"/>
            <family val="2"/>
          </rPr>
          <t xml:space="preserve">I </t>
        </r>
        <r>
          <rPr>
            <sz val="12"/>
            <color indexed="81"/>
            <rFont val="Tahoma"/>
            <family val="2"/>
          </rPr>
          <t>(Import) = applies at destination</t>
        </r>
      </text>
    </comment>
    <comment ref="C180" authorId="2" shapeId="0" xr:uid="{00000000-0006-0000-1400-00002E000000}">
      <text>
        <r>
          <rPr>
            <sz val="12"/>
            <color indexed="81"/>
            <rFont val="Tahoma"/>
            <family val="2"/>
          </rPr>
          <t>Enter Type of Free Time:</t>
        </r>
        <r>
          <rPr>
            <u/>
            <sz val="12"/>
            <color indexed="81"/>
            <rFont val="Tahoma"/>
            <family val="2"/>
          </rPr>
          <t xml:space="preserve">
</t>
        </r>
        <r>
          <rPr>
            <sz val="12"/>
            <color indexed="81"/>
            <rFont val="Tahoma"/>
            <family val="2"/>
          </rPr>
          <t xml:space="preserve">
</t>
        </r>
        <r>
          <rPr>
            <b/>
            <sz val="12"/>
            <color indexed="81"/>
            <rFont val="Tahoma"/>
            <family val="2"/>
          </rPr>
          <t>Detention
Demurrage
Merged</t>
        </r>
      </text>
    </comment>
    <comment ref="F180" authorId="2" shapeId="0" xr:uid="{00000000-0006-0000-1400-00002F000000}">
      <text>
        <r>
          <rPr>
            <sz val="12"/>
            <color indexed="81"/>
            <rFont val="Tahoma"/>
            <family val="2"/>
          </rPr>
          <t xml:space="preserve">Specify Equipment Type (blank field indicates applicability to all Eq Types):
</t>
        </r>
        <r>
          <rPr>
            <b/>
            <sz val="12"/>
            <color indexed="81"/>
            <rFont val="Tahoma"/>
            <family val="2"/>
          </rPr>
          <t>D</t>
        </r>
        <r>
          <rPr>
            <sz val="12"/>
            <color indexed="81"/>
            <rFont val="Tahoma"/>
            <family val="2"/>
          </rPr>
          <t xml:space="preserve"> = Dry
</t>
        </r>
        <r>
          <rPr>
            <b/>
            <sz val="12"/>
            <color indexed="81"/>
            <rFont val="Tahoma"/>
            <family val="2"/>
          </rPr>
          <t>R</t>
        </r>
        <r>
          <rPr>
            <sz val="12"/>
            <color indexed="81"/>
            <rFont val="Tahoma"/>
            <family val="2"/>
          </rPr>
          <t xml:space="preserve"> = Reefer
</t>
        </r>
        <r>
          <rPr>
            <b/>
            <sz val="12"/>
            <color indexed="81"/>
            <rFont val="Tahoma"/>
            <family val="2"/>
          </rPr>
          <t>OT</t>
        </r>
        <r>
          <rPr>
            <sz val="12"/>
            <color indexed="81"/>
            <rFont val="Tahoma"/>
            <family val="2"/>
          </rPr>
          <t xml:space="preserve"> = Open Top
</t>
        </r>
        <r>
          <rPr>
            <b/>
            <sz val="12"/>
            <color indexed="81"/>
            <rFont val="Tahoma"/>
            <family val="2"/>
          </rPr>
          <t>FR</t>
        </r>
        <r>
          <rPr>
            <sz val="12"/>
            <color indexed="81"/>
            <rFont val="Tahoma"/>
            <family val="2"/>
          </rPr>
          <t xml:space="preserve"> = Flat Rack</t>
        </r>
      </text>
    </comment>
    <comment ref="G180" authorId="2" shapeId="0" xr:uid="{00000000-0006-0000-1400-000030000000}">
      <text>
        <r>
          <rPr>
            <sz val="12"/>
            <color indexed="81"/>
            <rFont val="Tahoma"/>
            <family val="2"/>
          </rPr>
          <t>Select "OR" from the drop down list if condition applies to Operating Reefers</t>
        </r>
      </text>
    </comment>
    <comment ref="H180" authorId="2" shapeId="0" xr:uid="{00000000-0006-0000-1400-000031000000}">
      <text>
        <r>
          <rPr>
            <sz val="12"/>
            <color indexed="81"/>
            <rFont val="Tahoma"/>
            <family val="2"/>
          </rPr>
          <t xml:space="preserve">Specify the Place of Receipt if necessary.  </t>
        </r>
        <r>
          <rPr>
            <u/>
            <sz val="12"/>
            <color indexed="81"/>
            <rFont val="Tahoma"/>
            <family val="2"/>
          </rPr>
          <t>Do not</t>
        </r>
        <r>
          <rPr>
            <sz val="12"/>
            <color indexed="81"/>
            <rFont val="Tahoma"/>
            <family val="2"/>
          </rPr>
          <t xml:space="preserve"> use "ALL".
Only 1 location may be entered per row.</t>
        </r>
      </text>
    </comment>
    <comment ref="I180" authorId="2" shapeId="0" xr:uid="{00000000-0006-0000-1400-000032000000}">
      <text>
        <r>
          <rPr>
            <sz val="12"/>
            <color indexed="81"/>
            <rFont val="Tahoma"/>
            <family val="2"/>
          </rPr>
          <t xml:space="preserve">Enter the POL if necessary.  </t>
        </r>
        <r>
          <rPr>
            <u/>
            <sz val="12"/>
            <color indexed="81"/>
            <rFont val="Tahoma"/>
            <family val="2"/>
          </rPr>
          <t>Do not</t>
        </r>
        <r>
          <rPr>
            <sz val="12"/>
            <color indexed="81"/>
            <rFont val="Tahoma"/>
            <family val="2"/>
          </rPr>
          <t xml:space="preserve"> use "ALL".
Only 1 location is allowed per row and must be a valid seaport.</t>
        </r>
      </text>
    </comment>
    <comment ref="J180" authorId="2" shapeId="0" xr:uid="{00000000-0006-0000-1400-000033000000}">
      <text>
        <r>
          <rPr>
            <sz val="12"/>
            <color indexed="81"/>
            <rFont val="Tahoma"/>
            <family val="2"/>
          </rPr>
          <t xml:space="preserve">Enter the POD if necessary.  </t>
        </r>
        <r>
          <rPr>
            <u/>
            <sz val="12"/>
            <color indexed="81"/>
            <rFont val="Tahoma"/>
            <family val="2"/>
          </rPr>
          <t>Do not</t>
        </r>
        <r>
          <rPr>
            <sz val="12"/>
            <color indexed="81"/>
            <rFont val="Tahoma"/>
            <family val="2"/>
          </rPr>
          <t xml:space="preserve"> use "ALL".
Only 1 location is allowed per row and must be a valid seaport.</t>
        </r>
      </text>
    </comment>
    <comment ref="K180" authorId="2" shapeId="0" xr:uid="{00000000-0006-0000-1400-000034000000}">
      <text>
        <r>
          <rPr>
            <sz val="12"/>
            <color indexed="81"/>
            <rFont val="Tahoma"/>
            <family val="2"/>
          </rPr>
          <t xml:space="preserve">Specify the Place of Delivery if necessary.  </t>
        </r>
        <r>
          <rPr>
            <u/>
            <sz val="12"/>
            <color indexed="81"/>
            <rFont val="Tahoma"/>
            <family val="2"/>
          </rPr>
          <t>Do not</t>
        </r>
        <r>
          <rPr>
            <sz val="12"/>
            <color indexed="81"/>
            <rFont val="Tahoma"/>
            <family val="2"/>
          </rPr>
          <t xml:space="preserve"> use "ALL".
Only 1 location may be entered per row.</t>
        </r>
      </text>
    </comment>
    <comment ref="L180" authorId="3" shapeId="0" xr:uid="{E17A5E00-AC49-41BF-A291-6EF4D3CF640B}">
      <text>
        <r>
          <rPr>
            <sz val="12"/>
            <color indexed="81"/>
            <rFont val="Tahoma"/>
            <family val="2"/>
          </rPr>
          <t xml:space="preserve">Enter the Country Code ONLY.  </t>
        </r>
        <r>
          <rPr>
            <u/>
            <sz val="12"/>
            <color indexed="81"/>
            <rFont val="Tahoma"/>
            <family val="2"/>
          </rPr>
          <t>Cannot</t>
        </r>
        <r>
          <rPr>
            <sz val="12"/>
            <color indexed="81"/>
            <rFont val="Tahoma"/>
            <family val="2"/>
          </rPr>
          <t xml:space="preserve"> use "ALL" or country name</t>
        </r>
      </text>
    </comment>
    <comment ref="M180" authorId="2" shapeId="0" xr:uid="{00000000-0006-0000-1400-000035000000}">
      <text>
        <r>
          <rPr>
            <sz val="12"/>
            <color indexed="81"/>
            <rFont val="Tahoma"/>
            <family val="2"/>
          </rPr>
          <t xml:space="preserve">Enter additional notes only when absolutely necessary.  
</t>
        </r>
        <r>
          <rPr>
            <u/>
            <sz val="12"/>
            <color indexed="81"/>
            <rFont val="Tahoma"/>
            <family val="2"/>
          </rPr>
          <t>IMPORTANT</t>
        </r>
        <r>
          <rPr>
            <sz val="12"/>
            <color indexed="81"/>
            <rFont val="Tahoma"/>
            <family val="2"/>
          </rPr>
          <t xml:space="preserve">:  Named accounts and specific commodities </t>
        </r>
        <r>
          <rPr>
            <b/>
            <u/>
            <sz val="12"/>
            <color indexed="81"/>
            <rFont val="Tahoma"/>
            <family val="2"/>
          </rPr>
          <t>may not</t>
        </r>
        <r>
          <rPr>
            <sz val="12"/>
            <color indexed="81"/>
            <rFont val="Tahoma"/>
            <family val="2"/>
          </rPr>
          <t xml:space="preserve"> be listed as Notes.</t>
        </r>
      </text>
    </comment>
    <comment ref="A193" authorId="2" shapeId="0" xr:uid="{D23D87AF-A595-44F4-9F4D-AA96ED3A5ED6}">
      <text>
        <r>
          <rPr>
            <sz val="12"/>
            <color indexed="81"/>
            <rFont val="Tahoma"/>
            <family val="2"/>
          </rPr>
          <t>Select the bullet for which the exception applies.
If exception applies to all bullets, select "ALL".</t>
        </r>
      </text>
    </comment>
    <comment ref="B193" authorId="2" shapeId="0" xr:uid="{5201BC05-AD8E-4444-A965-309C2CDD3AFD}">
      <text>
        <r>
          <rPr>
            <sz val="12"/>
            <color indexed="81"/>
            <rFont val="Tahoma"/>
            <family val="2"/>
          </rPr>
          <t xml:space="preserve">Specify if Free Time condition applies to Export or Import:
</t>
        </r>
        <r>
          <rPr>
            <b/>
            <sz val="12"/>
            <color indexed="81"/>
            <rFont val="Tahoma"/>
            <family val="2"/>
          </rPr>
          <t xml:space="preserve">E </t>
        </r>
        <r>
          <rPr>
            <sz val="12"/>
            <color indexed="81"/>
            <rFont val="Tahoma"/>
            <family val="2"/>
          </rPr>
          <t xml:space="preserve">(Export) = applies at origin
</t>
        </r>
        <r>
          <rPr>
            <b/>
            <sz val="12"/>
            <color indexed="81"/>
            <rFont val="Tahoma"/>
            <family val="2"/>
          </rPr>
          <t xml:space="preserve">I </t>
        </r>
        <r>
          <rPr>
            <sz val="12"/>
            <color indexed="81"/>
            <rFont val="Tahoma"/>
            <family val="2"/>
          </rPr>
          <t>(Import) = applies at destination</t>
        </r>
      </text>
    </comment>
    <comment ref="C193" authorId="2" shapeId="0" xr:uid="{125CAA2E-6278-4588-AA12-7A6F5D564897}">
      <text>
        <r>
          <rPr>
            <sz val="12"/>
            <color indexed="81"/>
            <rFont val="Tahoma"/>
            <family val="2"/>
          </rPr>
          <t>Enter Type of Free Time:</t>
        </r>
        <r>
          <rPr>
            <u/>
            <sz val="12"/>
            <color indexed="81"/>
            <rFont val="Tahoma"/>
            <family val="2"/>
          </rPr>
          <t xml:space="preserve">
</t>
        </r>
        <r>
          <rPr>
            <sz val="12"/>
            <color indexed="81"/>
            <rFont val="Tahoma"/>
            <family val="2"/>
          </rPr>
          <t xml:space="preserve">
</t>
        </r>
        <r>
          <rPr>
            <b/>
            <sz val="12"/>
            <color indexed="81"/>
            <rFont val="Tahoma"/>
            <family val="2"/>
          </rPr>
          <t>Detention
Demurrage
Merged</t>
        </r>
      </text>
    </comment>
    <comment ref="F193" authorId="2" shapeId="0" xr:uid="{5B751D7A-5368-4426-BB36-C179988790D8}">
      <text>
        <r>
          <rPr>
            <sz val="12"/>
            <color indexed="81"/>
            <rFont val="Tahoma"/>
            <family val="2"/>
          </rPr>
          <t>If any exceptional charges are offered, then the currency is required to be shown.</t>
        </r>
      </text>
    </comment>
    <comment ref="W193" authorId="2" shapeId="0" xr:uid="{ADD89A09-B757-436E-AE44-A068106D76D3}">
      <text>
        <r>
          <rPr>
            <sz val="12"/>
            <color indexed="81"/>
            <rFont val="Tahoma"/>
            <family val="2"/>
          </rPr>
          <t xml:space="preserve">Specify Equipment Type (blank field indicates applicability to all Eq Types):
</t>
        </r>
        <r>
          <rPr>
            <b/>
            <sz val="12"/>
            <color indexed="81"/>
            <rFont val="Tahoma"/>
            <family val="2"/>
          </rPr>
          <t>D</t>
        </r>
        <r>
          <rPr>
            <sz val="12"/>
            <color indexed="81"/>
            <rFont val="Tahoma"/>
            <family val="2"/>
          </rPr>
          <t xml:space="preserve"> = Dry
</t>
        </r>
        <r>
          <rPr>
            <b/>
            <sz val="12"/>
            <color indexed="81"/>
            <rFont val="Tahoma"/>
            <family val="2"/>
          </rPr>
          <t>R</t>
        </r>
        <r>
          <rPr>
            <sz val="12"/>
            <color indexed="81"/>
            <rFont val="Tahoma"/>
            <family val="2"/>
          </rPr>
          <t xml:space="preserve"> = Reefer
</t>
        </r>
        <r>
          <rPr>
            <b/>
            <sz val="12"/>
            <color indexed="81"/>
            <rFont val="Tahoma"/>
            <family val="2"/>
          </rPr>
          <t>OT</t>
        </r>
        <r>
          <rPr>
            <sz val="12"/>
            <color indexed="81"/>
            <rFont val="Tahoma"/>
            <family val="2"/>
          </rPr>
          <t xml:space="preserve"> = Open Top
</t>
        </r>
        <r>
          <rPr>
            <b/>
            <sz val="12"/>
            <color indexed="81"/>
            <rFont val="Tahoma"/>
            <family val="2"/>
          </rPr>
          <t>FR</t>
        </r>
        <r>
          <rPr>
            <sz val="12"/>
            <color indexed="81"/>
            <rFont val="Tahoma"/>
            <family val="2"/>
          </rPr>
          <t xml:space="preserve"> = Flat Rack</t>
        </r>
      </text>
    </comment>
    <comment ref="X193" authorId="2" shapeId="0" xr:uid="{DA9B36C0-A6CB-4F83-96C6-8F2063CF8EE8}">
      <text>
        <r>
          <rPr>
            <sz val="12"/>
            <color indexed="81"/>
            <rFont val="Tahoma"/>
            <family val="2"/>
          </rPr>
          <t>Select "OR" from the drop down list if condition applies to Operating Reefers</t>
        </r>
      </text>
    </comment>
    <comment ref="Y193" authorId="2" shapeId="0" xr:uid="{9385C1EB-4D21-4FE9-9522-C94DA14736B7}">
      <text>
        <r>
          <rPr>
            <sz val="12"/>
            <color indexed="81"/>
            <rFont val="Tahoma"/>
            <family val="2"/>
          </rPr>
          <t xml:space="preserve">Specify the Place of Receipt if necessary.  </t>
        </r>
        <r>
          <rPr>
            <u/>
            <sz val="12"/>
            <color indexed="81"/>
            <rFont val="Tahoma"/>
            <family val="2"/>
          </rPr>
          <t>Do not</t>
        </r>
        <r>
          <rPr>
            <sz val="12"/>
            <color indexed="81"/>
            <rFont val="Tahoma"/>
            <family val="2"/>
          </rPr>
          <t xml:space="preserve"> use "ALL".
Only 1 location may be entered per row.</t>
        </r>
      </text>
    </comment>
    <comment ref="Z193" authorId="2" shapeId="0" xr:uid="{33778843-12CA-4495-AAB1-9AF41A3E638E}">
      <text>
        <r>
          <rPr>
            <sz val="12"/>
            <color indexed="81"/>
            <rFont val="Tahoma"/>
            <family val="2"/>
          </rPr>
          <t xml:space="preserve">Enter the POL if necessary.  </t>
        </r>
        <r>
          <rPr>
            <u/>
            <sz val="12"/>
            <color indexed="81"/>
            <rFont val="Tahoma"/>
            <family val="2"/>
          </rPr>
          <t>Do not</t>
        </r>
        <r>
          <rPr>
            <sz val="12"/>
            <color indexed="81"/>
            <rFont val="Tahoma"/>
            <family val="2"/>
          </rPr>
          <t xml:space="preserve"> use "ALL".
Only 1 location is allowed per row and must be a valid seaport.</t>
        </r>
      </text>
    </comment>
    <comment ref="AA193" authorId="2" shapeId="0" xr:uid="{95004022-C1F6-49E5-BA1F-9F09844A5AE0}">
      <text>
        <r>
          <rPr>
            <sz val="12"/>
            <color indexed="81"/>
            <rFont val="Tahoma"/>
            <family val="2"/>
          </rPr>
          <t xml:space="preserve">Enter the POD if necessary.  </t>
        </r>
        <r>
          <rPr>
            <u/>
            <sz val="12"/>
            <color indexed="81"/>
            <rFont val="Tahoma"/>
            <family val="2"/>
          </rPr>
          <t>Do not</t>
        </r>
        <r>
          <rPr>
            <sz val="12"/>
            <color indexed="81"/>
            <rFont val="Tahoma"/>
            <family val="2"/>
          </rPr>
          <t xml:space="preserve"> use "ALL".
Only 1 location is allowed per row and must be a valid seaport.</t>
        </r>
      </text>
    </comment>
    <comment ref="AB193" authorId="2" shapeId="0" xr:uid="{7F2D7047-76F1-492F-8E52-398C081EB3C4}">
      <text>
        <r>
          <rPr>
            <sz val="12"/>
            <color indexed="81"/>
            <rFont val="Tahoma"/>
            <family val="2"/>
          </rPr>
          <t xml:space="preserve">Specify the Place of Delivery if necessary.  </t>
        </r>
        <r>
          <rPr>
            <u/>
            <sz val="12"/>
            <color indexed="81"/>
            <rFont val="Tahoma"/>
            <family val="2"/>
          </rPr>
          <t>Do not</t>
        </r>
        <r>
          <rPr>
            <sz val="12"/>
            <color indexed="81"/>
            <rFont val="Tahoma"/>
            <family val="2"/>
          </rPr>
          <t xml:space="preserve"> use "ALL".
Only 1 location may be entered per row.</t>
        </r>
      </text>
    </comment>
    <comment ref="AC193" authorId="3" shapeId="0" xr:uid="{13F8C109-B5E0-42FE-B160-D6BA12CF3DC9}">
      <text>
        <r>
          <rPr>
            <sz val="12"/>
            <color indexed="81"/>
            <rFont val="Tahoma"/>
            <family val="2"/>
          </rPr>
          <t xml:space="preserve">Enter the Country Code ONLY.  </t>
        </r>
        <r>
          <rPr>
            <u/>
            <sz val="12"/>
            <color indexed="81"/>
            <rFont val="Tahoma"/>
            <family val="2"/>
          </rPr>
          <t>Cannot</t>
        </r>
        <r>
          <rPr>
            <sz val="12"/>
            <color indexed="81"/>
            <rFont val="Tahoma"/>
            <family val="2"/>
          </rPr>
          <t xml:space="preserve"> use "ALL" or country name</t>
        </r>
      </text>
    </comment>
    <comment ref="AD193" authorId="2" shapeId="0" xr:uid="{189E0BE1-33C7-451E-A8A5-3B64D526E365}">
      <text>
        <r>
          <rPr>
            <sz val="12"/>
            <color indexed="81"/>
            <rFont val="Tahoma"/>
            <family val="2"/>
          </rPr>
          <t xml:space="preserve">Enter additional notes only when absolutely necessary.  
</t>
        </r>
        <r>
          <rPr>
            <u/>
            <sz val="12"/>
            <color indexed="81"/>
            <rFont val="Tahoma"/>
            <family val="2"/>
          </rPr>
          <t>IMPORTANT</t>
        </r>
        <r>
          <rPr>
            <sz val="12"/>
            <color indexed="81"/>
            <rFont val="Tahoma"/>
            <family val="2"/>
          </rPr>
          <t xml:space="preserve">:  Named accounts and specific commodities </t>
        </r>
        <r>
          <rPr>
            <b/>
            <u/>
            <sz val="12"/>
            <color indexed="81"/>
            <rFont val="Tahoma"/>
            <family val="2"/>
          </rPr>
          <t>may not</t>
        </r>
        <r>
          <rPr>
            <sz val="12"/>
            <color indexed="81"/>
            <rFont val="Tahoma"/>
            <family val="2"/>
          </rPr>
          <t xml:space="preserve"> be listed as Notes.</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ext.obouge</author>
    <author>William MALLOL</author>
    <author>usa.gewan</author>
    <author>GENDER Charlie - NOR</author>
  </authors>
  <commentList>
    <comment ref="B13" authorId="0" shapeId="0" xr:uid="{00000000-0006-0000-1500-000001000000}">
      <text>
        <r>
          <rPr>
            <b/>
            <sz val="12"/>
            <color indexed="81"/>
            <rFont val="Tahoma"/>
            <family val="2"/>
          </rPr>
          <t>Please use comma to separate commodities.</t>
        </r>
      </text>
    </comment>
    <comment ref="A20" authorId="1" shapeId="0" xr:uid="{00000000-0006-0000-1500-000002000000}">
      <text>
        <r>
          <rPr>
            <b/>
            <sz val="14"/>
            <color indexed="81"/>
            <rFont val="Tahoma"/>
            <family val="2"/>
          </rPr>
          <t>Port Group Codes can be used to group any two or more valid seaports that are common rated.
Port Group Codes cannot be used for inland locations.</t>
        </r>
      </text>
    </comment>
    <comment ref="B20" authorId="0" shapeId="0" xr:uid="{00000000-0006-0000-1500-000003000000}">
      <text>
        <r>
          <rPr>
            <b/>
            <sz val="14"/>
            <color indexed="81"/>
            <rFont val="Tahoma"/>
            <family val="2"/>
          </rPr>
          <t>Please use comma to separate ports.
Only valid sea ports may be included.</t>
        </r>
      </text>
    </comment>
    <comment ref="A30" authorId="1" shapeId="0" xr:uid="{00000000-0006-0000-1500-000004000000}">
      <text>
        <r>
          <rPr>
            <b/>
            <sz val="14"/>
            <color indexed="81"/>
            <rFont val="Tahoma"/>
            <family val="2"/>
          </rPr>
          <t>Please use FAK/ Bullets defined above.</t>
        </r>
      </text>
    </comment>
    <comment ref="B30" authorId="1" shapeId="0" xr:uid="{00000000-0006-0000-1500-000005000000}">
      <text>
        <r>
          <rPr>
            <b/>
            <sz val="14"/>
            <color indexed="81"/>
            <rFont val="Tahoma"/>
            <family val="2"/>
          </rPr>
          <t>City, State / ZIP Code</t>
        </r>
      </text>
    </comment>
    <comment ref="C30" authorId="1" shapeId="0" xr:uid="{00000000-0006-0000-1500-000006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D30" authorId="1" shapeId="0" xr:uid="{00000000-0006-0000-1500-000007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E30" authorId="1" shapeId="0" xr:uid="{00000000-0006-0000-1500-000008000000}">
      <text>
        <r>
          <rPr>
            <b/>
            <sz val="14"/>
            <color indexed="81"/>
            <rFont val="Tahoma"/>
            <family val="2"/>
          </rPr>
          <t>City, State / ZIP Code</t>
        </r>
      </text>
    </comment>
    <comment ref="F30" authorId="2" shapeId="0" xr:uid="{00000000-0006-0000-1500-000009000000}">
      <text>
        <r>
          <rPr>
            <b/>
            <sz val="14"/>
            <color indexed="81"/>
            <rFont val="Tahoma"/>
            <family val="2"/>
          </rPr>
          <t>Indicate the mode of transportation at origin and destination.
Mode cannot begin with CY if there is a location listed as place of receipt.
Mode cannot end with CY if there is a location is listed as place of delivery</t>
        </r>
      </text>
    </comment>
    <comment ref="G30" authorId="2" shapeId="0" xr:uid="{00000000-0006-0000-1500-00000A000000}">
      <text>
        <r>
          <rPr>
            <b/>
            <sz val="14"/>
            <color indexed="81"/>
            <rFont val="Tahoma"/>
            <family val="2"/>
          </rPr>
          <t>Indicate whether or not door service is included at origin and destination</t>
        </r>
      </text>
    </comment>
    <comment ref="M30" authorId="2" shapeId="0" xr:uid="{00000000-0006-0000-1500-00000B000000}">
      <text>
        <r>
          <rPr>
            <b/>
            <sz val="14"/>
            <color indexed="81"/>
            <rFont val="Tahoma"/>
            <family val="2"/>
          </rPr>
          <t>Use these columns for exceptions to surcharge applicability in note 2</t>
        </r>
      </text>
    </comment>
    <comment ref="AA30" authorId="2" shapeId="0" xr:uid="{00000000-0006-0000-1500-00000C000000}">
      <text>
        <r>
          <rPr>
            <b/>
            <sz val="14"/>
            <color indexed="81"/>
            <rFont val="Tahoma"/>
            <family val="2"/>
          </rPr>
          <t>This field controls construction using Arbitraries and Inland Tariffs
Y = allowed in US, N = not allowed in US, 
E = allowed at origin, I = allowed at destination,
B = allowed at both origin and destination
X = not allowed at either origin or destination</t>
        </r>
      </text>
    </comment>
    <comment ref="A39" authorId="1" shapeId="0" xr:uid="{00000000-0006-0000-1500-00000D000000}">
      <text>
        <r>
          <rPr>
            <b/>
            <sz val="14"/>
            <color indexed="81"/>
            <rFont val="Tahoma"/>
            <family val="2"/>
          </rPr>
          <t>Please use FAK/ Bullets defined above.</t>
        </r>
      </text>
    </comment>
    <comment ref="B39" authorId="1" shapeId="0" xr:uid="{00000000-0006-0000-1500-00000E000000}">
      <text>
        <r>
          <rPr>
            <b/>
            <sz val="14"/>
            <color indexed="81"/>
            <rFont val="Tahoma"/>
            <family val="2"/>
          </rPr>
          <t>City, State / ZIP Code</t>
        </r>
      </text>
    </comment>
    <comment ref="C39" authorId="1" shapeId="0" xr:uid="{00000000-0006-0000-1500-00000F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D39" authorId="1" shapeId="0" xr:uid="{00000000-0006-0000-1500-000010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E39" authorId="1" shapeId="0" xr:uid="{00000000-0006-0000-1500-000011000000}">
      <text>
        <r>
          <rPr>
            <b/>
            <sz val="14"/>
            <color indexed="81"/>
            <rFont val="Tahoma"/>
            <family val="2"/>
          </rPr>
          <t>City, State / ZIP Code</t>
        </r>
      </text>
    </comment>
    <comment ref="F39" authorId="2" shapeId="0" xr:uid="{00000000-0006-0000-1500-000012000000}">
      <text>
        <r>
          <rPr>
            <b/>
            <sz val="14"/>
            <color indexed="81"/>
            <rFont val="Tahoma"/>
            <family val="2"/>
          </rPr>
          <t>Indicate the mode of transportation at origin and destination.
Mode cannot begin with CY if there is a location listed as place of receipt.
Mode cannot end with CY if there is a location is listed as place of delivery</t>
        </r>
      </text>
    </comment>
    <comment ref="G39" authorId="2" shapeId="0" xr:uid="{00000000-0006-0000-1500-000013000000}">
      <text>
        <r>
          <rPr>
            <b/>
            <sz val="14"/>
            <color indexed="81"/>
            <rFont val="Tahoma"/>
            <family val="2"/>
          </rPr>
          <t>Indicate whether or not door service is included at origin and destination</t>
        </r>
      </text>
    </comment>
    <comment ref="O39" authorId="2" shapeId="0" xr:uid="{00000000-0006-0000-1500-000014000000}">
      <text>
        <r>
          <rPr>
            <b/>
            <sz val="14"/>
            <color indexed="81"/>
            <rFont val="Tahoma"/>
            <family val="2"/>
          </rPr>
          <t>Use these columns for exceptions to surcharge applicability in note 2</t>
        </r>
      </text>
    </comment>
    <comment ref="AA39" authorId="2" shapeId="0" xr:uid="{00000000-0006-0000-1500-000015000000}">
      <text>
        <r>
          <rPr>
            <b/>
            <sz val="14"/>
            <color indexed="81"/>
            <rFont val="Tahoma"/>
            <family val="2"/>
          </rPr>
          <t>This field controls construction using Arbitraries and Inland Tariffs
Y = allowed in US, N = not allowed in US, 
E = allowed at origin, I = allowed at destination,
B = allowed at both origin and destination
X = not allowed at either origin or destination</t>
        </r>
      </text>
    </comment>
    <comment ref="A48" authorId="1" shapeId="0" xr:uid="{00000000-0006-0000-1500-000016000000}">
      <text>
        <r>
          <rPr>
            <b/>
            <sz val="14"/>
            <color indexed="81"/>
            <rFont val="Tahoma"/>
            <family val="2"/>
          </rPr>
          <t>Please use FAK/ Bullets defined above.</t>
        </r>
      </text>
    </comment>
    <comment ref="B48" authorId="1" shapeId="0" xr:uid="{00000000-0006-0000-1500-000017000000}">
      <text>
        <r>
          <rPr>
            <b/>
            <sz val="14"/>
            <color indexed="81"/>
            <rFont val="Tahoma"/>
            <family val="2"/>
          </rPr>
          <t>City, State / ZIP Code</t>
        </r>
      </text>
    </comment>
    <comment ref="C48" authorId="1" shapeId="0" xr:uid="{00000000-0006-0000-1500-000018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D48" authorId="1" shapeId="0" xr:uid="{00000000-0006-0000-1500-000019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E48" authorId="1" shapeId="0" xr:uid="{00000000-0006-0000-1500-00001A000000}">
      <text>
        <r>
          <rPr>
            <b/>
            <sz val="14"/>
            <color indexed="81"/>
            <rFont val="Tahoma"/>
            <family val="2"/>
          </rPr>
          <t>City, State / ZIP Code</t>
        </r>
      </text>
    </comment>
    <comment ref="F48" authorId="2" shapeId="0" xr:uid="{00000000-0006-0000-1500-00001B000000}">
      <text>
        <r>
          <rPr>
            <b/>
            <sz val="14"/>
            <color indexed="81"/>
            <rFont val="Tahoma"/>
            <family val="2"/>
          </rPr>
          <t>Indicate the mode of transportation at origin and destination.
Mode cannot begin with CY if there is a location listed as place of receipt.
Mode cannot end with CY if there is a location is listed as place of delivery</t>
        </r>
      </text>
    </comment>
    <comment ref="G48" authorId="2" shapeId="0" xr:uid="{00000000-0006-0000-1500-00001C000000}">
      <text>
        <r>
          <rPr>
            <b/>
            <sz val="14"/>
            <color indexed="81"/>
            <rFont val="Tahoma"/>
            <family val="2"/>
          </rPr>
          <t>Indicate whether or not door service is included at origin and destination</t>
        </r>
      </text>
    </comment>
    <comment ref="Q48" authorId="2" shapeId="0" xr:uid="{00000000-0006-0000-1500-00001D000000}">
      <text>
        <r>
          <rPr>
            <b/>
            <sz val="14"/>
            <color indexed="81"/>
            <rFont val="Tahoma"/>
            <family val="2"/>
          </rPr>
          <t>Use these columns for exceptions to surcharge applicability in note 2</t>
        </r>
      </text>
    </comment>
    <comment ref="AC48" authorId="2" shapeId="0" xr:uid="{00000000-0006-0000-1500-00001E000000}">
      <text>
        <r>
          <rPr>
            <b/>
            <sz val="14"/>
            <color indexed="81"/>
            <rFont val="Tahoma"/>
            <family val="2"/>
          </rPr>
          <t>This field controls construction using Arbitraries and Inland Tariffs
Y = allowed in US, N = not allowed in US, 
E = allowed at origin, I = allowed at destination,
B = allowed at both origin and destination
X = not allowed at either origin or destination</t>
        </r>
      </text>
    </comment>
    <comment ref="B65" authorId="2" shapeId="0" xr:uid="{00000000-0006-0000-1500-00001F000000}">
      <text>
        <r>
          <rPr>
            <b/>
            <sz val="14"/>
            <color indexed="81"/>
            <rFont val="Tahoma"/>
            <family val="2"/>
          </rPr>
          <t>Place of Origin - may be an outport for feeder (CY) arbitraries or an inland origin
Format is:  City, State or ZIP Code</t>
        </r>
      </text>
    </comment>
    <comment ref="E65" authorId="2" shapeId="0" xr:uid="{00000000-0006-0000-1500-000020000000}">
      <text>
        <r>
          <rPr>
            <b/>
            <sz val="14"/>
            <color indexed="81"/>
            <rFont val="Tahoma"/>
            <family val="2"/>
          </rPr>
          <t xml:space="preserve">Please use only one port or a group of ports (Port groups must be defined in the Port Group Codes table).
Arbitrary construction can only occur with rate conditions which show these ports as the POL.
</t>
        </r>
        <r>
          <rPr>
            <b/>
            <i/>
            <sz val="14"/>
            <color indexed="81"/>
            <rFont val="Tahoma"/>
            <family val="2"/>
          </rPr>
          <t>All ports must be valid SEA ports.</t>
        </r>
      </text>
    </comment>
    <comment ref="F65" authorId="2" shapeId="0" xr:uid="{00000000-0006-0000-1500-000021000000}">
      <text>
        <r>
          <rPr>
            <b/>
            <sz val="14"/>
            <color indexed="81"/>
            <rFont val="Tahoma"/>
            <family val="2"/>
          </rPr>
          <t>Indicate the mode of transportation between the arbitrary place of receipt and arbitrary POL.
CY modes can only be used when the mode of transportation is by Feeder.
Use of CY mode requires both the locations to be valid SEA ports.</t>
        </r>
      </text>
    </comment>
    <comment ref="G65" authorId="2" shapeId="0" xr:uid="{00000000-0006-0000-1500-000022000000}">
      <text>
        <r>
          <rPr>
            <b/>
            <sz val="14"/>
            <color indexed="81"/>
            <rFont val="Tahoma"/>
            <family val="2"/>
          </rPr>
          <t>Indicate whether or not door service is included in the arbitrary rate</t>
        </r>
      </text>
    </comment>
    <comment ref="H65" authorId="2" shapeId="0" xr:uid="{00000000-0006-0000-1500-000023000000}">
      <text>
        <r>
          <rPr>
            <b/>
            <sz val="14"/>
            <color indexed="81"/>
            <rFont val="Tahoma"/>
            <family val="2"/>
          </rPr>
          <t>Input the rate in this field when the same amount applies for all container sizes</t>
        </r>
      </text>
    </comment>
    <comment ref="N65" authorId="2" shapeId="0" xr:uid="{00000000-0006-0000-1500-000024000000}">
      <text>
        <r>
          <rPr>
            <b/>
            <sz val="14"/>
            <color indexed="81"/>
            <rFont val="Tahoma"/>
            <family val="2"/>
          </rPr>
          <t>Each Arbitrary applies only to FAK / Bullets as specifically listed in this field.</t>
        </r>
      </text>
    </comment>
    <comment ref="B80" authorId="2" shapeId="0" xr:uid="{00000000-0006-0000-1500-000025000000}">
      <text>
        <r>
          <rPr>
            <b/>
            <sz val="14"/>
            <color indexed="81"/>
            <rFont val="Tahoma"/>
            <family val="2"/>
          </rPr>
          <t>Place of Destination - may be an outport for feeder (CY) arbitraries or an inland destination
Format is:  City, State or ZIP Code</t>
        </r>
      </text>
    </comment>
    <comment ref="E80" authorId="2" shapeId="0" xr:uid="{00000000-0006-0000-1500-000026000000}">
      <text>
        <r>
          <rPr>
            <b/>
            <sz val="14"/>
            <color indexed="81"/>
            <rFont val="Tahoma"/>
            <family val="2"/>
          </rPr>
          <t xml:space="preserve">Please use only one port or a group of ports (Port groups must be defined in the Port Group Codes table).
Arbitrary construction can only occur with rate conditions which show these ports as the POD.
</t>
        </r>
        <r>
          <rPr>
            <b/>
            <i/>
            <sz val="14"/>
            <color indexed="81"/>
            <rFont val="Tahoma"/>
            <family val="2"/>
          </rPr>
          <t>All ports must be valid SEA ports.</t>
        </r>
      </text>
    </comment>
    <comment ref="F80" authorId="2" shapeId="0" xr:uid="{00000000-0006-0000-1500-000027000000}">
      <text>
        <r>
          <rPr>
            <b/>
            <sz val="14"/>
            <color indexed="81"/>
            <rFont val="Tahoma"/>
            <family val="2"/>
          </rPr>
          <t>Indicate the mode of transportation between the arbitrary POD and arbitrary place of delivery.
CY modes can only be used when the mode of transportation is by Feeder.
Use of CY mode requires both the locations to be valid SEA ports.</t>
        </r>
      </text>
    </comment>
    <comment ref="G80" authorId="2" shapeId="0" xr:uid="{00000000-0006-0000-1500-000028000000}">
      <text>
        <r>
          <rPr>
            <b/>
            <sz val="14"/>
            <color indexed="81"/>
            <rFont val="Tahoma"/>
            <family val="2"/>
          </rPr>
          <t>Indicate whether or not door service is included in the arbitrary rate</t>
        </r>
      </text>
    </comment>
    <comment ref="H80" authorId="2" shapeId="0" xr:uid="{00000000-0006-0000-1500-000029000000}">
      <text>
        <r>
          <rPr>
            <b/>
            <sz val="14"/>
            <color indexed="81"/>
            <rFont val="Tahoma"/>
            <family val="2"/>
          </rPr>
          <t>Input the rate in this field when the same amount applies for all container sizes</t>
        </r>
      </text>
    </comment>
    <comment ref="N80" authorId="2" shapeId="0" xr:uid="{00000000-0006-0000-1500-00002A000000}">
      <text>
        <r>
          <rPr>
            <b/>
            <sz val="14"/>
            <color indexed="81"/>
            <rFont val="Tahoma"/>
            <family val="2"/>
          </rPr>
          <t>Each Arbitrary applies only to FAK / Bullets as specifically listed in this field.</t>
        </r>
      </text>
    </comment>
    <comment ref="L90" authorId="2" shapeId="0" xr:uid="{00000000-0006-0000-1500-00002B000000}">
      <text>
        <r>
          <rPr>
            <b/>
            <sz val="14"/>
            <color indexed="81"/>
            <rFont val="Tahoma"/>
            <family val="2"/>
          </rPr>
          <t>Surcharge applicability mentioned on any row applies specifically to the individual port mentioned in this field.
If the Applicable Port field is blank, then the  surcharge applicability stated on that row applies to all ports.</t>
        </r>
      </text>
    </comment>
    <comment ref="A175" authorId="2" shapeId="0" xr:uid="{00000000-0006-0000-1500-00002C000000}">
      <text>
        <r>
          <rPr>
            <sz val="12"/>
            <color indexed="81"/>
            <rFont val="Tahoma"/>
            <family val="2"/>
          </rPr>
          <t>Select the bullet for which the exception applies.
If exception applies to all bullets, select "ALL".</t>
        </r>
      </text>
    </comment>
    <comment ref="B175" authorId="2" shapeId="0" xr:uid="{00000000-0006-0000-1500-00002D000000}">
      <text>
        <r>
          <rPr>
            <sz val="12"/>
            <color indexed="81"/>
            <rFont val="Tahoma"/>
            <family val="2"/>
          </rPr>
          <t xml:space="preserve">Specify if Free Time condition applies to Export or Import:
</t>
        </r>
        <r>
          <rPr>
            <b/>
            <sz val="12"/>
            <color indexed="81"/>
            <rFont val="Tahoma"/>
            <family val="2"/>
          </rPr>
          <t xml:space="preserve">E </t>
        </r>
        <r>
          <rPr>
            <sz val="12"/>
            <color indexed="81"/>
            <rFont val="Tahoma"/>
            <family val="2"/>
          </rPr>
          <t xml:space="preserve">(Export) = applies at origin
</t>
        </r>
        <r>
          <rPr>
            <b/>
            <sz val="12"/>
            <color indexed="81"/>
            <rFont val="Tahoma"/>
            <family val="2"/>
          </rPr>
          <t xml:space="preserve">I </t>
        </r>
        <r>
          <rPr>
            <sz val="12"/>
            <color indexed="81"/>
            <rFont val="Tahoma"/>
            <family val="2"/>
          </rPr>
          <t>(Import) = applies at destination</t>
        </r>
      </text>
    </comment>
    <comment ref="C175" authorId="2" shapeId="0" xr:uid="{00000000-0006-0000-1500-00002E000000}">
      <text>
        <r>
          <rPr>
            <sz val="12"/>
            <color indexed="81"/>
            <rFont val="Tahoma"/>
            <family val="2"/>
          </rPr>
          <t>Enter Type of Free Time:</t>
        </r>
        <r>
          <rPr>
            <u/>
            <sz val="12"/>
            <color indexed="81"/>
            <rFont val="Tahoma"/>
            <family val="2"/>
          </rPr>
          <t xml:space="preserve">
</t>
        </r>
        <r>
          <rPr>
            <sz val="12"/>
            <color indexed="81"/>
            <rFont val="Tahoma"/>
            <family val="2"/>
          </rPr>
          <t xml:space="preserve">
</t>
        </r>
        <r>
          <rPr>
            <b/>
            <sz val="12"/>
            <color indexed="81"/>
            <rFont val="Tahoma"/>
            <family val="2"/>
          </rPr>
          <t>Detention
Demurrage
Merged</t>
        </r>
      </text>
    </comment>
    <comment ref="F175" authorId="2" shapeId="0" xr:uid="{00000000-0006-0000-1500-00002F000000}">
      <text>
        <r>
          <rPr>
            <sz val="12"/>
            <color indexed="81"/>
            <rFont val="Tahoma"/>
            <family val="2"/>
          </rPr>
          <t xml:space="preserve">Specify Equipment Type (blank field indicates applicability to all Eq Types):
</t>
        </r>
        <r>
          <rPr>
            <b/>
            <sz val="12"/>
            <color indexed="81"/>
            <rFont val="Tahoma"/>
            <family val="2"/>
          </rPr>
          <t>D</t>
        </r>
        <r>
          <rPr>
            <sz val="12"/>
            <color indexed="81"/>
            <rFont val="Tahoma"/>
            <family val="2"/>
          </rPr>
          <t xml:space="preserve"> = Dry
</t>
        </r>
        <r>
          <rPr>
            <b/>
            <sz val="12"/>
            <color indexed="81"/>
            <rFont val="Tahoma"/>
            <family val="2"/>
          </rPr>
          <t>R</t>
        </r>
        <r>
          <rPr>
            <sz val="12"/>
            <color indexed="81"/>
            <rFont val="Tahoma"/>
            <family val="2"/>
          </rPr>
          <t xml:space="preserve"> = Reefer
</t>
        </r>
        <r>
          <rPr>
            <b/>
            <sz val="12"/>
            <color indexed="81"/>
            <rFont val="Tahoma"/>
            <family val="2"/>
          </rPr>
          <t>OT</t>
        </r>
        <r>
          <rPr>
            <sz val="12"/>
            <color indexed="81"/>
            <rFont val="Tahoma"/>
            <family val="2"/>
          </rPr>
          <t xml:space="preserve"> = Open Top
</t>
        </r>
        <r>
          <rPr>
            <b/>
            <sz val="12"/>
            <color indexed="81"/>
            <rFont val="Tahoma"/>
            <family val="2"/>
          </rPr>
          <t>FR</t>
        </r>
        <r>
          <rPr>
            <sz val="12"/>
            <color indexed="81"/>
            <rFont val="Tahoma"/>
            <family val="2"/>
          </rPr>
          <t xml:space="preserve"> = Flat Rack</t>
        </r>
      </text>
    </comment>
    <comment ref="G175" authorId="2" shapeId="0" xr:uid="{00000000-0006-0000-1500-000030000000}">
      <text>
        <r>
          <rPr>
            <sz val="12"/>
            <color indexed="81"/>
            <rFont val="Tahoma"/>
            <family val="2"/>
          </rPr>
          <t>Select "OR" from the drop down list if condition applies to Operating Reefers</t>
        </r>
      </text>
    </comment>
    <comment ref="H175" authorId="2" shapeId="0" xr:uid="{00000000-0006-0000-1500-000031000000}">
      <text>
        <r>
          <rPr>
            <sz val="12"/>
            <color indexed="81"/>
            <rFont val="Tahoma"/>
            <family val="2"/>
          </rPr>
          <t xml:space="preserve">Specify the Place of Receipt if necessary.  </t>
        </r>
        <r>
          <rPr>
            <u/>
            <sz val="12"/>
            <color indexed="81"/>
            <rFont val="Tahoma"/>
            <family val="2"/>
          </rPr>
          <t>Do not</t>
        </r>
        <r>
          <rPr>
            <sz val="12"/>
            <color indexed="81"/>
            <rFont val="Tahoma"/>
            <family val="2"/>
          </rPr>
          <t xml:space="preserve"> use "ALL".
Only 1 location may be entered per row.</t>
        </r>
      </text>
    </comment>
    <comment ref="I175" authorId="2" shapeId="0" xr:uid="{00000000-0006-0000-1500-000032000000}">
      <text>
        <r>
          <rPr>
            <sz val="12"/>
            <color indexed="81"/>
            <rFont val="Tahoma"/>
            <family val="2"/>
          </rPr>
          <t xml:space="preserve">Enter the POL if necessary.  </t>
        </r>
        <r>
          <rPr>
            <u/>
            <sz val="12"/>
            <color indexed="81"/>
            <rFont val="Tahoma"/>
            <family val="2"/>
          </rPr>
          <t>Do not</t>
        </r>
        <r>
          <rPr>
            <sz val="12"/>
            <color indexed="81"/>
            <rFont val="Tahoma"/>
            <family val="2"/>
          </rPr>
          <t xml:space="preserve"> use "ALL".
Only 1 location is allowed per row and must be a valid seaport.</t>
        </r>
      </text>
    </comment>
    <comment ref="J175" authorId="2" shapeId="0" xr:uid="{00000000-0006-0000-1500-000033000000}">
      <text>
        <r>
          <rPr>
            <sz val="12"/>
            <color indexed="81"/>
            <rFont val="Tahoma"/>
            <family val="2"/>
          </rPr>
          <t xml:space="preserve">Enter the POD if necessary.  </t>
        </r>
        <r>
          <rPr>
            <u/>
            <sz val="12"/>
            <color indexed="81"/>
            <rFont val="Tahoma"/>
            <family val="2"/>
          </rPr>
          <t>Do not</t>
        </r>
        <r>
          <rPr>
            <sz val="12"/>
            <color indexed="81"/>
            <rFont val="Tahoma"/>
            <family val="2"/>
          </rPr>
          <t xml:space="preserve"> use "ALL".
Only 1 location is allowed per row and must be a valid seaport.</t>
        </r>
      </text>
    </comment>
    <comment ref="K175" authorId="2" shapeId="0" xr:uid="{00000000-0006-0000-1500-000034000000}">
      <text>
        <r>
          <rPr>
            <sz val="12"/>
            <color indexed="81"/>
            <rFont val="Tahoma"/>
            <family val="2"/>
          </rPr>
          <t xml:space="preserve">Specify the Place of Delivery if necessary.  </t>
        </r>
        <r>
          <rPr>
            <u/>
            <sz val="12"/>
            <color indexed="81"/>
            <rFont val="Tahoma"/>
            <family val="2"/>
          </rPr>
          <t>Do not</t>
        </r>
        <r>
          <rPr>
            <sz val="12"/>
            <color indexed="81"/>
            <rFont val="Tahoma"/>
            <family val="2"/>
          </rPr>
          <t xml:space="preserve"> use "ALL".
Only 1 location may be entered per row.</t>
        </r>
      </text>
    </comment>
    <comment ref="L175" authorId="3" shapeId="0" xr:uid="{D06B62E5-D62A-4141-BBAC-8B67FB7B185B}">
      <text>
        <r>
          <rPr>
            <sz val="12"/>
            <color indexed="81"/>
            <rFont val="Tahoma"/>
            <family val="2"/>
          </rPr>
          <t xml:space="preserve">Enter the Country Code ONLY.  </t>
        </r>
        <r>
          <rPr>
            <u/>
            <sz val="12"/>
            <color indexed="81"/>
            <rFont val="Tahoma"/>
            <family val="2"/>
          </rPr>
          <t>Cannot</t>
        </r>
        <r>
          <rPr>
            <sz val="12"/>
            <color indexed="81"/>
            <rFont val="Tahoma"/>
            <family val="2"/>
          </rPr>
          <t xml:space="preserve"> use "ALL" or country name</t>
        </r>
      </text>
    </comment>
    <comment ref="M175" authorId="2" shapeId="0" xr:uid="{00000000-0006-0000-1500-000035000000}">
      <text>
        <r>
          <rPr>
            <sz val="12"/>
            <color indexed="81"/>
            <rFont val="Tahoma"/>
            <family val="2"/>
          </rPr>
          <t xml:space="preserve">Enter additional notes only when absolutely necessary.  
</t>
        </r>
        <r>
          <rPr>
            <u/>
            <sz val="12"/>
            <color indexed="81"/>
            <rFont val="Tahoma"/>
            <family val="2"/>
          </rPr>
          <t>IMPORTANT</t>
        </r>
        <r>
          <rPr>
            <sz val="12"/>
            <color indexed="81"/>
            <rFont val="Tahoma"/>
            <family val="2"/>
          </rPr>
          <t xml:space="preserve">:  Named accounts and specific commodities </t>
        </r>
        <r>
          <rPr>
            <b/>
            <u/>
            <sz val="12"/>
            <color indexed="81"/>
            <rFont val="Tahoma"/>
            <family val="2"/>
          </rPr>
          <t>may not</t>
        </r>
        <r>
          <rPr>
            <sz val="12"/>
            <color indexed="81"/>
            <rFont val="Tahoma"/>
            <family val="2"/>
          </rPr>
          <t xml:space="preserve"> be listed as Notes.</t>
        </r>
      </text>
    </comment>
    <comment ref="A188" authorId="2" shapeId="0" xr:uid="{FA5C7118-C0D7-4B56-98EC-218A5F3EAB31}">
      <text>
        <r>
          <rPr>
            <sz val="12"/>
            <color indexed="81"/>
            <rFont val="Tahoma"/>
            <family val="2"/>
          </rPr>
          <t>Select the bullet for which the exception applies.
If exception applies to all bullets, select "ALL".</t>
        </r>
      </text>
    </comment>
    <comment ref="B188" authorId="2" shapeId="0" xr:uid="{D7D2CDA9-4483-47E0-A6E9-E4880C472395}">
      <text>
        <r>
          <rPr>
            <sz val="12"/>
            <color indexed="81"/>
            <rFont val="Tahoma"/>
            <family val="2"/>
          </rPr>
          <t xml:space="preserve">Specify if Free Time condition applies to Export or Import:
</t>
        </r>
        <r>
          <rPr>
            <b/>
            <sz val="12"/>
            <color indexed="81"/>
            <rFont val="Tahoma"/>
            <family val="2"/>
          </rPr>
          <t xml:space="preserve">E </t>
        </r>
        <r>
          <rPr>
            <sz val="12"/>
            <color indexed="81"/>
            <rFont val="Tahoma"/>
            <family val="2"/>
          </rPr>
          <t xml:space="preserve">(Export) = applies at origin
</t>
        </r>
        <r>
          <rPr>
            <b/>
            <sz val="12"/>
            <color indexed="81"/>
            <rFont val="Tahoma"/>
            <family val="2"/>
          </rPr>
          <t xml:space="preserve">I </t>
        </r>
        <r>
          <rPr>
            <sz val="12"/>
            <color indexed="81"/>
            <rFont val="Tahoma"/>
            <family val="2"/>
          </rPr>
          <t>(Import) = applies at destination</t>
        </r>
      </text>
    </comment>
    <comment ref="C188" authorId="2" shapeId="0" xr:uid="{7960BD0A-AA12-47DC-A613-41B95783B882}">
      <text>
        <r>
          <rPr>
            <sz val="12"/>
            <color indexed="81"/>
            <rFont val="Tahoma"/>
            <family val="2"/>
          </rPr>
          <t>Enter Type of Free Time:</t>
        </r>
        <r>
          <rPr>
            <u/>
            <sz val="12"/>
            <color indexed="81"/>
            <rFont val="Tahoma"/>
            <family val="2"/>
          </rPr>
          <t xml:space="preserve">
</t>
        </r>
        <r>
          <rPr>
            <sz val="12"/>
            <color indexed="81"/>
            <rFont val="Tahoma"/>
            <family val="2"/>
          </rPr>
          <t xml:space="preserve">
</t>
        </r>
        <r>
          <rPr>
            <b/>
            <sz val="12"/>
            <color indexed="81"/>
            <rFont val="Tahoma"/>
            <family val="2"/>
          </rPr>
          <t>Detention
Demurrage
Merged</t>
        </r>
      </text>
    </comment>
    <comment ref="F188" authorId="2" shapeId="0" xr:uid="{FCC8E99D-0849-4AFB-BD32-FACE54766A1E}">
      <text>
        <r>
          <rPr>
            <sz val="12"/>
            <color indexed="81"/>
            <rFont val="Tahoma"/>
            <family val="2"/>
          </rPr>
          <t>If any exceptional charges are offered, then the currency is required to be shown.</t>
        </r>
      </text>
    </comment>
    <comment ref="W188" authorId="2" shapeId="0" xr:uid="{577E86F0-FC4B-43AF-BB97-C99F115FF9EB}">
      <text>
        <r>
          <rPr>
            <sz val="12"/>
            <color indexed="81"/>
            <rFont val="Tahoma"/>
            <family val="2"/>
          </rPr>
          <t xml:space="preserve">Specify Equipment Type (blank field indicates applicability to all Eq Types):
</t>
        </r>
        <r>
          <rPr>
            <b/>
            <sz val="12"/>
            <color indexed="81"/>
            <rFont val="Tahoma"/>
            <family val="2"/>
          </rPr>
          <t>D</t>
        </r>
        <r>
          <rPr>
            <sz val="12"/>
            <color indexed="81"/>
            <rFont val="Tahoma"/>
            <family val="2"/>
          </rPr>
          <t xml:space="preserve"> = Dry
</t>
        </r>
        <r>
          <rPr>
            <b/>
            <sz val="12"/>
            <color indexed="81"/>
            <rFont val="Tahoma"/>
            <family val="2"/>
          </rPr>
          <t>R</t>
        </r>
        <r>
          <rPr>
            <sz val="12"/>
            <color indexed="81"/>
            <rFont val="Tahoma"/>
            <family val="2"/>
          </rPr>
          <t xml:space="preserve"> = Reefer
</t>
        </r>
        <r>
          <rPr>
            <b/>
            <sz val="12"/>
            <color indexed="81"/>
            <rFont val="Tahoma"/>
            <family val="2"/>
          </rPr>
          <t>OT</t>
        </r>
        <r>
          <rPr>
            <sz val="12"/>
            <color indexed="81"/>
            <rFont val="Tahoma"/>
            <family val="2"/>
          </rPr>
          <t xml:space="preserve"> = Open Top
</t>
        </r>
        <r>
          <rPr>
            <b/>
            <sz val="12"/>
            <color indexed="81"/>
            <rFont val="Tahoma"/>
            <family val="2"/>
          </rPr>
          <t>FR</t>
        </r>
        <r>
          <rPr>
            <sz val="12"/>
            <color indexed="81"/>
            <rFont val="Tahoma"/>
            <family val="2"/>
          </rPr>
          <t xml:space="preserve"> = Flat Rack</t>
        </r>
      </text>
    </comment>
    <comment ref="X188" authorId="2" shapeId="0" xr:uid="{2EFC96AF-A32C-4CEB-A871-FFABFC5F06AA}">
      <text>
        <r>
          <rPr>
            <sz val="12"/>
            <color indexed="81"/>
            <rFont val="Tahoma"/>
            <family val="2"/>
          </rPr>
          <t>Select "OR" from the drop down list if condition applies to Operating Reefers</t>
        </r>
      </text>
    </comment>
    <comment ref="Y188" authorId="2" shapeId="0" xr:uid="{3089E74D-10F4-4A55-B7A0-865B2F0565C2}">
      <text>
        <r>
          <rPr>
            <sz val="12"/>
            <color indexed="81"/>
            <rFont val="Tahoma"/>
            <family val="2"/>
          </rPr>
          <t xml:space="preserve">Specify the Place of Receipt if necessary.  </t>
        </r>
        <r>
          <rPr>
            <u/>
            <sz val="12"/>
            <color indexed="81"/>
            <rFont val="Tahoma"/>
            <family val="2"/>
          </rPr>
          <t>Do not</t>
        </r>
        <r>
          <rPr>
            <sz val="12"/>
            <color indexed="81"/>
            <rFont val="Tahoma"/>
            <family val="2"/>
          </rPr>
          <t xml:space="preserve"> use "ALL".
Only 1 location may be entered per row.</t>
        </r>
      </text>
    </comment>
    <comment ref="Z188" authorId="2" shapeId="0" xr:uid="{AA0B0D89-2F92-48A9-8205-0B72EEE5F2E8}">
      <text>
        <r>
          <rPr>
            <sz val="12"/>
            <color indexed="81"/>
            <rFont val="Tahoma"/>
            <family val="2"/>
          </rPr>
          <t xml:space="preserve">Enter the POL if necessary.  </t>
        </r>
        <r>
          <rPr>
            <u/>
            <sz val="12"/>
            <color indexed="81"/>
            <rFont val="Tahoma"/>
            <family val="2"/>
          </rPr>
          <t>Do not</t>
        </r>
        <r>
          <rPr>
            <sz val="12"/>
            <color indexed="81"/>
            <rFont val="Tahoma"/>
            <family val="2"/>
          </rPr>
          <t xml:space="preserve"> use "ALL".
Only 1 location is allowed per row and must be a valid seaport.</t>
        </r>
      </text>
    </comment>
    <comment ref="AA188" authorId="2" shapeId="0" xr:uid="{C56D5512-C7CF-4448-B5F9-E48424C2A95B}">
      <text>
        <r>
          <rPr>
            <sz val="12"/>
            <color indexed="81"/>
            <rFont val="Tahoma"/>
            <family val="2"/>
          </rPr>
          <t xml:space="preserve">Enter the POD if necessary.  </t>
        </r>
        <r>
          <rPr>
            <u/>
            <sz val="12"/>
            <color indexed="81"/>
            <rFont val="Tahoma"/>
            <family val="2"/>
          </rPr>
          <t>Do not</t>
        </r>
        <r>
          <rPr>
            <sz val="12"/>
            <color indexed="81"/>
            <rFont val="Tahoma"/>
            <family val="2"/>
          </rPr>
          <t xml:space="preserve"> use "ALL".
Only 1 location is allowed per row and must be a valid seaport.</t>
        </r>
      </text>
    </comment>
    <comment ref="AB188" authorId="2" shapeId="0" xr:uid="{07553A74-2CA8-44F8-AF4C-463F0F9CD63E}">
      <text>
        <r>
          <rPr>
            <sz val="12"/>
            <color indexed="81"/>
            <rFont val="Tahoma"/>
            <family val="2"/>
          </rPr>
          <t xml:space="preserve">Specify the Place of Delivery if necessary.  </t>
        </r>
        <r>
          <rPr>
            <u/>
            <sz val="12"/>
            <color indexed="81"/>
            <rFont val="Tahoma"/>
            <family val="2"/>
          </rPr>
          <t>Do not</t>
        </r>
        <r>
          <rPr>
            <sz val="12"/>
            <color indexed="81"/>
            <rFont val="Tahoma"/>
            <family val="2"/>
          </rPr>
          <t xml:space="preserve"> use "ALL".
Only 1 location may be entered per row.</t>
        </r>
      </text>
    </comment>
    <comment ref="AC188" authorId="3" shapeId="0" xr:uid="{3130A5FD-D49F-4438-B23F-CA3CCD0A5877}">
      <text>
        <r>
          <rPr>
            <sz val="12"/>
            <color indexed="81"/>
            <rFont val="Tahoma"/>
            <family val="2"/>
          </rPr>
          <t xml:space="preserve">Enter the Country Code ONLY.  </t>
        </r>
        <r>
          <rPr>
            <u/>
            <sz val="12"/>
            <color indexed="81"/>
            <rFont val="Tahoma"/>
            <family val="2"/>
          </rPr>
          <t>Cannot</t>
        </r>
        <r>
          <rPr>
            <sz val="12"/>
            <color indexed="81"/>
            <rFont val="Tahoma"/>
            <family val="2"/>
          </rPr>
          <t xml:space="preserve"> use "ALL" or country name</t>
        </r>
      </text>
    </comment>
    <comment ref="AD188" authorId="2" shapeId="0" xr:uid="{7754F51F-89D6-460E-ACB7-18890621EE92}">
      <text>
        <r>
          <rPr>
            <sz val="12"/>
            <color indexed="81"/>
            <rFont val="Tahoma"/>
            <family val="2"/>
          </rPr>
          <t xml:space="preserve">Enter additional notes only when absolutely necessary.  
</t>
        </r>
        <r>
          <rPr>
            <u/>
            <sz val="12"/>
            <color indexed="81"/>
            <rFont val="Tahoma"/>
            <family val="2"/>
          </rPr>
          <t>IMPORTANT</t>
        </r>
        <r>
          <rPr>
            <sz val="12"/>
            <color indexed="81"/>
            <rFont val="Tahoma"/>
            <family val="2"/>
          </rPr>
          <t xml:space="preserve">:  Named accounts and specific commodities </t>
        </r>
        <r>
          <rPr>
            <b/>
            <u/>
            <sz val="12"/>
            <color indexed="81"/>
            <rFont val="Tahoma"/>
            <family val="2"/>
          </rPr>
          <t>may not</t>
        </r>
        <r>
          <rPr>
            <sz val="12"/>
            <color indexed="81"/>
            <rFont val="Tahoma"/>
            <family val="2"/>
          </rPr>
          <t xml:space="preserve"> be listed as Notes.</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ext.obouge</author>
    <author>William MALLOL</author>
    <author>usa.gewan</author>
    <author>GENDER Charlie - NOR</author>
  </authors>
  <commentList>
    <comment ref="B13" authorId="0" shapeId="0" xr:uid="{00000000-0006-0000-1600-000001000000}">
      <text>
        <r>
          <rPr>
            <b/>
            <sz val="12"/>
            <color indexed="81"/>
            <rFont val="Tahoma"/>
            <family val="2"/>
          </rPr>
          <t>Please use comma to separate commodities.</t>
        </r>
      </text>
    </comment>
    <comment ref="A20" authorId="1" shapeId="0" xr:uid="{00000000-0006-0000-1600-000002000000}">
      <text>
        <r>
          <rPr>
            <b/>
            <sz val="14"/>
            <color indexed="81"/>
            <rFont val="Tahoma"/>
            <family val="2"/>
          </rPr>
          <t>Port Group Codes can be used to group any two or more valid seaports that are common rated.
Port Group Codes cannot be used for inland locations.</t>
        </r>
      </text>
    </comment>
    <comment ref="B20" authorId="0" shapeId="0" xr:uid="{00000000-0006-0000-1600-000003000000}">
      <text>
        <r>
          <rPr>
            <b/>
            <sz val="14"/>
            <color indexed="81"/>
            <rFont val="Tahoma"/>
            <family val="2"/>
          </rPr>
          <t>Please use comma to separate ports.
Only valid sea ports may be included.</t>
        </r>
      </text>
    </comment>
    <comment ref="A30" authorId="1" shapeId="0" xr:uid="{00000000-0006-0000-1600-000004000000}">
      <text>
        <r>
          <rPr>
            <b/>
            <sz val="14"/>
            <color indexed="81"/>
            <rFont val="Tahoma"/>
            <family val="2"/>
          </rPr>
          <t>Please use FAK/ Bullets defined above.</t>
        </r>
      </text>
    </comment>
    <comment ref="B30" authorId="1" shapeId="0" xr:uid="{00000000-0006-0000-1600-000005000000}">
      <text>
        <r>
          <rPr>
            <b/>
            <sz val="14"/>
            <color indexed="81"/>
            <rFont val="Tahoma"/>
            <family val="2"/>
          </rPr>
          <t>City, State / ZIP Code</t>
        </r>
      </text>
    </comment>
    <comment ref="C30" authorId="1" shapeId="0" xr:uid="{00000000-0006-0000-1600-000006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D30" authorId="1" shapeId="0" xr:uid="{00000000-0006-0000-1600-000007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E30" authorId="1" shapeId="0" xr:uid="{00000000-0006-0000-1600-000008000000}">
      <text>
        <r>
          <rPr>
            <b/>
            <sz val="14"/>
            <color indexed="81"/>
            <rFont val="Tahoma"/>
            <family val="2"/>
          </rPr>
          <t>City, State / ZIP Code</t>
        </r>
      </text>
    </comment>
    <comment ref="F30" authorId="2" shapeId="0" xr:uid="{00000000-0006-0000-1600-000009000000}">
      <text>
        <r>
          <rPr>
            <b/>
            <sz val="14"/>
            <color indexed="81"/>
            <rFont val="Tahoma"/>
            <family val="2"/>
          </rPr>
          <t>Indicate the mode of transportation at origin and destination.
Mode cannot begin with CY if there is a location listed as place of receipt.
Mode cannot end with CY if there is a location is listed as place of delivery</t>
        </r>
      </text>
    </comment>
    <comment ref="G30" authorId="2" shapeId="0" xr:uid="{00000000-0006-0000-1600-00000A000000}">
      <text>
        <r>
          <rPr>
            <b/>
            <sz val="14"/>
            <color indexed="81"/>
            <rFont val="Tahoma"/>
            <family val="2"/>
          </rPr>
          <t>Indicate whether or not door service is included at origin and destination</t>
        </r>
      </text>
    </comment>
    <comment ref="M30" authorId="2" shapeId="0" xr:uid="{00000000-0006-0000-1600-00000B000000}">
      <text>
        <r>
          <rPr>
            <b/>
            <sz val="14"/>
            <color indexed="81"/>
            <rFont val="Tahoma"/>
            <family val="2"/>
          </rPr>
          <t>Use these columns for exceptions to surcharge applicability in note 2</t>
        </r>
      </text>
    </comment>
    <comment ref="AA30" authorId="2" shapeId="0" xr:uid="{00000000-0006-0000-1600-00000C000000}">
      <text>
        <r>
          <rPr>
            <b/>
            <sz val="14"/>
            <color indexed="81"/>
            <rFont val="Tahoma"/>
            <family val="2"/>
          </rPr>
          <t>This field controls construction using Arbitraries and Inland Tariffs
Y = allowed in US, N = not allowed in US, 
E = allowed at origin, I = allowed at destination,
B = allowed at both origin and destination
X = not allowed at either origin or destination</t>
        </r>
      </text>
    </comment>
    <comment ref="A39" authorId="1" shapeId="0" xr:uid="{00000000-0006-0000-1600-00000D000000}">
      <text>
        <r>
          <rPr>
            <b/>
            <sz val="14"/>
            <color indexed="81"/>
            <rFont val="Tahoma"/>
            <family val="2"/>
          </rPr>
          <t>Please use FAK/ Bullets defined above.</t>
        </r>
      </text>
    </comment>
    <comment ref="B39" authorId="1" shapeId="0" xr:uid="{00000000-0006-0000-1600-00000E000000}">
      <text>
        <r>
          <rPr>
            <b/>
            <sz val="14"/>
            <color indexed="81"/>
            <rFont val="Tahoma"/>
            <family val="2"/>
          </rPr>
          <t>City, State / ZIP Code</t>
        </r>
      </text>
    </comment>
    <comment ref="C39" authorId="1" shapeId="0" xr:uid="{00000000-0006-0000-1600-00000F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D39" authorId="1" shapeId="0" xr:uid="{00000000-0006-0000-1600-000010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E39" authorId="1" shapeId="0" xr:uid="{00000000-0006-0000-1600-000011000000}">
      <text>
        <r>
          <rPr>
            <b/>
            <sz val="14"/>
            <color indexed="81"/>
            <rFont val="Tahoma"/>
            <family val="2"/>
          </rPr>
          <t>City, State / ZIP Code</t>
        </r>
      </text>
    </comment>
    <comment ref="F39" authorId="2" shapeId="0" xr:uid="{00000000-0006-0000-1600-000012000000}">
      <text>
        <r>
          <rPr>
            <b/>
            <sz val="14"/>
            <color indexed="81"/>
            <rFont val="Tahoma"/>
            <family val="2"/>
          </rPr>
          <t>Indicate the mode of transportation at origin and destination.
Mode cannot begin with CY if there is a location listed as place of receipt.
Mode cannot end with CY if there is a location is listed as place of delivery</t>
        </r>
      </text>
    </comment>
    <comment ref="G39" authorId="2" shapeId="0" xr:uid="{00000000-0006-0000-1600-000013000000}">
      <text>
        <r>
          <rPr>
            <b/>
            <sz val="14"/>
            <color indexed="81"/>
            <rFont val="Tahoma"/>
            <family val="2"/>
          </rPr>
          <t>Indicate whether or not door service is included at origin and destination</t>
        </r>
      </text>
    </comment>
    <comment ref="O39" authorId="2" shapeId="0" xr:uid="{00000000-0006-0000-1600-000014000000}">
      <text>
        <r>
          <rPr>
            <b/>
            <sz val="14"/>
            <color indexed="81"/>
            <rFont val="Tahoma"/>
            <family val="2"/>
          </rPr>
          <t>Use these columns for exceptions to surcharge applicability in note 2</t>
        </r>
      </text>
    </comment>
    <comment ref="AA39" authorId="2" shapeId="0" xr:uid="{00000000-0006-0000-1600-000015000000}">
      <text>
        <r>
          <rPr>
            <b/>
            <sz val="14"/>
            <color indexed="81"/>
            <rFont val="Tahoma"/>
            <family val="2"/>
          </rPr>
          <t>This field controls construction using Arbitraries and Inland Tariffs
Y = allowed in US, N = not allowed in US, 
E = allowed at origin, I = allowed at destination,
B = allowed at both origin and destination
X = not allowed at either origin or destination</t>
        </r>
      </text>
    </comment>
    <comment ref="A48" authorId="1" shapeId="0" xr:uid="{00000000-0006-0000-1600-000016000000}">
      <text>
        <r>
          <rPr>
            <b/>
            <sz val="14"/>
            <color indexed="81"/>
            <rFont val="Tahoma"/>
            <family val="2"/>
          </rPr>
          <t>Please use FAK/ Bullets defined above.</t>
        </r>
      </text>
    </comment>
    <comment ref="B48" authorId="1" shapeId="0" xr:uid="{00000000-0006-0000-1600-000017000000}">
      <text>
        <r>
          <rPr>
            <b/>
            <sz val="14"/>
            <color indexed="81"/>
            <rFont val="Tahoma"/>
            <family val="2"/>
          </rPr>
          <t>City, State / ZIP Code</t>
        </r>
      </text>
    </comment>
    <comment ref="C48" authorId="1" shapeId="0" xr:uid="{00000000-0006-0000-1600-000018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D48" authorId="1" shapeId="0" xr:uid="{00000000-0006-0000-1600-000019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E48" authorId="1" shapeId="0" xr:uid="{00000000-0006-0000-1600-00001A000000}">
      <text>
        <r>
          <rPr>
            <b/>
            <sz val="14"/>
            <color indexed="81"/>
            <rFont val="Tahoma"/>
            <family val="2"/>
          </rPr>
          <t>City, State / ZIP Code</t>
        </r>
      </text>
    </comment>
    <comment ref="F48" authorId="2" shapeId="0" xr:uid="{00000000-0006-0000-1600-00001B000000}">
      <text>
        <r>
          <rPr>
            <b/>
            <sz val="14"/>
            <color indexed="81"/>
            <rFont val="Tahoma"/>
            <family val="2"/>
          </rPr>
          <t>Indicate the mode of transportation at origin and destination.
Mode cannot begin with CY if there is a location listed as place of receipt.
Mode cannot end with CY if there is a location is listed as place of delivery</t>
        </r>
      </text>
    </comment>
    <comment ref="G48" authorId="2" shapeId="0" xr:uid="{00000000-0006-0000-1600-00001C000000}">
      <text>
        <r>
          <rPr>
            <b/>
            <sz val="14"/>
            <color indexed="81"/>
            <rFont val="Tahoma"/>
            <family val="2"/>
          </rPr>
          <t>Indicate whether or not door service is included at origin and destination</t>
        </r>
      </text>
    </comment>
    <comment ref="Q48" authorId="2" shapeId="0" xr:uid="{00000000-0006-0000-1600-00001D000000}">
      <text>
        <r>
          <rPr>
            <b/>
            <sz val="14"/>
            <color indexed="81"/>
            <rFont val="Tahoma"/>
            <family val="2"/>
          </rPr>
          <t>Use these columns for exceptions to surcharge applicability in note 2</t>
        </r>
      </text>
    </comment>
    <comment ref="AC48" authorId="2" shapeId="0" xr:uid="{00000000-0006-0000-1600-00001E000000}">
      <text>
        <r>
          <rPr>
            <b/>
            <sz val="14"/>
            <color indexed="81"/>
            <rFont val="Tahoma"/>
            <family val="2"/>
          </rPr>
          <t>This field controls construction using Arbitraries and Inland Tariffs
Y = allowed in US, N = not allowed in US, 
E = allowed at origin, I = allowed at destination,
B = allowed at both origin and destination
X = not allowed at either origin or destination</t>
        </r>
      </text>
    </comment>
    <comment ref="B65" authorId="2" shapeId="0" xr:uid="{00000000-0006-0000-1600-00001F000000}">
      <text>
        <r>
          <rPr>
            <b/>
            <sz val="14"/>
            <color indexed="81"/>
            <rFont val="Tahoma"/>
            <family val="2"/>
          </rPr>
          <t>Place of Origin - may be an outport for feeder (CY) arbitraries or an inland origin
Format is:  City, State or ZIP Code</t>
        </r>
      </text>
    </comment>
    <comment ref="E65" authorId="2" shapeId="0" xr:uid="{00000000-0006-0000-1600-000020000000}">
      <text>
        <r>
          <rPr>
            <b/>
            <sz val="14"/>
            <color indexed="81"/>
            <rFont val="Tahoma"/>
            <family val="2"/>
          </rPr>
          <t xml:space="preserve">Please use only one port or a group of ports (Port groups must be defined in the Port Group Codes table).
Arbitrary construction can only occur with rate conditions which show these ports as the POL.
</t>
        </r>
        <r>
          <rPr>
            <b/>
            <i/>
            <sz val="14"/>
            <color indexed="81"/>
            <rFont val="Tahoma"/>
            <family val="2"/>
          </rPr>
          <t>All ports must be valid SEA ports.</t>
        </r>
      </text>
    </comment>
    <comment ref="F65" authorId="2" shapeId="0" xr:uid="{00000000-0006-0000-1600-000021000000}">
      <text>
        <r>
          <rPr>
            <b/>
            <sz val="14"/>
            <color indexed="81"/>
            <rFont val="Tahoma"/>
            <family val="2"/>
          </rPr>
          <t>Indicate the mode of transportation between the arbitrary place of receipt and arbitrary POL.
CY modes can only be used when the mode of transportation is by Feeder.
Use of CY mode requires both the locations to be valid SEA ports.</t>
        </r>
      </text>
    </comment>
    <comment ref="G65" authorId="2" shapeId="0" xr:uid="{00000000-0006-0000-1600-000022000000}">
      <text>
        <r>
          <rPr>
            <b/>
            <sz val="14"/>
            <color indexed="81"/>
            <rFont val="Tahoma"/>
            <family val="2"/>
          </rPr>
          <t>Indicate whether or not door service is included in the arbitrary rate</t>
        </r>
      </text>
    </comment>
    <comment ref="H65" authorId="2" shapeId="0" xr:uid="{00000000-0006-0000-1600-000023000000}">
      <text>
        <r>
          <rPr>
            <b/>
            <sz val="14"/>
            <color indexed="81"/>
            <rFont val="Tahoma"/>
            <family val="2"/>
          </rPr>
          <t>Input the rate in this field when the same amount applies for all container sizes</t>
        </r>
      </text>
    </comment>
    <comment ref="N65" authorId="2" shapeId="0" xr:uid="{00000000-0006-0000-1600-000024000000}">
      <text>
        <r>
          <rPr>
            <b/>
            <sz val="14"/>
            <color indexed="81"/>
            <rFont val="Tahoma"/>
            <family val="2"/>
          </rPr>
          <t>Each Arbitrary applies only to FAK / Bullets as specifically listed in this field.</t>
        </r>
      </text>
    </comment>
    <comment ref="B80" authorId="2" shapeId="0" xr:uid="{00000000-0006-0000-1600-000025000000}">
      <text>
        <r>
          <rPr>
            <b/>
            <sz val="14"/>
            <color indexed="81"/>
            <rFont val="Tahoma"/>
            <family val="2"/>
          </rPr>
          <t>Place of Destination - may be an outport for feeder (CY) arbitraries or an inland destination
Format is:  City, State or ZIP Code</t>
        </r>
      </text>
    </comment>
    <comment ref="E80" authorId="2" shapeId="0" xr:uid="{00000000-0006-0000-1600-000026000000}">
      <text>
        <r>
          <rPr>
            <b/>
            <sz val="14"/>
            <color indexed="81"/>
            <rFont val="Tahoma"/>
            <family val="2"/>
          </rPr>
          <t xml:space="preserve">Please use only one port or a group of ports (Port groups must be defined in the Port Group Codes table).
Arbitrary construction can only occur with rate conditions which show these ports as the POD.
</t>
        </r>
        <r>
          <rPr>
            <b/>
            <i/>
            <sz val="14"/>
            <color indexed="81"/>
            <rFont val="Tahoma"/>
            <family val="2"/>
          </rPr>
          <t>All ports must be valid SEA ports.</t>
        </r>
      </text>
    </comment>
    <comment ref="F80" authorId="2" shapeId="0" xr:uid="{00000000-0006-0000-1600-000027000000}">
      <text>
        <r>
          <rPr>
            <b/>
            <sz val="14"/>
            <color indexed="81"/>
            <rFont val="Tahoma"/>
            <family val="2"/>
          </rPr>
          <t>Indicate the mode of transportation between the arbitrary POD and arbitrary place of delivery.
CY modes can only be used when the mode of transportation is by Feeder.
Use of CY mode requires both the locations to be valid SEA ports.</t>
        </r>
      </text>
    </comment>
    <comment ref="G80" authorId="2" shapeId="0" xr:uid="{00000000-0006-0000-1600-000028000000}">
      <text>
        <r>
          <rPr>
            <b/>
            <sz val="14"/>
            <color indexed="81"/>
            <rFont val="Tahoma"/>
            <family val="2"/>
          </rPr>
          <t>Indicate whether or not door service is included in the arbitrary rate</t>
        </r>
      </text>
    </comment>
    <comment ref="H80" authorId="2" shapeId="0" xr:uid="{00000000-0006-0000-1600-000029000000}">
      <text>
        <r>
          <rPr>
            <b/>
            <sz val="14"/>
            <color indexed="81"/>
            <rFont val="Tahoma"/>
            <family val="2"/>
          </rPr>
          <t>Input the rate in this field when the same amount applies for all container sizes</t>
        </r>
      </text>
    </comment>
    <comment ref="N80" authorId="2" shapeId="0" xr:uid="{00000000-0006-0000-1600-00002A000000}">
      <text>
        <r>
          <rPr>
            <b/>
            <sz val="14"/>
            <color indexed="81"/>
            <rFont val="Tahoma"/>
            <family val="2"/>
          </rPr>
          <t>Each Arbitrary applies only to FAK / Bullets as specifically listed in this field.</t>
        </r>
      </text>
    </comment>
    <comment ref="L90" authorId="2" shapeId="0" xr:uid="{00000000-0006-0000-1600-00002B000000}">
      <text>
        <r>
          <rPr>
            <b/>
            <sz val="14"/>
            <color indexed="81"/>
            <rFont val="Tahoma"/>
            <family val="2"/>
          </rPr>
          <t>Surcharge applicability mentioned on any row applies specifically to the individual port mentioned in this field.
If the Applicable Port field is blank, then the  surcharge applicability stated on that row applies to all ports.</t>
        </r>
      </text>
    </comment>
    <comment ref="A175" authorId="2" shapeId="0" xr:uid="{00000000-0006-0000-1600-00002C000000}">
      <text>
        <r>
          <rPr>
            <sz val="12"/>
            <color indexed="81"/>
            <rFont val="Tahoma"/>
            <family val="2"/>
          </rPr>
          <t>Select the bullet for which the exception applies.
If exception applies to all bullets, select "ALL".</t>
        </r>
      </text>
    </comment>
    <comment ref="B175" authorId="2" shapeId="0" xr:uid="{00000000-0006-0000-1600-00002D000000}">
      <text>
        <r>
          <rPr>
            <sz val="12"/>
            <color indexed="81"/>
            <rFont val="Tahoma"/>
            <family val="2"/>
          </rPr>
          <t xml:space="preserve">Specify if Free Time condition applies to Export or Import:
</t>
        </r>
        <r>
          <rPr>
            <b/>
            <sz val="12"/>
            <color indexed="81"/>
            <rFont val="Tahoma"/>
            <family val="2"/>
          </rPr>
          <t xml:space="preserve">E </t>
        </r>
        <r>
          <rPr>
            <sz val="12"/>
            <color indexed="81"/>
            <rFont val="Tahoma"/>
            <family val="2"/>
          </rPr>
          <t xml:space="preserve">(Export) = applies at origin
</t>
        </r>
        <r>
          <rPr>
            <b/>
            <sz val="12"/>
            <color indexed="81"/>
            <rFont val="Tahoma"/>
            <family val="2"/>
          </rPr>
          <t xml:space="preserve">I </t>
        </r>
        <r>
          <rPr>
            <sz val="12"/>
            <color indexed="81"/>
            <rFont val="Tahoma"/>
            <family val="2"/>
          </rPr>
          <t>(Import) = applies at destination</t>
        </r>
      </text>
    </comment>
    <comment ref="C175" authorId="2" shapeId="0" xr:uid="{00000000-0006-0000-1600-00002E000000}">
      <text>
        <r>
          <rPr>
            <sz val="12"/>
            <color indexed="81"/>
            <rFont val="Tahoma"/>
            <family val="2"/>
          </rPr>
          <t>Enter Type of Free Time:</t>
        </r>
        <r>
          <rPr>
            <u/>
            <sz val="12"/>
            <color indexed="81"/>
            <rFont val="Tahoma"/>
            <family val="2"/>
          </rPr>
          <t xml:space="preserve">
</t>
        </r>
        <r>
          <rPr>
            <sz val="12"/>
            <color indexed="81"/>
            <rFont val="Tahoma"/>
            <family val="2"/>
          </rPr>
          <t xml:space="preserve">
</t>
        </r>
        <r>
          <rPr>
            <b/>
            <sz val="12"/>
            <color indexed="81"/>
            <rFont val="Tahoma"/>
            <family val="2"/>
          </rPr>
          <t>Detention
Demurrage
Merged</t>
        </r>
      </text>
    </comment>
    <comment ref="F175" authorId="2" shapeId="0" xr:uid="{00000000-0006-0000-1600-00002F000000}">
      <text>
        <r>
          <rPr>
            <sz val="12"/>
            <color indexed="81"/>
            <rFont val="Tahoma"/>
            <family val="2"/>
          </rPr>
          <t xml:space="preserve">Specify Equipment Type (blank field indicates applicability to all Eq Types):
</t>
        </r>
        <r>
          <rPr>
            <b/>
            <sz val="12"/>
            <color indexed="81"/>
            <rFont val="Tahoma"/>
            <family val="2"/>
          </rPr>
          <t>D</t>
        </r>
        <r>
          <rPr>
            <sz val="12"/>
            <color indexed="81"/>
            <rFont val="Tahoma"/>
            <family val="2"/>
          </rPr>
          <t xml:space="preserve"> = Dry
</t>
        </r>
        <r>
          <rPr>
            <b/>
            <sz val="12"/>
            <color indexed="81"/>
            <rFont val="Tahoma"/>
            <family val="2"/>
          </rPr>
          <t>R</t>
        </r>
        <r>
          <rPr>
            <sz val="12"/>
            <color indexed="81"/>
            <rFont val="Tahoma"/>
            <family val="2"/>
          </rPr>
          <t xml:space="preserve"> = Reefer
</t>
        </r>
        <r>
          <rPr>
            <b/>
            <sz val="12"/>
            <color indexed="81"/>
            <rFont val="Tahoma"/>
            <family val="2"/>
          </rPr>
          <t>OT</t>
        </r>
        <r>
          <rPr>
            <sz val="12"/>
            <color indexed="81"/>
            <rFont val="Tahoma"/>
            <family val="2"/>
          </rPr>
          <t xml:space="preserve"> = Open Top
</t>
        </r>
        <r>
          <rPr>
            <b/>
            <sz val="12"/>
            <color indexed="81"/>
            <rFont val="Tahoma"/>
            <family val="2"/>
          </rPr>
          <t>FR</t>
        </r>
        <r>
          <rPr>
            <sz val="12"/>
            <color indexed="81"/>
            <rFont val="Tahoma"/>
            <family val="2"/>
          </rPr>
          <t xml:space="preserve"> = Flat Rack</t>
        </r>
      </text>
    </comment>
    <comment ref="G175" authorId="2" shapeId="0" xr:uid="{00000000-0006-0000-1600-000030000000}">
      <text>
        <r>
          <rPr>
            <sz val="12"/>
            <color indexed="81"/>
            <rFont val="Tahoma"/>
            <family val="2"/>
          </rPr>
          <t>Select "OR" from the drop down list if condition applies to Operating Reefers</t>
        </r>
      </text>
    </comment>
    <comment ref="H175" authorId="2" shapeId="0" xr:uid="{00000000-0006-0000-1600-000031000000}">
      <text>
        <r>
          <rPr>
            <sz val="12"/>
            <color indexed="81"/>
            <rFont val="Tahoma"/>
            <family val="2"/>
          </rPr>
          <t xml:space="preserve">Specify the Place of Receipt if necessary.  </t>
        </r>
        <r>
          <rPr>
            <u/>
            <sz val="12"/>
            <color indexed="81"/>
            <rFont val="Tahoma"/>
            <family val="2"/>
          </rPr>
          <t>Do not</t>
        </r>
        <r>
          <rPr>
            <sz val="12"/>
            <color indexed="81"/>
            <rFont val="Tahoma"/>
            <family val="2"/>
          </rPr>
          <t xml:space="preserve"> use "ALL".
Only 1 location may be entered per row.</t>
        </r>
      </text>
    </comment>
    <comment ref="I175" authorId="2" shapeId="0" xr:uid="{00000000-0006-0000-1600-000032000000}">
      <text>
        <r>
          <rPr>
            <sz val="12"/>
            <color indexed="81"/>
            <rFont val="Tahoma"/>
            <family val="2"/>
          </rPr>
          <t xml:space="preserve">Enter the POL if necessary.  </t>
        </r>
        <r>
          <rPr>
            <u/>
            <sz val="12"/>
            <color indexed="81"/>
            <rFont val="Tahoma"/>
            <family val="2"/>
          </rPr>
          <t>Do not</t>
        </r>
        <r>
          <rPr>
            <sz val="12"/>
            <color indexed="81"/>
            <rFont val="Tahoma"/>
            <family val="2"/>
          </rPr>
          <t xml:space="preserve"> use "ALL".
Only 1 location is allowed per row and must be a valid seaport.</t>
        </r>
      </text>
    </comment>
    <comment ref="J175" authorId="2" shapeId="0" xr:uid="{00000000-0006-0000-1600-000033000000}">
      <text>
        <r>
          <rPr>
            <sz val="12"/>
            <color indexed="81"/>
            <rFont val="Tahoma"/>
            <family val="2"/>
          </rPr>
          <t xml:space="preserve">Enter the POD if necessary.  </t>
        </r>
        <r>
          <rPr>
            <u/>
            <sz val="12"/>
            <color indexed="81"/>
            <rFont val="Tahoma"/>
            <family val="2"/>
          </rPr>
          <t>Do not</t>
        </r>
        <r>
          <rPr>
            <sz val="12"/>
            <color indexed="81"/>
            <rFont val="Tahoma"/>
            <family val="2"/>
          </rPr>
          <t xml:space="preserve"> use "ALL".
Only 1 location is allowed per row and must be a valid seaport.</t>
        </r>
      </text>
    </comment>
    <comment ref="K175" authorId="2" shapeId="0" xr:uid="{00000000-0006-0000-1600-000034000000}">
      <text>
        <r>
          <rPr>
            <sz val="12"/>
            <color indexed="81"/>
            <rFont val="Tahoma"/>
            <family val="2"/>
          </rPr>
          <t xml:space="preserve">Specify the Place of Delivery if necessary.  </t>
        </r>
        <r>
          <rPr>
            <u/>
            <sz val="12"/>
            <color indexed="81"/>
            <rFont val="Tahoma"/>
            <family val="2"/>
          </rPr>
          <t>Do not</t>
        </r>
        <r>
          <rPr>
            <sz val="12"/>
            <color indexed="81"/>
            <rFont val="Tahoma"/>
            <family val="2"/>
          </rPr>
          <t xml:space="preserve"> use "ALL".
Only 1 location may be entered per row.</t>
        </r>
      </text>
    </comment>
    <comment ref="L175" authorId="3" shapeId="0" xr:uid="{4DAAC6F5-788C-48FB-B1A4-3110B56BA07F}">
      <text>
        <r>
          <rPr>
            <sz val="12"/>
            <color indexed="81"/>
            <rFont val="Tahoma"/>
            <family val="2"/>
          </rPr>
          <t xml:space="preserve">Enter the Country Code ONLY.  </t>
        </r>
        <r>
          <rPr>
            <u/>
            <sz val="12"/>
            <color indexed="81"/>
            <rFont val="Tahoma"/>
            <family val="2"/>
          </rPr>
          <t>Cannot</t>
        </r>
        <r>
          <rPr>
            <sz val="12"/>
            <color indexed="81"/>
            <rFont val="Tahoma"/>
            <family val="2"/>
          </rPr>
          <t xml:space="preserve"> use "ALL" or country name</t>
        </r>
      </text>
    </comment>
    <comment ref="M175" authorId="2" shapeId="0" xr:uid="{00000000-0006-0000-1600-000035000000}">
      <text>
        <r>
          <rPr>
            <sz val="12"/>
            <color indexed="81"/>
            <rFont val="Tahoma"/>
            <family val="2"/>
          </rPr>
          <t xml:space="preserve">Enter additional notes only when absolutely necessary.  
</t>
        </r>
        <r>
          <rPr>
            <u/>
            <sz val="12"/>
            <color indexed="81"/>
            <rFont val="Tahoma"/>
            <family val="2"/>
          </rPr>
          <t>IMPORTANT</t>
        </r>
        <r>
          <rPr>
            <sz val="12"/>
            <color indexed="81"/>
            <rFont val="Tahoma"/>
            <family val="2"/>
          </rPr>
          <t xml:space="preserve">:  Named accounts and specific commodities </t>
        </r>
        <r>
          <rPr>
            <b/>
            <u/>
            <sz val="12"/>
            <color indexed="81"/>
            <rFont val="Tahoma"/>
            <family val="2"/>
          </rPr>
          <t>may not</t>
        </r>
        <r>
          <rPr>
            <sz val="12"/>
            <color indexed="81"/>
            <rFont val="Tahoma"/>
            <family val="2"/>
          </rPr>
          <t xml:space="preserve"> be listed as Notes.</t>
        </r>
      </text>
    </comment>
    <comment ref="A188" authorId="2" shapeId="0" xr:uid="{2E4DD2FC-4A1E-4324-95EE-B0DCCA9C7E3D}">
      <text>
        <r>
          <rPr>
            <sz val="12"/>
            <color indexed="81"/>
            <rFont val="Tahoma"/>
            <family val="2"/>
          </rPr>
          <t>Select the bullet for which the exception applies.
If exception applies to all bullets, select "ALL".</t>
        </r>
      </text>
    </comment>
    <comment ref="B188" authorId="2" shapeId="0" xr:uid="{20913CE2-D3A3-481E-B093-3788E92023D2}">
      <text>
        <r>
          <rPr>
            <sz val="12"/>
            <color indexed="81"/>
            <rFont val="Tahoma"/>
            <family val="2"/>
          </rPr>
          <t xml:space="preserve">Specify if Free Time condition applies to Export or Import:
</t>
        </r>
        <r>
          <rPr>
            <b/>
            <sz val="12"/>
            <color indexed="81"/>
            <rFont val="Tahoma"/>
            <family val="2"/>
          </rPr>
          <t xml:space="preserve">E </t>
        </r>
        <r>
          <rPr>
            <sz val="12"/>
            <color indexed="81"/>
            <rFont val="Tahoma"/>
            <family val="2"/>
          </rPr>
          <t xml:space="preserve">(Export) = applies at origin
</t>
        </r>
        <r>
          <rPr>
            <b/>
            <sz val="12"/>
            <color indexed="81"/>
            <rFont val="Tahoma"/>
            <family val="2"/>
          </rPr>
          <t xml:space="preserve">I </t>
        </r>
        <r>
          <rPr>
            <sz val="12"/>
            <color indexed="81"/>
            <rFont val="Tahoma"/>
            <family val="2"/>
          </rPr>
          <t>(Import) = applies at destination</t>
        </r>
      </text>
    </comment>
    <comment ref="C188" authorId="2" shapeId="0" xr:uid="{0F0E72B7-2613-45A6-BB13-993244505CBD}">
      <text>
        <r>
          <rPr>
            <sz val="12"/>
            <color indexed="81"/>
            <rFont val="Tahoma"/>
            <family val="2"/>
          </rPr>
          <t>Enter Type of Free Time:</t>
        </r>
        <r>
          <rPr>
            <u/>
            <sz val="12"/>
            <color indexed="81"/>
            <rFont val="Tahoma"/>
            <family val="2"/>
          </rPr>
          <t xml:space="preserve">
</t>
        </r>
        <r>
          <rPr>
            <sz val="12"/>
            <color indexed="81"/>
            <rFont val="Tahoma"/>
            <family val="2"/>
          </rPr>
          <t xml:space="preserve">
</t>
        </r>
        <r>
          <rPr>
            <b/>
            <sz val="12"/>
            <color indexed="81"/>
            <rFont val="Tahoma"/>
            <family val="2"/>
          </rPr>
          <t>Detention
Demurrage
Merged</t>
        </r>
      </text>
    </comment>
    <comment ref="F188" authorId="2" shapeId="0" xr:uid="{5FD33E66-7059-4A23-8549-F966058E707B}">
      <text>
        <r>
          <rPr>
            <sz val="12"/>
            <color indexed="81"/>
            <rFont val="Tahoma"/>
            <family val="2"/>
          </rPr>
          <t>If any exceptional charges are offered, then the currency is required to be shown.</t>
        </r>
      </text>
    </comment>
    <comment ref="W188" authorId="2" shapeId="0" xr:uid="{84811445-3116-46DE-BBD8-AF32121D1BB4}">
      <text>
        <r>
          <rPr>
            <sz val="12"/>
            <color indexed="81"/>
            <rFont val="Tahoma"/>
            <family val="2"/>
          </rPr>
          <t xml:space="preserve">Specify Equipment Type (blank field indicates applicability to all Eq Types):
</t>
        </r>
        <r>
          <rPr>
            <b/>
            <sz val="12"/>
            <color indexed="81"/>
            <rFont val="Tahoma"/>
            <family val="2"/>
          </rPr>
          <t>D</t>
        </r>
        <r>
          <rPr>
            <sz val="12"/>
            <color indexed="81"/>
            <rFont val="Tahoma"/>
            <family val="2"/>
          </rPr>
          <t xml:space="preserve"> = Dry
</t>
        </r>
        <r>
          <rPr>
            <b/>
            <sz val="12"/>
            <color indexed="81"/>
            <rFont val="Tahoma"/>
            <family val="2"/>
          </rPr>
          <t>R</t>
        </r>
        <r>
          <rPr>
            <sz val="12"/>
            <color indexed="81"/>
            <rFont val="Tahoma"/>
            <family val="2"/>
          </rPr>
          <t xml:space="preserve"> = Reefer
</t>
        </r>
        <r>
          <rPr>
            <b/>
            <sz val="12"/>
            <color indexed="81"/>
            <rFont val="Tahoma"/>
            <family val="2"/>
          </rPr>
          <t>OT</t>
        </r>
        <r>
          <rPr>
            <sz val="12"/>
            <color indexed="81"/>
            <rFont val="Tahoma"/>
            <family val="2"/>
          </rPr>
          <t xml:space="preserve"> = Open Top
</t>
        </r>
        <r>
          <rPr>
            <b/>
            <sz val="12"/>
            <color indexed="81"/>
            <rFont val="Tahoma"/>
            <family val="2"/>
          </rPr>
          <t>FR</t>
        </r>
        <r>
          <rPr>
            <sz val="12"/>
            <color indexed="81"/>
            <rFont val="Tahoma"/>
            <family val="2"/>
          </rPr>
          <t xml:space="preserve"> = Flat Rack</t>
        </r>
      </text>
    </comment>
    <comment ref="X188" authorId="2" shapeId="0" xr:uid="{E6799876-0450-4A36-A0D2-D043F7051B61}">
      <text>
        <r>
          <rPr>
            <sz val="12"/>
            <color indexed="81"/>
            <rFont val="Tahoma"/>
            <family val="2"/>
          </rPr>
          <t>Select "OR" from the drop down list if condition applies to Operating Reefers</t>
        </r>
      </text>
    </comment>
    <comment ref="Y188" authorId="2" shapeId="0" xr:uid="{B1858C38-6E9E-407F-B171-28D506DA0E3B}">
      <text>
        <r>
          <rPr>
            <sz val="12"/>
            <color indexed="81"/>
            <rFont val="Tahoma"/>
            <family val="2"/>
          </rPr>
          <t xml:space="preserve">Specify the Place of Receipt if necessary.  </t>
        </r>
        <r>
          <rPr>
            <u/>
            <sz val="12"/>
            <color indexed="81"/>
            <rFont val="Tahoma"/>
            <family val="2"/>
          </rPr>
          <t>Do not</t>
        </r>
        <r>
          <rPr>
            <sz val="12"/>
            <color indexed="81"/>
            <rFont val="Tahoma"/>
            <family val="2"/>
          </rPr>
          <t xml:space="preserve"> use "ALL".
Only 1 location may be entered per row.</t>
        </r>
      </text>
    </comment>
    <comment ref="Z188" authorId="2" shapeId="0" xr:uid="{A2ADA380-E922-4C86-923F-C2806E8475B7}">
      <text>
        <r>
          <rPr>
            <sz val="12"/>
            <color indexed="81"/>
            <rFont val="Tahoma"/>
            <family val="2"/>
          </rPr>
          <t xml:space="preserve">Enter the POL if necessary.  </t>
        </r>
        <r>
          <rPr>
            <u/>
            <sz val="12"/>
            <color indexed="81"/>
            <rFont val="Tahoma"/>
            <family val="2"/>
          </rPr>
          <t>Do not</t>
        </r>
        <r>
          <rPr>
            <sz val="12"/>
            <color indexed="81"/>
            <rFont val="Tahoma"/>
            <family val="2"/>
          </rPr>
          <t xml:space="preserve"> use "ALL".
Only 1 location is allowed per row and must be a valid seaport.</t>
        </r>
      </text>
    </comment>
    <comment ref="AA188" authorId="2" shapeId="0" xr:uid="{7A6F18F3-9758-4F05-A7A6-D4C75802FC43}">
      <text>
        <r>
          <rPr>
            <sz val="12"/>
            <color indexed="81"/>
            <rFont val="Tahoma"/>
            <family val="2"/>
          </rPr>
          <t xml:space="preserve">Enter the POD if necessary.  </t>
        </r>
        <r>
          <rPr>
            <u/>
            <sz val="12"/>
            <color indexed="81"/>
            <rFont val="Tahoma"/>
            <family val="2"/>
          </rPr>
          <t>Do not</t>
        </r>
        <r>
          <rPr>
            <sz val="12"/>
            <color indexed="81"/>
            <rFont val="Tahoma"/>
            <family val="2"/>
          </rPr>
          <t xml:space="preserve"> use "ALL".
Only 1 location is allowed per row and must be a valid seaport.</t>
        </r>
      </text>
    </comment>
    <comment ref="AB188" authorId="2" shapeId="0" xr:uid="{BADE1997-2D50-45F0-8947-8FDCDFC9D4D0}">
      <text>
        <r>
          <rPr>
            <sz val="12"/>
            <color indexed="81"/>
            <rFont val="Tahoma"/>
            <family val="2"/>
          </rPr>
          <t xml:space="preserve">Specify the Place of Delivery if necessary.  </t>
        </r>
        <r>
          <rPr>
            <u/>
            <sz val="12"/>
            <color indexed="81"/>
            <rFont val="Tahoma"/>
            <family val="2"/>
          </rPr>
          <t>Do not</t>
        </r>
        <r>
          <rPr>
            <sz val="12"/>
            <color indexed="81"/>
            <rFont val="Tahoma"/>
            <family val="2"/>
          </rPr>
          <t xml:space="preserve"> use "ALL".
Only 1 location may be entered per row.</t>
        </r>
      </text>
    </comment>
    <comment ref="AC188" authorId="3" shapeId="0" xr:uid="{707267DF-4105-4BA9-BD60-A6B557172B61}">
      <text>
        <r>
          <rPr>
            <sz val="12"/>
            <color indexed="81"/>
            <rFont val="Tahoma"/>
            <family val="2"/>
          </rPr>
          <t xml:space="preserve">Enter the Country Code ONLY.  </t>
        </r>
        <r>
          <rPr>
            <u/>
            <sz val="12"/>
            <color indexed="81"/>
            <rFont val="Tahoma"/>
            <family val="2"/>
          </rPr>
          <t>Cannot</t>
        </r>
        <r>
          <rPr>
            <sz val="12"/>
            <color indexed="81"/>
            <rFont val="Tahoma"/>
            <family val="2"/>
          </rPr>
          <t xml:space="preserve"> use "ALL" or country name</t>
        </r>
      </text>
    </comment>
    <comment ref="AD188" authorId="2" shapeId="0" xr:uid="{A05E9289-97F3-4F23-8A38-9AD54BA09AE8}">
      <text>
        <r>
          <rPr>
            <sz val="12"/>
            <color indexed="81"/>
            <rFont val="Tahoma"/>
            <family val="2"/>
          </rPr>
          <t xml:space="preserve">Enter additional notes only when absolutely necessary.  
</t>
        </r>
        <r>
          <rPr>
            <u/>
            <sz val="12"/>
            <color indexed="81"/>
            <rFont val="Tahoma"/>
            <family val="2"/>
          </rPr>
          <t>IMPORTANT</t>
        </r>
        <r>
          <rPr>
            <sz val="12"/>
            <color indexed="81"/>
            <rFont val="Tahoma"/>
            <family val="2"/>
          </rPr>
          <t xml:space="preserve">:  Named accounts and specific commodities </t>
        </r>
        <r>
          <rPr>
            <b/>
            <u/>
            <sz val="12"/>
            <color indexed="81"/>
            <rFont val="Tahoma"/>
            <family val="2"/>
          </rPr>
          <t>may not</t>
        </r>
        <r>
          <rPr>
            <sz val="12"/>
            <color indexed="81"/>
            <rFont val="Tahoma"/>
            <family val="2"/>
          </rPr>
          <t xml:space="preserve"> be listed as Notes.</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ext.obouge</author>
    <author>William MALLOL</author>
    <author>usa.gewan</author>
    <author>GENDER Charlie - NOR</author>
  </authors>
  <commentList>
    <comment ref="B13" authorId="0" shapeId="0" xr:uid="{00000000-0006-0000-1700-000001000000}">
      <text>
        <r>
          <rPr>
            <b/>
            <sz val="12"/>
            <color indexed="81"/>
            <rFont val="Tahoma"/>
            <family val="2"/>
          </rPr>
          <t>Please use comma to separate commodities.</t>
        </r>
      </text>
    </comment>
    <comment ref="A20" authorId="1" shapeId="0" xr:uid="{00000000-0006-0000-1700-000002000000}">
      <text>
        <r>
          <rPr>
            <b/>
            <sz val="14"/>
            <color indexed="81"/>
            <rFont val="Tahoma"/>
            <family val="2"/>
          </rPr>
          <t>Port Group Codes can be used to group any two or more valid seaports that are common rated.
Port Group Codes cannot be used for inland locations.</t>
        </r>
      </text>
    </comment>
    <comment ref="B20" authorId="0" shapeId="0" xr:uid="{00000000-0006-0000-1700-000003000000}">
      <text>
        <r>
          <rPr>
            <b/>
            <sz val="14"/>
            <color indexed="81"/>
            <rFont val="Tahoma"/>
            <family val="2"/>
          </rPr>
          <t>Please use comma to separate ports.
Only valid sea ports may be included.</t>
        </r>
      </text>
    </comment>
    <comment ref="A34" authorId="1" shapeId="0" xr:uid="{00000000-0006-0000-1700-000004000000}">
      <text>
        <r>
          <rPr>
            <b/>
            <sz val="14"/>
            <color indexed="81"/>
            <rFont val="Tahoma"/>
            <family val="2"/>
          </rPr>
          <t>Please use FAK/ Bullets defined above.</t>
        </r>
      </text>
    </comment>
    <comment ref="B34" authorId="1" shapeId="0" xr:uid="{00000000-0006-0000-1700-000005000000}">
      <text>
        <r>
          <rPr>
            <b/>
            <sz val="14"/>
            <color indexed="81"/>
            <rFont val="Tahoma"/>
            <family val="2"/>
          </rPr>
          <t>City, State / ZIP Code</t>
        </r>
      </text>
    </comment>
    <comment ref="C34" authorId="1" shapeId="0" xr:uid="{00000000-0006-0000-1700-000006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D34" authorId="1" shapeId="0" xr:uid="{00000000-0006-0000-1700-000007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E34" authorId="1" shapeId="0" xr:uid="{00000000-0006-0000-1700-000008000000}">
      <text>
        <r>
          <rPr>
            <b/>
            <sz val="14"/>
            <color indexed="81"/>
            <rFont val="Tahoma"/>
            <family val="2"/>
          </rPr>
          <t>City, State / ZIP Code</t>
        </r>
      </text>
    </comment>
    <comment ref="F34" authorId="2" shapeId="0" xr:uid="{00000000-0006-0000-1700-000009000000}">
      <text>
        <r>
          <rPr>
            <b/>
            <sz val="14"/>
            <color indexed="81"/>
            <rFont val="Tahoma"/>
            <family val="2"/>
          </rPr>
          <t>Indicate the mode of transportation at origin and destination.
Mode cannot begin with CY if there is a location listed as place of receipt.
Mode cannot end with CY if there is a location is listed as place of delivery</t>
        </r>
      </text>
    </comment>
    <comment ref="G34" authorId="2" shapeId="0" xr:uid="{00000000-0006-0000-1700-00000A000000}">
      <text>
        <r>
          <rPr>
            <b/>
            <sz val="14"/>
            <color indexed="81"/>
            <rFont val="Tahoma"/>
            <family val="2"/>
          </rPr>
          <t>Indicate whether or not door service is included at origin and destination</t>
        </r>
      </text>
    </comment>
    <comment ref="M34" authorId="2" shapeId="0" xr:uid="{00000000-0006-0000-1700-00000B000000}">
      <text>
        <r>
          <rPr>
            <b/>
            <sz val="14"/>
            <color indexed="81"/>
            <rFont val="Tahoma"/>
            <family val="2"/>
          </rPr>
          <t>Use these columns for exceptions to surcharge applicability in note 2</t>
        </r>
      </text>
    </comment>
    <comment ref="AA34" authorId="2" shapeId="0" xr:uid="{00000000-0006-0000-1700-00000C000000}">
      <text>
        <r>
          <rPr>
            <b/>
            <sz val="14"/>
            <color indexed="81"/>
            <rFont val="Tahoma"/>
            <family val="2"/>
          </rPr>
          <t>This field controls construction using Arbitraries and Inland Tariffs
Y = allowed in US, N = not allowed in US, 
E = allowed at origin, I = allowed at destination,
B = allowed at both origin and destination
X = not allowed at either origin or destination</t>
        </r>
      </text>
    </comment>
    <comment ref="A43" authorId="1" shapeId="0" xr:uid="{00000000-0006-0000-1700-00000D000000}">
      <text>
        <r>
          <rPr>
            <b/>
            <sz val="14"/>
            <color indexed="81"/>
            <rFont val="Tahoma"/>
            <family val="2"/>
          </rPr>
          <t>Please use FAK/ Bullets defined above.</t>
        </r>
      </text>
    </comment>
    <comment ref="B43" authorId="1" shapeId="0" xr:uid="{00000000-0006-0000-1700-00000E000000}">
      <text>
        <r>
          <rPr>
            <b/>
            <sz val="14"/>
            <color indexed="81"/>
            <rFont val="Tahoma"/>
            <family val="2"/>
          </rPr>
          <t>City, State / ZIP Code</t>
        </r>
      </text>
    </comment>
    <comment ref="C43" authorId="1" shapeId="0" xr:uid="{00000000-0006-0000-1700-00000F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D43" authorId="1" shapeId="0" xr:uid="{00000000-0006-0000-1700-000010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E43" authorId="1" shapeId="0" xr:uid="{00000000-0006-0000-1700-000011000000}">
      <text>
        <r>
          <rPr>
            <b/>
            <sz val="14"/>
            <color indexed="81"/>
            <rFont val="Tahoma"/>
            <family val="2"/>
          </rPr>
          <t>City, State / ZIP Code</t>
        </r>
      </text>
    </comment>
    <comment ref="F43" authorId="2" shapeId="0" xr:uid="{00000000-0006-0000-1700-000012000000}">
      <text>
        <r>
          <rPr>
            <b/>
            <sz val="14"/>
            <color indexed="81"/>
            <rFont val="Tahoma"/>
            <family val="2"/>
          </rPr>
          <t>Indicate the mode of transportation at origin and destination.
Mode cannot begin with CY if there is a location listed as place of receipt.
Mode cannot end with CY if there is a location is listed as place of delivery</t>
        </r>
      </text>
    </comment>
    <comment ref="G43" authorId="2" shapeId="0" xr:uid="{00000000-0006-0000-1700-000013000000}">
      <text>
        <r>
          <rPr>
            <b/>
            <sz val="14"/>
            <color indexed="81"/>
            <rFont val="Tahoma"/>
            <family val="2"/>
          </rPr>
          <t>Indicate whether or not door service is included at origin and destination</t>
        </r>
      </text>
    </comment>
    <comment ref="O43" authorId="2" shapeId="0" xr:uid="{00000000-0006-0000-1700-000014000000}">
      <text>
        <r>
          <rPr>
            <b/>
            <sz val="14"/>
            <color indexed="81"/>
            <rFont val="Tahoma"/>
            <family val="2"/>
          </rPr>
          <t>Use these columns for exceptions to surcharge applicability in note 2</t>
        </r>
      </text>
    </comment>
    <comment ref="AA43" authorId="2" shapeId="0" xr:uid="{00000000-0006-0000-1700-000015000000}">
      <text>
        <r>
          <rPr>
            <b/>
            <sz val="14"/>
            <color indexed="81"/>
            <rFont val="Tahoma"/>
            <family val="2"/>
          </rPr>
          <t>This field controls construction using Arbitraries and Inland Tariffs
Y = allowed in US, N = not allowed in US, 
E = allowed at origin, I = allowed at destination,
B = allowed at both origin and destination
X = not allowed at either origin or destination</t>
        </r>
      </text>
    </comment>
    <comment ref="A52" authorId="1" shapeId="0" xr:uid="{00000000-0006-0000-1700-000016000000}">
      <text>
        <r>
          <rPr>
            <b/>
            <sz val="14"/>
            <color indexed="81"/>
            <rFont val="Tahoma"/>
            <family val="2"/>
          </rPr>
          <t>Please use FAK/ Bullets defined above.</t>
        </r>
      </text>
    </comment>
    <comment ref="B52" authorId="1" shapeId="0" xr:uid="{00000000-0006-0000-1700-000017000000}">
      <text>
        <r>
          <rPr>
            <b/>
            <sz val="14"/>
            <color indexed="81"/>
            <rFont val="Tahoma"/>
            <family val="2"/>
          </rPr>
          <t>City, State / ZIP Code</t>
        </r>
      </text>
    </comment>
    <comment ref="C52" authorId="1" shapeId="0" xr:uid="{00000000-0006-0000-1700-000018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D52" authorId="1" shapeId="0" xr:uid="{00000000-0006-0000-1700-000019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E52" authorId="1" shapeId="0" xr:uid="{00000000-0006-0000-1700-00001A000000}">
      <text>
        <r>
          <rPr>
            <b/>
            <sz val="14"/>
            <color indexed="81"/>
            <rFont val="Tahoma"/>
            <family val="2"/>
          </rPr>
          <t>City, State / ZIP Code</t>
        </r>
      </text>
    </comment>
    <comment ref="F52" authorId="2" shapeId="0" xr:uid="{00000000-0006-0000-1700-00001B000000}">
      <text>
        <r>
          <rPr>
            <b/>
            <sz val="14"/>
            <color indexed="81"/>
            <rFont val="Tahoma"/>
            <family val="2"/>
          </rPr>
          <t>Indicate the mode of transportation at origin and destination.
Mode cannot begin with CY if there is a location listed as place of receipt.
Mode cannot end with CY if there is a location is listed as place of delivery</t>
        </r>
      </text>
    </comment>
    <comment ref="G52" authorId="2" shapeId="0" xr:uid="{00000000-0006-0000-1700-00001C000000}">
      <text>
        <r>
          <rPr>
            <b/>
            <sz val="14"/>
            <color indexed="81"/>
            <rFont val="Tahoma"/>
            <family val="2"/>
          </rPr>
          <t>Indicate whether or not door service is included at origin and destination</t>
        </r>
      </text>
    </comment>
    <comment ref="Q52" authorId="2" shapeId="0" xr:uid="{00000000-0006-0000-1700-00001D000000}">
      <text>
        <r>
          <rPr>
            <b/>
            <sz val="14"/>
            <color indexed="81"/>
            <rFont val="Tahoma"/>
            <family val="2"/>
          </rPr>
          <t>Use these columns for exceptions to surcharge applicability in note 2</t>
        </r>
      </text>
    </comment>
    <comment ref="AC52" authorId="2" shapeId="0" xr:uid="{00000000-0006-0000-1700-00001E000000}">
      <text>
        <r>
          <rPr>
            <b/>
            <sz val="14"/>
            <color indexed="81"/>
            <rFont val="Tahoma"/>
            <family val="2"/>
          </rPr>
          <t>This field controls construction using Arbitraries and Inland Tariffs
Y = allowed in US, N = not allowed in US, 
E = allowed at origin, I = allowed at destination,
B = allowed at both origin and destination
X = not allowed at either origin or destination</t>
        </r>
      </text>
    </comment>
    <comment ref="B69" authorId="2" shapeId="0" xr:uid="{00000000-0006-0000-1700-00001F000000}">
      <text>
        <r>
          <rPr>
            <b/>
            <sz val="14"/>
            <color indexed="81"/>
            <rFont val="Tahoma"/>
            <family val="2"/>
          </rPr>
          <t>Place of Origin - may be an outport for feeder (CY) arbitraries or an inland origin
Format is:  City, State or ZIP Code</t>
        </r>
      </text>
    </comment>
    <comment ref="E69" authorId="2" shapeId="0" xr:uid="{00000000-0006-0000-1700-000020000000}">
      <text>
        <r>
          <rPr>
            <b/>
            <sz val="14"/>
            <color indexed="81"/>
            <rFont val="Tahoma"/>
            <family val="2"/>
          </rPr>
          <t xml:space="preserve">Please use only one port or a group of ports (Port groups must be defined in the Port Group Codes table).
Arbitrary construction can only occur with rate conditions which show these ports as the POL.
</t>
        </r>
        <r>
          <rPr>
            <b/>
            <i/>
            <sz val="14"/>
            <color indexed="81"/>
            <rFont val="Tahoma"/>
            <family val="2"/>
          </rPr>
          <t>All ports must be valid SEA ports.</t>
        </r>
      </text>
    </comment>
    <comment ref="F69" authorId="2" shapeId="0" xr:uid="{00000000-0006-0000-1700-000021000000}">
      <text>
        <r>
          <rPr>
            <b/>
            <sz val="14"/>
            <color indexed="81"/>
            <rFont val="Tahoma"/>
            <family val="2"/>
          </rPr>
          <t>Indicate the mode of transportation between the arbitrary place of receipt and arbitrary POL.
CY modes can only be used when the mode of transportation is by Feeder.
Use of CY mode requires both the locations to be valid SEA ports.</t>
        </r>
      </text>
    </comment>
    <comment ref="G69" authorId="2" shapeId="0" xr:uid="{00000000-0006-0000-1700-000022000000}">
      <text>
        <r>
          <rPr>
            <b/>
            <sz val="14"/>
            <color indexed="81"/>
            <rFont val="Tahoma"/>
            <family val="2"/>
          </rPr>
          <t>Indicate whether or not door service is included in the arbitrary rate</t>
        </r>
      </text>
    </comment>
    <comment ref="H69" authorId="2" shapeId="0" xr:uid="{00000000-0006-0000-1700-000023000000}">
      <text>
        <r>
          <rPr>
            <b/>
            <sz val="14"/>
            <color indexed="81"/>
            <rFont val="Tahoma"/>
            <family val="2"/>
          </rPr>
          <t>Input the rate in this field when the same amount applies for all container sizes</t>
        </r>
      </text>
    </comment>
    <comment ref="N69" authorId="2" shapeId="0" xr:uid="{00000000-0006-0000-1700-000024000000}">
      <text>
        <r>
          <rPr>
            <b/>
            <sz val="14"/>
            <color indexed="81"/>
            <rFont val="Tahoma"/>
            <family val="2"/>
          </rPr>
          <t>Each Arbitrary applies only to FAK / Bullets as specifically listed in this field.</t>
        </r>
      </text>
    </comment>
    <comment ref="B84" authorId="2" shapeId="0" xr:uid="{00000000-0006-0000-1700-000025000000}">
      <text>
        <r>
          <rPr>
            <b/>
            <sz val="14"/>
            <color indexed="81"/>
            <rFont val="Tahoma"/>
            <family val="2"/>
          </rPr>
          <t>Place of Destination - may be an outport for feeder (CY) arbitraries or an inland destination
Format is:  City, State or ZIP Code</t>
        </r>
      </text>
    </comment>
    <comment ref="E84" authorId="2" shapeId="0" xr:uid="{00000000-0006-0000-1700-000026000000}">
      <text>
        <r>
          <rPr>
            <b/>
            <sz val="14"/>
            <color indexed="81"/>
            <rFont val="Tahoma"/>
            <family val="2"/>
          </rPr>
          <t xml:space="preserve">Please use only one port or a group of ports (Port groups must be defined in the Port Group Codes table).
Arbitrary construction can only occur with rate conditions which show these ports as the POD.
</t>
        </r>
        <r>
          <rPr>
            <b/>
            <i/>
            <sz val="14"/>
            <color indexed="81"/>
            <rFont val="Tahoma"/>
            <family val="2"/>
          </rPr>
          <t>All ports must be valid SEA ports.</t>
        </r>
      </text>
    </comment>
    <comment ref="F84" authorId="2" shapeId="0" xr:uid="{00000000-0006-0000-1700-000027000000}">
      <text>
        <r>
          <rPr>
            <b/>
            <sz val="14"/>
            <color indexed="81"/>
            <rFont val="Tahoma"/>
            <family val="2"/>
          </rPr>
          <t>Indicate the mode of transportation between the arbitrary POD and arbitrary place of delivery.
CY modes can only be used when the mode of transportation is by Feeder.
Use of CY mode requires both the locations to be valid SEA ports.</t>
        </r>
      </text>
    </comment>
    <comment ref="G84" authorId="2" shapeId="0" xr:uid="{00000000-0006-0000-1700-000028000000}">
      <text>
        <r>
          <rPr>
            <b/>
            <sz val="14"/>
            <color indexed="81"/>
            <rFont val="Tahoma"/>
            <family val="2"/>
          </rPr>
          <t>Indicate whether or not door service is included in the arbitrary rate</t>
        </r>
      </text>
    </comment>
    <comment ref="H84" authorId="2" shapeId="0" xr:uid="{00000000-0006-0000-1700-000029000000}">
      <text>
        <r>
          <rPr>
            <b/>
            <sz val="14"/>
            <color indexed="81"/>
            <rFont val="Tahoma"/>
            <family val="2"/>
          </rPr>
          <t>Input the rate in this field when the same amount applies for all container sizes</t>
        </r>
      </text>
    </comment>
    <comment ref="N84" authorId="2" shapeId="0" xr:uid="{00000000-0006-0000-1700-00002A000000}">
      <text>
        <r>
          <rPr>
            <b/>
            <sz val="14"/>
            <color indexed="81"/>
            <rFont val="Tahoma"/>
            <family val="2"/>
          </rPr>
          <t>Each Arbitrary applies only to FAK / Bullets as specifically listed in this field.</t>
        </r>
      </text>
    </comment>
    <comment ref="L94" authorId="2" shapeId="0" xr:uid="{00000000-0006-0000-1700-00002B000000}">
      <text>
        <r>
          <rPr>
            <b/>
            <sz val="14"/>
            <color indexed="81"/>
            <rFont val="Tahoma"/>
            <family val="2"/>
          </rPr>
          <t>Surcharge applicability mentioned on any row applies specifically to the individual port mentioned in this field.
If the Applicable Port field is blank, then the  surcharge applicability stated on that row applies to all ports.</t>
        </r>
      </text>
    </comment>
    <comment ref="A188" authorId="2" shapeId="0" xr:uid="{00000000-0006-0000-1700-00002C000000}">
      <text>
        <r>
          <rPr>
            <sz val="12"/>
            <color indexed="81"/>
            <rFont val="Tahoma"/>
            <family val="2"/>
          </rPr>
          <t>Select the bullet for which the exception applies.
If exception applies to all bullets, select "ALL".</t>
        </r>
      </text>
    </comment>
    <comment ref="B188" authorId="2" shapeId="0" xr:uid="{00000000-0006-0000-1700-00002D000000}">
      <text>
        <r>
          <rPr>
            <sz val="12"/>
            <color indexed="81"/>
            <rFont val="Tahoma"/>
            <family val="2"/>
          </rPr>
          <t xml:space="preserve">Specify if Free Time condition applies to Export or Import:
</t>
        </r>
        <r>
          <rPr>
            <b/>
            <sz val="12"/>
            <color indexed="81"/>
            <rFont val="Tahoma"/>
            <family val="2"/>
          </rPr>
          <t xml:space="preserve">E </t>
        </r>
        <r>
          <rPr>
            <sz val="12"/>
            <color indexed="81"/>
            <rFont val="Tahoma"/>
            <family val="2"/>
          </rPr>
          <t xml:space="preserve">(Export) = applies at origin
</t>
        </r>
        <r>
          <rPr>
            <b/>
            <sz val="12"/>
            <color indexed="81"/>
            <rFont val="Tahoma"/>
            <family val="2"/>
          </rPr>
          <t xml:space="preserve">I </t>
        </r>
        <r>
          <rPr>
            <sz val="12"/>
            <color indexed="81"/>
            <rFont val="Tahoma"/>
            <family val="2"/>
          </rPr>
          <t>(Import) = applies at destination</t>
        </r>
      </text>
    </comment>
    <comment ref="C188" authorId="2" shapeId="0" xr:uid="{00000000-0006-0000-1700-00002E000000}">
      <text>
        <r>
          <rPr>
            <sz val="12"/>
            <color indexed="81"/>
            <rFont val="Tahoma"/>
            <family val="2"/>
          </rPr>
          <t>Enter Type of Free Time:</t>
        </r>
        <r>
          <rPr>
            <u/>
            <sz val="12"/>
            <color indexed="81"/>
            <rFont val="Tahoma"/>
            <family val="2"/>
          </rPr>
          <t xml:space="preserve">
</t>
        </r>
        <r>
          <rPr>
            <sz val="12"/>
            <color indexed="81"/>
            <rFont val="Tahoma"/>
            <family val="2"/>
          </rPr>
          <t xml:space="preserve">
</t>
        </r>
        <r>
          <rPr>
            <b/>
            <sz val="12"/>
            <color indexed="81"/>
            <rFont val="Tahoma"/>
            <family val="2"/>
          </rPr>
          <t>Detention
Demurrage
Merged</t>
        </r>
      </text>
    </comment>
    <comment ref="F188" authorId="2" shapeId="0" xr:uid="{00000000-0006-0000-1700-00002F000000}">
      <text>
        <r>
          <rPr>
            <sz val="12"/>
            <color indexed="81"/>
            <rFont val="Tahoma"/>
            <family val="2"/>
          </rPr>
          <t xml:space="preserve">Specify Equipment Type (blank field indicates applicability to all Eq Types):
</t>
        </r>
        <r>
          <rPr>
            <b/>
            <sz val="12"/>
            <color indexed="81"/>
            <rFont val="Tahoma"/>
            <family val="2"/>
          </rPr>
          <t>D</t>
        </r>
        <r>
          <rPr>
            <sz val="12"/>
            <color indexed="81"/>
            <rFont val="Tahoma"/>
            <family val="2"/>
          </rPr>
          <t xml:space="preserve"> = Dry
</t>
        </r>
        <r>
          <rPr>
            <b/>
            <sz val="12"/>
            <color indexed="81"/>
            <rFont val="Tahoma"/>
            <family val="2"/>
          </rPr>
          <t>R</t>
        </r>
        <r>
          <rPr>
            <sz val="12"/>
            <color indexed="81"/>
            <rFont val="Tahoma"/>
            <family val="2"/>
          </rPr>
          <t xml:space="preserve"> = Reefer
</t>
        </r>
        <r>
          <rPr>
            <b/>
            <sz val="12"/>
            <color indexed="81"/>
            <rFont val="Tahoma"/>
            <family val="2"/>
          </rPr>
          <t>OT</t>
        </r>
        <r>
          <rPr>
            <sz val="12"/>
            <color indexed="81"/>
            <rFont val="Tahoma"/>
            <family val="2"/>
          </rPr>
          <t xml:space="preserve"> = Open Top
</t>
        </r>
        <r>
          <rPr>
            <b/>
            <sz val="12"/>
            <color indexed="81"/>
            <rFont val="Tahoma"/>
            <family val="2"/>
          </rPr>
          <t>FR</t>
        </r>
        <r>
          <rPr>
            <sz val="12"/>
            <color indexed="81"/>
            <rFont val="Tahoma"/>
            <family val="2"/>
          </rPr>
          <t xml:space="preserve"> = Flat Rack</t>
        </r>
      </text>
    </comment>
    <comment ref="G188" authorId="2" shapeId="0" xr:uid="{00000000-0006-0000-1700-000030000000}">
      <text>
        <r>
          <rPr>
            <sz val="12"/>
            <color indexed="81"/>
            <rFont val="Tahoma"/>
            <family val="2"/>
          </rPr>
          <t>Select "OR" from the drop down list if condition applies to Operating Reefers</t>
        </r>
      </text>
    </comment>
    <comment ref="H188" authorId="2" shapeId="0" xr:uid="{00000000-0006-0000-1700-000031000000}">
      <text>
        <r>
          <rPr>
            <sz val="12"/>
            <color indexed="81"/>
            <rFont val="Tahoma"/>
            <family val="2"/>
          </rPr>
          <t xml:space="preserve">Specify the Place of Receipt if necessary.  </t>
        </r>
        <r>
          <rPr>
            <u/>
            <sz val="12"/>
            <color indexed="81"/>
            <rFont val="Tahoma"/>
            <family val="2"/>
          </rPr>
          <t>Do not</t>
        </r>
        <r>
          <rPr>
            <sz val="12"/>
            <color indexed="81"/>
            <rFont val="Tahoma"/>
            <family val="2"/>
          </rPr>
          <t xml:space="preserve"> use "ALL".
Only 1 location may be entered per row.</t>
        </r>
      </text>
    </comment>
    <comment ref="I188" authorId="2" shapeId="0" xr:uid="{00000000-0006-0000-1700-000032000000}">
      <text>
        <r>
          <rPr>
            <sz val="12"/>
            <color indexed="81"/>
            <rFont val="Tahoma"/>
            <family val="2"/>
          </rPr>
          <t xml:space="preserve">Enter the POL if necessary.  </t>
        </r>
        <r>
          <rPr>
            <u/>
            <sz val="12"/>
            <color indexed="81"/>
            <rFont val="Tahoma"/>
            <family val="2"/>
          </rPr>
          <t>Do not</t>
        </r>
        <r>
          <rPr>
            <sz val="12"/>
            <color indexed="81"/>
            <rFont val="Tahoma"/>
            <family val="2"/>
          </rPr>
          <t xml:space="preserve"> use "ALL".
Only 1 location is allowed per row and must be a valid seaport.</t>
        </r>
      </text>
    </comment>
    <comment ref="J188" authorId="2" shapeId="0" xr:uid="{00000000-0006-0000-1700-000033000000}">
      <text>
        <r>
          <rPr>
            <sz val="12"/>
            <color indexed="81"/>
            <rFont val="Tahoma"/>
            <family val="2"/>
          </rPr>
          <t xml:space="preserve">Enter the POD if necessary.  </t>
        </r>
        <r>
          <rPr>
            <u/>
            <sz val="12"/>
            <color indexed="81"/>
            <rFont val="Tahoma"/>
            <family val="2"/>
          </rPr>
          <t>Do not</t>
        </r>
        <r>
          <rPr>
            <sz val="12"/>
            <color indexed="81"/>
            <rFont val="Tahoma"/>
            <family val="2"/>
          </rPr>
          <t xml:space="preserve"> use "ALL".
Only 1 location is allowed per row and must be a valid seaport.</t>
        </r>
      </text>
    </comment>
    <comment ref="K188" authorId="2" shapeId="0" xr:uid="{00000000-0006-0000-1700-000034000000}">
      <text>
        <r>
          <rPr>
            <sz val="12"/>
            <color indexed="81"/>
            <rFont val="Tahoma"/>
            <family val="2"/>
          </rPr>
          <t xml:space="preserve">Specify the Place of Delivery if necessary.  </t>
        </r>
        <r>
          <rPr>
            <u/>
            <sz val="12"/>
            <color indexed="81"/>
            <rFont val="Tahoma"/>
            <family val="2"/>
          </rPr>
          <t>Do not</t>
        </r>
        <r>
          <rPr>
            <sz val="12"/>
            <color indexed="81"/>
            <rFont val="Tahoma"/>
            <family val="2"/>
          </rPr>
          <t xml:space="preserve"> use "ALL".
Only 1 location may be entered per row.</t>
        </r>
      </text>
    </comment>
    <comment ref="L188" authorId="3" shapeId="0" xr:uid="{24312323-7B38-45BC-BBC6-89C160FC3017}">
      <text>
        <r>
          <rPr>
            <sz val="12"/>
            <color indexed="81"/>
            <rFont val="Tahoma"/>
            <family val="2"/>
          </rPr>
          <t xml:space="preserve">Enter the Country Code ONLY.  </t>
        </r>
        <r>
          <rPr>
            <u/>
            <sz val="12"/>
            <color indexed="81"/>
            <rFont val="Tahoma"/>
            <family val="2"/>
          </rPr>
          <t>Cannot</t>
        </r>
        <r>
          <rPr>
            <sz val="12"/>
            <color indexed="81"/>
            <rFont val="Tahoma"/>
            <family val="2"/>
          </rPr>
          <t xml:space="preserve"> use "ALL" or country name</t>
        </r>
      </text>
    </comment>
    <comment ref="M188" authorId="2" shapeId="0" xr:uid="{00000000-0006-0000-1700-000035000000}">
      <text>
        <r>
          <rPr>
            <sz val="12"/>
            <color indexed="81"/>
            <rFont val="Tahoma"/>
            <family val="2"/>
          </rPr>
          <t xml:space="preserve">Enter additional notes only when absolutely necessary.  
</t>
        </r>
        <r>
          <rPr>
            <u/>
            <sz val="12"/>
            <color indexed="81"/>
            <rFont val="Tahoma"/>
            <family val="2"/>
          </rPr>
          <t>IMPORTANT</t>
        </r>
        <r>
          <rPr>
            <sz val="12"/>
            <color indexed="81"/>
            <rFont val="Tahoma"/>
            <family val="2"/>
          </rPr>
          <t xml:space="preserve">:  Named accounts and specific commodities </t>
        </r>
        <r>
          <rPr>
            <b/>
            <u/>
            <sz val="12"/>
            <color indexed="81"/>
            <rFont val="Tahoma"/>
            <family val="2"/>
          </rPr>
          <t>may not</t>
        </r>
        <r>
          <rPr>
            <sz val="12"/>
            <color indexed="81"/>
            <rFont val="Tahoma"/>
            <family val="2"/>
          </rPr>
          <t xml:space="preserve"> be listed as Notes.</t>
        </r>
      </text>
    </comment>
    <comment ref="A201" authorId="2" shapeId="0" xr:uid="{56B2808E-C0E3-49FE-B3C9-C0C5225D73E6}">
      <text>
        <r>
          <rPr>
            <sz val="12"/>
            <color indexed="81"/>
            <rFont val="Tahoma"/>
            <family val="2"/>
          </rPr>
          <t>Select the bullet for which the exception applies.
If exception applies to all bullets, select "ALL".</t>
        </r>
      </text>
    </comment>
    <comment ref="B201" authorId="2" shapeId="0" xr:uid="{C5315A58-DF98-4347-A2DD-513A067CFD00}">
      <text>
        <r>
          <rPr>
            <sz val="12"/>
            <color indexed="81"/>
            <rFont val="Tahoma"/>
            <family val="2"/>
          </rPr>
          <t xml:space="preserve">Specify if Free Time condition applies to Export or Import:
</t>
        </r>
        <r>
          <rPr>
            <b/>
            <sz val="12"/>
            <color indexed="81"/>
            <rFont val="Tahoma"/>
            <family val="2"/>
          </rPr>
          <t xml:space="preserve">E </t>
        </r>
        <r>
          <rPr>
            <sz val="12"/>
            <color indexed="81"/>
            <rFont val="Tahoma"/>
            <family val="2"/>
          </rPr>
          <t xml:space="preserve">(Export) = applies at origin
</t>
        </r>
        <r>
          <rPr>
            <b/>
            <sz val="12"/>
            <color indexed="81"/>
            <rFont val="Tahoma"/>
            <family val="2"/>
          </rPr>
          <t xml:space="preserve">I </t>
        </r>
        <r>
          <rPr>
            <sz val="12"/>
            <color indexed="81"/>
            <rFont val="Tahoma"/>
            <family val="2"/>
          </rPr>
          <t>(Import) = applies at destination</t>
        </r>
      </text>
    </comment>
    <comment ref="C201" authorId="2" shapeId="0" xr:uid="{0085015F-936F-464B-BB7B-D6558E9B230C}">
      <text>
        <r>
          <rPr>
            <sz val="12"/>
            <color indexed="81"/>
            <rFont val="Tahoma"/>
            <family val="2"/>
          </rPr>
          <t>Enter Type of Free Time:</t>
        </r>
        <r>
          <rPr>
            <u/>
            <sz val="12"/>
            <color indexed="81"/>
            <rFont val="Tahoma"/>
            <family val="2"/>
          </rPr>
          <t xml:space="preserve">
</t>
        </r>
        <r>
          <rPr>
            <sz val="12"/>
            <color indexed="81"/>
            <rFont val="Tahoma"/>
            <family val="2"/>
          </rPr>
          <t xml:space="preserve">
</t>
        </r>
        <r>
          <rPr>
            <b/>
            <sz val="12"/>
            <color indexed="81"/>
            <rFont val="Tahoma"/>
            <family val="2"/>
          </rPr>
          <t>Detention
Demurrage
Merged</t>
        </r>
      </text>
    </comment>
    <comment ref="F201" authorId="2" shapeId="0" xr:uid="{6934AB2A-A21C-4AD1-BCB3-5255EC32CADE}">
      <text>
        <r>
          <rPr>
            <sz val="12"/>
            <color indexed="81"/>
            <rFont val="Tahoma"/>
            <family val="2"/>
          </rPr>
          <t>If any exceptional charges are offered, then the currency is required to be shown.</t>
        </r>
      </text>
    </comment>
    <comment ref="W201" authorId="2" shapeId="0" xr:uid="{F303F1C1-202F-4495-8017-94A6EEBBC51F}">
      <text>
        <r>
          <rPr>
            <sz val="12"/>
            <color indexed="81"/>
            <rFont val="Tahoma"/>
            <family val="2"/>
          </rPr>
          <t xml:space="preserve">Specify Equipment Type (blank field indicates applicability to all Eq Types):
</t>
        </r>
        <r>
          <rPr>
            <b/>
            <sz val="12"/>
            <color indexed="81"/>
            <rFont val="Tahoma"/>
            <family val="2"/>
          </rPr>
          <t>D</t>
        </r>
        <r>
          <rPr>
            <sz val="12"/>
            <color indexed="81"/>
            <rFont val="Tahoma"/>
            <family val="2"/>
          </rPr>
          <t xml:space="preserve"> = Dry
</t>
        </r>
        <r>
          <rPr>
            <b/>
            <sz val="12"/>
            <color indexed="81"/>
            <rFont val="Tahoma"/>
            <family val="2"/>
          </rPr>
          <t>R</t>
        </r>
        <r>
          <rPr>
            <sz val="12"/>
            <color indexed="81"/>
            <rFont val="Tahoma"/>
            <family val="2"/>
          </rPr>
          <t xml:space="preserve"> = Reefer
</t>
        </r>
        <r>
          <rPr>
            <b/>
            <sz val="12"/>
            <color indexed="81"/>
            <rFont val="Tahoma"/>
            <family val="2"/>
          </rPr>
          <t>OT</t>
        </r>
        <r>
          <rPr>
            <sz val="12"/>
            <color indexed="81"/>
            <rFont val="Tahoma"/>
            <family val="2"/>
          </rPr>
          <t xml:space="preserve"> = Open Top
</t>
        </r>
        <r>
          <rPr>
            <b/>
            <sz val="12"/>
            <color indexed="81"/>
            <rFont val="Tahoma"/>
            <family val="2"/>
          </rPr>
          <t>FR</t>
        </r>
        <r>
          <rPr>
            <sz val="12"/>
            <color indexed="81"/>
            <rFont val="Tahoma"/>
            <family val="2"/>
          </rPr>
          <t xml:space="preserve"> = Flat Rack</t>
        </r>
      </text>
    </comment>
    <comment ref="X201" authorId="2" shapeId="0" xr:uid="{4F741D75-09A1-4EBF-8196-5BEEC88E3CDE}">
      <text>
        <r>
          <rPr>
            <sz val="12"/>
            <color indexed="81"/>
            <rFont val="Tahoma"/>
            <family val="2"/>
          </rPr>
          <t>Select "OR" from the drop down list if condition applies to Operating Reefers</t>
        </r>
      </text>
    </comment>
    <comment ref="Y201" authorId="2" shapeId="0" xr:uid="{393FDEE1-BCB8-4743-9C11-CCD596241747}">
      <text>
        <r>
          <rPr>
            <sz val="12"/>
            <color indexed="81"/>
            <rFont val="Tahoma"/>
            <family val="2"/>
          </rPr>
          <t xml:space="preserve">Specify the Place of Receipt if necessary.  </t>
        </r>
        <r>
          <rPr>
            <u/>
            <sz val="12"/>
            <color indexed="81"/>
            <rFont val="Tahoma"/>
            <family val="2"/>
          </rPr>
          <t>Do not</t>
        </r>
        <r>
          <rPr>
            <sz val="12"/>
            <color indexed="81"/>
            <rFont val="Tahoma"/>
            <family val="2"/>
          </rPr>
          <t xml:space="preserve"> use "ALL".
Only 1 location may be entered per row.</t>
        </r>
      </text>
    </comment>
    <comment ref="Z201" authorId="2" shapeId="0" xr:uid="{6D2160BD-4134-4D04-BFB0-C5E661FEEF35}">
      <text>
        <r>
          <rPr>
            <sz val="12"/>
            <color indexed="81"/>
            <rFont val="Tahoma"/>
            <family val="2"/>
          </rPr>
          <t xml:space="preserve">Enter the POL if necessary.  </t>
        </r>
        <r>
          <rPr>
            <u/>
            <sz val="12"/>
            <color indexed="81"/>
            <rFont val="Tahoma"/>
            <family val="2"/>
          </rPr>
          <t>Do not</t>
        </r>
        <r>
          <rPr>
            <sz val="12"/>
            <color indexed="81"/>
            <rFont val="Tahoma"/>
            <family val="2"/>
          </rPr>
          <t xml:space="preserve"> use "ALL".
Only 1 location is allowed per row and must be a valid seaport.</t>
        </r>
      </text>
    </comment>
    <comment ref="AA201" authorId="2" shapeId="0" xr:uid="{4C545E7D-7007-45D1-A08D-8F30330F4BEC}">
      <text>
        <r>
          <rPr>
            <sz val="12"/>
            <color indexed="81"/>
            <rFont val="Tahoma"/>
            <family val="2"/>
          </rPr>
          <t xml:space="preserve">Enter the POD if necessary.  </t>
        </r>
        <r>
          <rPr>
            <u/>
            <sz val="12"/>
            <color indexed="81"/>
            <rFont val="Tahoma"/>
            <family val="2"/>
          </rPr>
          <t>Do not</t>
        </r>
        <r>
          <rPr>
            <sz val="12"/>
            <color indexed="81"/>
            <rFont val="Tahoma"/>
            <family val="2"/>
          </rPr>
          <t xml:space="preserve"> use "ALL".
Only 1 location is allowed per row and must be a valid seaport.</t>
        </r>
      </text>
    </comment>
    <comment ref="AB201" authorId="2" shapeId="0" xr:uid="{08A5811A-0F7D-4D31-ADBB-2F3CD1684715}">
      <text>
        <r>
          <rPr>
            <sz val="12"/>
            <color indexed="81"/>
            <rFont val="Tahoma"/>
            <family val="2"/>
          </rPr>
          <t xml:space="preserve">Specify the Place of Delivery if necessary.  </t>
        </r>
        <r>
          <rPr>
            <u/>
            <sz val="12"/>
            <color indexed="81"/>
            <rFont val="Tahoma"/>
            <family val="2"/>
          </rPr>
          <t>Do not</t>
        </r>
        <r>
          <rPr>
            <sz val="12"/>
            <color indexed="81"/>
            <rFont val="Tahoma"/>
            <family val="2"/>
          </rPr>
          <t xml:space="preserve"> use "ALL".
Only 1 location may be entered per row.</t>
        </r>
      </text>
    </comment>
    <comment ref="AC201" authorId="3" shapeId="0" xr:uid="{6BDF8B93-E2C0-4CB0-B8DB-43ACB1FE76F4}">
      <text>
        <r>
          <rPr>
            <sz val="12"/>
            <color indexed="81"/>
            <rFont val="Tahoma"/>
            <family val="2"/>
          </rPr>
          <t xml:space="preserve">Enter the Country Code ONLY.  </t>
        </r>
        <r>
          <rPr>
            <u/>
            <sz val="12"/>
            <color indexed="81"/>
            <rFont val="Tahoma"/>
            <family val="2"/>
          </rPr>
          <t>Cannot</t>
        </r>
        <r>
          <rPr>
            <sz val="12"/>
            <color indexed="81"/>
            <rFont val="Tahoma"/>
            <family val="2"/>
          </rPr>
          <t xml:space="preserve"> use "ALL" or country name</t>
        </r>
      </text>
    </comment>
    <comment ref="AD201" authorId="2" shapeId="0" xr:uid="{51C58DAA-F4ED-45CE-B550-21A645BCABDB}">
      <text>
        <r>
          <rPr>
            <sz val="12"/>
            <color indexed="81"/>
            <rFont val="Tahoma"/>
            <family val="2"/>
          </rPr>
          <t xml:space="preserve">Enter additional notes only when absolutely necessary.  
</t>
        </r>
        <r>
          <rPr>
            <u/>
            <sz val="12"/>
            <color indexed="81"/>
            <rFont val="Tahoma"/>
            <family val="2"/>
          </rPr>
          <t>IMPORTANT</t>
        </r>
        <r>
          <rPr>
            <sz val="12"/>
            <color indexed="81"/>
            <rFont val="Tahoma"/>
            <family val="2"/>
          </rPr>
          <t xml:space="preserve">:  Named accounts and specific commodities </t>
        </r>
        <r>
          <rPr>
            <b/>
            <u/>
            <sz val="12"/>
            <color indexed="81"/>
            <rFont val="Tahoma"/>
            <family val="2"/>
          </rPr>
          <t>may not</t>
        </r>
        <r>
          <rPr>
            <sz val="12"/>
            <color indexed="81"/>
            <rFont val="Tahoma"/>
            <family val="2"/>
          </rPr>
          <t xml:space="preserve"> be listed as Notes.</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ext.obouge</author>
    <author>William MALLOL</author>
    <author>usa.gewan</author>
    <author>GENDER Charlie - NOR</author>
  </authors>
  <commentList>
    <comment ref="B13" authorId="0" shapeId="0" xr:uid="{00000000-0006-0000-1800-000001000000}">
      <text>
        <r>
          <rPr>
            <b/>
            <sz val="12"/>
            <color indexed="81"/>
            <rFont val="Tahoma"/>
            <family val="2"/>
          </rPr>
          <t>Please use comma to separate commodities.</t>
        </r>
      </text>
    </comment>
    <comment ref="A20" authorId="1" shapeId="0" xr:uid="{00000000-0006-0000-1800-000002000000}">
      <text>
        <r>
          <rPr>
            <b/>
            <sz val="14"/>
            <color indexed="81"/>
            <rFont val="Tahoma"/>
            <family val="2"/>
          </rPr>
          <t>Port Group Codes can be used to group any two or more valid seaports that are common rated.
Port Group Codes cannot be used for inland locations.</t>
        </r>
      </text>
    </comment>
    <comment ref="B20" authorId="0" shapeId="0" xr:uid="{00000000-0006-0000-1800-000003000000}">
      <text>
        <r>
          <rPr>
            <b/>
            <sz val="14"/>
            <color indexed="81"/>
            <rFont val="Tahoma"/>
            <family val="2"/>
          </rPr>
          <t>Please use comma to separate ports.
Only valid sea ports may be included.</t>
        </r>
      </text>
    </comment>
    <comment ref="A31" authorId="1" shapeId="0" xr:uid="{00000000-0006-0000-1800-000004000000}">
      <text>
        <r>
          <rPr>
            <b/>
            <sz val="14"/>
            <color indexed="81"/>
            <rFont val="Tahoma"/>
            <family val="2"/>
          </rPr>
          <t>Please use FAK/ Bullets defined above.</t>
        </r>
      </text>
    </comment>
    <comment ref="B31" authorId="1" shapeId="0" xr:uid="{00000000-0006-0000-1800-000005000000}">
      <text>
        <r>
          <rPr>
            <b/>
            <sz val="14"/>
            <color indexed="81"/>
            <rFont val="Tahoma"/>
            <family val="2"/>
          </rPr>
          <t>City, State / ZIP Code</t>
        </r>
      </text>
    </comment>
    <comment ref="C31" authorId="1" shapeId="0" xr:uid="{00000000-0006-0000-1800-000006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D31" authorId="1" shapeId="0" xr:uid="{00000000-0006-0000-1800-000007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E31" authorId="1" shapeId="0" xr:uid="{00000000-0006-0000-1800-000008000000}">
      <text>
        <r>
          <rPr>
            <b/>
            <sz val="14"/>
            <color indexed="81"/>
            <rFont val="Tahoma"/>
            <family val="2"/>
          </rPr>
          <t>City, State / ZIP Code</t>
        </r>
      </text>
    </comment>
    <comment ref="F31" authorId="2" shapeId="0" xr:uid="{00000000-0006-0000-1800-000009000000}">
      <text>
        <r>
          <rPr>
            <b/>
            <sz val="14"/>
            <color indexed="81"/>
            <rFont val="Tahoma"/>
            <family val="2"/>
          </rPr>
          <t>Indicate the mode of transportation at origin and destination.
Mode cannot begin with CY if there is a location listed as place of receipt.
Mode cannot end with CY if there is a location is listed as place of delivery</t>
        </r>
      </text>
    </comment>
    <comment ref="G31" authorId="2" shapeId="0" xr:uid="{00000000-0006-0000-1800-00000A000000}">
      <text>
        <r>
          <rPr>
            <b/>
            <sz val="14"/>
            <color indexed="81"/>
            <rFont val="Tahoma"/>
            <family val="2"/>
          </rPr>
          <t>Indicate whether or not door service is included at origin and destination</t>
        </r>
      </text>
    </comment>
    <comment ref="M31" authorId="2" shapeId="0" xr:uid="{00000000-0006-0000-1800-00000B000000}">
      <text>
        <r>
          <rPr>
            <b/>
            <sz val="14"/>
            <color indexed="81"/>
            <rFont val="Tahoma"/>
            <family val="2"/>
          </rPr>
          <t>Use these columns for exceptions to surcharge applicability in note 2</t>
        </r>
      </text>
    </comment>
    <comment ref="AA31" authorId="2" shapeId="0" xr:uid="{00000000-0006-0000-1800-00000C000000}">
      <text>
        <r>
          <rPr>
            <b/>
            <sz val="14"/>
            <color indexed="81"/>
            <rFont val="Tahoma"/>
            <family val="2"/>
          </rPr>
          <t>This field controls construction using Arbitraries and Inland Tariffs
Y = allowed in US, N = not allowed in US, 
E = allowed at origin, I = allowed at destination,
B = allowed at both origin and destination
X = not allowed at either origin or destination</t>
        </r>
      </text>
    </comment>
    <comment ref="A40" authorId="1" shapeId="0" xr:uid="{00000000-0006-0000-1800-00000D000000}">
      <text>
        <r>
          <rPr>
            <b/>
            <sz val="14"/>
            <color indexed="81"/>
            <rFont val="Tahoma"/>
            <family val="2"/>
          </rPr>
          <t>Please use FAK/ Bullets defined above.</t>
        </r>
      </text>
    </comment>
    <comment ref="B40" authorId="1" shapeId="0" xr:uid="{00000000-0006-0000-1800-00000E000000}">
      <text>
        <r>
          <rPr>
            <b/>
            <sz val="14"/>
            <color indexed="81"/>
            <rFont val="Tahoma"/>
            <family val="2"/>
          </rPr>
          <t>City, State / ZIP Code</t>
        </r>
      </text>
    </comment>
    <comment ref="C40" authorId="1" shapeId="0" xr:uid="{00000000-0006-0000-1800-00000F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D40" authorId="1" shapeId="0" xr:uid="{00000000-0006-0000-1800-000010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E40" authorId="1" shapeId="0" xr:uid="{00000000-0006-0000-1800-000011000000}">
      <text>
        <r>
          <rPr>
            <b/>
            <sz val="14"/>
            <color indexed="81"/>
            <rFont val="Tahoma"/>
            <family val="2"/>
          </rPr>
          <t>City, State / ZIP Code</t>
        </r>
      </text>
    </comment>
    <comment ref="F40" authorId="2" shapeId="0" xr:uid="{00000000-0006-0000-1800-000012000000}">
      <text>
        <r>
          <rPr>
            <b/>
            <sz val="14"/>
            <color indexed="81"/>
            <rFont val="Tahoma"/>
            <family val="2"/>
          </rPr>
          <t>Indicate the mode of transportation at origin and destination.
Mode cannot begin with CY if there is a location listed as place of receipt.
Mode cannot end with CY if there is a location is listed as place of delivery</t>
        </r>
      </text>
    </comment>
    <comment ref="G40" authorId="2" shapeId="0" xr:uid="{00000000-0006-0000-1800-000013000000}">
      <text>
        <r>
          <rPr>
            <b/>
            <sz val="14"/>
            <color indexed="81"/>
            <rFont val="Tahoma"/>
            <family val="2"/>
          </rPr>
          <t>Indicate whether or not door service is included at origin and destination</t>
        </r>
      </text>
    </comment>
    <comment ref="O40" authorId="2" shapeId="0" xr:uid="{00000000-0006-0000-1800-000014000000}">
      <text>
        <r>
          <rPr>
            <b/>
            <sz val="14"/>
            <color indexed="81"/>
            <rFont val="Tahoma"/>
            <family val="2"/>
          </rPr>
          <t>Use these columns for exceptions to surcharge applicability in note 2</t>
        </r>
      </text>
    </comment>
    <comment ref="AA40" authorId="2" shapeId="0" xr:uid="{00000000-0006-0000-1800-000015000000}">
      <text>
        <r>
          <rPr>
            <b/>
            <sz val="14"/>
            <color indexed="81"/>
            <rFont val="Tahoma"/>
            <family val="2"/>
          </rPr>
          <t>This field controls construction using Arbitraries and Inland Tariffs
Y = allowed in US, N = not allowed in US, 
E = allowed at origin, I = allowed at destination,
B = allowed at both origin and destination
X = not allowed at either origin or destination</t>
        </r>
      </text>
    </comment>
    <comment ref="A49" authorId="1" shapeId="0" xr:uid="{00000000-0006-0000-1800-000016000000}">
      <text>
        <r>
          <rPr>
            <b/>
            <sz val="14"/>
            <color indexed="81"/>
            <rFont val="Tahoma"/>
            <family val="2"/>
          </rPr>
          <t>Please use FAK/ Bullets defined above.</t>
        </r>
      </text>
    </comment>
    <comment ref="B49" authorId="1" shapeId="0" xr:uid="{00000000-0006-0000-1800-000017000000}">
      <text>
        <r>
          <rPr>
            <b/>
            <sz val="14"/>
            <color indexed="81"/>
            <rFont val="Tahoma"/>
            <family val="2"/>
          </rPr>
          <t>City, State / ZIP Code</t>
        </r>
      </text>
    </comment>
    <comment ref="C49" authorId="1" shapeId="0" xr:uid="{00000000-0006-0000-1800-000018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D49" authorId="1" shapeId="0" xr:uid="{00000000-0006-0000-1800-000019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E49" authorId="1" shapeId="0" xr:uid="{00000000-0006-0000-1800-00001A000000}">
      <text>
        <r>
          <rPr>
            <b/>
            <sz val="14"/>
            <color indexed="81"/>
            <rFont val="Tahoma"/>
            <family val="2"/>
          </rPr>
          <t>City, State / ZIP Code</t>
        </r>
      </text>
    </comment>
    <comment ref="F49" authorId="2" shapeId="0" xr:uid="{00000000-0006-0000-1800-00001B000000}">
      <text>
        <r>
          <rPr>
            <b/>
            <sz val="14"/>
            <color indexed="81"/>
            <rFont val="Tahoma"/>
            <family val="2"/>
          </rPr>
          <t>Indicate the mode of transportation at origin and destination.
Mode cannot begin with CY if there is a location listed as place of receipt.
Mode cannot end with CY if there is a location is listed as place of delivery</t>
        </r>
      </text>
    </comment>
    <comment ref="G49" authorId="2" shapeId="0" xr:uid="{00000000-0006-0000-1800-00001C000000}">
      <text>
        <r>
          <rPr>
            <b/>
            <sz val="14"/>
            <color indexed="81"/>
            <rFont val="Tahoma"/>
            <family val="2"/>
          </rPr>
          <t>Indicate whether or not door service is included at origin and destination</t>
        </r>
      </text>
    </comment>
    <comment ref="Q49" authorId="2" shapeId="0" xr:uid="{00000000-0006-0000-1800-00001D000000}">
      <text>
        <r>
          <rPr>
            <b/>
            <sz val="14"/>
            <color indexed="81"/>
            <rFont val="Tahoma"/>
            <family val="2"/>
          </rPr>
          <t>Use these columns for exceptions to surcharge applicability in note 2</t>
        </r>
      </text>
    </comment>
    <comment ref="AC49" authorId="2" shapeId="0" xr:uid="{00000000-0006-0000-1800-00001E000000}">
      <text>
        <r>
          <rPr>
            <b/>
            <sz val="14"/>
            <color indexed="81"/>
            <rFont val="Tahoma"/>
            <family val="2"/>
          </rPr>
          <t>This field controls construction using Arbitraries and Inland Tariffs
Y = allowed in US, N = not allowed in US, 
E = allowed at origin, I = allowed at destination,
B = allowed at both origin and destination
X = not allowed at either origin or destination</t>
        </r>
      </text>
    </comment>
    <comment ref="B66" authorId="2" shapeId="0" xr:uid="{00000000-0006-0000-1800-00001F000000}">
      <text>
        <r>
          <rPr>
            <b/>
            <sz val="14"/>
            <color indexed="81"/>
            <rFont val="Tahoma"/>
            <family val="2"/>
          </rPr>
          <t>Place of Origin - may be an outport for feeder (CY) arbitraries or an inland origin
Format is:  City, State or ZIP Code</t>
        </r>
      </text>
    </comment>
    <comment ref="E66" authorId="2" shapeId="0" xr:uid="{00000000-0006-0000-1800-000020000000}">
      <text>
        <r>
          <rPr>
            <b/>
            <sz val="14"/>
            <color indexed="81"/>
            <rFont val="Tahoma"/>
            <family val="2"/>
          </rPr>
          <t xml:space="preserve">Please use only one port or a group of ports (Port groups must be defined in the Port Group Codes table).
Arbitrary construction can only occur with rate conditions which show these ports as the POL.
</t>
        </r>
        <r>
          <rPr>
            <b/>
            <i/>
            <sz val="14"/>
            <color indexed="81"/>
            <rFont val="Tahoma"/>
            <family val="2"/>
          </rPr>
          <t>All ports must be valid SEA ports.</t>
        </r>
      </text>
    </comment>
    <comment ref="F66" authorId="2" shapeId="0" xr:uid="{00000000-0006-0000-1800-000021000000}">
      <text>
        <r>
          <rPr>
            <b/>
            <sz val="14"/>
            <color indexed="81"/>
            <rFont val="Tahoma"/>
            <family val="2"/>
          </rPr>
          <t>Indicate the mode of transportation between the arbitrary place of receipt and arbitrary POL.
CY modes can only be used when the mode of transportation is by Feeder.
Use of CY mode requires both the locations to be valid SEA ports.</t>
        </r>
      </text>
    </comment>
    <comment ref="G66" authorId="2" shapeId="0" xr:uid="{00000000-0006-0000-1800-000022000000}">
      <text>
        <r>
          <rPr>
            <b/>
            <sz val="14"/>
            <color indexed="81"/>
            <rFont val="Tahoma"/>
            <family val="2"/>
          </rPr>
          <t>Indicate whether or not door service is included in the arbitrary rate</t>
        </r>
      </text>
    </comment>
    <comment ref="H66" authorId="2" shapeId="0" xr:uid="{00000000-0006-0000-1800-000023000000}">
      <text>
        <r>
          <rPr>
            <b/>
            <sz val="14"/>
            <color indexed="81"/>
            <rFont val="Tahoma"/>
            <family val="2"/>
          </rPr>
          <t>Input the rate in this field when the same amount applies for all container sizes</t>
        </r>
      </text>
    </comment>
    <comment ref="N66" authorId="2" shapeId="0" xr:uid="{00000000-0006-0000-1800-000024000000}">
      <text>
        <r>
          <rPr>
            <b/>
            <sz val="14"/>
            <color indexed="81"/>
            <rFont val="Tahoma"/>
            <family val="2"/>
          </rPr>
          <t>Each Arbitrary applies only to FAK / Bullets as specifically listed in this field.</t>
        </r>
      </text>
    </comment>
    <comment ref="B81" authorId="2" shapeId="0" xr:uid="{00000000-0006-0000-1800-000025000000}">
      <text>
        <r>
          <rPr>
            <b/>
            <sz val="14"/>
            <color indexed="81"/>
            <rFont val="Tahoma"/>
            <family val="2"/>
          </rPr>
          <t>Place of Destination - may be an outport for feeder (CY) arbitraries or an inland destination
Format is:  City, State or ZIP Code</t>
        </r>
      </text>
    </comment>
    <comment ref="E81" authorId="2" shapeId="0" xr:uid="{00000000-0006-0000-1800-000026000000}">
      <text>
        <r>
          <rPr>
            <b/>
            <sz val="14"/>
            <color indexed="81"/>
            <rFont val="Tahoma"/>
            <family val="2"/>
          </rPr>
          <t xml:space="preserve">Please use only one port or a group of ports (Port groups must be defined in the Port Group Codes table).
Arbitrary construction can only occur with rate conditions which show these ports as the POD.
</t>
        </r>
        <r>
          <rPr>
            <b/>
            <i/>
            <sz val="14"/>
            <color indexed="81"/>
            <rFont val="Tahoma"/>
            <family val="2"/>
          </rPr>
          <t>All ports must be valid SEA ports.</t>
        </r>
      </text>
    </comment>
    <comment ref="F81" authorId="2" shapeId="0" xr:uid="{00000000-0006-0000-1800-000027000000}">
      <text>
        <r>
          <rPr>
            <b/>
            <sz val="14"/>
            <color indexed="81"/>
            <rFont val="Tahoma"/>
            <family val="2"/>
          </rPr>
          <t>Indicate the mode of transportation between the arbitrary POD and arbitrary place of delivery.
CY modes can only be used when the mode of transportation is by Feeder.
Use of CY mode requires both the locations to be valid SEA ports.</t>
        </r>
      </text>
    </comment>
    <comment ref="G81" authorId="2" shapeId="0" xr:uid="{00000000-0006-0000-1800-000028000000}">
      <text>
        <r>
          <rPr>
            <b/>
            <sz val="14"/>
            <color indexed="81"/>
            <rFont val="Tahoma"/>
            <family val="2"/>
          </rPr>
          <t>Indicate whether or not door service is included in the arbitrary rate</t>
        </r>
      </text>
    </comment>
    <comment ref="H81" authorId="2" shapeId="0" xr:uid="{00000000-0006-0000-1800-000029000000}">
      <text>
        <r>
          <rPr>
            <b/>
            <sz val="14"/>
            <color indexed="81"/>
            <rFont val="Tahoma"/>
            <family val="2"/>
          </rPr>
          <t>Input the rate in this field when the same amount applies for all container sizes</t>
        </r>
      </text>
    </comment>
    <comment ref="N81" authorId="2" shapeId="0" xr:uid="{00000000-0006-0000-1800-00002A000000}">
      <text>
        <r>
          <rPr>
            <b/>
            <sz val="14"/>
            <color indexed="81"/>
            <rFont val="Tahoma"/>
            <family val="2"/>
          </rPr>
          <t>Each Arbitrary applies only to FAK / Bullets as specifically listed in this field.</t>
        </r>
      </text>
    </comment>
    <comment ref="L91" authorId="2" shapeId="0" xr:uid="{00000000-0006-0000-1800-00002B000000}">
      <text>
        <r>
          <rPr>
            <b/>
            <sz val="14"/>
            <color indexed="81"/>
            <rFont val="Tahoma"/>
            <family val="2"/>
          </rPr>
          <t>Surcharge applicability mentioned on any row applies specifically to the individual port mentioned in this field.
If the Applicable Port field is blank, then the  surcharge applicability stated on that row applies to all ports.</t>
        </r>
      </text>
    </comment>
    <comment ref="A181" authorId="2" shapeId="0" xr:uid="{00000000-0006-0000-1800-00002C000000}">
      <text>
        <r>
          <rPr>
            <sz val="12"/>
            <color indexed="81"/>
            <rFont val="Tahoma"/>
            <family val="2"/>
          </rPr>
          <t>Select the bullet for which the exception applies.
If exception applies to all bullets, select "ALL".</t>
        </r>
      </text>
    </comment>
    <comment ref="B181" authorId="2" shapeId="0" xr:uid="{00000000-0006-0000-1800-00002D000000}">
      <text>
        <r>
          <rPr>
            <sz val="12"/>
            <color indexed="81"/>
            <rFont val="Tahoma"/>
            <family val="2"/>
          </rPr>
          <t xml:space="preserve">Specify if Free Time condition applies to Export or Import:
</t>
        </r>
        <r>
          <rPr>
            <b/>
            <sz val="12"/>
            <color indexed="81"/>
            <rFont val="Tahoma"/>
            <family val="2"/>
          </rPr>
          <t xml:space="preserve">E </t>
        </r>
        <r>
          <rPr>
            <sz val="12"/>
            <color indexed="81"/>
            <rFont val="Tahoma"/>
            <family val="2"/>
          </rPr>
          <t xml:space="preserve">(Export) = applies at origin
</t>
        </r>
        <r>
          <rPr>
            <b/>
            <sz val="12"/>
            <color indexed="81"/>
            <rFont val="Tahoma"/>
            <family val="2"/>
          </rPr>
          <t xml:space="preserve">I </t>
        </r>
        <r>
          <rPr>
            <sz val="12"/>
            <color indexed="81"/>
            <rFont val="Tahoma"/>
            <family val="2"/>
          </rPr>
          <t>(Import) = applies at destination</t>
        </r>
      </text>
    </comment>
    <comment ref="C181" authorId="2" shapeId="0" xr:uid="{00000000-0006-0000-1800-00002E000000}">
      <text>
        <r>
          <rPr>
            <sz val="12"/>
            <color indexed="81"/>
            <rFont val="Tahoma"/>
            <family val="2"/>
          </rPr>
          <t>Enter Type of Free Time:</t>
        </r>
        <r>
          <rPr>
            <u/>
            <sz val="12"/>
            <color indexed="81"/>
            <rFont val="Tahoma"/>
            <family val="2"/>
          </rPr>
          <t xml:space="preserve">
</t>
        </r>
        <r>
          <rPr>
            <sz val="12"/>
            <color indexed="81"/>
            <rFont val="Tahoma"/>
            <family val="2"/>
          </rPr>
          <t xml:space="preserve">
</t>
        </r>
        <r>
          <rPr>
            <b/>
            <sz val="12"/>
            <color indexed="81"/>
            <rFont val="Tahoma"/>
            <family val="2"/>
          </rPr>
          <t>Detention
Demurrage
Merged</t>
        </r>
      </text>
    </comment>
    <comment ref="F181" authorId="2" shapeId="0" xr:uid="{00000000-0006-0000-1800-00002F000000}">
      <text>
        <r>
          <rPr>
            <sz val="12"/>
            <color indexed="81"/>
            <rFont val="Tahoma"/>
            <family val="2"/>
          </rPr>
          <t xml:space="preserve">Specify Equipment Type (blank field indicates applicability to all Eq Types):
</t>
        </r>
        <r>
          <rPr>
            <b/>
            <sz val="12"/>
            <color indexed="81"/>
            <rFont val="Tahoma"/>
            <family val="2"/>
          </rPr>
          <t>D</t>
        </r>
        <r>
          <rPr>
            <sz val="12"/>
            <color indexed="81"/>
            <rFont val="Tahoma"/>
            <family val="2"/>
          </rPr>
          <t xml:space="preserve"> = Dry
</t>
        </r>
        <r>
          <rPr>
            <b/>
            <sz val="12"/>
            <color indexed="81"/>
            <rFont val="Tahoma"/>
            <family val="2"/>
          </rPr>
          <t>R</t>
        </r>
        <r>
          <rPr>
            <sz val="12"/>
            <color indexed="81"/>
            <rFont val="Tahoma"/>
            <family val="2"/>
          </rPr>
          <t xml:space="preserve"> = Reefer
</t>
        </r>
        <r>
          <rPr>
            <b/>
            <sz val="12"/>
            <color indexed="81"/>
            <rFont val="Tahoma"/>
            <family val="2"/>
          </rPr>
          <t>OT</t>
        </r>
        <r>
          <rPr>
            <sz val="12"/>
            <color indexed="81"/>
            <rFont val="Tahoma"/>
            <family val="2"/>
          </rPr>
          <t xml:space="preserve"> = Open Top
</t>
        </r>
        <r>
          <rPr>
            <b/>
            <sz val="12"/>
            <color indexed="81"/>
            <rFont val="Tahoma"/>
            <family val="2"/>
          </rPr>
          <t>FR</t>
        </r>
        <r>
          <rPr>
            <sz val="12"/>
            <color indexed="81"/>
            <rFont val="Tahoma"/>
            <family val="2"/>
          </rPr>
          <t xml:space="preserve"> = Flat Rack</t>
        </r>
      </text>
    </comment>
    <comment ref="G181" authorId="2" shapeId="0" xr:uid="{00000000-0006-0000-1800-000030000000}">
      <text>
        <r>
          <rPr>
            <sz val="12"/>
            <color indexed="81"/>
            <rFont val="Tahoma"/>
            <family val="2"/>
          </rPr>
          <t>Select "OR" from the drop down list if condition applies to Operating Reefers</t>
        </r>
      </text>
    </comment>
    <comment ref="H181" authorId="2" shapeId="0" xr:uid="{00000000-0006-0000-1800-000031000000}">
      <text>
        <r>
          <rPr>
            <sz val="12"/>
            <color indexed="81"/>
            <rFont val="Tahoma"/>
            <family val="2"/>
          </rPr>
          <t xml:space="preserve">Specify the Place of Receipt if necessary.  </t>
        </r>
        <r>
          <rPr>
            <u/>
            <sz val="12"/>
            <color indexed="81"/>
            <rFont val="Tahoma"/>
            <family val="2"/>
          </rPr>
          <t>Do not</t>
        </r>
        <r>
          <rPr>
            <sz val="12"/>
            <color indexed="81"/>
            <rFont val="Tahoma"/>
            <family val="2"/>
          </rPr>
          <t xml:space="preserve"> use "ALL".
Only 1 location may be entered per row.</t>
        </r>
      </text>
    </comment>
    <comment ref="I181" authorId="2" shapeId="0" xr:uid="{00000000-0006-0000-1800-000032000000}">
      <text>
        <r>
          <rPr>
            <sz val="12"/>
            <color indexed="81"/>
            <rFont val="Tahoma"/>
            <family val="2"/>
          </rPr>
          <t xml:space="preserve">Enter the POL if necessary.  </t>
        </r>
        <r>
          <rPr>
            <u/>
            <sz val="12"/>
            <color indexed="81"/>
            <rFont val="Tahoma"/>
            <family val="2"/>
          </rPr>
          <t>Do not</t>
        </r>
        <r>
          <rPr>
            <sz val="12"/>
            <color indexed="81"/>
            <rFont val="Tahoma"/>
            <family val="2"/>
          </rPr>
          <t xml:space="preserve"> use "ALL".
Only 1 location is allowed per row and must be a valid seaport.</t>
        </r>
      </text>
    </comment>
    <comment ref="J181" authorId="2" shapeId="0" xr:uid="{00000000-0006-0000-1800-000033000000}">
      <text>
        <r>
          <rPr>
            <sz val="12"/>
            <color indexed="81"/>
            <rFont val="Tahoma"/>
            <family val="2"/>
          </rPr>
          <t xml:space="preserve">Enter the POD if necessary.  </t>
        </r>
        <r>
          <rPr>
            <u/>
            <sz val="12"/>
            <color indexed="81"/>
            <rFont val="Tahoma"/>
            <family val="2"/>
          </rPr>
          <t>Do not</t>
        </r>
        <r>
          <rPr>
            <sz val="12"/>
            <color indexed="81"/>
            <rFont val="Tahoma"/>
            <family val="2"/>
          </rPr>
          <t xml:space="preserve"> use "ALL".
Only 1 location is allowed per row and must be a valid seaport.</t>
        </r>
      </text>
    </comment>
    <comment ref="K181" authorId="2" shapeId="0" xr:uid="{00000000-0006-0000-1800-000034000000}">
      <text>
        <r>
          <rPr>
            <sz val="12"/>
            <color indexed="81"/>
            <rFont val="Tahoma"/>
            <family val="2"/>
          </rPr>
          <t xml:space="preserve">Specify the Place of Delivery if necessary.  </t>
        </r>
        <r>
          <rPr>
            <u/>
            <sz val="12"/>
            <color indexed="81"/>
            <rFont val="Tahoma"/>
            <family val="2"/>
          </rPr>
          <t>Do not</t>
        </r>
        <r>
          <rPr>
            <sz val="12"/>
            <color indexed="81"/>
            <rFont val="Tahoma"/>
            <family val="2"/>
          </rPr>
          <t xml:space="preserve"> use "ALL".
Only 1 location may be entered per row.</t>
        </r>
      </text>
    </comment>
    <comment ref="L181" authorId="3" shapeId="0" xr:uid="{FA155B51-2AAC-4896-ADEE-43FE2420BD04}">
      <text>
        <r>
          <rPr>
            <sz val="12"/>
            <color indexed="81"/>
            <rFont val="Tahoma"/>
            <family val="2"/>
          </rPr>
          <t xml:space="preserve">Enter the Country Code ONLY.  </t>
        </r>
        <r>
          <rPr>
            <u/>
            <sz val="12"/>
            <color indexed="81"/>
            <rFont val="Tahoma"/>
            <family val="2"/>
          </rPr>
          <t>Cannot</t>
        </r>
        <r>
          <rPr>
            <sz val="12"/>
            <color indexed="81"/>
            <rFont val="Tahoma"/>
            <family val="2"/>
          </rPr>
          <t xml:space="preserve"> use "ALL" or country name</t>
        </r>
      </text>
    </comment>
    <comment ref="M181" authorId="2" shapeId="0" xr:uid="{00000000-0006-0000-1800-000035000000}">
      <text>
        <r>
          <rPr>
            <sz val="12"/>
            <color indexed="81"/>
            <rFont val="Tahoma"/>
            <family val="2"/>
          </rPr>
          <t xml:space="preserve">Enter additional notes only when absolutely necessary.  
</t>
        </r>
        <r>
          <rPr>
            <u/>
            <sz val="12"/>
            <color indexed="81"/>
            <rFont val="Tahoma"/>
            <family val="2"/>
          </rPr>
          <t>IMPORTANT</t>
        </r>
        <r>
          <rPr>
            <sz val="12"/>
            <color indexed="81"/>
            <rFont val="Tahoma"/>
            <family val="2"/>
          </rPr>
          <t xml:space="preserve">:  Named accounts and specific commodities </t>
        </r>
        <r>
          <rPr>
            <b/>
            <u/>
            <sz val="12"/>
            <color indexed="81"/>
            <rFont val="Tahoma"/>
            <family val="2"/>
          </rPr>
          <t>may not</t>
        </r>
        <r>
          <rPr>
            <sz val="12"/>
            <color indexed="81"/>
            <rFont val="Tahoma"/>
            <family val="2"/>
          </rPr>
          <t xml:space="preserve"> be listed as Notes.</t>
        </r>
      </text>
    </comment>
    <comment ref="A194" authorId="2" shapeId="0" xr:uid="{8222C9AA-6F7F-40DD-814F-5AD1AE4D0DC9}">
      <text>
        <r>
          <rPr>
            <sz val="12"/>
            <color indexed="81"/>
            <rFont val="Tahoma"/>
            <family val="2"/>
          </rPr>
          <t>Select the bullet for which the exception applies.
If exception applies to all bullets, select "ALL".</t>
        </r>
      </text>
    </comment>
    <comment ref="B194" authorId="2" shapeId="0" xr:uid="{906EE2DB-FC3B-49A3-A751-0599942E98F6}">
      <text>
        <r>
          <rPr>
            <sz val="12"/>
            <color indexed="81"/>
            <rFont val="Tahoma"/>
            <family val="2"/>
          </rPr>
          <t xml:space="preserve">Specify if Free Time condition applies to Export or Import:
</t>
        </r>
        <r>
          <rPr>
            <b/>
            <sz val="12"/>
            <color indexed="81"/>
            <rFont val="Tahoma"/>
            <family val="2"/>
          </rPr>
          <t xml:space="preserve">E </t>
        </r>
        <r>
          <rPr>
            <sz val="12"/>
            <color indexed="81"/>
            <rFont val="Tahoma"/>
            <family val="2"/>
          </rPr>
          <t xml:space="preserve">(Export) = applies at origin
</t>
        </r>
        <r>
          <rPr>
            <b/>
            <sz val="12"/>
            <color indexed="81"/>
            <rFont val="Tahoma"/>
            <family val="2"/>
          </rPr>
          <t xml:space="preserve">I </t>
        </r>
        <r>
          <rPr>
            <sz val="12"/>
            <color indexed="81"/>
            <rFont val="Tahoma"/>
            <family val="2"/>
          </rPr>
          <t>(Import) = applies at destination</t>
        </r>
      </text>
    </comment>
    <comment ref="C194" authorId="2" shapeId="0" xr:uid="{7DDA4354-EC4B-47BB-AF95-5F2FFFAEE9A6}">
      <text>
        <r>
          <rPr>
            <sz val="12"/>
            <color indexed="81"/>
            <rFont val="Tahoma"/>
            <family val="2"/>
          </rPr>
          <t>Enter Type of Free Time:</t>
        </r>
        <r>
          <rPr>
            <u/>
            <sz val="12"/>
            <color indexed="81"/>
            <rFont val="Tahoma"/>
            <family val="2"/>
          </rPr>
          <t xml:space="preserve">
</t>
        </r>
        <r>
          <rPr>
            <sz val="12"/>
            <color indexed="81"/>
            <rFont val="Tahoma"/>
            <family val="2"/>
          </rPr>
          <t xml:space="preserve">
</t>
        </r>
        <r>
          <rPr>
            <b/>
            <sz val="12"/>
            <color indexed="81"/>
            <rFont val="Tahoma"/>
            <family val="2"/>
          </rPr>
          <t>Detention
Demurrage
Merged</t>
        </r>
      </text>
    </comment>
    <comment ref="F194" authorId="2" shapeId="0" xr:uid="{FB5D512F-0260-479C-BE88-30990F4D65C1}">
      <text>
        <r>
          <rPr>
            <sz val="12"/>
            <color indexed="81"/>
            <rFont val="Tahoma"/>
            <family val="2"/>
          </rPr>
          <t>If any exceptional charges are offered, then the currency is required to be shown.</t>
        </r>
      </text>
    </comment>
    <comment ref="W194" authorId="2" shapeId="0" xr:uid="{A253CE7F-7799-4903-BD7D-8F26192E7256}">
      <text>
        <r>
          <rPr>
            <sz val="12"/>
            <color indexed="81"/>
            <rFont val="Tahoma"/>
            <family val="2"/>
          </rPr>
          <t xml:space="preserve">Specify Equipment Type (blank field indicates applicability to all Eq Types):
</t>
        </r>
        <r>
          <rPr>
            <b/>
            <sz val="12"/>
            <color indexed="81"/>
            <rFont val="Tahoma"/>
            <family val="2"/>
          </rPr>
          <t>D</t>
        </r>
        <r>
          <rPr>
            <sz val="12"/>
            <color indexed="81"/>
            <rFont val="Tahoma"/>
            <family val="2"/>
          </rPr>
          <t xml:space="preserve"> = Dry
</t>
        </r>
        <r>
          <rPr>
            <b/>
            <sz val="12"/>
            <color indexed="81"/>
            <rFont val="Tahoma"/>
            <family val="2"/>
          </rPr>
          <t>R</t>
        </r>
        <r>
          <rPr>
            <sz val="12"/>
            <color indexed="81"/>
            <rFont val="Tahoma"/>
            <family val="2"/>
          </rPr>
          <t xml:space="preserve"> = Reefer
</t>
        </r>
        <r>
          <rPr>
            <b/>
            <sz val="12"/>
            <color indexed="81"/>
            <rFont val="Tahoma"/>
            <family val="2"/>
          </rPr>
          <t>OT</t>
        </r>
        <r>
          <rPr>
            <sz val="12"/>
            <color indexed="81"/>
            <rFont val="Tahoma"/>
            <family val="2"/>
          </rPr>
          <t xml:space="preserve"> = Open Top
</t>
        </r>
        <r>
          <rPr>
            <b/>
            <sz val="12"/>
            <color indexed="81"/>
            <rFont val="Tahoma"/>
            <family val="2"/>
          </rPr>
          <t>FR</t>
        </r>
        <r>
          <rPr>
            <sz val="12"/>
            <color indexed="81"/>
            <rFont val="Tahoma"/>
            <family val="2"/>
          </rPr>
          <t xml:space="preserve"> = Flat Rack</t>
        </r>
      </text>
    </comment>
    <comment ref="X194" authorId="2" shapeId="0" xr:uid="{91F258FA-5B61-413D-93B2-06EC0AC13165}">
      <text>
        <r>
          <rPr>
            <sz val="12"/>
            <color indexed="81"/>
            <rFont val="Tahoma"/>
            <family val="2"/>
          </rPr>
          <t>Select "OR" from the drop down list if condition applies to Operating Reefers</t>
        </r>
      </text>
    </comment>
    <comment ref="Y194" authorId="2" shapeId="0" xr:uid="{15A2EF28-F993-4261-AAD1-2EBE45EEF5C6}">
      <text>
        <r>
          <rPr>
            <sz val="12"/>
            <color indexed="81"/>
            <rFont val="Tahoma"/>
            <family val="2"/>
          </rPr>
          <t xml:space="preserve">Specify the Place of Receipt if necessary.  </t>
        </r>
        <r>
          <rPr>
            <u/>
            <sz val="12"/>
            <color indexed="81"/>
            <rFont val="Tahoma"/>
            <family val="2"/>
          </rPr>
          <t>Do not</t>
        </r>
        <r>
          <rPr>
            <sz val="12"/>
            <color indexed="81"/>
            <rFont val="Tahoma"/>
            <family val="2"/>
          </rPr>
          <t xml:space="preserve"> use "ALL".
Only 1 location may be entered per row.</t>
        </r>
      </text>
    </comment>
    <comment ref="Z194" authorId="2" shapeId="0" xr:uid="{07F9B5A2-EC6C-460D-8495-E8463150DCAA}">
      <text>
        <r>
          <rPr>
            <sz val="12"/>
            <color indexed="81"/>
            <rFont val="Tahoma"/>
            <family val="2"/>
          </rPr>
          <t xml:space="preserve">Enter the POL if necessary.  </t>
        </r>
        <r>
          <rPr>
            <u/>
            <sz val="12"/>
            <color indexed="81"/>
            <rFont val="Tahoma"/>
            <family val="2"/>
          </rPr>
          <t>Do not</t>
        </r>
        <r>
          <rPr>
            <sz val="12"/>
            <color indexed="81"/>
            <rFont val="Tahoma"/>
            <family val="2"/>
          </rPr>
          <t xml:space="preserve"> use "ALL".
Only 1 location is allowed per row and must be a valid seaport.</t>
        </r>
      </text>
    </comment>
    <comment ref="AA194" authorId="2" shapeId="0" xr:uid="{B3A66DDD-63C4-466B-BD15-915C2ADF6349}">
      <text>
        <r>
          <rPr>
            <sz val="12"/>
            <color indexed="81"/>
            <rFont val="Tahoma"/>
            <family val="2"/>
          </rPr>
          <t xml:space="preserve">Enter the POD if necessary.  </t>
        </r>
        <r>
          <rPr>
            <u/>
            <sz val="12"/>
            <color indexed="81"/>
            <rFont val="Tahoma"/>
            <family val="2"/>
          </rPr>
          <t>Do not</t>
        </r>
        <r>
          <rPr>
            <sz val="12"/>
            <color indexed="81"/>
            <rFont val="Tahoma"/>
            <family val="2"/>
          </rPr>
          <t xml:space="preserve"> use "ALL".
Only 1 location is allowed per row and must be a valid seaport.</t>
        </r>
      </text>
    </comment>
    <comment ref="AB194" authorId="2" shapeId="0" xr:uid="{B922F2E8-10C3-47DD-8911-3260B76AF8C1}">
      <text>
        <r>
          <rPr>
            <sz val="12"/>
            <color indexed="81"/>
            <rFont val="Tahoma"/>
            <family val="2"/>
          </rPr>
          <t xml:space="preserve">Specify the Place of Delivery if necessary.  </t>
        </r>
        <r>
          <rPr>
            <u/>
            <sz val="12"/>
            <color indexed="81"/>
            <rFont val="Tahoma"/>
            <family val="2"/>
          </rPr>
          <t>Do not</t>
        </r>
        <r>
          <rPr>
            <sz val="12"/>
            <color indexed="81"/>
            <rFont val="Tahoma"/>
            <family val="2"/>
          </rPr>
          <t xml:space="preserve"> use "ALL".
Only 1 location may be entered per row.</t>
        </r>
      </text>
    </comment>
    <comment ref="AC194" authorId="3" shapeId="0" xr:uid="{E4F13892-9559-48BC-A9A1-60BA29E3B223}">
      <text>
        <r>
          <rPr>
            <sz val="12"/>
            <color indexed="81"/>
            <rFont val="Tahoma"/>
            <family val="2"/>
          </rPr>
          <t xml:space="preserve">Enter the Country Code ONLY.  </t>
        </r>
        <r>
          <rPr>
            <u/>
            <sz val="12"/>
            <color indexed="81"/>
            <rFont val="Tahoma"/>
            <family val="2"/>
          </rPr>
          <t>Cannot</t>
        </r>
        <r>
          <rPr>
            <sz val="12"/>
            <color indexed="81"/>
            <rFont val="Tahoma"/>
            <family val="2"/>
          </rPr>
          <t xml:space="preserve"> use "ALL" or country name</t>
        </r>
      </text>
    </comment>
    <comment ref="AD194" authorId="2" shapeId="0" xr:uid="{ACE0602F-6BC7-4759-B173-436B028A74FB}">
      <text>
        <r>
          <rPr>
            <sz val="12"/>
            <color indexed="81"/>
            <rFont val="Tahoma"/>
            <family val="2"/>
          </rPr>
          <t xml:space="preserve">Enter additional notes only when absolutely necessary.  
</t>
        </r>
        <r>
          <rPr>
            <u/>
            <sz val="12"/>
            <color indexed="81"/>
            <rFont val="Tahoma"/>
            <family val="2"/>
          </rPr>
          <t>IMPORTANT</t>
        </r>
        <r>
          <rPr>
            <sz val="12"/>
            <color indexed="81"/>
            <rFont val="Tahoma"/>
            <family val="2"/>
          </rPr>
          <t xml:space="preserve">:  Named accounts and specific commodities </t>
        </r>
        <r>
          <rPr>
            <b/>
            <u/>
            <sz val="12"/>
            <color indexed="81"/>
            <rFont val="Tahoma"/>
            <family val="2"/>
          </rPr>
          <t>may not</t>
        </r>
        <r>
          <rPr>
            <sz val="12"/>
            <color indexed="81"/>
            <rFont val="Tahoma"/>
            <family val="2"/>
          </rPr>
          <t xml:space="preserve"> be listed as Notes.</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ext.obouge</author>
    <author>William MALLOL</author>
    <author>usa.gewan</author>
    <author>GENDER Charlie - NOR</author>
  </authors>
  <commentList>
    <comment ref="B13" authorId="0" shapeId="0" xr:uid="{00000000-0006-0000-1900-000001000000}">
      <text>
        <r>
          <rPr>
            <b/>
            <sz val="12"/>
            <color indexed="81"/>
            <rFont val="Tahoma"/>
            <family val="2"/>
          </rPr>
          <t>Please use comma to separate commodities.</t>
        </r>
      </text>
    </comment>
    <comment ref="A20" authorId="1" shapeId="0" xr:uid="{00000000-0006-0000-1900-000002000000}">
      <text>
        <r>
          <rPr>
            <b/>
            <sz val="14"/>
            <color indexed="81"/>
            <rFont val="Tahoma"/>
            <family val="2"/>
          </rPr>
          <t>Port Group Codes can be used to group any two or more valid seaports that are common rated.
Port Group Codes cannot be used for inland locations.</t>
        </r>
      </text>
    </comment>
    <comment ref="B20" authorId="0" shapeId="0" xr:uid="{00000000-0006-0000-1900-000003000000}">
      <text>
        <r>
          <rPr>
            <b/>
            <sz val="14"/>
            <color indexed="81"/>
            <rFont val="Tahoma"/>
            <family val="2"/>
          </rPr>
          <t>Please use comma to separate ports.
Only valid sea ports may be included.</t>
        </r>
      </text>
    </comment>
    <comment ref="A30" authorId="1" shapeId="0" xr:uid="{00000000-0006-0000-1900-000004000000}">
      <text>
        <r>
          <rPr>
            <b/>
            <sz val="14"/>
            <color indexed="81"/>
            <rFont val="Tahoma"/>
            <family val="2"/>
          </rPr>
          <t>Please use FAK/ Bullets defined above.</t>
        </r>
      </text>
    </comment>
    <comment ref="B30" authorId="1" shapeId="0" xr:uid="{00000000-0006-0000-1900-000005000000}">
      <text>
        <r>
          <rPr>
            <b/>
            <sz val="14"/>
            <color indexed="81"/>
            <rFont val="Tahoma"/>
            <family val="2"/>
          </rPr>
          <t>City, State / ZIP Code</t>
        </r>
      </text>
    </comment>
    <comment ref="C30" authorId="1" shapeId="0" xr:uid="{00000000-0006-0000-1900-000006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D30" authorId="1" shapeId="0" xr:uid="{00000000-0006-0000-1900-000007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E30" authorId="1" shapeId="0" xr:uid="{00000000-0006-0000-1900-000008000000}">
      <text>
        <r>
          <rPr>
            <b/>
            <sz val="14"/>
            <color indexed="81"/>
            <rFont val="Tahoma"/>
            <family val="2"/>
          </rPr>
          <t>City, State / ZIP Code</t>
        </r>
      </text>
    </comment>
    <comment ref="F30" authorId="2" shapeId="0" xr:uid="{00000000-0006-0000-1900-000009000000}">
      <text>
        <r>
          <rPr>
            <b/>
            <sz val="14"/>
            <color indexed="81"/>
            <rFont val="Tahoma"/>
            <family val="2"/>
          </rPr>
          <t>Indicate the mode of transportation at origin and destination.
Mode cannot begin with CY if there is a location listed as place of receipt.
Mode cannot end with CY if there is a location is listed as place of delivery</t>
        </r>
      </text>
    </comment>
    <comment ref="G30" authorId="2" shapeId="0" xr:uid="{00000000-0006-0000-1900-00000A000000}">
      <text>
        <r>
          <rPr>
            <b/>
            <sz val="14"/>
            <color indexed="81"/>
            <rFont val="Tahoma"/>
            <family val="2"/>
          </rPr>
          <t>Indicate whether or not door service is included at origin and destination</t>
        </r>
      </text>
    </comment>
    <comment ref="M30" authorId="2" shapeId="0" xr:uid="{00000000-0006-0000-1900-00000B000000}">
      <text>
        <r>
          <rPr>
            <b/>
            <sz val="14"/>
            <color indexed="81"/>
            <rFont val="Tahoma"/>
            <family val="2"/>
          </rPr>
          <t>Use these columns for exceptions to surcharge applicability in note 2</t>
        </r>
      </text>
    </comment>
    <comment ref="AA30" authorId="2" shapeId="0" xr:uid="{00000000-0006-0000-1900-00000C000000}">
      <text>
        <r>
          <rPr>
            <b/>
            <sz val="14"/>
            <color indexed="81"/>
            <rFont val="Tahoma"/>
            <family val="2"/>
          </rPr>
          <t>This field controls construction using Arbitraries and Inland Tariffs
Y = allowed in US, N = not allowed in US, 
E = allowed at origin, I = allowed at destination,
B = allowed at both origin and destination
X = not allowed at either origin or destination</t>
        </r>
      </text>
    </comment>
    <comment ref="A39" authorId="1" shapeId="0" xr:uid="{00000000-0006-0000-1900-00000D000000}">
      <text>
        <r>
          <rPr>
            <b/>
            <sz val="14"/>
            <color indexed="81"/>
            <rFont val="Tahoma"/>
            <family val="2"/>
          </rPr>
          <t>Please use FAK/ Bullets defined above.</t>
        </r>
      </text>
    </comment>
    <comment ref="B39" authorId="1" shapeId="0" xr:uid="{00000000-0006-0000-1900-00000E000000}">
      <text>
        <r>
          <rPr>
            <b/>
            <sz val="14"/>
            <color indexed="81"/>
            <rFont val="Tahoma"/>
            <family val="2"/>
          </rPr>
          <t>City, State / ZIP Code</t>
        </r>
      </text>
    </comment>
    <comment ref="C39" authorId="1" shapeId="0" xr:uid="{00000000-0006-0000-1900-00000F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D39" authorId="1" shapeId="0" xr:uid="{00000000-0006-0000-1900-000010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E39" authorId="1" shapeId="0" xr:uid="{00000000-0006-0000-1900-000011000000}">
      <text>
        <r>
          <rPr>
            <b/>
            <sz val="14"/>
            <color indexed="81"/>
            <rFont val="Tahoma"/>
            <family val="2"/>
          </rPr>
          <t>City, State / ZIP Code</t>
        </r>
      </text>
    </comment>
    <comment ref="F39" authorId="2" shapeId="0" xr:uid="{00000000-0006-0000-1900-000012000000}">
      <text>
        <r>
          <rPr>
            <b/>
            <sz val="14"/>
            <color indexed="81"/>
            <rFont val="Tahoma"/>
            <family val="2"/>
          </rPr>
          <t>Indicate the mode of transportation at origin and destination.
Mode cannot begin with CY if there is a location listed as place of receipt.
Mode cannot end with CY if there is a location is listed as place of delivery</t>
        </r>
      </text>
    </comment>
    <comment ref="G39" authorId="2" shapeId="0" xr:uid="{00000000-0006-0000-1900-000013000000}">
      <text>
        <r>
          <rPr>
            <b/>
            <sz val="14"/>
            <color indexed="81"/>
            <rFont val="Tahoma"/>
            <family val="2"/>
          </rPr>
          <t>Indicate whether or not door service is included at origin and destination</t>
        </r>
      </text>
    </comment>
    <comment ref="O39" authorId="2" shapeId="0" xr:uid="{00000000-0006-0000-1900-000014000000}">
      <text>
        <r>
          <rPr>
            <b/>
            <sz val="14"/>
            <color indexed="81"/>
            <rFont val="Tahoma"/>
            <family val="2"/>
          </rPr>
          <t>Use these columns for exceptions to surcharge applicability in note 2</t>
        </r>
      </text>
    </comment>
    <comment ref="AA39" authorId="2" shapeId="0" xr:uid="{00000000-0006-0000-1900-000015000000}">
      <text>
        <r>
          <rPr>
            <b/>
            <sz val="14"/>
            <color indexed="81"/>
            <rFont val="Tahoma"/>
            <family val="2"/>
          </rPr>
          <t>This field controls construction using Arbitraries and Inland Tariffs
Y = allowed in US, N = not allowed in US, 
E = allowed at origin, I = allowed at destination,
B = allowed at both origin and destination
X = not allowed at either origin or destination</t>
        </r>
      </text>
    </comment>
    <comment ref="A48" authorId="1" shapeId="0" xr:uid="{00000000-0006-0000-1900-000016000000}">
      <text>
        <r>
          <rPr>
            <b/>
            <sz val="14"/>
            <color indexed="81"/>
            <rFont val="Tahoma"/>
            <family val="2"/>
          </rPr>
          <t>Please use FAK/ Bullets defined above.</t>
        </r>
      </text>
    </comment>
    <comment ref="B48" authorId="1" shapeId="0" xr:uid="{00000000-0006-0000-1900-000017000000}">
      <text>
        <r>
          <rPr>
            <b/>
            <sz val="14"/>
            <color indexed="81"/>
            <rFont val="Tahoma"/>
            <family val="2"/>
          </rPr>
          <t>City, State / ZIP Code</t>
        </r>
      </text>
    </comment>
    <comment ref="C48" authorId="1" shapeId="0" xr:uid="{00000000-0006-0000-1900-000018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D48" authorId="1" shapeId="0" xr:uid="{00000000-0006-0000-1900-000019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E48" authorId="1" shapeId="0" xr:uid="{00000000-0006-0000-1900-00001A000000}">
      <text>
        <r>
          <rPr>
            <b/>
            <sz val="14"/>
            <color indexed="81"/>
            <rFont val="Tahoma"/>
            <family val="2"/>
          </rPr>
          <t>City, State / ZIP Code</t>
        </r>
      </text>
    </comment>
    <comment ref="F48" authorId="2" shapeId="0" xr:uid="{00000000-0006-0000-1900-00001B000000}">
      <text>
        <r>
          <rPr>
            <b/>
            <sz val="14"/>
            <color indexed="81"/>
            <rFont val="Tahoma"/>
            <family val="2"/>
          </rPr>
          <t>Indicate the mode of transportation at origin and destination.
Mode cannot begin with CY if there is a location listed as place of receipt.
Mode cannot end with CY if there is a location is listed as place of delivery</t>
        </r>
      </text>
    </comment>
    <comment ref="G48" authorId="2" shapeId="0" xr:uid="{00000000-0006-0000-1900-00001C000000}">
      <text>
        <r>
          <rPr>
            <b/>
            <sz val="14"/>
            <color indexed="81"/>
            <rFont val="Tahoma"/>
            <family val="2"/>
          </rPr>
          <t>Indicate whether or not door service is included at origin and destination</t>
        </r>
      </text>
    </comment>
    <comment ref="Q48" authorId="2" shapeId="0" xr:uid="{00000000-0006-0000-1900-00001D000000}">
      <text>
        <r>
          <rPr>
            <b/>
            <sz val="14"/>
            <color indexed="81"/>
            <rFont val="Tahoma"/>
            <family val="2"/>
          </rPr>
          <t>Use these columns for exceptions to surcharge applicability in note 2</t>
        </r>
      </text>
    </comment>
    <comment ref="AC48" authorId="2" shapeId="0" xr:uid="{00000000-0006-0000-1900-00001E000000}">
      <text>
        <r>
          <rPr>
            <b/>
            <sz val="14"/>
            <color indexed="81"/>
            <rFont val="Tahoma"/>
            <family val="2"/>
          </rPr>
          <t>This field controls construction using Arbitraries and Inland Tariffs
Y = allowed in US, N = not allowed in US, 
E = allowed at origin, I = allowed at destination,
B = allowed at both origin and destination
X = not allowed at either origin or destination</t>
        </r>
      </text>
    </comment>
    <comment ref="B65" authorId="2" shapeId="0" xr:uid="{00000000-0006-0000-1900-00001F000000}">
      <text>
        <r>
          <rPr>
            <b/>
            <sz val="14"/>
            <color indexed="81"/>
            <rFont val="Tahoma"/>
            <family val="2"/>
          </rPr>
          <t>Place of Origin - may be an outport for feeder (CY) arbitraries or an inland origin
Format is:  City, State or ZIP Code</t>
        </r>
      </text>
    </comment>
    <comment ref="E65" authorId="2" shapeId="0" xr:uid="{00000000-0006-0000-1900-000020000000}">
      <text>
        <r>
          <rPr>
            <b/>
            <sz val="14"/>
            <color indexed="81"/>
            <rFont val="Tahoma"/>
            <family val="2"/>
          </rPr>
          <t xml:space="preserve">Please use only one port or a group of ports (Port groups must be defined in the Port Group Codes table).
Arbitrary construction can only occur with rate conditions which show these ports as the POL.
</t>
        </r>
        <r>
          <rPr>
            <b/>
            <i/>
            <sz val="14"/>
            <color indexed="81"/>
            <rFont val="Tahoma"/>
            <family val="2"/>
          </rPr>
          <t>All ports must be valid SEA ports.</t>
        </r>
      </text>
    </comment>
    <comment ref="F65" authorId="2" shapeId="0" xr:uid="{00000000-0006-0000-1900-000021000000}">
      <text>
        <r>
          <rPr>
            <b/>
            <sz val="14"/>
            <color indexed="81"/>
            <rFont val="Tahoma"/>
            <family val="2"/>
          </rPr>
          <t>Indicate the mode of transportation between the arbitrary place of receipt and arbitrary POL.
CY modes can only be used when the mode of transportation is by Feeder.
Use of CY mode requires both the locations to be valid SEA ports.</t>
        </r>
      </text>
    </comment>
    <comment ref="G65" authorId="2" shapeId="0" xr:uid="{00000000-0006-0000-1900-000022000000}">
      <text>
        <r>
          <rPr>
            <b/>
            <sz val="14"/>
            <color indexed="81"/>
            <rFont val="Tahoma"/>
            <family val="2"/>
          </rPr>
          <t>Indicate whether or not door service is included in the arbitrary rate</t>
        </r>
      </text>
    </comment>
    <comment ref="H65" authorId="2" shapeId="0" xr:uid="{00000000-0006-0000-1900-000023000000}">
      <text>
        <r>
          <rPr>
            <b/>
            <sz val="14"/>
            <color indexed="81"/>
            <rFont val="Tahoma"/>
            <family val="2"/>
          </rPr>
          <t>Input the rate in this field when the same amount applies for all container sizes</t>
        </r>
      </text>
    </comment>
    <comment ref="N65" authorId="2" shapeId="0" xr:uid="{00000000-0006-0000-1900-000024000000}">
      <text>
        <r>
          <rPr>
            <b/>
            <sz val="14"/>
            <color indexed="81"/>
            <rFont val="Tahoma"/>
            <family val="2"/>
          </rPr>
          <t>Each Arbitrary applies only to FAK / Bullets as specifically listed in this field.</t>
        </r>
      </text>
    </comment>
    <comment ref="B80" authorId="2" shapeId="0" xr:uid="{00000000-0006-0000-1900-000025000000}">
      <text>
        <r>
          <rPr>
            <b/>
            <sz val="14"/>
            <color indexed="81"/>
            <rFont val="Tahoma"/>
            <family val="2"/>
          </rPr>
          <t>Place of Destination - may be an outport for feeder (CY) arbitraries or an inland destination
Format is:  City, State or ZIP Code</t>
        </r>
      </text>
    </comment>
    <comment ref="E80" authorId="2" shapeId="0" xr:uid="{00000000-0006-0000-1900-000026000000}">
      <text>
        <r>
          <rPr>
            <b/>
            <sz val="14"/>
            <color indexed="81"/>
            <rFont val="Tahoma"/>
            <family val="2"/>
          </rPr>
          <t xml:space="preserve">Please use only one port or a group of ports (Port groups must be defined in the Port Group Codes table).
Arbitrary construction can only occur with rate conditions which show these ports as the POD.
</t>
        </r>
        <r>
          <rPr>
            <b/>
            <i/>
            <sz val="14"/>
            <color indexed="81"/>
            <rFont val="Tahoma"/>
            <family val="2"/>
          </rPr>
          <t>All ports must be valid SEA ports.</t>
        </r>
      </text>
    </comment>
    <comment ref="F80" authorId="2" shapeId="0" xr:uid="{00000000-0006-0000-1900-000027000000}">
      <text>
        <r>
          <rPr>
            <b/>
            <sz val="14"/>
            <color indexed="81"/>
            <rFont val="Tahoma"/>
            <family val="2"/>
          </rPr>
          <t>Indicate the mode of transportation between the arbitrary POD and arbitrary place of delivery.
CY modes can only be used when the mode of transportation is by Feeder.
Use of CY mode requires both the locations to be valid SEA ports.</t>
        </r>
      </text>
    </comment>
    <comment ref="G80" authorId="2" shapeId="0" xr:uid="{00000000-0006-0000-1900-000028000000}">
      <text>
        <r>
          <rPr>
            <b/>
            <sz val="14"/>
            <color indexed="81"/>
            <rFont val="Tahoma"/>
            <family val="2"/>
          </rPr>
          <t>Indicate whether or not door service is included in the arbitrary rate</t>
        </r>
      </text>
    </comment>
    <comment ref="H80" authorId="2" shapeId="0" xr:uid="{00000000-0006-0000-1900-000029000000}">
      <text>
        <r>
          <rPr>
            <b/>
            <sz val="14"/>
            <color indexed="81"/>
            <rFont val="Tahoma"/>
            <family val="2"/>
          </rPr>
          <t>Input the rate in this field when the same amount applies for all container sizes</t>
        </r>
      </text>
    </comment>
    <comment ref="N80" authorId="2" shapeId="0" xr:uid="{00000000-0006-0000-1900-00002A000000}">
      <text>
        <r>
          <rPr>
            <b/>
            <sz val="14"/>
            <color indexed="81"/>
            <rFont val="Tahoma"/>
            <family val="2"/>
          </rPr>
          <t>Each Arbitrary applies only to FAK / Bullets as specifically listed in this field.</t>
        </r>
      </text>
    </comment>
    <comment ref="L90" authorId="2" shapeId="0" xr:uid="{00000000-0006-0000-1900-00002B000000}">
      <text>
        <r>
          <rPr>
            <b/>
            <sz val="14"/>
            <color indexed="81"/>
            <rFont val="Tahoma"/>
            <family val="2"/>
          </rPr>
          <t>Surcharge applicability mentioned on any row applies specifically to the individual port mentioned in this field.
If the Applicable Port field is blank, then the  surcharge applicability stated on that row applies to all ports.</t>
        </r>
      </text>
    </comment>
    <comment ref="A178" authorId="2" shapeId="0" xr:uid="{00000000-0006-0000-1900-00002C000000}">
      <text>
        <r>
          <rPr>
            <sz val="12"/>
            <color indexed="81"/>
            <rFont val="Tahoma"/>
            <family val="2"/>
          </rPr>
          <t>Select the bullet for which the exception applies.
If exception applies to all bullets, select "ALL".</t>
        </r>
      </text>
    </comment>
    <comment ref="B178" authorId="2" shapeId="0" xr:uid="{00000000-0006-0000-1900-00002D000000}">
      <text>
        <r>
          <rPr>
            <sz val="12"/>
            <color indexed="81"/>
            <rFont val="Tahoma"/>
            <family val="2"/>
          </rPr>
          <t xml:space="preserve">Specify if Free Time condition applies to Export or Import:
</t>
        </r>
        <r>
          <rPr>
            <b/>
            <sz val="12"/>
            <color indexed="81"/>
            <rFont val="Tahoma"/>
            <family val="2"/>
          </rPr>
          <t xml:space="preserve">E </t>
        </r>
        <r>
          <rPr>
            <sz val="12"/>
            <color indexed="81"/>
            <rFont val="Tahoma"/>
            <family val="2"/>
          </rPr>
          <t xml:space="preserve">(Export) = applies at origin
</t>
        </r>
        <r>
          <rPr>
            <b/>
            <sz val="12"/>
            <color indexed="81"/>
            <rFont val="Tahoma"/>
            <family val="2"/>
          </rPr>
          <t xml:space="preserve">I </t>
        </r>
        <r>
          <rPr>
            <sz val="12"/>
            <color indexed="81"/>
            <rFont val="Tahoma"/>
            <family val="2"/>
          </rPr>
          <t>(Import) = applies at destination</t>
        </r>
      </text>
    </comment>
    <comment ref="C178" authorId="2" shapeId="0" xr:uid="{00000000-0006-0000-1900-00002E000000}">
      <text>
        <r>
          <rPr>
            <sz val="12"/>
            <color indexed="81"/>
            <rFont val="Tahoma"/>
            <family val="2"/>
          </rPr>
          <t>Enter Type of Free Time:</t>
        </r>
        <r>
          <rPr>
            <u/>
            <sz val="12"/>
            <color indexed="81"/>
            <rFont val="Tahoma"/>
            <family val="2"/>
          </rPr>
          <t xml:space="preserve">
</t>
        </r>
        <r>
          <rPr>
            <sz val="12"/>
            <color indexed="81"/>
            <rFont val="Tahoma"/>
            <family val="2"/>
          </rPr>
          <t xml:space="preserve">
</t>
        </r>
        <r>
          <rPr>
            <b/>
            <sz val="12"/>
            <color indexed="81"/>
            <rFont val="Tahoma"/>
            <family val="2"/>
          </rPr>
          <t>Detention
Demurrage
Merged</t>
        </r>
      </text>
    </comment>
    <comment ref="F178" authorId="2" shapeId="0" xr:uid="{00000000-0006-0000-1900-00002F000000}">
      <text>
        <r>
          <rPr>
            <sz val="12"/>
            <color indexed="81"/>
            <rFont val="Tahoma"/>
            <family val="2"/>
          </rPr>
          <t xml:space="preserve">Specify Equipment Type (blank field indicates applicability to all Eq Types):
</t>
        </r>
        <r>
          <rPr>
            <b/>
            <sz val="12"/>
            <color indexed="81"/>
            <rFont val="Tahoma"/>
            <family val="2"/>
          </rPr>
          <t>D</t>
        </r>
        <r>
          <rPr>
            <sz val="12"/>
            <color indexed="81"/>
            <rFont val="Tahoma"/>
            <family val="2"/>
          </rPr>
          <t xml:space="preserve"> = Dry
</t>
        </r>
        <r>
          <rPr>
            <b/>
            <sz val="12"/>
            <color indexed="81"/>
            <rFont val="Tahoma"/>
            <family val="2"/>
          </rPr>
          <t>R</t>
        </r>
        <r>
          <rPr>
            <sz val="12"/>
            <color indexed="81"/>
            <rFont val="Tahoma"/>
            <family val="2"/>
          </rPr>
          <t xml:space="preserve"> = Reefer
</t>
        </r>
        <r>
          <rPr>
            <b/>
            <sz val="12"/>
            <color indexed="81"/>
            <rFont val="Tahoma"/>
            <family val="2"/>
          </rPr>
          <t>OT</t>
        </r>
        <r>
          <rPr>
            <sz val="12"/>
            <color indexed="81"/>
            <rFont val="Tahoma"/>
            <family val="2"/>
          </rPr>
          <t xml:space="preserve"> = Open Top
</t>
        </r>
        <r>
          <rPr>
            <b/>
            <sz val="12"/>
            <color indexed="81"/>
            <rFont val="Tahoma"/>
            <family val="2"/>
          </rPr>
          <t>FR</t>
        </r>
        <r>
          <rPr>
            <sz val="12"/>
            <color indexed="81"/>
            <rFont val="Tahoma"/>
            <family val="2"/>
          </rPr>
          <t xml:space="preserve"> = Flat Rack</t>
        </r>
      </text>
    </comment>
    <comment ref="G178" authorId="2" shapeId="0" xr:uid="{00000000-0006-0000-1900-000030000000}">
      <text>
        <r>
          <rPr>
            <sz val="12"/>
            <color indexed="81"/>
            <rFont val="Tahoma"/>
            <family val="2"/>
          </rPr>
          <t>Select "OR" from the drop down list if condition applies to Operating Reefers</t>
        </r>
      </text>
    </comment>
    <comment ref="H178" authorId="2" shapeId="0" xr:uid="{00000000-0006-0000-1900-000031000000}">
      <text>
        <r>
          <rPr>
            <sz val="12"/>
            <color indexed="81"/>
            <rFont val="Tahoma"/>
            <family val="2"/>
          </rPr>
          <t xml:space="preserve">Specify the Place of Receipt if necessary.  </t>
        </r>
        <r>
          <rPr>
            <u/>
            <sz val="12"/>
            <color indexed="81"/>
            <rFont val="Tahoma"/>
            <family val="2"/>
          </rPr>
          <t>Do not</t>
        </r>
        <r>
          <rPr>
            <sz val="12"/>
            <color indexed="81"/>
            <rFont val="Tahoma"/>
            <family val="2"/>
          </rPr>
          <t xml:space="preserve"> use "ALL".
Only 1 location may be entered per row.</t>
        </r>
      </text>
    </comment>
    <comment ref="I178" authorId="2" shapeId="0" xr:uid="{00000000-0006-0000-1900-000032000000}">
      <text>
        <r>
          <rPr>
            <sz val="12"/>
            <color indexed="81"/>
            <rFont val="Tahoma"/>
            <family val="2"/>
          </rPr>
          <t xml:space="preserve">Enter the POL if necessary.  </t>
        </r>
        <r>
          <rPr>
            <u/>
            <sz val="12"/>
            <color indexed="81"/>
            <rFont val="Tahoma"/>
            <family val="2"/>
          </rPr>
          <t>Do not</t>
        </r>
        <r>
          <rPr>
            <sz val="12"/>
            <color indexed="81"/>
            <rFont val="Tahoma"/>
            <family val="2"/>
          </rPr>
          <t xml:space="preserve"> use "ALL".
Only 1 location is allowed per row and must be a valid seaport.</t>
        </r>
      </text>
    </comment>
    <comment ref="J178" authorId="2" shapeId="0" xr:uid="{00000000-0006-0000-1900-000033000000}">
      <text>
        <r>
          <rPr>
            <sz val="12"/>
            <color indexed="81"/>
            <rFont val="Tahoma"/>
            <family val="2"/>
          </rPr>
          <t xml:space="preserve">Enter the POD if necessary.  </t>
        </r>
        <r>
          <rPr>
            <u/>
            <sz val="12"/>
            <color indexed="81"/>
            <rFont val="Tahoma"/>
            <family val="2"/>
          </rPr>
          <t>Do not</t>
        </r>
        <r>
          <rPr>
            <sz val="12"/>
            <color indexed="81"/>
            <rFont val="Tahoma"/>
            <family val="2"/>
          </rPr>
          <t xml:space="preserve"> use "ALL".
Only 1 location is allowed per row and must be a valid seaport.</t>
        </r>
      </text>
    </comment>
    <comment ref="K178" authorId="2" shapeId="0" xr:uid="{00000000-0006-0000-1900-000034000000}">
      <text>
        <r>
          <rPr>
            <sz val="12"/>
            <color indexed="81"/>
            <rFont val="Tahoma"/>
            <family val="2"/>
          </rPr>
          <t xml:space="preserve">Specify the Place of Delivery if necessary.  </t>
        </r>
        <r>
          <rPr>
            <u/>
            <sz val="12"/>
            <color indexed="81"/>
            <rFont val="Tahoma"/>
            <family val="2"/>
          </rPr>
          <t>Do not</t>
        </r>
        <r>
          <rPr>
            <sz val="12"/>
            <color indexed="81"/>
            <rFont val="Tahoma"/>
            <family val="2"/>
          </rPr>
          <t xml:space="preserve"> use "ALL".
Only 1 location may be entered per row.</t>
        </r>
      </text>
    </comment>
    <comment ref="L178" authorId="3" shapeId="0" xr:uid="{8317BA78-B515-4DB2-A251-8A5375941C19}">
      <text>
        <r>
          <rPr>
            <sz val="12"/>
            <color indexed="81"/>
            <rFont val="Tahoma"/>
            <family val="2"/>
          </rPr>
          <t xml:space="preserve">Enter the Country Code ONLY.  </t>
        </r>
        <r>
          <rPr>
            <u/>
            <sz val="12"/>
            <color indexed="81"/>
            <rFont val="Tahoma"/>
            <family val="2"/>
          </rPr>
          <t>Cannot</t>
        </r>
        <r>
          <rPr>
            <sz val="12"/>
            <color indexed="81"/>
            <rFont val="Tahoma"/>
            <family val="2"/>
          </rPr>
          <t xml:space="preserve"> use "ALL" or country name</t>
        </r>
      </text>
    </comment>
    <comment ref="M178" authorId="2" shapeId="0" xr:uid="{00000000-0006-0000-1900-000035000000}">
      <text>
        <r>
          <rPr>
            <sz val="12"/>
            <color indexed="81"/>
            <rFont val="Tahoma"/>
            <family val="2"/>
          </rPr>
          <t xml:space="preserve">Enter additional notes only when absolutely necessary.  
</t>
        </r>
        <r>
          <rPr>
            <u/>
            <sz val="12"/>
            <color indexed="81"/>
            <rFont val="Tahoma"/>
            <family val="2"/>
          </rPr>
          <t>IMPORTANT</t>
        </r>
        <r>
          <rPr>
            <sz val="12"/>
            <color indexed="81"/>
            <rFont val="Tahoma"/>
            <family val="2"/>
          </rPr>
          <t xml:space="preserve">:  Named accounts and specific commodities </t>
        </r>
        <r>
          <rPr>
            <b/>
            <u/>
            <sz val="12"/>
            <color indexed="81"/>
            <rFont val="Tahoma"/>
            <family val="2"/>
          </rPr>
          <t>may not</t>
        </r>
        <r>
          <rPr>
            <sz val="12"/>
            <color indexed="81"/>
            <rFont val="Tahoma"/>
            <family val="2"/>
          </rPr>
          <t xml:space="preserve"> be listed as Notes.</t>
        </r>
      </text>
    </comment>
    <comment ref="A191" authorId="2" shapeId="0" xr:uid="{0AFD5282-304F-43F4-A0A4-5D35D59AD522}">
      <text>
        <r>
          <rPr>
            <sz val="12"/>
            <color indexed="81"/>
            <rFont val="Tahoma"/>
            <family val="2"/>
          </rPr>
          <t>Select the bullet for which the exception applies.
If exception applies to all bullets, select "ALL".</t>
        </r>
      </text>
    </comment>
    <comment ref="B191" authorId="2" shapeId="0" xr:uid="{14C5169C-01B4-4F29-BB60-81B8D9EA40A0}">
      <text>
        <r>
          <rPr>
            <sz val="12"/>
            <color indexed="81"/>
            <rFont val="Tahoma"/>
            <family val="2"/>
          </rPr>
          <t xml:space="preserve">Specify if Free Time condition applies to Export or Import:
</t>
        </r>
        <r>
          <rPr>
            <b/>
            <sz val="12"/>
            <color indexed="81"/>
            <rFont val="Tahoma"/>
            <family val="2"/>
          </rPr>
          <t xml:space="preserve">E </t>
        </r>
        <r>
          <rPr>
            <sz val="12"/>
            <color indexed="81"/>
            <rFont val="Tahoma"/>
            <family val="2"/>
          </rPr>
          <t xml:space="preserve">(Export) = applies at origin
</t>
        </r>
        <r>
          <rPr>
            <b/>
            <sz val="12"/>
            <color indexed="81"/>
            <rFont val="Tahoma"/>
            <family val="2"/>
          </rPr>
          <t xml:space="preserve">I </t>
        </r>
        <r>
          <rPr>
            <sz val="12"/>
            <color indexed="81"/>
            <rFont val="Tahoma"/>
            <family val="2"/>
          </rPr>
          <t>(Import) = applies at destination</t>
        </r>
      </text>
    </comment>
    <comment ref="C191" authorId="2" shapeId="0" xr:uid="{B7B0315E-1BC4-45A5-8E03-13C7F4AEAB36}">
      <text>
        <r>
          <rPr>
            <sz val="12"/>
            <color indexed="81"/>
            <rFont val="Tahoma"/>
            <family val="2"/>
          </rPr>
          <t>Enter Type of Free Time:</t>
        </r>
        <r>
          <rPr>
            <u/>
            <sz val="12"/>
            <color indexed="81"/>
            <rFont val="Tahoma"/>
            <family val="2"/>
          </rPr>
          <t xml:space="preserve">
</t>
        </r>
        <r>
          <rPr>
            <sz val="12"/>
            <color indexed="81"/>
            <rFont val="Tahoma"/>
            <family val="2"/>
          </rPr>
          <t xml:space="preserve">
</t>
        </r>
        <r>
          <rPr>
            <b/>
            <sz val="12"/>
            <color indexed="81"/>
            <rFont val="Tahoma"/>
            <family val="2"/>
          </rPr>
          <t>Detention
Demurrage
Merged</t>
        </r>
      </text>
    </comment>
    <comment ref="F191" authorId="2" shapeId="0" xr:uid="{0D5F429A-7E9D-4773-A27B-5E6FC554DB35}">
      <text>
        <r>
          <rPr>
            <sz val="12"/>
            <color indexed="81"/>
            <rFont val="Tahoma"/>
            <family val="2"/>
          </rPr>
          <t>If any exceptional charges are offered, then the currency is required to be shown.</t>
        </r>
      </text>
    </comment>
    <comment ref="W191" authorId="2" shapeId="0" xr:uid="{930A41D1-453B-48AD-99FC-3DDBA6FAA4CF}">
      <text>
        <r>
          <rPr>
            <sz val="12"/>
            <color indexed="81"/>
            <rFont val="Tahoma"/>
            <family val="2"/>
          </rPr>
          <t xml:space="preserve">Specify Equipment Type (blank field indicates applicability to all Eq Types):
</t>
        </r>
        <r>
          <rPr>
            <b/>
            <sz val="12"/>
            <color indexed="81"/>
            <rFont val="Tahoma"/>
            <family val="2"/>
          </rPr>
          <t>D</t>
        </r>
        <r>
          <rPr>
            <sz val="12"/>
            <color indexed="81"/>
            <rFont val="Tahoma"/>
            <family val="2"/>
          </rPr>
          <t xml:space="preserve"> = Dry
</t>
        </r>
        <r>
          <rPr>
            <b/>
            <sz val="12"/>
            <color indexed="81"/>
            <rFont val="Tahoma"/>
            <family val="2"/>
          </rPr>
          <t>R</t>
        </r>
        <r>
          <rPr>
            <sz val="12"/>
            <color indexed="81"/>
            <rFont val="Tahoma"/>
            <family val="2"/>
          </rPr>
          <t xml:space="preserve"> = Reefer
</t>
        </r>
        <r>
          <rPr>
            <b/>
            <sz val="12"/>
            <color indexed="81"/>
            <rFont val="Tahoma"/>
            <family val="2"/>
          </rPr>
          <t>OT</t>
        </r>
        <r>
          <rPr>
            <sz val="12"/>
            <color indexed="81"/>
            <rFont val="Tahoma"/>
            <family val="2"/>
          </rPr>
          <t xml:space="preserve"> = Open Top
</t>
        </r>
        <r>
          <rPr>
            <b/>
            <sz val="12"/>
            <color indexed="81"/>
            <rFont val="Tahoma"/>
            <family val="2"/>
          </rPr>
          <t>FR</t>
        </r>
        <r>
          <rPr>
            <sz val="12"/>
            <color indexed="81"/>
            <rFont val="Tahoma"/>
            <family val="2"/>
          </rPr>
          <t xml:space="preserve"> = Flat Rack</t>
        </r>
      </text>
    </comment>
    <comment ref="X191" authorId="2" shapeId="0" xr:uid="{30D21CA7-72D3-4604-B5D6-5D3D25EB3B1F}">
      <text>
        <r>
          <rPr>
            <sz val="12"/>
            <color indexed="81"/>
            <rFont val="Tahoma"/>
            <family val="2"/>
          </rPr>
          <t>Select "OR" from the drop down list if condition applies to Operating Reefers</t>
        </r>
      </text>
    </comment>
    <comment ref="Y191" authorId="2" shapeId="0" xr:uid="{2AD32215-55E2-4597-AA50-63CEB46EC6FA}">
      <text>
        <r>
          <rPr>
            <sz val="12"/>
            <color indexed="81"/>
            <rFont val="Tahoma"/>
            <family val="2"/>
          </rPr>
          <t xml:space="preserve">Specify the Place of Receipt if necessary.  </t>
        </r>
        <r>
          <rPr>
            <u/>
            <sz val="12"/>
            <color indexed="81"/>
            <rFont val="Tahoma"/>
            <family val="2"/>
          </rPr>
          <t>Do not</t>
        </r>
        <r>
          <rPr>
            <sz val="12"/>
            <color indexed="81"/>
            <rFont val="Tahoma"/>
            <family val="2"/>
          </rPr>
          <t xml:space="preserve"> use "ALL".
Only 1 location may be entered per row.</t>
        </r>
      </text>
    </comment>
    <comment ref="Z191" authorId="2" shapeId="0" xr:uid="{A8A77CEC-DD85-4EE7-9211-F2D56008F245}">
      <text>
        <r>
          <rPr>
            <sz val="12"/>
            <color indexed="81"/>
            <rFont val="Tahoma"/>
            <family val="2"/>
          </rPr>
          <t xml:space="preserve">Enter the POL if necessary.  </t>
        </r>
        <r>
          <rPr>
            <u/>
            <sz val="12"/>
            <color indexed="81"/>
            <rFont val="Tahoma"/>
            <family val="2"/>
          </rPr>
          <t>Do not</t>
        </r>
        <r>
          <rPr>
            <sz val="12"/>
            <color indexed="81"/>
            <rFont val="Tahoma"/>
            <family val="2"/>
          </rPr>
          <t xml:space="preserve"> use "ALL".
Only 1 location is allowed per row and must be a valid seaport.</t>
        </r>
      </text>
    </comment>
    <comment ref="AA191" authorId="2" shapeId="0" xr:uid="{2FAF2CC3-23C8-4DB2-AB27-90DD443BF399}">
      <text>
        <r>
          <rPr>
            <sz val="12"/>
            <color indexed="81"/>
            <rFont val="Tahoma"/>
            <family val="2"/>
          </rPr>
          <t xml:space="preserve">Enter the POD if necessary.  </t>
        </r>
        <r>
          <rPr>
            <u/>
            <sz val="12"/>
            <color indexed="81"/>
            <rFont val="Tahoma"/>
            <family val="2"/>
          </rPr>
          <t>Do not</t>
        </r>
        <r>
          <rPr>
            <sz val="12"/>
            <color indexed="81"/>
            <rFont val="Tahoma"/>
            <family val="2"/>
          </rPr>
          <t xml:space="preserve"> use "ALL".
Only 1 location is allowed per row and must be a valid seaport.</t>
        </r>
      </text>
    </comment>
    <comment ref="AB191" authorId="2" shapeId="0" xr:uid="{E21933B2-DB10-4B3A-9D94-1FEFA3FC82E2}">
      <text>
        <r>
          <rPr>
            <sz val="12"/>
            <color indexed="81"/>
            <rFont val="Tahoma"/>
            <family val="2"/>
          </rPr>
          <t xml:space="preserve">Specify the Place of Delivery if necessary.  </t>
        </r>
        <r>
          <rPr>
            <u/>
            <sz val="12"/>
            <color indexed="81"/>
            <rFont val="Tahoma"/>
            <family val="2"/>
          </rPr>
          <t>Do not</t>
        </r>
        <r>
          <rPr>
            <sz val="12"/>
            <color indexed="81"/>
            <rFont val="Tahoma"/>
            <family val="2"/>
          </rPr>
          <t xml:space="preserve"> use "ALL".
Only 1 location may be entered per row.</t>
        </r>
      </text>
    </comment>
    <comment ref="AC191" authorId="3" shapeId="0" xr:uid="{463FA1ED-E6FB-4F6D-AC08-0878951C3098}">
      <text>
        <r>
          <rPr>
            <sz val="12"/>
            <color indexed="81"/>
            <rFont val="Tahoma"/>
            <family val="2"/>
          </rPr>
          <t xml:space="preserve">Enter the Country Code ONLY.  </t>
        </r>
        <r>
          <rPr>
            <u/>
            <sz val="12"/>
            <color indexed="81"/>
            <rFont val="Tahoma"/>
            <family val="2"/>
          </rPr>
          <t>Cannot</t>
        </r>
        <r>
          <rPr>
            <sz val="12"/>
            <color indexed="81"/>
            <rFont val="Tahoma"/>
            <family val="2"/>
          </rPr>
          <t xml:space="preserve"> use "ALL" or country name</t>
        </r>
      </text>
    </comment>
    <comment ref="AD191" authorId="2" shapeId="0" xr:uid="{5189BB4D-2F0F-47F0-B2D7-6EE7ABF24F7B}">
      <text>
        <r>
          <rPr>
            <sz val="12"/>
            <color indexed="81"/>
            <rFont val="Tahoma"/>
            <family val="2"/>
          </rPr>
          <t xml:space="preserve">Enter additional notes only when absolutely necessary.  
</t>
        </r>
        <r>
          <rPr>
            <u/>
            <sz val="12"/>
            <color indexed="81"/>
            <rFont val="Tahoma"/>
            <family val="2"/>
          </rPr>
          <t>IMPORTANT</t>
        </r>
        <r>
          <rPr>
            <sz val="12"/>
            <color indexed="81"/>
            <rFont val="Tahoma"/>
            <family val="2"/>
          </rPr>
          <t xml:space="preserve">:  Named accounts and specific commodities </t>
        </r>
        <r>
          <rPr>
            <b/>
            <u/>
            <sz val="12"/>
            <color indexed="81"/>
            <rFont val="Tahoma"/>
            <family val="2"/>
          </rPr>
          <t>may not</t>
        </r>
        <r>
          <rPr>
            <sz val="12"/>
            <color indexed="81"/>
            <rFont val="Tahoma"/>
            <family val="2"/>
          </rPr>
          <t xml:space="preserve"> be listed as Notes.</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ext.obouge</author>
    <author>William MALLOL</author>
    <author>usa.gewan</author>
    <author>GENDER Charlie - NOR</author>
  </authors>
  <commentList>
    <comment ref="B13" authorId="0" shapeId="0" xr:uid="{00000000-0006-0000-1A00-000001000000}">
      <text>
        <r>
          <rPr>
            <b/>
            <sz val="12"/>
            <color indexed="81"/>
            <rFont val="Tahoma"/>
            <family val="2"/>
          </rPr>
          <t>Please use comma to separate commodities.</t>
        </r>
      </text>
    </comment>
    <comment ref="A20" authorId="1" shapeId="0" xr:uid="{00000000-0006-0000-1A00-000002000000}">
      <text>
        <r>
          <rPr>
            <b/>
            <sz val="14"/>
            <color indexed="81"/>
            <rFont val="Tahoma"/>
            <family val="2"/>
          </rPr>
          <t>Port Group Codes can be used to group any two or more valid seaports that are common rated.
Port Group Codes cannot be used for inland locations.</t>
        </r>
      </text>
    </comment>
    <comment ref="B20" authorId="0" shapeId="0" xr:uid="{00000000-0006-0000-1A00-000003000000}">
      <text>
        <r>
          <rPr>
            <b/>
            <sz val="14"/>
            <color indexed="81"/>
            <rFont val="Tahoma"/>
            <family val="2"/>
          </rPr>
          <t>Please use comma to separate ports.
Only valid sea ports may be included.</t>
        </r>
      </text>
    </comment>
    <comment ref="A30" authorId="1" shapeId="0" xr:uid="{00000000-0006-0000-1A00-000004000000}">
      <text>
        <r>
          <rPr>
            <b/>
            <sz val="14"/>
            <color indexed="81"/>
            <rFont val="Tahoma"/>
            <family val="2"/>
          </rPr>
          <t>Please use FAK/ Bullets defined above.</t>
        </r>
      </text>
    </comment>
    <comment ref="B30" authorId="1" shapeId="0" xr:uid="{00000000-0006-0000-1A00-000005000000}">
      <text>
        <r>
          <rPr>
            <b/>
            <sz val="14"/>
            <color indexed="81"/>
            <rFont val="Tahoma"/>
            <family val="2"/>
          </rPr>
          <t>City, State / ZIP Code</t>
        </r>
      </text>
    </comment>
    <comment ref="C30" authorId="1" shapeId="0" xr:uid="{00000000-0006-0000-1A00-000006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D30" authorId="1" shapeId="0" xr:uid="{00000000-0006-0000-1A00-000007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E30" authorId="1" shapeId="0" xr:uid="{00000000-0006-0000-1A00-000008000000}">
      <text>
        <r>
          <rPr>
            <b/>
            <sz val="14"/>
            <color indexed="81"/>
            <rFont val="Tahoma"/>
            <family val="2"/>
          </rPr>
          <t>City, State / ZIP Code</t>
        </r>
      </text>
    </comment>
    <comment ref="F30" authorId="2" shapeId="0" xr:uid="{00000000-0006-0000-1A00-000009000000}">
      <text>
        <r>
          <rPr>
            <b/>
            <sz val="14"/>
            <color indexed="81"/>
            <rFont val="Tahoma"/>
            <family val="2"/>
          </rPr>
          <t>Indicate the mode of transportation at origin and destination.
Mode cannot begin with CY if there is a location listed as place of receipt.
Mode cannot end with CY if there is a location is listed as place of delivery</t>
        </r>
      </text>
    </comment>
    <comment ref="G30" authorId="2" shapeId="0" xr:uid="{00000000-0006-0000-1A00-00000A000000}">
      <text>
        <r>
          <rPr>
            <b/>
            <sz val="14"/>
            <color indexed="81"/>
            <rFont val="Tahoma"/>
            <family val="2"/>
          </rPr>
          <t>Indicate whether or not door service is included at origin and destination</t>
        </r>
      </text>
    </comment>
    <comment ref="M30" authorId="2" shapeId="0" xr:uid="{00000000-0006-0000-1A00-00000B000000}">
      <text>
        <r>
          <rPr>
            <b/>
            <sz val="14"/>
            <color indexed="81"/>
            <rFont val="Tahoma"/>
            <family val="2"/>
          </rPr>
          <t>Use these columns for exceptions to surcharge applicability in note 2</t>
        </r>
      </text>
    </comment>
    <comment ref="AA30" authorId="2" shapeId="0" xr:uid="{00000000-0006-0000-1A00-00000C000000}">
      <text>
        <r>
          <rPr>
            <b/>
            <sz val="14"/>
            <color indexed="81"/>
            <rFont val="Tahoma"/>
            <family val="2"/>
          </rPr>
          <t>This field controls construction using Arbitraries and Inland Tariffs
Y = allowed in US, N = not allowed in US, 
E = allowed at origin, I = allowed at destination,
B = allowed at both origin and destination
X = not allowed at either origin or destination</t>
        </r>
      </text>
    </comment>
    <comment ref="A55" authorId="1" shapeId="0" xr:uid="{00000000-0006-0000-1A00-00000D000000}">
      <text>
        <r>
          <rPr>
            <b/>
            <sz val="14"/>
            <color indexed="81"/>
            <rFont val="Tahoma"/>
            <family val="2"/>
          </rPr>
          <t>Please use FAK/ Bullets defined above.</t>
        </r>
      </text>
    </comment>
    <comment ref="B55" authorId="1" shapeId="0" xr:uid="{00000000-0006-0000-1A00-00000E000000}">
      <text>
        <r>
          <rPr>
            <b/>
            <sz val="14"/>
            <color indexed="81"/>
            <rFont val="Tahoma"/>
            <family val="2"/>
          </rPr>
          <t>City, State / ZIP Code</t>
        </r>
      </text>
    </comment>
    <comment ref="C55" authorId="1" shapeId="0" xr:uid="{00000000-0006-0000-1A00-00000F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D55" authorId="1" shapeId="0" xr:uid="{00000000-0006-0000-1A00-000010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E55" authorId="1" shapeId="0" xr:uid="{00000000-0006-0000-1A00-000011000000}">
      <text>
        <r>
          <rPr>
            <b/>
            <sz val="14"/>
            <color indexed="81"/>
            <rFont val="Tahoma"/>
            <family val="2"/>
          </rPr>
          <t>City, State / ZIP Code</t>
        </r>
      </text>
    </comment>
    <comment ref="F55" authorId="2" shapeId="0" xr:uid="{00000000-0006-0000-1A00-000012000000}">
      <text>
        <r>
          <rPr>
            <b/>
            <sz val="14"/>
            <color indexed="81"/>
            <rFont val="Tahoma"/>
            <family val="2"/>
          </rPr>
          <t>Indicate the mode of transportation at origin and destination.
Mode cannot begin with CY if there is a location listed as place of receipt.
Mode cannot end with CY if there is a location is listed as place of delivery</t>
        </r>
      </text>
    </comment>
    <comment ref="G55" authorId="2" shapeId="0" xr:uid="{00000000-0006-0000-1A00-000013000000}">
      <text>
        <r>
          <rPr>
            <b/>
            <sz val="14"/>
            <color indexed="81"/>
            <rFont val="Tahoma"/>
            <family val="2"/>
          </rPr>
          <t>Indicate whether or not door service is included at origin and destination</t>
        </r>
      </text>
    </comment>
    <comment ref="O55" authorId="2" shapeId="0" xr:uid="{00000000-0006-0000-1A00-000014000000}">
      <text>
        <r>
          <rPr>
            <b/>
            <sz val="14"/>
            <color indexed="81"/>
            <rFont val="Tahoma"/>
            <family val="2"/>
          </rPr>
          <t>Use these columns for exceptions to surcharge applicability in note 2</t>
        </r>
      </text>
    </comment>
    <comment ref="AA55" authorId="2" shapeId="0" xr:uid="{00000000-0006-0000-1A00-000015000000}">
      <text>
        <r>
          <rPr>
            <b/>
            <sz val="14"/>
            <color indexed="81"/>
            <rFont val="Tahoma"/>
            <family val="2"/>
          </rPr>
          <t>This field controls construction using Arbitraries and Inland Tariffs
Y = allowed in US, N = not allowed in US, 
E = allowed at origin, I = allowed at destination,
B = allowed at both origin and destination
X = not allowed at either origin or destination</t>
        </r>
      </text>
    </comment>
    <comment ref="A64" authorId="1" shapeId="0" xr:uid="{00000000-0006-0000-1A00-000016000000}">
      <text>
        <r>
          <rPr>
            <b/>
            <sz val="14"/>
            <color indexed="81"/>
            <rFont val="Tahoma"/>
            <family val="2"/>
          </rPr>
          <t>Please use FAK/ Bullets defined above.</t>
        </r>
      </text>
    </comment>
    <comment ref="B64" authorId="1" shapeId="0" xr:uid="{00000000-0006-0000-1A00-000017000000}">
      <text>
        <r>
          <rPr>
            <b/>
            <sz val="14"/>
            <color indexed="81"/>
            <rFont val="Tahoma"/>
            <family val="2"/>
          </rPr>
          <t>City, State / ZIP Code</t>
        </r>
      </text>
    </comment>
    <comment ref="C64" authorId="1" shapeId="0" xr:uid="{00000000-0006-0000-1A00-000018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D64" authorId="1" shapeId="0" xr:uid="{00000000-0006-0000-1A00-000019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E64" authorId="1" shapeId="0" xr:uid="{00000000-0006-0000-1A00-00001A000000}">
      <text>
        <r>
          <rPr>
            <b/>
            <sz val="14"/>
            <color indexed="81"/>
            <rFont val="Tahoma"/>
            <family val="2"/>
          </rPr>
          <t>City, State / ZIP Code</t>
        </r>
      </text>
    </comment>
    <comment ref="F64" authorId="2" shapeId="0" xr:uid="{00000000-0006-0000-1A00-00001B000000}">
      <text>
        <r>
          <rPr>
            <b/>
            <sz val="14"/>
            <color indexed="81"/>
            <rFont val="Tahoma"/>
            <family val="2"/>
          </rPr>
          <t>Indicate the mode of transportation at origin and destination.
Mode cannot begin with CY if there is a location listed as place of receipt.
Mode cannot end with CY if there is a location is listed as place of delivery</t>
        </r>
      </text>
    </comment>
    <comment ref="G64" authorId="2" shapeId="0" xr:uid="{00000000-0006-0000-1A00-00001C000000}">
      <text>
        <r>
          <rPr>
            <b/>
            <sz val="14"/>
            <color indexed="81"/>
            <rFont val="Tahoma"/>
            <family val="2"/>
          </rPr>
          <t>Indicate whether or not door service is included at origin and destination</t>
        </r>
      </text>
    </comment>
    <comment ref="Q64" authorId="2" shapeId="0" xr:uid="{00000000-0006-0000-1A00-00001D000000}">
      <text>
        <r>
          <rPr>
            <b/>
            <sz val="14"/>
            <color indexed="81"/>
            <rFont val="Tahoma"/>
            <family val="2"/>
          </rPr>
          <t>Use these columns for exceptions to surcharge applicability in note 2</t>
        </r>
      </text>
    </comment>
    <comment ref="AC64" authorId="2" shapeId="0" xr:uid="{00000000-0006-0000-1A00-00001E000000}">
      <text>
        <r>
          <rPr>
            <b/>
            <sz val="14"/>
            <color indexed="81"/>
            <rFont val="Tahoma"/>
            <family val="2"/>
          </rPr>
          <t>This field controls construction using Arbitraries and Inland Tariffs
Y = allowed in US, N = not allowed in US, 
E = allowed at origin, I = allowed at destination,
B = allowed at both origin and destination
X = not allowed at either origin or destination</t>
        </r>
      </text>
    </comment>
    <comment ref="B81" authorId="2" shapeId="0" xr:uid="{00000000-0006-0000-1A00-00001F000000}">
      <text>
        <r>
          <rPr>
            <b/>
            <sz val="14"/>
            <color indexed="81"/>
            <rFont val="Tahoma"/>
            <family val="2"/>
          </rPr>
          <t>Place of Origin - may be an outport for feeder (CY) arbitraries or an inland origin
Format is:  City, State or ZIP Code</t>
        </r>
      </text>
    </comment>
    <comment ref="E81" authorId="2" shapeId="0" xr:uid="{00000000-0006-0000-1A00-000020000000}">
      <text>
        <r>
          <rPr>
            <b/>
            <sz val="14"/>
            <color indexed="81"/>
            <rFont val="Tahoma"/>
            <family val="2"/>
          </rPr>
          <t xml:space="preserve">Please use only one port or a group of ports (Port groups must be defined in the Port Group Codes table).
Arbitrary construction can only occur with rate conditions which show these ports as the POL.
</t>
        </r>
        <r>
          <rPr>
            <b/>
            <i/>
            <sz val="14"/>
            <color indexed="81"/>
            <rFont val="Tahoma"/>
            <family val="2"/>
          </rPr>
          <t>All ports must be valid SEA ports.</t>
        </r>
      </text>
    </comment>
    <comment ref="F81" authorId="2" shapeId="0" xr:uid="{00000000-0006-0000-1A00-000021000000}">
      <text>
        <r>
          <rPr>
            <b/>
            <sz val="14"/>
            <color indexed="81"/>
            <rFont val="Tahoma"/>
            <family val="2"/>
          </rPr>
          <t>Indicate the mode of transportation between the arbitrary place of receipt and arbitrary POL.
CY modes can only be used when the mode of transportation is by Feeder.
Use of CY mode requires both the locations to be valid SEA ports.</t>
        </r>
      </text>
    </comment>
    <comment ref="G81" authorId="2" shapeId="0" xr:uid="{00000000-0006-0000-1A00-000022000000}">
      <text>
        <r>
          <rPr>
            <b/>
            <sz val="14"/>
            <color indexed="81"/>
            <rFont val="Tahoma"/>
            <family val="2"/>
          </rPr>
          <t>Indicate whether or not door service is included in the arbitrary rate</t>
        </r>
      </text>
    </comment>
    <comment ref="H81" authorId="2" shapeId="0" xr:uid="{00000000-0006-0000-1A00-000023000000}">
      <text>
        <r>
          <rPr>
            <b/>
            <sz val="14"/>
            <color indexed="81"/>
            <rFont val="Tahoma"/>
            <family val="2"/>
          </rPr>
          <t>Input the rate in this field when the same amount applies for all container sizes</t>
        </r>
      </text>
    </comment>
    <comment ref="N81" authorId="2" shapeId="0" xr:uid="{00000000-0006-0000-1A00-000024000000}">
      <text>
        <r>
          <rPr>
            <b/>
            <sz val="14"/>
            <color indexed="81"/>
            <rFont val="Tahoma"/>
            <family val="2"/>
          </rPr>
          <t>Each Arbitrary applies only to FAK / Bullets as specifically listed in this field.</t>
        </r>
      </text>
    </comment>
    <comment ref="B96" authorId="2" shapeId="0" xr:uid="{00000000-0006-0000-1A00-000025000000}">
      <text>
        <r>
          <rPr>
            <b/>
            <sz val="14"/>
            <color indexed="81"/>
            <rFont val="Tahoma"/>
            <family val="2"/>
          </rPr>
          <t>Place of Destination - may be an outport for feeder (CY) arbitraries or an inland destination
Format is:  City, State or ZIP Code</t>
        </r>
      </text>
    </comment>
    <comment ref="E96" authorId="2" shapeId="0" xr:uid="{00000000-0006-0000-1A00-000026000000}">
      <text>
        <r>
          <rPr>
            <b/>
            <sz val="14"/>
            <color indexed="81"/>
            <rFont val="Tahoma"/>
            <family val="2"/>
          </rPr>
          <t xml:space="preserve">Please use only one port or a group of ports (Port groups must be defined in the Port Group Codes table).
Arbitrary construction can only occur with rate conditions which show these ports as the POD.
</t>
        </r>
        <r>
          <rPr>
            <b/>
            <i/>
            <sz val="14"/>
            <color indexed="81"/>
            <rFont val="Tahoma"/>
            <family val="2"/>
          </rPr>
          <t>All ports must be valid SEA ports.</t>
        </r>
      </text>
    </comment>
    <comment ref="F96" authorId="2" shapeId="0" xr:uid="{00000000-0006-0000-1A00-000027000000}">
      <text>
        <r>
          <rPr>
            <b/>
            <sz val="14"/>
            <color indexed="81"/>
            <rFont val="Tahoma"/>
            <family val="2"/>
          </rPr>
          <t>Indicate the mode of transportation between the arbitrary POD and arbitrary place of delivery.
CY modes can only be used when the mode of transportation is by Feeder.
Use of CY mode requires both the locations to be valid SEA ports.</t>
        </r>
      </text>
    </comment>
    <comment ref="G96" authorId="2" shapeId="0" xr:uid="{00000000-0006-0000-1A00-000028000000}">
      <text>
        <r>
          <rPr>
            <b/>
            <sz val="14"/>
            <color indexed="81"/>
            <rFont val="Tahoma"/>
            <family val="2"/>
          </rPr>
          <t>Indicate whether or not door service is included in the arbitrary rate</t>
        </r>
      </text>
    </comment>
    <comment ref="H96" authorId="2" shapeId="0" xr:uid="{00000000-0006-0000-1A00-000029000000}">
      <text>
        <r>
          <rPr>
            <b/>
            <sz val="14"/>
            <color indexed="81"/>
            <rFont val="Tahoma"/>
            <family val="2"/>
          </rPr>
          <t>Input the rate in this field when the same amount applies for all container sizes</t>
        </r>
      </text>
    </comment>
    <comment ref="N96" authorId="2" shapeId="0" xr:uid="{00000000-0006-0000-1A00-00002A000000}">
      <text>
        <r>
          <rPr>
            <b/>
            <sz val="14"/>
            <color indexed="81"/>
            <rFont val="Tahoma"/>
            <family val="2"/>
          </rPr>
          <t>Each Arbitrary applies only to FAK / Bullets as specifically listed in this field.</t>
        </r>
      </text>
    </comment>
    <comment ref="L106" authorId="2" shapeId="0" xr:uid="{00000000-0006-0000-1A00-00002B000000}">
      <text>
        <r>
          <rPr>
            <b/>
            <sz val="14"/>
            <color indexed="81"/>
            <rFont val="Tahoma"/>
            <family val="2"/>
          </rPr>
          <t>Surcharge applicability mentioned on any row applies specifically to the individual port mentioned in this field.
If the Applicable Port field is blank, then the  surcharge applicability stated on that row applies to all ports.</t>
        </r>
      </text>
    </comment>
    <comment ref="A210" authorId="2" shapeId="0" xr:uid="{00000000-0006-0000-1A00-00002C000000}">
      <text>
        <r>
          <rPr>
            <sz val="12"/>
            <color indexed="81"/>
            <rFont val="Tahoma"/>
            <family val="2"/>
          </rPr>
          <t>Select the bullet for which the exception applies.
If exception applies to all bullets, select "ALL".</t>
        </r>
      </text>
    </comment>
    <comment ref="B210" authorId="2" shapeId="0" xr:uid="{00000000-0006-0000-1A00-00002D000000}">
      <text>
        <r>
          <rPr>
            <sz val="12"/>
            <color indexed="81"/>
            <rFont val="Tahoma"/>
            <family val="2"/>
          </rPr>
          <t xml:space="preserve">Specify if Free Time condition applies to Export or Import:
</t>
        </r>
        <r>
          <rPr>
            <b/>
            <sz val="12"/>
            <color indexed="81"/>
            <rFont val="Tahoma"/>
            <family val="2"/>
          </rPr>
          <t xml:space="preserve">E </t>
        </r>
        <r>
          <rPr>
            <sz val="12"/>
            <color indexed="81"/>
            <rFont val="Tahoma"/>
            <family val="2"/>
          </rPr>
          <t xml:space="preserve">(Export) = applies at origin
</t>
        </r>
        <r>
          <rPr>
            <b/>
            <sz val="12"/>
            <color indexed="81"/>
            <rFont val="Tahoma"/>
            <family val="2"/>
          </rPr>
          <t xml:space="preserve">I </t>
        </r>
        <r>
          <rPr>
            <sz val="12"/>
            <color indexed="81"/>
            <rFont val="Tahoma"/>
            <family val="2"/>
          </rPr>
          <t>(Import) = applies at destination</t>
        </r>
      </text>
    </comment>
    <comment ref="C210" authorId="2" shapeId="0" xr:uid="{00000000-0006-0000-1A00-00002E000000}">
      <text>
        <r>
          <rPr>
            <sz val="12"/>
            <color indexed="81"/>
            <rFont val="Tahoma"/>
            <family val="2"/>
          </rPr>
          <t>Enter Type of Free Time:</t>
        </r>
        <r>
          <rPr>
            <u/>
            <sz val="12"/>
            <color indexed="81"/>
            <rFont val="Tahoma"/>
            <family val="2"/>
          </rPr>
          <t xml:space="preserve">
</t>
        </r>
        <r>
          <rPr>
            <sz val="12"/>
            <color indexed="81"/>
            <rFont val="Tahoma"/>
            <family val="2"/>
          </rPr>
          <t xml:space="preserve">
</t>
        </r>
        <r>
          <rPr>
            <b/>
            <sz val="12"/>
            <color indexed="81"/>
            <rFont val="Tahoma"/>
            <family val="2"/>
          </rPr>
          <t>Detention
Demurrage
Merged</t>
        </r>
      </text>
    </comment>
    <comment ref="F210" authorId="2" shapeId="0" xr:uid="{00000000-0006-0000-1A00-00002F000000}">
      <text>
        <r>
          <rPr>
            <sz val="12"/>
            <color indexed="81"/>
            <rFont val="Tahoma"/>
            <family val="2"/>
          </rPr>
          <t xml:space="preserve">Specify Equipment Type (blank field indicates applicability to all Eq Types):
</t>
        </r>
        <r>
          <rPr>
            <b/>
            <sz val="12"/>
            <color indexed="81"/>
            <rFont val="Tahoma"/>
            <family val="2"/>
          </rPr>
          <t>D</t>
        </r>
        <r>
          <rPr>
            <sz val="12"/>
            <color indexed="81"/>
            <rFont val="Tahoma"/>
            <family val="2"/>
          </rPr>
          <t xml:space="preserve"> = Dry
</t>
        </r>
        <r>
          <rPr>
            <b/>
            <sz val="12"/>
            <color indexed="81"/>
            <rFont val="Tahoma"/>
            <family val="2"/>
          </rPr>
          <t>R</t>
        </r>
        <r>
          <rPr>
            <sz val="12"/>
            <color indexed="81"/>
            <rFont val="Tahoma"/>
            <family val="2"/>
          </rPr>
          <t xml:space="preserve"> = Reefer
</t>
        </r>
        <r>
          <rPr>
            <b/>
            <sz val="12"/>
            <color indexed="81"/>
            <rFont val="Tahoma"/>
            <family val="2"/>
          </rPr>
          <t>OT</t>
        </r>
        <r>
          <rPr>
            <sz val="12"/>
            <color indexed="81"/>
            <rFont val="Tahoma"/>
            <family val="2"/>
          </rPr>
          <t xml:space="preserve"> = Open Top
</t>
        </r>
        <r>
          <rPr>
            <b/>
            <sz val="12"/>
            <color indexed="81"/>
            <rFont val="Tahoma"/>
            <family val="2"/>
          </rPr>
          <t>FR</t>
        </r>
        <r>
          <rPr>
            <sz val="12"/>
            <color indexed="81"/>
            <rFont val="Tahoma"/>
            <family val="2"/>
          </rPr>
          <t xml:space="preserve"> = Flat Rack</t>
        </r>
      </text>
    </comment>
    <comment ref="G210" authorId="2" shapeId="0" xr:uid="{00000000-0006-0000-1A00-000030000000}">
      <text>
        <r>
          <rPr>
            <sz val="12"/>
            <color indexed="81"/>
            <rFont val="Tahoma"/>
            <family val="2"/>
          </rPr>
          <t>Select "OR" from the drop down list if condition applies to Operating Reefers</t>
        </r>
      </text>
    </comment>
    <comment ref="H210" authorId="2" shapeId="0" xr:uid="{00000000-0006-0000-1A00-000031000000}">
      <text>
        <r>
          <rPr>
            <sz val="12"/>
            <color indexed="81"/>
            <rFont val="Tahoma"/>
            <family val="2"/>
          </rPr>
          <t xml:space="preserve">Specify the Place of Receipt if necessary.  </t>
        </r>
        <r>
          <rPr>
            <u/>
            <sz val="12"/>
            <color indexed="81"/>
            <rFont val="Tahoma"/>
            <family val="2"/>
          </rPr>
          <t>Do not</t>
        </r>
        <r>
          <rPr>
            <sz val="12"/>
            <color indexed="81"/>
            <rFont val="Tahoma"/>
            <family val="2"/>
          </rPr>
          <t xml:space="preserve"> use "ALL".
Only 1 location may be entered per row.</t>
        </r>
      </text>
    </comment>
    <comment ref="I210" authorId="2" shapeId="0" xr:uid="{00000000-0006-0000-1A00-000032000000}">
      <text>
        <r>
          <rPr>
            <sz val="12"/>
            <color indexed="81"/>
            <rFont val="Tahoma"/>
            <family val="2"/>
          </rPr>
          <t xml:space="preserve">Enter the POL if necessary.  </t>
        </r>
        <r>
          <rPr>
            <u/>
            <sz val="12"/>
            <color indexed="81"/>
            <rFont val="Tahoma"/>
            <family val="2"/>
          </rPr>
          <t>Do not</t>
        </r>
        <r>
          <rPr>
            <sz val="12"/>
            <color indexed="81"/>
            <rFont val="Tahoma"/>
            <family val="2"/>
          </rPr>
          <t xml:space="preserve"> use "ALL".
Only 1 location is allowed per row and must be a valid seaport.</t>
        </r>
      </text>
    </comment>
    <comment ref="J210" authorId="2" shapeId="0" xr:uid="{00000000-0006-0000-1A00-000033000000}">
      <text>
        <r>
          <rPr>
            <sz val="12"/>
            <color indexed="81"/>
            <rFont val="Tahoma"/>
            <family val="2"/>
          </rPr>
          <t xml:space="preserve">Enter the POD if necessary.  </t>
        </r>
        <r>
          <rPr>
            <u/>
            <sz val="12"/>
            <color indexed="81"/>
            <rFont val="Tahoma"/>
            <family val="2"/>
          </rPr>
          <t>Do not</t>
        </r>
        <r>
          <rPr>
            <sz val="12"/>
            <color indexed="81"/>
            <rFont val="Tahoma"/>
            <family val="2"/>
          </rPr>
          <t xml:space="preserve"> use "ALL".
Only 1 location is allowed per row and must be a valid seaport.</t>
        </r>
      </text>
    </comment>
    <comment ref="K210" authorId="2" shapeId="0" xr:uid="{00000000-0006-0000-1A00-000034000000}">
      <text>
        <r>
          <rPr>
            <sz val="12"/>
            <color indexed="81"/>
            <rFont val="Tahoma"/>
            <family val="2"/>
          </rPr>
          <t xml:space="preserve">Specify the Place of Delivery if necessary.  </t>
        </r>
        <r>
          <rPr>
            <u/>
            <sz val="12"/>
            <color indexed="81"/>
            <rFont val="Tahoma"/>
            <family val="2"/>
          </rPr>
          <t>Do not</t>
        </r>
        <r>
          <rPr>
            <sz val="12"/>
            <color indexed="81"/>
            <rFont val="Tahoma"/>
            <family val="2"/>
          </rPr>
          <t xml:space="preserve"> use "ALL".
Only 1 location may be entered per row.</t>
        </r>
      </text>
    </comment>
    <comment ref="L210" authorId="3" shapeId="0" xr:uid="{122E9E06-EAEA-435F-AEFA-D96B936A9865}">
      <text>
        <r>
          <rPr>
            <sz val="12"/>
            <color indexed="81"/>
            <rFont val="Tahoma"/>
            <family val="2"/>
          </rPr>
          <t xml:space="preserve">Enter the Country Code ONLY.  </t>
        </r>
        <r>
          <rPr>
            <u/>
            <sz val="12"/>
            <color indexed="81"/>
            <rFont val="Tahoma"/>
            <family val="2"/>
          </rPr>
          <t>Cannot</t>
        </r>
        <r>
          <rPr>
            <sz val="12"/>
            <color indexed="81"/>
            <rFont val="Tahoma"/>
            <family val="2"/>
          </rPr>
          <t xml:space="preserve"> use "ALL" or country name</t>
        </r>
      </text>
    </comment>
    <comment ref="M210" authorId="2" shapeId="0" xr:uid="{00000000-0006-0000-1A00-000035000000}">
      <text>
        <r>
          <rPr>
            <sz val="12"/>
            <color indexed="81"/>
            <rFont val="Tahoma"/>
            <family val="2"/>
          </rPr>
          <t xml:space="preserve">Enter additional notes only when absolutely necessary.  
</t>
        </r>
        <r>
          <rPr>
            <u/>
            <sz val="12"/>
            <color indexed="81"/>
            <rFont val="Tahoma"/>
            <family val="2"/>
          </rPr>
          <t>IMPORTANT</t>
        </r>
        <r>
          <rPr>
            <sz val="12"/>
            <color indexed="81"/>
            <rFont val="Tahoma"/>
            <family val="2"/>
          </rPr>
          <t xml:space="preserve">:  Named accounts and specific commodities </t>
        </r>
        <r>
          <rPr>
            <b/>
            <u/>
            <sz val="12"/>
            <color indexed="81"/>
            <rFont val="Tahoma"/>
            <family val="2"/>
          </rPr>
          <t>may not</t>
        </r>
        <r>
          <rPr>
            <sz val="12"/>
            <color indexed="81"/>
            <rFont val="Tahoma"/>
            <family val="2"/>
          </rPr>
          <t xml:space="preserve"> be listed as Notes.</t>
        </r>
      </text>
    </comment>
    <comment ref="A223" authorId="2" shapeId="0" xr:uid="{48F49235-51E8-4541-88C9-93464C8646E8}">
      <text>
        <r>
          <rPr>
            <sz val="12"/>
            <color indexed="81"/>
            <rFont val="Tahoma"/>
            <family val="2"/>
          </rPr>
          <t>Select the bullet for which the exception applies.
If exception applies to all bullets, select "ALL".</t>
        </r>
      </text>
    </comment>
    <comment ref="B223" authorId="2" shapeId="0" xr:uid="{967C7D1B-DE62-4E0C-863A-5E3437885161}">
      <text>
        <r>
          <rPr>
            <sz val="12"/>
            <color indexed="81"/>
            <rFont val="Tahoma"/>
            <family val="2"/>
          </rPr>
          <t xml:space="preserve">Specify if Free Time condition applies to Export or Import:
</t>
        </r>
        <r>
          <rPr>
            <b/>
            <sz val="12"/>
            <color indexed="81"/>
            <rFont val="Tahoma"/>
            <family val="2"/>
          </rPr>
          <t xml:space="preserve">E </t>
        </r>
        <r>
          <rPr>
            <sz val="12"/>
            <color indexed="81"/>
            <rFont val="Tahoma"/>
            <family val="2"/>
          </rPr>
          <t xml:space="preserve">(Export) = applies at origin
</t>
        </r>
        <r>
          <rPr>
            <b/>
            <sz val="12"/>
            <color indexed="81"/>
            <rFont val="Tahoma"/>
            <family val="2"/>
          </rPr>
          <t xml:space="preserve">I </t>
        </r>
        <r>
          <rPr>
            <sz val="12"/>
            <color indexed="81"/>
            <rFont val="Tahoma"/>
            <family val="2"/>
          </rPr>
          <t>(Import) = applies at destination</t>
        </r>
      </text>
    </comment>
    <comment ref="C223" authorId="2" shapeId="0" xr:uid="{EA248DA2-3E7B-4278-A5B2-D023432E2932}">
      <text>
        <r>
          <rPr>
            <sz val="12"/>
            <color indexed="81"/>
            <rFont val="Tahoma"/>
            <family val="2"/>
          </rPr>
          <t>Enter Type of Free Time:</t>
        </r>
        <r>
          <rPr>
            <u/>
            <sz val="12"/>
            <color indexed="81"/>
            <rFont val="Tahoma"/>
            <family val="2"/>
          </rPr>
          <t xml:space="preserve">
</t>
        </r>
        <r>
          <rPr>
            <sz val="12"/>
            <color indexed="81"/>
            <rFont val="Tahoma"/>
            <family val="2"/>
          </rPr>
          <t xml:space="preserve">
</t>
        </r>
        <r>
          <rPr>
            <b/>
            <sz val="12"/>
            <color indexed="81"/>
            <rFont val="Tahoma"/>
            <family val="2"/>
          </rPr>
          <t>Detention
Demurrage
Merged</t>
        </r>
      </text>
    </comment>
    <comment ref="F223" authorId="2" shapeId="0" xr:uid="{06195FC1-C778-491A-94F9-116EB2802A76}">
      <text>
        <r>
          <rPr>
            <sz val="12"/>
            <color indexed="81"/>
            <rFont val="Tahoma"/>
            <family val="2"/>
          </rPr>
          <t>If any exceptional charges are offered, then the currency is required to be shown.</t>
        </r>
      </text>
    </comment>
    <comment ref="W223" authorId="2" shapeId="0" xr:uid="{3F42DAEC-A8A6-4B27-B9AA-B8D5888F5E8B}">
      <text>
        <r>
          <rPr>
            <sz val="12"/>
            <color indexed="81"/>
            <rFont val="Tahoma"/>
            <family val="2"/>
          </rPr>
          <t xml:space="preserve">Specify Equipment Type (blank field indicates applicability to all Eq Types):
</t>
        </r>
        <r>
          <rPr>
            <b/>
            <sz val="12"/>
            <color indexed="81"/>
            <rFont val="Tahoma"/>
            <family val="2"/>
          </rPr>
          <t>D</t>
        </r>
        <r>
          <rPr>
            <sz val="12"/>
            <color indexed="81"/>
            <rFont val="Tahoma"/>
            <family val="2"/>
          </rPr>
          <t xml:space="preserve"> = Dry
</t>
        </r>
        <r>
          <rPr>
            <b/>
            <sz val="12"/>
            <color indexed="81"/>
            <rFont val="Tahoma"/>
            <family val="2"/>
          </rPr>
          <t>R</t>
        </r>
        <r>
          <rPr>
            <sz val="12"/>
            <color indexed="81"/>
            <rFont val="Tahoma"/>
            <family val="2"/>
          </rPr>
          <t xml:space="preserve"> = Reefer
</t>
        </r>
        <r>
          <rPr>
            <b/>
            <sz val="12"/>
            <color indexed="81"/>
            <rFont val="Tahoma"/>
            <family val="2"/>
          </rPr>
          <t>OT</t>
        </r>
        <r>
          <rPr>
            <sz val="12"/>
            <color indexed="81"/>
            <rFont val="Tahoma"/>
            <family val="2"/>
          </rPr>
          <t xml:space="preserve"> = Open Top
</t>
        </r>
        <r>
          <rPr>
            <b/>
            <sz val="12"/>
            <color indexed="81"/>
            <rFont val="Tahoma"/>
            <family val="2"/>
          </rPr>
          <t>FR</t>
        </r>
        <r>
          <rPr>
            <sz val="12"/>
            <color indexed="81"/>
            <rFont val="Tahoma"/>
            <family val="2"/>
          </rPr>
          <t xml:space="preserve"> = Flat Rack</t>
        </r>
      </text>
    </comment>
    <comment ref="X223" authorId="2" shapeId="0" xr:uid="{FCBA266F-DF59-4E1E-82E2-8D8AAA0DB8FF}">
      <text>
        <r>
          <rPr>
            <sz val="12"/>
            <color indexed="81"/>
            <rFont val="Tahoma"/>
            <family val="2"/>
          </rPr>
          <t>Select "OR" from the drop down list if condition applies to Operating Reefers</t>
        </r>
      </text>
    </comment>
    <comment ref="Y223" authorId="2" shapeId="0" xr:uid="{308465E6-0143-4B59-B494-026D7AB782EF}">
      <text>
        <r>
          <rPr>
            <sz val="12"/>
            <color indexed="81"/>
            <rFont val="Tahoma"/>
            <family val="2"/>
          </rPr>
          <t xml:space="preserve">Specify the Place of Receipt if necessary.  </t>
        </r>
        <r>
          <rPr>
            <u/>
            <sz val="12"/>
            <color indexed="81"/>
            <rFont val="Tahoma"/>
            <family val="2"/>
          </rPr>
          <t>Do not</t>
        </r>
        <r>
          <rPr>
            <sz val="12"/>
            <color indexed="81"/>
            <rFont val="Tahoma"/>
            <family val="2"/>
          </rPr>
          <t xml:space="preserve"> use "ALL".
Only 1 location may be entered per row.</t>
        </r>
      </text>
    </comment>
    <comment ref="Z223" authorId="2" shapeId="0" xr:uid="{0257178D-52C6-40FF-AEF9-D0D97880EDB5}">
      <text>
        <r>
          <rPr>
            <sz val="12"/>
            <color indexed="81"/>
            <rFont val="Tahoma"/>
            <family val="2"/>
          </rPr>
          <t xml:space="preserve">Enter the POL if necessary.  </t>
        </r>
        <r>
          <rPr>
            <u/>
            <sz val="12"/>
            <color indexed="81"/>
            <rFont val="Tahoma"/>
            <family val="2"/>
          </rPr>
          <t>Do not</t>
        </r>
        <r>
          <rPr>
            <sz val="12"/>
            <color indexed="81"/>
            <rFont val="Tahoma"/>
            <family val="2"/>
          </rPr>
          <t xml:space="preserve"> use "ALL".
Only 1 location is allowed per row and must be a valid seaport.</t>
        </r>
      </text>
    </comment>
    <comment ref="AA223" authorId="2" shapeId="0" xr:uid="{B0C268EB-0103-4DA7-A3D7-D58C21BEC755}">
      <text>
        <r>
          <rPr>
            <sz val="12"/>
            <color indexed="81"/>
            <rFont val="Tahoma"/>
            <family val="2"/>
          </rPr>
          <t xml:space="preserve">Enter the POD if necessary.  </t>
        </r>
        <r>
          <rPr>
            <u/>
            <sz val="12"/>
            <color indexed="81"/>
            <rFont val="Tahoma"/>
            <family val="2"/>
          </rPr>
          <t>Do not</t>
        </r>
        <r>
          <rPr>
            <sz val="12"/>
            <color indexed="81"/>
            <rFont val="Tahoma"/>
            <family val="2"/>
          </rPr>
          <t xml:space="preserve"> use "ALL".
Only 1 location is allowed per row and must be a valid seaport.</t>
        </r>
      </text>
    </comment>
    <comment ref="AB223" authorId="2" shapeId="0" xr:uid="{07EC2455-488F-46CE-B3FC-665362829F06}">
      <text>
        <r>
          <rPr>
            <sz val="12"/>
            <color indexed="81"/>
            <rFont val="Tahoma"/>
            <family val="2"/>
          </rPr>
          <t xml:space="preserve">Specify the Place of Delivery if necessary.  </t>
        </r>
        <r>
          <rPr>
            <u/>
            <sz val="12"/>
            <color indexed="81"/>
            <rFont val="Tahoma"/>
            <family val="2"/>
          </rPr>
          <t>Do not</t>
        </r>
        <r>
          <rPr>
            <sz val="12"/>
            <color indexed="81"/>
            <rFont val="Tahoma"/>
            <family val="2"/>
          </rPr>
          <t xml:space="preserve"> use "ALL".
Only 1 location may be entered per row.</t>
        </r>
      </text>
    </comment>
    <comment ref="AC223" authorId="3" shapeId="0" xr:uid="{A73992D6-019B-4D17-A6C7-0903B7E2BC77}">
      <text>
        <r>
          <rPr>
            <sz val="12"/>
            <color indexed="81"/>
            <rFont val="Tahoma"/>
            <family val="2"/>
          </rPr>
          <t xml:space="preserve">Enter the Country Code ONLY.  </t>
        </r>
        <r>
          <rPr>
            <u/>
            <sz val="12"/>
            <color indexed="81"/>
            <rFont val="Tahoma"/>
            <family val="2"/>
          </rPr>
          <t>Cannot</t>
        </r>
        <r>
          <rPr>
            <sz val="12"/>
            <color indexed="81"/>
            <rFont val="Tahoma"/>
            <family val="2"/>
          </rPr>
          <t xml:space="preserve"> use "ALL" or country name</t>
        </r>
      </text>
    </comment>
    <comment ref="AD223" authorId="2" shapeId="0" xr:uid="{C2A7AC09-0970-483F-B387-D5F1E3D9B31B}">
      <text>
        <r>
          <rPr>
            <sz val="12"/>
            <color indexed="81"/>
            <rFont val="Tahoma"/>
            <family val="2"/>
          </rPr>
          <t xml:space="preserve">Enter additional notes only when absolutely necessary.  
</t>
        </r>
        <r>
          <rPr>
            <u/>
            <sz val="12"/>
            <color indexed="81"/>
            <rFont val="Tahoma"/>
            <family val="2"/>
          </rPr>
          <t>IMPORTANT</t>
        </r>
        <r>
          <rPr>
            <sz val="12"/>
            <color indexed="81"/>
            <rFont val="Tahoma"/>
            <family val="2"/>
          </rPr>
          <t xml:space="preserve">:  Named accounts and specific commodities </t>
        </r>
        <r>
          <rPr>
            <b/>
            <u/>
            <sz val="12"/>
            <color indexed="81"/>
            <rFont val="Tahoma"/>
            <family val="2"/>
          </rPr>
          <t>may not</t>
        </r>
        <r>
          <rPr>
            <sz val="12"/>
            <color indexed="81"/>
            <rFont val="Tahoma"/>
            <family val="2"/>
          </rPr>
          <t xml:space="preserve"> be listed as Notes.</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ext.obouge</author>
    <author>William MALLOL</author>
    <author>usa.gewan</author>
    <author>GENDER Charlie - NOR</author>
  </authors>
  <commentList>
    <comment ref="B13" authorId="0" shapeId="0" xr:uid="{00000000-0006-0000-1B00-000001000000}">
      <text>
        <r>
          <rPr>
            <b/>
            <sz val="12"/>
            <color indexed="81"/>
            <rFont val="Tahoma"/>
            <family val="2"/>
          </rPr>
          <t>Please use comma to separate commodities.</t>
        </r>
      </text>
    </comment>
    <comment ref="A20" authorId="1" shapeId="0" xr:uid="{00000000-0006-0000-1B00-000002000000}">
      <text>
        <r>
          <rPr>
            <b/>
            <sz val="14"/>
            <color indexed="81"/>
            <rFont val="Tahoma"/>
            <family val="2"/>
          </rPr>
          <t>Port Group Codes can be used to group any two or more valid seaports that are common rated.
Port Group Codes cannot be used for inland locations.</t>
        </r>
      </text>
    </comment>
    <comment ref="B20" authorId="0" shapeId="0" xr:uid="{00000000-0006-0000-1B00-000003000000}">
      <text>
        <r>
          <rPr>
            <b/>
            <sz val="14"/>
            <color indexed="81"/>
            <rFont val="Tahoma"/>
            <family val="2"/>
          </rPr>
          <t>Please use comma to separate ports.
Only valid sea ports may be included.</t>
        </r>
      </text>
    </comment>
    <comment ref="A30" authorId="1" shapeId="0" xr:uid="{00000000-0006-0000-1B00-000004000000}">
      <text>
        <r>
          <rPr>
            <b/>
            <sz val="14"/>
            <color indexed="81"/>
            <rFont val="Tahoma"/>
            <family val="2"/>
          </rPr>
          <t>Please use FAK/ Bullets defined above.</t>
        </r>
      </text>
    </comment>
    <comment ref="B30" authorId="1" shapeId="0" xr:uid="{00000000-0006-0000-1B00-000005000000}">
      <text>
        <r>
          <rPr>
            <b/>
            <sz val="14"/>
            <color indexed="81"/>
            <rFont val="Tahoma"/>
            <family val="2"/>
          </rPr>
          <t>City, State / ZIP Code</t>
        </r>
      </text>
    </comment>
    <comment ref="C30" authorId="1" shapeId="0" xr:uid="{00000000-0006-0000-1B00-000006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D30" authorId="1" shapeId="0" xr:uid="{00000000-0006-0000-1B00-000007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E30" authorId="1" shapeId="0" xr:uid="{00000000-0006-0000-1B00-000008000000}">
      <text>
        <r>
          <rPr>
            <b/>
            <sz val="14"/>
            <color indexed="81"/>
            <rFont val="Tahoma"/>
            <family val="2"/>
          </rPr>
          <t>City, State / ZIP Code</t>
        </r>
      </text>
    </comment>
    <comment ref="F30" authorId="2" shapeId="0" xr:uid="{00000000-0006-0000-1B00-000009000000}">
      <text>
        <r>
          <rPr>
            <b/>
            <sz val="14"/>
            <color indexed="81"/>
            <rFont val="Tahoma"/>
            <family val="2"/>
          </rPr>
          <t>Indicate the mode of transportation at origin and destination.
Mode cannot begin with CY if there is a location listed as place of receipt.
Mode cannot end with CY if there is a location is listed as place of delivery</t>
        </r>
      </text>
    </comment>
    <comment ref="G30" authorId="2" shapeId="0" xr:uid="{00000000-0006-0000-1B00-00000A000000}">
      <text>
        <r>
          <rPr>
            <b/>
            <sz val="14"/>
            <color indexed="81"/>
            <rFont val="Tahoma"/>
            <family val="2"/>
          </rPr>
          <t>Indicate whether or not door service is included at origin and destination</t>
        </r>
      </text>
    </comment>
    <comment ref="M30" authorId="2" shapeId="0" xr:uid="{00000000-0006-0000-1B00-00000B000000}">
      <text>
        <r>
          <rPr>
            <b/>
            <sz val="14"/>
            <color indexed="81"/>
            <rFont val="Tahoma"/>
            <family val="2"/>
          </rPr>
          <t>Use these columns for exceptions to surcharge applicability in note 2</t>
        </r>
      </text>
    </comment>
    <comment ref="AA30" authorId="2" shapeId="0" xr:uid="{00000000-0006-0000-1B00-00000C000000}">
      <text>
        <r>
          <rPr>
            <b/>
            <sz val="14"/>
            <color indexed="81"/>
            <rFont val="Tahoma"/>
            <family val="2"/>
          </rPr>
          <t>This field controls construction using Arbitraries and Inland Tariffs
Y = allowed in US, N = not allowed in US, 
E = allowed at origin, I = allowed at destination,
B = allowed at both origin and destination
X = not allowed at either origin or destination</t>
        </r>
      </text>
    </comment>
    <comment ref="A55" authorId="1" shapeId="0" xr:uid="{00000000-0006-0000-1B00-00000D000000}">
      <text>
        <r>
          <rPr>
            <b/>
            <sz val="14"/>
            <color indexed="81"/>
            <rFont val="Tahoma"/>
            <family val="2"/>
          </rPr>
          <t>Please use FAK/ Bullets defined above.</t>
        </r>
      </text>
    </comment>
    <comment ref="B55" authorId="1" shapeId="0" xr:uid="{00000000-0006-0000-1B00-00000E000000}">
      <text>
        <r>
          <rPr>
            <b/>
            <sz val="14"/>
            <color indexed="81"/>
            <rFont val="Tahoma"/>
            <family val="2"/>
          </rPr>
          <t>City, State / ZIP Code</t>
        </r>
      </text>
    </comment>
    <comment ref="C55" authorId="1" shapeId="0" xr:uid="{00000000-0006-0000-1B00-00000F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D55" authorId="1" shapeId="0" xr:uid="{00000000-0006-0000-1B00-000010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E55" authorId="1" shapeId="0" xr:uid="{00000000-0006-0000-1B00-000011000000}">
      <text>
        <r>
          <rPr>
            <b/>
            <sz val="14"/>
            <color indexed="81"/>
            <rFont val="Tahoma"/>
            <family val="2"/>
          </rPr>
          <t>City, State / ZIP Code</t>
        </r>
      </text>
    </comment>
    <comment ref="F55" authorId="2" shapeId="0" xr:uid="{00000000-0006-0000-1B00-000012000000}">
      <text>
        <r>
          <rPr>
            <b/>
            <sz val="14"/>
            <color indexed="81"/>
            <rFont val="Tahoma"/>
            <family val="2"/>
          </rPr>
          <t>Indicate the mode of transportation at origin and destination.
Mode cannot begin with CY if there is a location listed as place of receipt.
Mode cannot end with CY if there is a location is listed as place of delivery</t>
        </r>
      </text>
    </comment>
    <comment ref="G55" authorId="2" shapeId="0" xr:uid="{00000000-0006-0000-1B00-000013000000}">
      <text>
        <r>
          <rPr>
            <b/>
            <sz val="14"/>
            <color indexed="81"/>
            <rFont val="Tahoma"/>
            <family val="2"/>
          </rPr>
          <t>Indicate whether or not door service is included at origin and destination</t>
        </r>
      </text>
    </comment>
    <comment ref="O55" authorId="2" shapeId="0" xr:uid="{00000000-0006-0000-1B00-000014000000}">
      <text>
        <r>
          <rPr>
            <b/>
            <sz val="14"/>
            <color indexed="81"/>
            <rFont val="Tahoma"/>
            <family val="2"/>
          </rPr>
          <t>Use these columns for exceptions to surcharge applicability in note 2</t>
        </r>
      </text>
    </comment>
    <comment ref="AA55" authorId="2" shapeId="0" xr:uid="{00000000-0006-0000-1B00-000015000000}">
      <text>
        <r>
          <rPr>
            <b/>
            <sz val="14"/>
            <color indexed="81"/>
            <rFont val="Tahoma"/>
            <family val="2"/>
          </rPr>
          <t>This field controls construction using Arbitraries and Inland Tariffs
Y = allowed in US, N = not allowed in US, 
E = allowed at origin, I = allowed at destination,
B = allowed at both origin and destination
X = not allowed at either origin or destination</t>
        </r>
      </text>
    </comment>
    <comment ref="A64" authorId="1" shapeId="0" xr:uid="{00000000-0006-0000-1B00-000016000000}">
      <text>
        <r>
          <rPr>
            <b/>
            <sz val="14"/>
            <color indexed="81"/>
            <rFont val="Tahoma"/>
            <family val="2"/>
          </rPr>
          <t>Please use FAK/ Bullets defined above.</t>
        </r>
      </text>
    </comment>
    <comment ref="B64" authorId="1" shapeId="0" xr:uid="{00000000-0006-0000-1B00-000017000000}">
      <text>
        <r>
          <rPr>
            <b/>
            <sz val="14"/>
            <color indexed="81"/>
            <rFont val="Tahoma"/>
            <family val="2"/>
          </rPr>
          <t>City, State / ZIP Code</t>
        </r>
      </text>
    </comment>
    <comment ref="C64" authorId="1" shapeId="0" xr:uid="{00000000-0006-0000-1B00-000018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D64" authorId="1" shapeId="0" xr:uid="{00000000-0006-0000-1B00-000019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E64" authorId="1" shapeId="0" xr:uid="{00000000-0006-0000-1B00-00001A000000}">
      <text>
        <r>
          <rPr>
            <b/>
            <sz val="14"/>
            <color indexed="81"/>
            <rFont val="Tahoma"/>
            <family val="2"/>
          </rPr>
          <t>City, State / ZIP Code</t>
        </r>
      </text>
    </comment>
    <comment ref="F64" authorId="2" shapeId="0" xr:uid="{00000000-0006-0000-1B00-00001B000000}">
      <text>
        <r>
          <rPr>
            <b/>
            <sz val="14"/>
            <color indexed="81"/>
            <rFont val="Tahoma"/>
            <family val="2"/>
          </rPr>
          <t>Indicate the mode of transportation at origin and destination.
Mode cannot begin with CY if there is a location listed as place of receipt.
Mode cannot end with CY if there is a location is listed as place of delivery</t>
        </r>
      </text>
    </comment>
    <comment ref="G64" authorId="2" shapeId="0" xr:uid="{00000000-0006-0000-1B00-00001C000000}">
      <text>
        <r>
          <rPr>
            <b/>
            <sz val="14"/>
            <color indexed="81"/>
            <rFont val="Tahoma"/>
            <family val="2"/>
          </rPr>
          <t>Indicate whether or not door service is included at origin and destination</t>
        </r>
      </text>
    </comment>
    <comment ref="Q64" authorId="2" shapeId="0" xr:uid="{00000000-0006-0000-1B00-00001D000000}">
      <text>
        <r>
          <rPr>
            <b/>
            <sz val="14"/>
            <color indexed="81"/>
            <rFont val="Tahoma"/>
            <family val="2"/>
          </rPr>
          <t>Use these columns for exceptions to surcharge applicability in note 2</t>
        </r>
      </text>
    </comment>
    <comment ref="AC64" authorId="2" shapeId="0" xr:uid="{00000000-0006-0000-1B00-00001E000000}">
      <text>
        <r>
          <rPr>
            <b/>
            <sz val="14"/>
            <color indexed="81"/>
            <rFont val="Tahoma"/>
            <family val="2"/>
          </rPr>
          <t>This field controls construction using Arbitraries and Inland Tariffs
Y = allowed in US, N = not allowed in US, 
E = allowed at origin, I = allowed at destination,
B = allowed at both origin and destination
X = not allowed at either origin or destination</t>
        </r>
      </text>
    </comment>
    <comment ref="B81" authorId="2" shapeId="0" xr:uid="{00000000-0006-0000-1B00-00001F000000}">
      <text>
        <r>
          <rPr>
            <b/>
            <sz val="14"/>
            <color indexed="81"/>
            <rFont val="Tahoma"/>
            <family val="2"/>
          </rPr>
          <t>Place of Origin - may be an outport for feeder (CY) arbitraries or an inland origin
Format is:  City, State or ZIP Code</t>
        </r>
      </text>
    </comment>
    <comment ref="E81" authorId="2" shapeId="0" xr:uid="{00000000-0006-0000-1B00-000020000000}">
      <text>
        <r>
          <rPr>
            <b/>
            <sz val="14"/>
            <color indexed="81"/>
            <rFont val="Tahoma"/>
            <family val="2"/>
          </rPr>
          <t xml:space="preserve">Please use only one port or a group of ports (Port groups must be defined in the Port Group Codes table).
Arbitrary construction can only occur with rate conditions which show these ports as the POL.
</t>
        </r>
        <r>
          <rPr>
            <b/>
            <i/>
            <sz val="14"/>
            <color indexed="81"/>
            <rFont val="Tahoma"/>
            <family val="2"/>
          </rPr>
          <t>All ports must be valid SEA ports.</t>
        </r>
      </text>
    </comment>
    <comment ref="F81" authorId="2" shapeId="0" xr:uid="{00000000-0006-0000-1B00-000021000000}">
      <text>
        <r>
          <rPr>
            <b/>
            <sz val="14"/>
            <color indexed="81"/>
            <rFont val="Tahoma"/>
            <family val="2"/>
          </rPr>
          <t>Indicate the mode of transportation between the arbitrary place of receipt and arbitrary POL.
CY modes can only be used when the mode of transportation is by Feeder.
Use of CY mode requires both the locations to be valid SEA ports.</t>
        </r>
      </text>
    </comment>
    <comment ref="G81" authorId="2" shapeId="0" xr:uid="{00000000-0006-0000-1B00-000022000000}">
      <text>
        <r>
          <rPr>
            <b/>
            <sz val="14"/>
            <color indexed="81"/>
            <rFont val="Tahoma"/>
            <family val="2"/>
          </rPr>
          <t>Indicate whether or not door service is included in the arbitrary rate</t>
        </r>
      </text>
    </comment>
    <comment ref="H81" authorId="2" shapeId="0" xr:uid="{00000000-0006-0000-1B00-000023000000}">
      <text>
        <r>
          <rPr>
            <b/>
            <sz val="14"/>
            <color indexed="81"/>
            <rFont val="Tahoma"/>
            <family val="2"/>
          </rPr>
          <t>Input the rate in this field when the same amount applies for all container sizes</t>
        </r>
      </text>
    </comment>
    <comment ref="N81" authorId="2" shapeId="0" xr:uid="{00000000-0006-0000-1B00-000024000000}">
      <text>
        <r>
          <rPr>
            <b/>
            <sz val="14"/>
            <color indexed="81"/>
            <rFont val="Tahoma"/>
            <family val="2"/>
          </rPr>
          <t>Each Arbitrary applies only to FAK / Bullets as specifically listed in this field.</t>
        </r>
      </text>
    </comment>
    <comment ref="B96" authorId="2" shapeId="0" xr:uid="{00000000-0006-0000-1B00-000025000000}">
      <text>
        <r>
          <rPr>
            <b/>
            <sz val="14"/>
            <color indexed="81"/>
            <rFont val="Tahoma"/>
            <family val="2"/>
          </rPr>
          <t>Place of Destination - may be an outport for feeder (CY) arbitraries or an inland destination
Format is:  City, State or ZIP Code</t>
        </r>
      </text>
    </comment>
    <comment ref="E96" authorId="2" shapeId="0" xr:uid="{00000000-0006-0000-1B00-000026000000}">
      <text>
        <r>
          <rPr>
            <b/>
            <sz val="14"/>
            <color indexed="81"/>
            <rFont val="Tahoma"/>
            <family val="2"/>
          </rPr>
          <t xml:space="preserve">Please use only one port or a group of ports (Port groups must be defined in the Port Group Codes table).
Arbitrary construction can only occur with rate conditions which show these ports as the POD.
</t>
        </r>
        <r>
          <rPr>
            <b/>
            <i/>
            <sz val="14"/>
            <color indexed="81"/>
            <rFont val="Tahoma"/>
            <family val="2"/>
          </rPr>
          <t>All ports must be valid SEA ports.</t>
        </r>
      </text>
    </comment>
    <comment ref="F96" authorId="2" shapeId="0" xr:uid="{00000000-0006-0000-1B00-000027000000}">
      <text>
        <r>
          <rPr>
            <b/>
            <sz val="14"/>
            <color indexed="81"/>
            <rFont val="Tahoma"/>
            <family val="2"/>
          </rPr>
          <t>Indicate the mode of transportation between the arbitrary POD and arbitrary place of delivery.
CY modes can only be used when the mode of transportation is by Feeder.
Use of CY mode requires both the locations to be valid SEA ports.</t>
        </r>
      </text>
    </comment>
    <comment ref="G96" authorId="2" shapeId="0" xr:uid="{00000000-0006-0000-1B00-000028000000}">
      <text>
        <r>
          <rPr>
            <b/>
            <sz val="14"/>
            <color indexed="81"/>
            <rFont val="Tahoma"/>
            <family val="2"/>
          </rPr>
          <t>Indicate whether or not door service is included in the arbitrary rate</t>
        </r>
      </text>
    </comment>
    <comment ref="H96" authorId="2" shapeId="0" xr:uid="{00000000-0006-0000-1B00-000029000000}">
      <text>
        <r>
          <rPr>
            <b/>
            <sz val="14"/>
            <color indexed="81"/>
            <rFont val="Tahoma"/>
            <family val="2"/>
          </rPr>
          <t>Input the rate in this field when the same amount applies for all container sizes</t>
        </r>
      </text>
    </comment>
    <comment ref="N96" authorId="2" shapeId="0" xr:uid="{00000000-0006-0000-1B00-00002A000000}">
      <text>
        <r>
          <rPr>
            <b/>
            <sz val="14"/>
            <color indexed="81"/>
            <rFont val="Tahoma"/>
            <family val="2"/>
          </rPr>
          <t>Each Arbitrary applies only to FAK / Bullets as specifically listed in this field.</t>
        </r>
      </text>
    </comment>
    <comment ref="L106" authorId="2" shapeId="0" xr:uid="{00000000-0006-0000-1B00-00002B000000}">
      <text>
        <r>
          <rPr>
            <b/>
            <sz val="14"/>
            <color indexed="81"/>
            <rFont val="Tahoma"/>
            <family val="2"/>
          </rPr>
          <t>Surcharge applicability mentioned on any row applies specifically to the individual port mentioned in this field.
If the Applicable Port field is blank, then the  surcharge applicability stated on that row applies to all ports.</t>
        </r>
      </text>
    </comment>
    <comment ref="A210" authorId="2" shapeId="0" xr:uid="{00000000-0006-0000-1B00-00002C000000}">
      <text>
        <r>
          <rPr>
            <sz val="12"/>
            <color indexed="81"/>
            <rFont val="Tahoma"/>
            <family val="2"/>
          </rPr>
          <t>Select the bullet for which the exception applies.
If exception applies to all bullets, select "ALL".</t>
        </r>
      </text>
    </comment>
    <comment ref="B210" authorId="2" shapeId="0" xr:uid="{00000000-0006-0000-1B00-00002D000000}">
      <text>
        <r>
          <rPr>
            <sz val="12"/>
            <color indexed="81"/>
            <rFont val="Tahoma"/>
            <family val="2"/>
          </rPr>
          <t xml:space="preserve">Specify if Free Time condition applies to Export or Import:
</t>
        </r>
        <r>
          <rPr>
            <b/>
            <sz val="12"/>
            <color indexed="81"/>
            <rFont val="Tahoma"/>
            <family val="2"/>
          </rPr>
          <t xml:space="preserve">E </t>
        </r>
        <r>
          <rPr>
            <sz val="12"/>
            <color indexed="81"/>
            <rFont val="Tahoma"/>
            <family val="2"/>
          </rPr>
          <t xml:space="preserve">(Export) = applies at origin
</t>
        </r>
        <r>
          <rPr>
            <b/>
            <sz val="12"/>
            <color indexed="81"/>
            <rFont val="Tahoma"/>
            <family val="2"/>
          </rPr>
          <t xml:space="preserve">I </t>
        </r>
        <r>
          <rPr>
            <sz val="12"/>
            <color indexed="81"/>
            <rFont val="Tahoma"/>
            <family val="2"/>
          </rPr>
          <t>(Import) = applies at destination</t>
        </r>
      </text>
    </comment>
    <comment ref="C210" authorId="2" shapeId="0" xr:uid="{00000000-0006-0000-1B00-00002E000000}">
      <text>
        <r>
          <rPr>
            <sz val="12"/>
            <color indexed="81"/>
            <rFont val="Tahoma"/>
            <family val="2"/>
          </rPr>
          <t>Enter Type of Free Time:</t>
        </r>
        <r>
          <rPr>
            <u/>
            <sz val="12"/>
            <color indexed="81"/>
            <rFont val="Tahoma"/>
            <family val="2"/>
          </rPr>
          <t xml:space="preserve">
</t>
        </r>
        <r>
          <rPr>
            <sz val="12"/>
            <color indexed="81"/>
            <rFont val="Tahoma"/>
            <family val="2"/>
          </rPr>
          <t xml:space="preserve">
</t>
        </r>
        <r>
          <rPr>
            <b/>
            <sz val="12"/>
            <color indexed="81"/>
            <rFont val="Tahoma"/>
            <family val="2"/>
          </rPr>
          <t>Detention
Demurrage
Merged</t>
        </r>
      </text>
    </comment>
    <comment ref="F210" authorId="2" shapeId="0" xr:uid="{00000000-0006-0000-1B00-00002F000000}">
      <text>
        <r>
          <rPr>
            <sz val="12"/>
            <color indexed="81"/>
            <rFont val="Tahoma"/>
            <family val="2"/>
          </rPr>
          <t xml:space="preserve">Specify Equipment Type (blank field indicates applicability to all Eq Types):
</t>
        </r>
        <r>
          <rPr>
            <b/>
            <sz val="12"/>
            <color indexed="81"/>
            <rFont val="Tahoma"/>
            <family val="2"/>
          </rPr>
          <t>D</t>
        </r>
        <r>
          <rPr>
            <sz val="12"/>
            <color indexed="81"/>
            <rFont val="Tahoma"/>
            <family val="2"/>
          </rPr>
          <t xml:space="preserve"> = Dry
</t>
        </r>
        <r>
          <rPr>
            <b/>
            <sz val="12"/>
            <color indexed="81"/>
            <rFont val="Tahoma"/>
            <family val="2"/>
          </rPr>
          <t>R</t>
        </r>
        <r>
          <rPr>
            <sz val="12"/>
            <color indexed="81"/>
            <rFont val="Tahoma"/>
            <family val="2"/>
          </rPr>
          <t xml:space="preserve"> = Reefer
</t>
        </r>
        <r>
          <rPr>
            <b/>
            <sz val="12"/>
            <color indexed="81"/>
            <rFont val="Tahoma"/>
            <family val="2"/>
          </rPr>
          <t>OT</t>
        </r>
        <r>
          <rPr>
            <sz val="12"/>
            <color indexed="81"/>
            <rFont val="Tahoma"/>
            <family val="2"/>
          </rPr>
          <t xml:space="preserve"> = Open Top
</t>
        </r>
        <r>
          <rPr>
            <b/>
            <sz val="12"/>
            <color indexed="81"/>
            <rFont val="Tahoma"/>
            <family val="2"/>
          </rPr>
          <t>FR</t>
        </r>
        <r>
          <rPr>
            <sz val="12"/>
            <color indexed="81"/>
            <rFont val="Tahoma"/>
            <family val="2"/>
          </rPr>
          <t xml:space="preserve"> = Flat Rack</t>
        </r>
      </text>
    </comment>
    <comment ref="G210" authorId="2" shapeId="0" xr:uid="{00000000-0006-0000-1B00-000030000000}">
      <text>
        <r>
          <rPr>
            <sz val="12"/>
            <color indexed="81"/>
            <rFont val="Tahoma"/>
            <family val="2"/>
          </rPr>
          <t>Select "OR" from the drop down list if condition applies to Operating Reefers</t>
        </r>
      </text>
    </comment>
    <comment ref="H210" authorId="2" shapeId="0" xr:uid="{00000000-0006-0000-1B00-000031000000}">
      <text>
        <r>
          <rPr>
            <sz val="12"/>
            <color indexed="81"/>
            <rFont val="Tahoma"/>
            <family val="2"/>
          </rPr>
          <t xml:space="preserve">Specify the Place of Receipt if necessary.  </t>
        </r>
        <r>
          <rPr>
            <u/>
            <sz val="12"/>
            <color indexed="81"/>
            <rFont val="Tahoma"/>
            <family val="2"/>
          </rPr>
          <t>Do not</t>
        </r>
        <r>
          <rPr>
            <sz val="12"/>
            <color indexed="81"/>
            <rFont val="Tahoma"/>
            <family val="2"/>
          </rPr>
          <t xml:space="preserve"> use "ALL".
Only 1 location may be entered per row.</t>
        </r>
      </text>
    </comment>
    <comment ref="I210" authorId="2" shapeId="0" xr:uid="{00000000-0006-0000-1B00-000032000000}">
      <text>
        <r>
          <rPr>
            <sz val="12"/>
            <color indexed="81"/>
            <rFont val="Tahoma"/>
            <family val="2"/>
          </rPr>
          <t xml:space="preserve">Enter the POL if necessary.  </t>
        </r>
        <r>
          <rPr>
            <u/>
            <sz val="12"/>
            <color indexed="81"/>
            <rFont val="Tahoma"/>
            <family val="2"/>
          </rPr>
          <t>Do not</t>
        </r>
        <r>
          <rPr>
            <sz val="12"/>
            <color indexed="81"/>
            <rFont val="Tahoma"/>
            <family val="2"/>
          </rPr>
          <t xml:space="preserve"> use "ALL".
Only 1 location is allowed per row and must be a valid seaport.</t>
        </r>
      </text>
    </comment>
    <comment ref="J210" authorId="2" shapeId="0" xr:uid="{00000000-0006-0000-1B00-000033000000}">
      <text>
        <r>
          <rPr>
            <sz val="12"/>
            <color indexed="81"/>
            <rFont val="Tahoma"/>
            <family val="2"/>
          </rPr>
          <t xml:space="preserve">Enter the POD if necessary.  </t>
        </r>
        <r>
          <rPr>
            <u/>
            <sz val="12"/>
            <color indexed="81"/>
            <rFont val="Tahoma"/>
            <family val="2"/>
          </rPr>
          <t>Do not</t>
        </r>
        <r>
          <rPr>
            <sz val="12"/>
            <color indexed="81"/>
            <rFont val="Tahoma"/>
            <family val="2"/>
          </rPr>
          <t xml:space="preserve"> use "ALL".
Only 1 location is allowed per row and must be a valid seaport.</t>
        </r>
      </text>
    </comment>
    <comment ref="K210" authorId="2" shapeId="0" xr:uid="{00000000-0006-0000-1B00-000034000000}">
      <text>
        <r>
          <rPr>
            <sz val="12"/>
            <color indexed="81"/>
            <rFont val="Tahoma"/>
            <family val="2"/>
          </rPr>
          <t xml:space="preserve">Specify the Place of Delivery if necessary.  </t>
        </r>
        <r>
          <rPr>
            <u/>
            <sz val="12"/>
            <color indexed="81"/>
            <rFont val="Tahoma"/>
            <family val="2"/>
          </rPr>
          <t>Do not</t>
        </r>
        <r>
          <rPr>
            <sz val="12"/>
            <color indexed="81"/>
            <rFont val="Tahoma"/>
            <family val="2"/>
          </rPr>
          <t xml:space="preserve"> use "ALL".
Only 1 location may be entered per row.</t>
        </r>
      </text>
    </comment>
    <comment ref="L210" authorId="3" shapeId="0" xr:uid="{8E960D88-62B1-4239-A8FF-B107D795BD2F}">
      <text>
        <r>
          <rPr>
            <sz val="12"/>
            <color indexed="81"/>
            <rFont val="Tahoma"/>
            <family val="2"/>
          </rPr>
          <t xml:space="preserve">Enter the Country Code ONLY.  </t>
        </r>
        <r>
          <rPr>
            <u/>
            <sz val="12"/>
            <color indexed="81"/>
            <rFont val="Tahoma"/>
            <family val="2"/>
          </rPr>
          <t>Cannot</t>
        </r>
        <r>
          <rPr>
            <sz val="12"/>
            <color indexed="81"/>
            <rFont val="Tahoma"/>
            <family val="2"/>
          </rPr>
          <t xml:space="preserve"> use "ALL" or country name</t>
        </r>
      </text>
    </comment>
    <comment ref="M210" authorId="2" shapeId="0" xr:uid="{00000000-0006-0000-1B00-000035000000}">
      <text>
        <r>
          <rPr>
            <sz val="12"/>
            <color indexed="81"/>
            <rFont val="Tahoma"/>
            <family val="2"/>
          </rPr>
          <t xml:space="preserve">Enter additional notes only when absolutely necessary.  
</t>
        </r>
        <r>
          <rPr>
            <u/>
            <sz val="12"/>
            <color indexed="81"/>
            <rFont val="Tahoma"/>
            <family val="2"/>
          </rPr>
          <t>IMPORTANT</t>
        </r>
        <r>
          <rPr>
            <sz val="12"/>
            <color indexed="81"/>
            <rFont val="Tahoma"/>
            <family val="2"/>
          </rPr>
          <t xml:space="preserve">:  Named accounts and specific commodities </t>
        </r>
        <r>
          <rPr>
            <b/>
            <u/>
            <sz val="12"/>
            <color indexed="81"/>
            <rFont val="Tahoma"/>
            <family val="2"/>
          </rPr>
          <t>may not</t>
        </r>
        <r>
          <rPr>
            <sz val="12"/>
            <color indexed="81"/>
            <rFont val="Tahoma"/>
            <family val="2"/>
          </rPr>
          <t xml:space="preserve"> be listed as Notes.</t>
        </r>
      </text>
    </comment>
    <comment ref="A223" authorId="2" shapeId="0" xr:uid="{74771201-55C6-45C8-A767-B454D1FE37F6}">
      <text>
        <r>
          <rPr>
            <sz val="12"/>
            <color indexed="81"/>
            <rFont val="Tahoma"/>
            <family val="2"/>
          </rPr>
          <t>Select the bullet for which the exception applies.
If exception applies to all bullets, select "ALL".</t>
        </r>
      </text>
    </comment>
    <comment ref="B223" authorId="2" shapeId="0" xr:uid="{A3592482-6493-4F64-B657-0C6F733E0CDA}">
      <text>
        <r>
          <rPr>
            <sz val="12"/>
            <color indexed="81"/>
            <rFont val="Tahoma"/>
            <family val="2"/>
          </rPr>
          <t xml:space="preserve">Specify if Free Time condition applies to Export or Import:
</t>
        </r>
        <r>
          <rPr>
            <b/>
            <sz val="12"/>
            <color indexed="81"/>
            <rFont val="Tahoma"/>
            <family val="2"/>
          </rPr>
          <t xml:space="preserve">E </t>
        </r>
        <r>
          <rPr>
            <sz val="12"/>
            <color indexed="81"/>
            <rFont val="Tahoma"/>
            <family val="2"/>
          </rPr>
          <t xml:space="preserve">(Export) = applies at origin
</t>
        </r>
        <r>
          <rPr>
            <b/>
            <sz val="12"/>
            <color indexed="81"/>
            <rFont val="Tahoma"/>
            <family val="2"/>
          </rPr>
          <t xml:space="preserve">I </t>
        </r>
        <r>
          <rPr>
            <sz val="12"/>
            <color indexed="81"/>
            <rFont val="Tahoma"/>
            <family val="2"/>
          </rPr>
          <t>(Import) = applies at destination</t>
        </r>
      </text>
    </comment>
    <comment ref="C223" authorId="2" shapeId="0" xr:uid="{5593CE5A-D280-43CA-A191-9F4B9ACA3D65}">
      <text>
        <r>
          <rPr>
            <sz val="12"/>
            <color indexed="81"/>
            <rFont val="Tahoma"/>
            <family val="2"/>
          </rPr>
          <t>Enter Type of Free Time:</t>
        </r>
        <r>
          <rPr>
            <u/>
            <sz val="12"/>
            <color indexed="81"/>
            <rFont val="Tahoma"/>
            <family val="2"/>
          </rPr>
          <t xml:space="preserve">
</t>
        </r>
        <r>
          <rPr>
            <sz val="12"/>
            <color indexed="81"/>
            <rFont val="Tahoma"/>
            <family val="2"/>
          </rPr>
          <t xml:space="preserve">
</t>
        </r>
        <r>
          <rPr>
            <b/>
            <sz val="12"/>
            <color indexed="81"/>
            <rFont val="Tahoma"/>
            <family val="2"/>
          </rPr>
          <t>Detention
Demurrage
Merged</t>
        </r>
      </text>
    </comment>
    <comment ref="F223" authorId="2" shapeId="0" xr:uid="{F6C53678-43D3-4355-B84A-FC19EB74C997}">
      <text>
        <r>
          <rPr>
            <sz val="12"/>
            <color indexed="81"/>
            <rFont val="Tahoma"/>
            <family val="2"/>
          </rPr>
          <t>If any exceptional charges are offered, then the currency is required to be shown.</t>
        </r>
      </text>
    </comment>
    <comment ref="W223" authorId="2" shapeId="0" xr:uid="{FBD0B79A-0BCD-477A-93B4-F4A77D0567CA}">
      <text>
        <r>
          <rPr>
            <sz val="12"/>
            <color indexed="81"/>
            <rFont val="Tahoma"/>
            <family val="2"/>
          </rPr>
          <t xml:space="preserve">Specify Equipment Type (blank field indicates applicability to all Eq Types):
</t>
        </r>
        <r>
          <rPr>
            <b/>
            <sz val="12"/>
            <color indexed="81"/>
            <rFont val="Tahoma"/>
            <family val="2"/>
          </rPr>
          <t>D</t>
        </r>
        <r>
          <rPr>
            <sz val="12"/>
            <color indexed="81"/>
            <rFont val="Tahoma"/>
            <family val="2"/>
          </rPr>
          <t xml:space="preserve"> = Dry
</t>
        </r>
        <r>
          <rPr>
            <b/>
            <sz val="12"/>
            <color indexed="81"/>
            <rFont val="Tahoma"/>
            <family val="2"/>
          </rPr>
          <t>R</t>
        </r>
        <r>
          <rPr>
            <sz val="12"/>
            <color indexed="81"/>
            <rFont val="Tahoma"/>
            <family val="2"/>
          </rPr>
          <t xml:space="preserve"> = Reefer
</t>
        </r>
        <r>
          <rPr>
            <b/>
            <sz val="12"/>
            <color indexed="81"/>
            <rFont val="Tahoma"/>
            <family val="2"/>
          </rPr>
          <t>OT</t>
        </r>
        <r>
          <rPr>
            <sz val="12"/>
            <color indexed="81"/>
            <rFont val="Tahoma"/>
            <family val="2"/>
          </rPr>
          <t xml:space="preserve"> = Open Top
</t>
        </r>
        <r>
          <rPr>
            <b/>
            <sz val="12"/>
            <color indexed="81"/>
            <rFont val="Tahoma"/>
            <family val="2"/>
          </rPr>
          <t>FR</t>
        </r>
        <r>
          <rPr>
            <sz val="12"/>
            <color indexed="81"/>
            <rFont val="Tahoma"/>
            <family val="2"/>
          </rPr>
          <t xml:space="preserve"> = Flat Rack</t>
        </r>
      </text>
    </comment>
    <comment ref="X223" authorId="2" shapeId="0" xr:uid="{41209971-71D7-41FC-B4F7-2349E4C06A52}">
      <text>
        <r>
          <rPr>
            <sz val="12"/>
            <color indexed="81"/>
            <rFont val="Tahoma"/>
            <family val="2"/>
          </rPr>
          <t>Select "OR" from the drop down list if condition applies to Operating Reefers</t>
        </r>
      </text>
    </comment>
    <comment ref="Y223" authorId="2" shapeId="0" xr:uid="{8897F395-CB50-41A8-8227-80FF4785368E}">
      <text>
        <r>
          <rPr>
            <sz val="12"/>
            <color indexed="81"/>
            <rFont val="Tahoma"/>
            <family val="2"/>
          </rPr>
          <t xml:space="preserve">Specify the Place of Receipt if necessary.  </t>
        </r>
        <r>
          <rPr>
            <u/>
            <sz val="12"/>
            <color indexed="81"/>
            <rFont val="Tahoma"/>
            <family val="2"/>
          </rPr>
          <t>Do not</t>
        </r>
        <r>
          <rPr>
            <sz val="12"/>
            <color indexed="81"/>
            <rFont val="Tahoma"/>
            <family val="2"/>
          </rPr>
          <t xml:space="preserve"> use "ALL".
Only 1 location may be entered per row.</t>
        </r>
      </text>
    </comment>
    <comment ref="Z223" authorId="2" shapeId="0" xr:uid="{73DEA269-552F-4DBC-9B99-3D8FC92C59D1}">
      <text>
        <r>
          <rPr>
            <sz val="12"/>
            <color indexed="81"/>
            <rFont val="Tahoma"/>
            <family val="2"/>
          </rPr>
          <t xml:space="preserve">Enter the POL if necessary.  </t>
        </r>
        <r>
          <rPr>
            <u/>
            <sz val="12"/>
            <color indexed="81"/>
            <rFont val="Tahoma"/>
            <family val="2"/>
          </rPr>
          <t>Do not</t>
        </r>
        <r>
          <rPr>
            <sz val="12"/>
            <color indexed="81"/>
            <rFont val="Tahoma"/>
            <family val="2"/>
          </rPr>
          <t xml:space="preserve"> use "ALL".
Only 1 location is allowed per row and must be a valid seaport.</t>
        </r>
      </text>
    </comment>
    <comment ref="AA223" authorId="2" shapeId="0" xr:uid="{2B863C51-4191-4747-8A76-D855D5284C4C}">
      <text>
        <r>
          <rPr>
            <sz val="12"/>
            <color indexed="81"/>
            <rFont val="Tahoma"/>
            <family val="2"/>
          </rPr>
          <t xml:space="preserve">Enter the POD if necessary.  </t>
        </r>
        <r>
          <rPr>
            <u/>
            <sz val="12"/>
            <color indexed="81"/>
            <rFont val="Tahoma"/>
            <family val="2"/>
          </rPr>
          <t>Do not</t>
        </r>
        <r>
          <rPr>
            <sz val="12"/>
            <color indexed="81"/>
            <rFont val="Tahoma"/>
            <family val="2"/>
          </rPr>
          <t xml:space="preserve"> use "ALL".
Only 1 location is allowed per row and must be a valid seaport.</t>
        </r>
      </text>
    </comment>
    <comment ref="AB223" authorId="2" shapeId="0" xr:uid="{2DA0F67E-1C10-4649-AAD1-633B2DD72801}">
      <text>
        <r>
          <rPr>
            <sz val="12"/>
            <color indexed="81"/>
            <rFont val="Tahoma"/>
            <family val="2"/>
          </rPr>
          <t xml:space="preserve">Specify the Place of Delivery if necessary.  </t>
        </r>
        <r>
          <rPr>
            <u/>
            <sz val="12"/>
            <color indexed="81"/>
            <rFont val="Tahoma"/>
            <family val="2"/>
          </rPr>
          <t>Do not</t>
        </r>
        <r>
          <rPr>
            <sz val="12"/>
            <color indexed="81"/>
            <rFont val="Tahoma"/>
            <family val="2"/>
          </rPr>
          <t xml:space="preserve"> use "ALL".
Only 1 location may be entered per row.</t>
        </r>
      </text>
    </comment>
    <comment ref="AC223" authorId="3" shapeId="0" xr:uid="{A72E9718-55F5-4CF1-A567-C32A7D88F713}">
      <text>
        <r>
          <rPr>
            <sz val="12"/>
            <color indexed="81"/>
            <rFont val="Tahoma"/>
            <family val="2"/>
          </rPr>
          <t xml:space="preserve">Enter the Country Code ONLY.  </t>
        </r>
        <r>
          <rPr>
            <u/>
            <sz val="12"/>
            <color indexed="81"/>
            <rFont val="Tahoma"/>
            <family val="2"/>
          </rPr>
          <t>Cannot</t>
        </r>
        <r>
          <rPr>
            <sz val="12"/>
            <color indexed="81"/>
            <rFont val="Tahoma"/>
            <family val="2"/>
          </rPr>
          <t xml:space="preserve"> use "ALL" or country name</t>
        </r>
      </text>
    </comment>
    <comment ref="AD223" authorId="2" shapeId="0" xr:uid="{C3393F34-E9F2-4007-9773-B813B6AB3B8A}">
      <text>
        <r>
          <rPr>
            <sz val="12"/>
            <color indexed="81"/>
            <rFont val="Tahoma"/>
            <family val="2"/>
          </rPr>
          <t xml:space="preserve">Enter additional notes only when absolutely necessary.  
</t>
        </r>
        <r>
          <rPr>
            <u/>
            <sz val="12"/>
            <color indexed="81"/>
            <rFont val="Tahoma"/>
            <family val="2"/>
          </rPr>
          <t>IMPORTANT</t>
        </r>
        <r>
          <rPr>
            <sz val="12"/>
            <color indexed="81"/>
            <rFont val="Tahoma"/>
            <family val="2"/>
          </rPr>
          <t xml:space="preserve">:  Named accounts and specific commodities </t>
        </r>
        <r>
          <rPr>
            <b/>
            <u/>
            <sz val="12"/>
            <color indexed="81"/>
            <rFont val="Tahoma"/>
            <family val="2"/>
          </rPr>
          <t>may not</t>
        </r>
        <r>
          <rPr>
            <sz val="12"/>
            <color indexed="81"/>
            <rFont val="Tahoma"/>
            <family val="2"/>
          </rPr>
          <t xml:space="preserve"> be listed as Notes.</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ext.obouge</author>
    <author>William MALLOL</author>
    <author>usa.gewan</author>
    <author>GENDER Charlie - NOR</author>
  </authors>
  <commentList>
    <comment ref="B13" authorId="0" shapeId="0" xr:uid="{00000000-0006-0000-1C00-000001000000}">
      <text>
        <r>
          <rPr>
            <b/>
            <sz val="12"/>
            <color indexed="81"/>
            <rFont val="Tahoma"/>
            <family val="2"/>
          </rPr>
          <t>Please use comma to separate commodities.</t>
        </r>
      </text>
    </comment>
    <comment ref="A20" authorId="1" shapeId="0" xr:uid="{00000000-0006-0000-1C00-000002000000}">
      <text>
        <r>
          <rPr>
            <b/>
            <sz val="14"/>
            <color indexed="81"/>
            <rFont val="Tahoma"/>
            <family val="2"/>
          </rPr>
          <t>Port Group Codes can be used to group any two or more valid seaports that are common rated.
Port Group Codes cannot be used for inland locations.</t>
        </r>
      </text>
    </comment>
    <comment ref="B20" authorId="0" shapeId="0" xr:uid="{00000000-0006-0000-1C00-000003000000}">
      <text>
        <r>
          <rPr>
            <b/>
            <sz val="14"/>
            <color indexed="81"/>
            <rFont val="Tahoma"/>
            <family val="2"/>
          </rPr>
          <t>Please use comma to separate ports.
Only valid sea ports may be included.</t>
        </r>
      </text>
    </comment>
    <comment ref="A30" authorId="1" shapeId="0" xr:uid="{00000000-0006-0000-1C00-000004000000}">
      <text>
        <r>
          <rPr>
            <b/>
            <sz val="14"/>
            <color indexed="81"/>
            <rFont val="Tahoma"/>
            <family val="2"/>
          </rPr>
          <t>Please use FAK/ Bullets defined above.</t>
        </r>
      </text>
    </comment>
    <comment ref="B30" authorId="1" shapeId="0" xr:uid="{00000000-0006-0000-1C00-000005000000}">
      <text>
        <r>
          <rPr>
            <b/>
            <sz val="14"/>
            <color indexed="81"/>
            <rFont val="Tahoma"/>
            <family val="2"/>
          </rPr>
          <t>City, State / ZIP Code</t>
        </r>
      </text>
    </comment>
    <comment ref="C30" authorId="1" shapeId="0" xr:uid="{00000000-0006-0000-1C00-000006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D30" authorId="1" shapeId="0" xr:uid="{00000000-0006-0000-1C00-000007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E30" authorId="1" shapeId="0" xr:uid="{00000000-0006-0000-1C00-000008000000}">
      <text>
        <r>
          <rPr>
            <b/>
            <sz val="14"/>
            <color indexed="81"/>
            <rFont val="Tahoma"/>
            <family val="2"/>
          </rPr>
          <t>City, State / ZIP Code</t>
        </r>
      </text>
    </comment>
    <comment ref="F30" authorId="2" shapeId="0" xr:uid="{00000000-0006-0000-1C00-000009000000}">
      <text>
        <r>
          <rPr>
            <b/>
            <sz val="14"/>
            <color indexed="81"/>
            <rFont val="Tahoma"/>
            <family val="2"/>
          </rPr>
          <t>Indicate the mode of transportation at origin and destination.
Mode cannot begin with CY if there is a location listed as place of receipt.
Mode cannot end with CY if there is a location is listed as place of delivery</t>
        </r>
      </text>
    </comment>
    <comment ref="G30" authorId="2" shapeId="0" xr:uid="{00000000-0006-0000-1C00-00000A000000}">
      <text>
        <r>
          <rPr>
            <b/>
            <sz val="14"/>
            <color indexed="81"/>
            <rFont val="Tahoma"/>
            <family val="2"/>
          </rPr>
          <t>Indicate whether or not door service is included at origin and destination</t>
        </r>
      </text>
    </comment>
    <comment ref="M30" authorId="2" shapeId="0" xr:uid="{00000000-0006-0000-1C00-00000B000000}">
      <text>
        <r>
          <rPr>
            <b/>
            <sz val="14"/>
            <color indexed="81"/>
            <rFont val="Tahoma"/>
            <family val="2"/>
          </rPr>
          <t>Use these columns for exceptions to surcharge applicability in note 2</t>
        </r>
      </text>
    </comment>
    <comment ref="AA30" authorId="2" shapeId="0" xr:uid="{00000000-0006-0000-1C00-00000C000000}">
      <text>
        <r>
          <rPr>
            <b/>
            <sz val="14"/>
            <color indexed="81"/>
            <rFont val="Tahoma"/>
            <family val="2"/>
          </rPr>
          <t>This field controls construction using Arbitraries and Inland Tariffs
Y = allowed in US, N = not allowed in US, 
E = allowed at origin, I = allowed at destination,
B = allowed at both origin and destination
X = not allowed at either origin or destination</t>
        </r>
      </text>
    </comment>
    <comment ref="A55" authorId="1" shapeId="0" xr:uid="{00000000-0006-0000-1C00-00000D000000}">
      <text>
        <r>
          <rPr>
            <b/>
            <sz val="14"/>
            <color indexed="81"/>
            <rFont val="Tahoma"/>
            <family val="2"/>
          </rPr>
          <t>Please use FAK/ Bullets defined above.</t>
        </r>
      </text>
    </comment>
    <comment ref="B55" authorId="1" shapeId="0" xr:uid="{00000000-0006-0000-1C00-00000E000000}">
      <text>
        <r>
          <rPr>
            <b/>
            <sz val="14"/>
            <color indexed="81"/>
            <rFont val="Tahoma"/>
            <family val="2"/>
          </rPr>
          <t>City, State / ZIP Code</t>
        </r>
      </text>
    </comment>
    <comment ref="C55" authorId="1" shapeId="0" xr:uid="{00000000-0006-0000-1C00-00000F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D55" authorId="1" shapeId="0" xr:uid="{00000000-0006-0000-1C00-000010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E55" authorId="1" shapeId="0" xr:uid="{00000000-0006-0000-1C00-000011000000}">
      <text>
        <r>
          <rPr>
            <b/>
            <sz val="14"/>
            <color indexed="81"/>
            <rFont val="Tahoma"/>
            <family val="2"/>
          </rPr>
          <t>City, State / ZIP Code</t>
        </r>
      </text>
    </comment>
    <comment ref="F55" authorId="2" shapeId="0" xr:uid="{00000000-0006-0000-1C00-000012000000}">
      <text>
        <r>
          <rPr>
            <b/>
            <sz val="14"/>
            <color indexed="81"/>
            <rFont val="Tahoma"/>
            <family val="2"/>
          </rPr>
          <t>Indicate the mode of transportation at origin and destination.
Mode cannot begin with CY if there is a location listed as place of receipt.
Mode cannot end with CY if there is a location is listed as place of delivery</t>
        </r>
      </text>
    </comment>
    <comment ref="G55" authorId="2" shapeId="0" xr:uid="{00000000-0006-0000-1C00-000013000000}">
      <text>
        <r>
          <rPr>
            <b/>
            <sz val="14"/>
            <color indexed="81"/>
            <rFont val="Tahoma"/>
            <family val="2"/>
          </rPr>
          <t>Indicate whether or not door service is included at origin and destination</t>
        </r>
      </text>
    </comment>
    <comment ref="O55" authorId="2" shapeId="0" xr:uid="{00000000-0006-0000-1C00-000014000000}">
      <text>
        <r>
          <rPr>
            <b/>
            <sz val="14"/>
            <color indexed="81"/>
            <rFont val="Tahoma"/>
            <family val="2"/>
          </rPr>
          <t>Use these columns for exceptions to surcharge applicability in note 2</t>
        </r>
      </text>
    </comment>
    <comment ref="AA55" authorId="2" shapeId="0" xr:uid="{00000000-0006-0000-1C00-000015000000}">
      <text>
        <r>
          <rPr>
            <b/>
            <sz val="14"/>
            <color indexed="81"/>
            <rFont val="Tahoma"/>
            <family val="2"/>
          </rPr>
          <t>This field controls construction using Arbitraries and Inland Tariffs
Y = allowed in US, N = not allowed in US, 
E = allowed at origin, I = allowed at destination,
B = allowed at both origin and destination
X = not allowed at either origin or destination</t>
        </r>
      </text>
    </comment>
    <comment ref="A64" authorId="1" shapeId="0" xr:uid="{00000000-0006-0000-1C00-000016000000}">
      <text>
        <r>
          <rPr>
            <b/>
            <sz val="14"/>
            <color indexed="81"/>
            <rFont val="Tahoma"/>
            <family val="2"/>
          </rPr>
          <t>Please use FAK/ Bullets defined above.</t>
        </r>
      </text>
    </comment>
    <comment ref="B64" authorId="1" shapeId="0" xr:uid="{00000000-0006-0000-1C00-000017000000}">
      <text>
        <r>
          <rPr>
            <b/>
            <sz val="14"/>
            <color indexed="81"/>
            <rFont val="Tahoma"/>
            <family val="2"/>
          </rPr>
          <t>City, State / ZIP Code</t>
        </r>
      </text>
    </comment>
    <comment ref="C64" authorId="1" shapeId="0" xr:uid="{00000000-0006-0000-1C00-000018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D64" authorId="1" shapeId="0" xr:uid="{00000000-0006-0000-1C00-000019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E64" authorId="1" shapeId="0" xr:uid="{00000000-0006-0000-1C00-00001A000000}">
      <text>
        <r>
          <rPr>
            <b/>
            <sz val="14"/>
            <color indexed="81"/>
            <rFont val="Tahoma"/>
            <family val="2"/>
          </rPr>
          <t>City, State / ZIP Code</t>
        </r>
      </text>
    </comment>
    <comment ref="F64" authorId="2" shapeId="0" xr:uid="{00000000-0006-0000-1C00-00001B000000}">
      <text>
        <r>
          <rPr>
            <b/>
            <sz val="14"/>
            <color indexed="81"/>
            <rFont val="Tahoma"/>
            <family val="2"/>
          </rPr>
          <t>Indicate the mode of transportation at origin and destination.
Mode cannot begin with CY if there is a location listed as place of receipt.
Mode cannot end with CY if there is a location is listed as place of delivery</t>
        </r>
      </text>
    </comment>
    <comment ref="G64" authorId="2" shapeId="0" xr:uid="{00000000-0006-0000-1C00-00001C000000}">
      <text>
        <r>
          <rPr>
            <b/>
            <sz val="14"/>
            <color indexed="81"/>
            <rFont val="Tahoma"/>
            <family val="2"/>
          </rPr>
          <t>Indicate whether or not door service is included at origin and destination</t>
        </r>
      </text>
    </comment>
    <comment ref="Q64" authorId="2" shapeId="0" xr:uid="{00000000-0006-0000-1C00-00001D000000}">
      <text>
        <r>
          <rPr>
            <b/>
            <sz val="14"/>
            <color indexed="81"/>
            <rFont val="Tahoma"/>
            <family val="2"/>
          </rPr>
          <t>Use these columns for exceptions to surcharge applicability in note 2</t>
        </r>
      </text>
    </comment>
    <comment ref="AC64" authorId="2" shapeId="0" xr:uid="{00000000-0006-0000-1C00-00001E000000}">
      <text>
        <r>
          <rPr>
            <b/>
            <sz val="14"/>
            <color indexed="81"/>
            <rFont val="Tahoma"/>
            <family val="2"/>
          </rPr>
          <t>This field controls construction using Arbitraries and Inland Tariffs
Y = allowed in US, N = not allowed in US, 
E = allowed at origin, I = allowed at destination,
B = allowed at both origin and destination
X = not allowed at either origin or destination</t>
        </r>
      </text>
    </comment>
    <comment ref="B81" authorId="2" shapeId="0" xr:uid="{00000000-0006-0000-1C00-00001F000000}">
      <text>
        <r>
          <rPr>
            <b/>
            <sz val="14"/>
            <color indexed="81"/>
            <rFont val="Tahoma"/>
            <family val="2"/>
          </rPr>
          <t>Place of Origin - may be an outport for feeder (CY) arbitraries or an inland origin
Format is:  City, State or ZIP Code</t>
        </r>
      </text>
    </comment>
    <comment ref="E81" authorId="2" shapeId="0" xr:uid="{00000000-0006-0000-1C00-000020000000}">
      <text>
        <r>
          <rPr>
            <b/>
            <sz val="14"/>
            <color indexed="81"/>
            <rFont val="Tahoma"/>
            <family val="2"/>
          </rPr>
          <t xml:space="preserve">Please use only one port or a group of ports (Port groups must be defined in the Port Group Codes table).
Arbitrary construction can only occur with rate conditions which show these ports as the POL.
</t>
        </r>
        <r>
          <rPr>
            <b/>
            <i/>
            <sz val="14"/>
            <color indexed="81"/>
            <rFont val="Tahoma"/>
            <family val="2"/>
          </rPr>
          <t>All ports must be valid SEA ports.</t>
        </r>
      </text>
    </comment>
    <comment ref="F81" authorId="2" shapeId="0" xr:uid="{00000000-0006-0000-1C00-000021000000}">
      <text>
        <r>
          <rPr>
            <b/>
            <sz val="14"/>
            <color indexed="81"/>
            <rFont val="Tahoma"/>
            <family val="2"/>
          </rPr>
          <t>Indicate the mode of transportation between the arbitrary place of receipt and arbitrary POL.
CY modes can only be used when the mode of transportation is by Feeder.
Use of CY mode requires both the locations to be valid SEA ports.</t>
        </r>
      </text>
    </comment>
    <comment ref="G81" authorId="2" shapeId="0" xr:uid="{00000000-0006-0000-1C00-000022000000}">
      <text>
        <r>
          <rPr>
            <b/>
            <sz val="14"/>
            <color indexed="81"/>
            <rFont val="Tahoma"/>
            <family val="2"/>
          </rPr>
          <t>Indicate whether or not door service is included in the arbitrary rate</t>
        </r>
      </text>
    </comment>
    <comment ref="H81" authorId="2" shapeId="0" xr:uid="{00000000-0006-0000-1C00-000023000000}">
      <text>
        <r>
          <rPr>
            <b/>
            <sz val="14"/>
            <color indexed="81"/>
            <rFont val="Tahoma"/>
            <family val="2"/>
          </rPr>
          <t>Input the rate in this field when the same amount applies for all container sizes</t>
        </r>
      </text>
    </comment>
    <comment ref="N81" authorId="2" shapeId="0" xr:uid="{00000000-0006-0000-1C00-000024000000}">
      <text>
        <r>
          <rPr>
            <b/>
            <sz val="14"/>
            <color indexed="81"/>
            <rFont val="Tahoma"/>
            <family val="2"/>
          </rPr>
          <t>Each Arbitrary applies only to FAK / Bullets as specifically listed in this field.</t>
        </r>
      </text>
    </comment>
    <comment ref="B96" authorId="2" shapeId="0" xr:uid="{00000000-0006-0000-1C00-000025000000}">
      <text>
        <r>
          <rPr>
            <b/>
            <sz val="14"/>
            <color indexed="81"/>
            <rFont val="Tahoma"/>
            <family val="2"/>
          </rPr>
          <t>Place of Destination - may be an outport for feeder (CY) arbitraries or an inland destination
Format is:  City, State or ZIP Code</t>
        </r>
      </text>
    </comment>
    <comment ref="E96" authorId="2" shapeId="0" xr:uid="{00000000-0006-0000-1C00-000026000000}">
      <text>
        <r>
          <rPr>
            <b/>
            <sz val="14"/>
            <color indexed="81"/>
            <rFont val="Tahoma"/>
            <family val="2"/>
          </rPr>
          <t xml:space="preserve">Please use only one port or a group of ports (Port groups must be defined in the Port Group Codes table).
Arbitrary construction can only occur with rate conditions which show these ports as the POD.
</t>
        </r>
        <r>
          <rPr>
            <b/>
            <i/>
            <sz val="14"/>
            <color indexed="81"/>
            <rFont val="Tahoma"/>
            <family val="2"/>
          </rPr>
          <t>All ports must be valid SEA ports.</t>
        </r>
      </text>
    </comment>
    <comment ref="F96" authorId="2" shapeId="0" xr:uid="{00000000-0006-0000-1C00-000027000000}">
      <text>
        <r>
          <rPr>
            <b/>
            <sz val="14"/>
            <color indexed="81"/>
            <rFont val="Tahoma"/>
            <family val="2"/>
          </rPr>
          <t>Indicate the mode of transportation between the arbitrary POD and arbitrary place of delivery.
CY modes can only be used when the mode of transportation is by Feeder.
Use of CY mode requires both the locations to be valid SEA ports.</t>
        </r>
      </text>
    </comment>
    <comment ref="G96" authorId="2" shapeId="0" xr:uid="{00000000-0006-0000-1C00-000028000000}">
      <text>
        <r>
          <rPr>
            <b/>
            <sz val="14"/>
            <color indexed="81"/>
            <rFont val="Tahoma"/>
            <family val="2"/>
          </rPr>
          <t>Indicate whether or not door service is included in the arbitrary rate</t>
        </r>
      </text>
    </comment>
    <comment ref="H96" authorId="2" shapeId="0" xr:uid="{00000000-0006-0000-1C00-000029000000}">
      <text>
        <r>
          <rPr>
            <b/>
            <sz val="14"/>
            <color indexed="81"/>
            <rFont val="Tahoma"/>
            <family val="2"/>
          </rPr>
          <t>Input the rate in this field when the same amount applies for all container sizes</t>
        </r>
      </text>
    </comment>
    <comment ref="N96" authorId="2" shapeId="0" xr:uid="{00000000-0006-0000-1C00-00002A000000}">
      <text>
        <r>
          <rPr>
            <b/>
            <sz val="14"/>
            <color indexed="81"/>
            <rFont val="Tahoma"/>
            <family val="2"/>
          </rPr>
          <t>Each Arbitrary applies only to FAK / Bullets as specifically listed in this field.</t>
        </r>
      </text>
    </comment>
    <comment ref="L106" authorId="2" shapeId="0" xr:uid="{00000000-0006-0000-1C00-00002B000000}">
      <text>
        <r>
          <rPr>
            <b/>
            <sz val="14"/>
            <color indexed="81"/>
            <rFont val="Tahoma"/>
            <family val="2"/>
          </rPr>
          <t>Surcharge applicability mentioned on any row applies specifically to the individual port mentioned in this field.
If the Applicable Port field is blank, then the  surcharge applicability stated on that row applies to all ports.</t>
        </r>
      </text>
    </comment>
    <comment ref="A206" authorId="2" shapeId="0" xr:uid="{00000000-0006-0000-1C00-00002C000000}">
      <text>
        <r>
          <rPr>
            <sz val="12"/>
            <color indexed="81"/>
            <rFont val="Tahoma"/>
            <family val="2"/>
          </rPr>
          <t>Select the bullet for which the exception applies.
If exception applies to all bullets, select "ALL".</t>
        </r>
      </text>
    </comment>
    <comment ref="B206" authorId="2" shapeId="0" xr:uid="{00000000-0006-0000-1C00-00002D000000}">
      <text>
        <r>
          <rPr>
            <sz val="12"/>
            <color indexed="81"/>
            <rFont val="Tahoma"/>
            <family val="2"/>
          </rPr>
          <t xml:space="preserve">Specify if Free Time condition applies to Export or Import:
</t>
        </r>
        <r>
          <rPr>
            <b/>
            <sz val="12"/>
            <color indexed="81"/>
            <rFont val="Tahoma"/>
            <family val="2"/>
          </rPr>
          <t xml:space="preserve">E </t>
        </r>
        <r>
          <rPr>
            <sz val="12"/>
            <color indexed="81"/>
            <rFont val="Tahoma"/>
            <family val="2"/>
          </rPr>
          <t xml:space="preserve">(Export) = applies at origin
</t>
        </r>
        <r>
          <rPr>
            <b/>
            <sz val="12"/>
            <color indexed="81"/>
            <rFont val="Tahoma"/>
            <family val="2"/>
          </rPr>
          <t xml:space="preserve">I </t>
        </r>
        <r>
          <rPr>
            <sz val="12"/>
            <color indexed="81"/>
            <rFont val="Tahoma"/>
            <family val="2"/>
          </rPr>
          <t>(Import) = applies at destination</t>
        </r>
      </text>
    </comment>
    <comment ref="C206" authorId="2" shapeId="0" xr:uid="{00000000-0006-0000-1C00-00002E000000}">
      <text>
        <r>
          <rPr>
            <sz val="12"/>
            <color indexed="81"/>
            <rFont val="Tahoma"/>
            <family val="2"/>
          </rPr>
          <t>Enter Type of Free Time:</t>
        </r>
        <r>
          <rPr>
            <u/>
            <sz val="12"/>
            <color indexed="81"/>
            <rFont val="Tahoma"/>
            <family val="2"/>
          </rPr>
          <t xml:space="preserve">
</t>
        </r>
        <r>
          <rPr>
            <sz val="12"/>
            <color indexed="81"/>
            <rFont val="Tahoma"/>
            <family val="2"/>
          </rPr>
          <t xml:space="preserve">
</t>
        </r>
        <r>
          <rPr>
            <b/>
            <sz val="12"/>
            <color indexed="81"/>
            <rFont val="Tahoma"/>
            <family val="2"/>
          </rPr>
          <t>Detention
Demurrage
Merged</t>
        </r>
      </text>
    </comment>
    <comment ref="F206" authorId="2" shapeId="0" xr:uid="{00000000-0006-0000-1C00-00002F000000}">
      <text>
        <r>
          <rPr>
            <sz val="12"/>
            <color indexed="81"/>
            <rFont val="Tahoma"/>
            <family val="2"/>
          </rPr>
          <t xml:space="preserve">Specify Equipment Type (blank field indicates applicability to all Eq Types):
</t>
        </r>
        <r>
          <rPr>
            <b/>
            <sz val="12"/>
            <color indexed="81"/>
            <rFont val="Tahoma"/>
            <family val="2"/>
          </rPr>
          <t>D</t>
        </r>
        <r>
          <rPr>
            <sz val="12"/>
            <color indexed="81"/>
            <rFont val="Tahoma"/>
            <family val="2"/>
          </rPr>
          <t xml:space="preserve"> = Dry
</t>
        </r>
        <r>
          <rPr>
            <b/>
            <sz val="12"/>
            <color indexed="81"/>
            <rFont val="Tahoma"/>
            <family val="2"/>
          </rPr>
          <t>R</t>
        </r>
        <r>
          <rPr>
            <sz val="12"/>
            <color indexed="81"/>
            <rFont val="Tahoma"/>
            <family val="2"/>
          </rPr>
          <t xml:space="preserve"> = Reefer
</t>
        </r>
        <r>
          <rPr>
            <b/>
            <sz val="12"/>
            <color indexed="81"/>
            <rFont val="Tahoma"/>
            <family val="2"/>
          </rPr>
          <t>OT</t>
        </r>
        <r>
          <rPr>
            <sz val="12"/>
            <color indexed="81"/>
            <rFont val="Tahoma"/>
            <family val="2"/>
          </rPr>
          <t xml:space="preserve"> = Open Top
</t>
        </r>
        <r>
          <rPr>
            <b/>
            <sz val="12"/>
            <color indexed="81"/>
            <rFont val="Tahoma"/>
            <family val="2"/>
          </rPr>
          <t>FR</t>
        </r>
        <r>
          <rPr>
            <sz val="12"/>
            <color indexed="81"/>
            <rFont val="Tahoma"/>
            <family val="2"/>
          </rPr>
          <t xml:space="preserve"> = Flat Rack</t>
        </r>
      </text>
    </comment>
    <comment ref="G206" authorId="2" shapeId="0" xr:uid="{00000000-0006-0000-1C00-000030000000}">
      <text>
        <r>
          <rPr>
            <sz val="12"/>
            <color indexed="81"/>
            <rFont val="Tahoma"/>
            <family val="2"/>
          </rPr>
          <t>Select "OR" from the drop down list if condition applies to Operating Reefers</t>
        </r>
      </text>
    </comment>
    <comment ref="H206" authorId="2" shapeId="0" xr:uid="{00000000-0006-0000-1C00-000031000000}">
      <text>
        <r>
          <rPr>
            <sz val="12"/>
            <color indexed="81"/>
            <rFont val="Tahoma"/>
            <family val="2"/>
          </rPr>
          <t xml:space="preserve">Specify the Place of Receipt if necessary.  </t>
        </r>
        <r>
          <rPr>
            <u/>
            <sz val="12"/>
            <color indexed="81"/>
            <rFont val="Tahoma"/>
            <family val="2"/>
          </rPr>
          <t>Do not</t>
        </r>
        <r>
          <rPr>
            <sz val="12"/>
            <color indexed="81"/>
            <rFont val="Tahoma"/>
            <family val="2"/>
          </rPr>
          <t xml:space="preserve"> use "ALL".
Only 1 location may be entered per row.</t>
        </r>
      </text>
    </comment>
    <comment ref="I206" authorId="2" shapeId="0" xr:uid="{00000000-0006-0000-1C00-000032000000}">
      <text>
        <r>
          <rPr>
            <sz val="12"/>
            <color indexed="81"/>
            <rFont val="Tahoma"/>
            <family val="2"/>
          </rPr>
          <t xml:space="preserve">Enter the POL if necessary.  </t>
        </r>
        <r>
          <rPr>
            <u/>
            <sz val="12"/>
            <color indexed="81"/>
            <rFont val="Tahoma"/>
            <family val="2"/>
          </rPr>
          <t>Do not</t>
        </r>
        <r>
          <rPr>
            <sz val="12"/>
            <color indexed="81"/>
            <rFont val="Tahoma"/>
            <family val="2"/>
          </rPr>
          <t xml:space="preserve"> use "ALL".
Only 1 location is allowed per row and must be a valid seaport.</t>
        </r>
      </text>
    </comment>
    <comment ref="J206" authorId="2" shapeId="0" xr:uid="{00000000-0006-0000-1C00-000033000000}">
      <text>
        <r>
          <rPr>
            <sz val="12"/>
            <color indexed="81"/>
            <rFont val="Tahoma"/>
            <family val="2"/>
          </rPr>
          <t xml:space="preserve">Enter the POD if necessary.  </t>
        </r>
        <r>
          <rPr>
            <u/>
            <sz val="12"/>
            <color indexed="81"/>
            <rFont val="Tahoma"/>
            <family val="2"/>
          </rPr>
          <t>Do not</t>
        </r>
        <r>
          <rPr>
            <sz val="12"/>
            <color indexed="81"/>
            <rFont val="Tahoma"/>
            <family val="2"/>
          </rPr>
          <t xml:space="preserve"> use "ALL".
Only 1 location is allowed per row and must be a valid seaport.</t>
        </r>
      </text>
    </comment>
    <comment ref="K206" authorId="2" shapeId="0" xr:uid="{00000000-0006-0000-1C00-000034000000}">
      <text>
        <r>
          <rPr>
            <sz val="12"/>
            <color indexed="81"/>
            <rFont val="Tahoma"/>
            <family val="2"/>
          </rPr>
          <t xml:space="preserve">Specify the Place of Delivery if necessary.  </t>
        </r>
        <r>
          <rPr>
            <u/>
            <sz val="12"/>
            <color indexed="81"/>
            <rFont val="Tahoma"/>
            <family val="2"/>
          </rPr>
          <t>Do not</t>
        </r>
        <r>
          <rPr>
            <sz val="12"/>
            <color indexed="81"/>
            <rFont val="Tahoma"/>
            <family val="2"/>
          </rPr>
          <t xml:space="preserve"> use "ALL".
Only 1 location may be entered per row.</t>
        </r>
      </text>
    </comment>
    <comment ref="L206" authorId="3" shapeId="0" xr:uid="{8A555A74-1D34-42FF-B25F-946F8A94DFD6}">
      <text>
        <r>
          <rPr>
            <sz val="12"/>
            <color indexed="81"/>
            <rFont val="Tahoma"/>
            <family val="2"/>
          </rPr>
          <t xml:space="preserve">Enter the Country Code ONLY.  </t>
        </r>
        <r>
          <rPr>
            <u/>
            <sz val="12"/>
            <color indexed="81"/>
            <rFont val="Tahoma"/>
            <family val="2"/>
          </rPr>
          <t>Cannot</t>
        </r>
        <r>
          <rPr>
            <sz val="12"/>
            <color indexed="81"/>
            <rFont val="Tahoma"/>
            <family val="2"/>
          </rPr>
          <t xml:space="preserve"> use "ALL" or country name</t>
        </r>
      </text>
    </comment>
    <comment ref="M206" authorId="2" shapeId="0" xr:uid="{00000000-0006-0000-1C00-000035000000}">
      <text>
        <r>
          <rPr>
            <sz val="12"/>
            <color indexed="81"/>
            <rFont val="Tahoma"/>
            <family val="2"/>
          </rPr>
          <t xml:space="preserve">Enter additional notes only when absolutely necessary.  
</t>
        </r>
        <r>
          <rPr>
            <u/>
            <sz val="12"/>
            <color indexed="81"/>
            <rFont val="Tahoma"/>
            <family val="2"/>
          </rPr>
          <t>IMPORTANT</t>
        </r>
        <r>
          <rPr>
            <sz val="12"/>
            <color indexed="81"/>
            <rFont val="Tahoma"/>
            <family val="2"/>
          </rPr>
          <t xml:space="preserve">:  Named accounts and specific commodities </t>
        </r>
        <r>
          <rPr>
            <b/>
            <u/>
            <sz val="12"/>
            <color indexed="81"/>
            <rFont val="Tahoma"/>
            <family val="2"/>
          </rPr>
          <t>may not</t>
        </r>
        <r>
          <rPr>
            <sz val="12"/>
            <color indexed="81"/>
            <rFont val="Tahoma"/>
            <family val="2"/>
          </rPr>
          <t xml:space="preserve"> be listed as Notes.</t>
        </r>
      </text>
    </comment>
    <comment ref="A219" authorId="2" shapeId="0" xr:uid="{7474935B-2778-4D16-A21B-8DB39B26EA0C}">
      <text>
        <r>
          <rPr>
            <sz val="12"/>
            <color indexed="81"/>
            <rFont val="Tahoma"/>
            <family val="2"/>
          </rPr>
          <t>Select the bullet for which the exception applies.
If exception applies to all bullets, select "ALL".</t>
        </r>
      </text>
    </comment>
    <comment ref="B219" authorId="2" shapeId="0" xr:uid="{1DAB1AA5-02D5-466A-9FA9-2E25A7894342}">
      <text>
        <r>
          <rPr>
            <sz val="12"/>
            <color indexed="81"/>
            <rFont val="Tahoma"/>
            <family val="2"/>
          </rPr>
          <t xml:space="preserve">Specify if Free Time condition applies to Export or Import:
</t>
        </r>
        <r>
          <rPr>
            <b/>
            <sz val="12"/>
            <color indexed="81"/>
            <rFont val="Tahoma"/>
            <family val="2"/>
          </rPr>
          <t xml:space="preserve">E </t>
        </r>
        <r>
          <rPr>
            <sz val="12"/>
            <color indexed="81"/>
            <rFont val="Tahoma"/>
            <family val="2"/>
          </rPr>
          <t xml:space="preserve">(Export) = applies at origin
</t>
        </r>
        <r>
          <rPr>
            <b/>
            <sz val="12"/>
            <color indexed="81"/>
            <rFont val="Tahoma"/>
            <family val="2"/>
          </rPr>
          <t xml:space="preserve">I </t>
        </r>
        <r>
          <rPr>
            <sz val="12"/>
            <color indexed="81"/>
            <rFont val="Tahoma"/>
            <family val="2"/>
          </rPr>
          <t>(Import) = applies at destination</t>
        </r>
      </text>
    </comment>
    <comment ref="C219" authorId="2" shapeId="0" xr:uid="{9FF6C7C6-0693-4058-95D5-64F60E519664}">
      <text>
        <r>
          <rPr>
            <sz val="12"/>
            <color indexed="81"/>
            <rFont val="Tahoma"/>
            <family val="2"/>
          </rPr>
          <t>Enter Type of Free Time:</t>
        </r>
        <r>
          <rPr>
            <u/>
            <sz val="12"/>
            <color indexed="81"/>
            <rFont val="Tahoma"/>
            <family val="2"/>
          </rPr>
          <t xml:space="preserve">
</t>
        </r>
        <r>
          <rPr>
            <sz val="12"/>
            <color indexed="81"/>
            <rFont val="Tahoma"/>
            <family val="2"/>
          </rPr>
          <t xml:space="preserve">
</t>
        </r>
        <r>
          <rPr>
            <b/>
            <sz val="12"/>
            <color indexed="81"/>
            <rFont val="Tahoma"/>
            <family val="2"/>
          </rPr>
          <t>Detention
Demurrage
Merged</t>
        </r>
      </text>
    </comment>
    <comment ref="F219" authorId="2" shapeId="0" xr:uid="{AD733F7C-56B3-453C-AA45-760D6342A9CE}">
      <text>
        <r>
          <rPr>
            <sz val="12"/>
            <color indexed="81"/>
            <rFont val="Tahoma"/>
            <family val="2"/>
          </rPr>
          <t>If any exceptional charges are offered, then the currency is required to be shown.</t>
        </r>
      </text>
    </comment>
    <comment ref="W219" authorId="2" shapeId="0" xr:uid="{C4B00176-7016-4586-A876-1C0EB384F284}">
      <text>
        <r>
          <rPr>
            <sz val="12"/>
            <color indexed="81"/>
            <rFont val="Tahoma"/>
            <family val="2"/>
          </rPr>
          <t xml:space="preserve">Specify Equipment Type (blank field indicates applicability to all Eq Types):
</t>
        </r>
        <r>
          <rPr>
            <b/>
            <sz val="12"/>
            <color indexed="81"/>
            <rFont val="Tahoma"/>
            <family val="2"/>
          </rPr>
          <t>D</t>
        </r>
        <r>
          <rPr>
            <sz val="12"/>
            <color indexed="81"/>
            <rFont val="Tahoma"/>
            <family val="2"/>
          </rPr>
          <t xml:space="preserve"> = Dry
</t>
        </r>
        <r>
          <rPr>
            <b/>
            <sz val="12"/>
            <color indexed="81"/>
            <rFont val="Tahoma"/>
            <family val="2"/>
          </rPr>
          <t>R</t>
        </r>
        <r>
          <rPr>
            <sz val="12"/>
            <color indexed="81"/>
            <rFont val="Tahoma"/>
            <family val="2"/>
          </rPr>
          <t xml:space="preserve"> = Reefer
</t>
        </r>
        <r>
          <rPr>
            <b/>
            <sz val="12"/>
            <color indexed="81"/>
            <rFont val="Tahoma"/>
            <family val="2"/>
          </rPr>
          <t>OT</t>
        </r>
        <r>
          <rPr>
            <sz val="12"/>
            <color indexed="81"/>
            <rFont val="Tahoma"/>
            <family val="2"/>
          </rPr>
          <t xml:space="preserve"> = Open Top
</t>
        </r>
        <r>
          <rPr>
            <b/>
            <sz val="12"/>
            <color indexed="81"/>
            <rFont val="Tahoma"/>
            <family val="2"/>
          </rPr>
          <t>FR</t>
        </r>
        <r>
          <rPr>
            <sz val="12"/>
            <color indexed="81"/>
            <rFont val="Tahoma"/>
            <family val="2"/>
          </rPr>
          <t xml:space="preserve"> = Flat Rack</t>
        </r>
      </text>
    </comment>
    <comment ref="X219" authorId="2" shapeId="0" xr:uid="{8C2C2BA8-4C9A-4A04-BE31-156B3BFD8C04}">
      <text>
        <r>
          <rPr>
            <sz val="12"/>
            <color indexed="81"/>
            <rFont val="Tahoma"/>
            <family val="2"/>
          </rPr>
          <t>Select "OR" from the drop down list if condition applies to Operating Reefers</t>
        </r>
      </text>
    </comment>
    <comment ref="Y219" authorId="2" shapeId="0" xr:uid="{8542D620-4B6D-49F6-8AB0-FA820B17E0C2}">
      <text>
        <r>
          <rPr>
            <sz val="12"/>
            <color indexed="81"/>
            <rFont val="Tahoma"/>
            <family val="2"/>
          </rPr>
          <t xml:space="preserve">Specify the Place of Receipt if necessary.  </t>
        </r>
        <r>
          <rPr>
            <u/>
            <sz val="12"/>
            <color indexed="81"/>
            <rFont val="Tahoma"/>
            <family val="2"/>
          </rPr>
          <t>Do not</t>
        </r>
        <r>
          <rPr>
            <sz val="12"/>
            <color indexed="81"/>
            <rFont val="Tahoma"/>
            <family val="2"/>
          </rPr>
          <t xml:space="preserve"> use "ALL".
Only 1 location may be entered per row.</t>
        </r>
      </text>
    </comment>
    <comment ref="Z219" authorId="2" shapeId="0" xr:uid="{674DAFB6-33DC-4EC8-94F0-48978D6AEC69}">
      <text>
        <r>
          <rPr>
            <sz val="12"/>
            <color indexed="81"/>
            <rFont val="Tahoma"/>
            <family val="2"/>
          </rPr>
          <t xml:space="preserve">Enter the POL if necessary.  </t>
        </r>
        <r>
          <rPr>
            <u/>
            <sz val="12"/>
            <color indexed="81"/>
            <rFont val="Tahoma"/>
            <family val="2"/>
          </rPr>
          <t>Do not</t>
        </r>
        <r>
          <rPr>
            <sz val="12"/>
            <color indexed="81"/>
            <rFont val="Tahoma"/>
            <family val="2"/>
          </rPr>
          <t xml:space="preserve"> use "ALL".
Only 1 location is allowed per row and must be a valid seaport.</t>
        </r>
      </text>
    </comment>
    <comment ref="AA219" authorId="2" shapeId="0" xr:uid="{1196D07B-FFCA-437C-A982-52ED11EFA5F2}">
      <text>
        <r>
          <rPr>
            <sz val="12"/>
            <color indexed="81"/>
            <rFont val="Tahoma"/>
            <family val="2"/>
          </rPr>
          <t xml:space="preserve">Enter the POD if necessary.  </t>
        </r>
        <r>
          <rPr>
            <u/>
            <sz val="12"/>
            <color indexed="81"/>
            <rFont val="Tahoma"/>
            <family val="2"/>
          </rPr>
          <t>Do not</t>
        </r>
        <r>
          <rPr>
            <sz val="12"/>
            <color indexed="81"/>
            <rFont val="Tahoma"/>
            <family val="2"/>
          </rPr>
          <t xml:space="preserve"> use "ALL".
Only 1 location is allowed per row and must be a valid seaport.</t>
        </r>
      </text>
    </comment>
    <comment ref="AB219" authorId="2" shapeId="0" xr:uid="{F3E7B7C7-04AF-4AE8-9583-2E0A2D4C003B}">
      <text>
        <r>
          <rPr>
            <sz val="12"/>
            <color indexed="81"/>
            <rFont val="Tahoma"/>
            <family val="2"/>
          </rPr>
          <t xml:space="preserve">Specify the Place of Delivery if necessary.  </t>
        </r>
        <r>
          <rPr>
            <u/>
            <sz val="12"/>
            <color indexed="81"/>
            <rFont val="Tahoma"/>
            <family val="2"/>
          </rPr>
          <t>Do not</t>
        </r>
        <r>
          <rPr>
            <sz val="12"/>
            <color indexed="81"/>
            <rFont val="Tahoma"/>
            <family val="2"/>
          </rPr>
          <t xml:space="preserve"> use "ALL".
Only 1 location may be entered per row.</t>
        </r>
      </text>
    </comment>
    <comment ref="AC219" authorId="3" shapeId="0" xr:uid="{4BBDD61E-722D-4FB7-81EC-2CF83DB4CE21}">
      <text>
        <r>
          <rPr>
            <sz val="12"/>
            <color indexed="81"/>
            <rFont val="Tahoma"/>
            <family val="2"/>
          </rPr>
          <t xml:space="preserve">Enter the Country Code ONLY.  </t>
        </r>
        <r>
          <rPr>
            <u/>
            <sz val="12"/>
            <color indexed="81"/>
            <rFont val="Tahoma"/>
            <family val="2"/>
          </rPr>
          <t>Cannot</t>
        </r>
        <r>
          <rPr>
            <sz val="12"/>
            <color indexed="81"/>
            <rFont val="Tahoma"/>
            <family val="2"/>
          </rPr>
          <t xml:space="preserve"> use "ALL" or country name</t>
        </r>
      </text>
    </comment>
    <comment ref="AD219" authorId="2" shapeId="0" xr:uid="{7F66EB0F-0B41-4A53-A171-A88A25885A0F}">
      <text>
        <r>
          <rPr>
            <sz val="12"/>
            <color indexed="81"/>
            <rFont val="Tahoma"/>
            <family val="2"/>
          </rPr>
          <t xml:space="preserve">Enter additional notes only when absolutely necessary.  
</t>
        </r>
        <r>
          <rPr>
            <u/>
            <sz val="12"/>
            <color indexed="81"/>
            <rFont val="Tahoma"/>
            <family val="2"/>
          </rPr>
          <t>IMPORTANT</t>
        </r>
        <r>
          <rPr>
            <sz val="12"/>
            <color indexed="81"/>
            <rFont val="Tahoma"/>
            <family val="2"/>
          </rPr>
          <t xml:space="preserve">:  Named accounts and specific commodities </t>
        </r>
        <r>
          <rPr>
            <b/>
            <u/>
            <sz val="12"/>
            <color indexed="81"/>
            <rFont val="Tahoma"/>
            <family val="2"/>
          </rPr>
          <t>may not</t>
        </r>
        <r>
          <rPr>
            <sz val="12"/>
            <color indexed="81"/>
            <rFont val="Tahoma"/>
            <family val="2"/>
          </rPr>
          <t xml:space="preserve"> be listed as Notes.</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ext.obouge</author>
    <author>William MALLOL</author>
    <author>usa.gewan</author>
    <author>GENDER Charlie - NOR</author>
  </authors>
  <commentList>
    <comment ref="B13" authorId="0" shapeId="0" xr:uid="{00000000-0006-0000-1D00-000001000000}">
      <text>
        <r>
          <rPr>
            <b/>
            <sz val="12"/>
            <color indexed="81"/>
            <rFont val="Tahoma"/>
            <family val="2"/>
          </rPr>
          <t>Please use comma to separate commodities.</t>
        </r>
      </text>
    </comment>
    <comment ref="A20" authorId="1" shapeId="0" xr:uid="{00000000-0006-0000-1D00-000002000000}">
      <text>
        <r>
          <rPr>
            <b/>
            <sz val="14"/>
            <color indexed="81"/>
            <rFont val="Tahoma"/>
            <family val="2"/>
          </rPr>
          <t>Port Group Codes can be used to group any two or more valid seaports that are common rated.
Port Group Codes cannot be used for inland locations.</t>
        </r>
      </text>
    </comment>
    <comment ref="B20" authorId="0" shapeId="0" xr:uid="{00000000-0006-0000-1D00-000003000000}">
      <text>
        <r>
          <rPr>
            <b/>
            <sz val="14"/>
            <color indexed="81"/>
            <rFont val="Tahoma"/>
            <family val="2"/>
          </rPr>
          <t>Please use comma to separate ports.
Only valid sea ports may be included.</t>
        </r>
      </text>
    </comment>
    <comment ref="A30" authorId="1" shapeId="0" xr:uid="{00000000-0006-0000-1D00-000004000000}">
      <text>
        <r>
          <rPr>
            <b/>
            <sz val="14"/>
            <color indexed="81"/>
            <rFont val="Tahoma"/>
            <family val="2"/>
          </rPr>
          <t>Please use FAK/ Bullets defined above.</t>
        </r>
      </text>
    </comment>
    <comment ref="B30" authorId="1" shapeId="0" xr:uid="{00000000-0006-0000-1D00-000005000000}">
      <text>
        <r>
          <rPr>
            <b/>
            <sz val="14"/>
            <color indexed="81"/>
            <rFont val="Tahoma"/>
            <family val="2"/>
          </rPr>
          <t>City, State / ZIP Code</t>
        </r>
      </text>
    </comment>
    <comment ref="C30" authorId="1" shapeId="0" xr:uid="{00000000-0006-0000-1D00-000006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D30" authorId="1" shapeId="0" xr:uid="{00000000-0006-0000-1D00-000007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E30" authorId="1" shapeId="0" xr:uid="{00000000-0006-0000-1D00-000008000000}">
      <text>
        <r>
          <rPr>
            <b/>
            <sz val="14"/>
            <color indexed="81"/>
            <rFont val="Tahoma"/>
            <family val="2"/>
          </rPr>
          <t>City, State / ZIP Code</t>
        </r>
      </text>
    </comment>
    <comment ref="F30" authorId="2" shapeId="0" xr:uid="{00000000-0006-0000-1D00-000009000000}">
      <text>
        <r>
          <rPr>
            <b/>
            <sz val="14"/>
            <color indexed="81"/>
            <rFont val="Tahoma"/>
            <family val="2"/>
          </rPr>
          <t>Indicate the mode of transportation at origin and destination.
Mode cannot begin with CY if there is a location listed as place of receipt.
Mode cannot end with CY if there is a location is listed as place of delivery</t>
        </r>
      </text>
    </comment>
    <comment ref="G30" authorId="2" shapeId="0" xr:uid="{00000000-0006-0000-1D00-00000A000000}">
      <text>
        <r>
          <rPr>
            <b/>
            <sz val="14"/>
            <color indexed="81"/>
            <rFont val="Tahoma"/>
            <family val="2"/>
          </rPr>
          <t>Indicate whether or not door service is included at origin and destination</t>
        </r>
      </text>
    </comment>
    <comment ref="M30" authorId="2" shapeId="0" xr:uid="{00000000-0006-0000-1D00-00000B000000}">
      <text>
        <r>
          <rPr>
            <b/>
            <sz val="14"/>
            <color indexed="81"/>
            <rFont val="Tahoma"/>
            <family val="2"/>
          </rPr>
          <t>Use these columns for exceptions to surcharge applicability in note 2</t>
        </r>
      </text>
    </comment>
    <comment ref="AA30" authorId="2" shapeId="0" xr:uid="{00000000-0006-0000-1D00-00000C000000}">
      <text>
        <r>
          <rPr>
            <b/>
            <sz val="14"/>
            <color indexed="81"/>
            <rFont val="Tahoma"/>
            <family val="2"/>
          </rPr>
          <t>This field controls construction using Arbitraries and Inland Tariffs
Y = allowed in US, N = not allowed in US, 
E = allowed at origin, I = allowed at destination,
B = allowed at both origin and destination
X = not allowed at either origin or destination</t>
        </r>
      </text>
    </comment>
    <comment ref="A55" authorId="1" shapeId="0" xr:uid="{00000000-0006-0000-1D00-00000D000000}">
      <text>
        <r>
          <rPr>
            <b/>
            <sz val="14"/>
            <color indexed="81"/>
            <rFont val="Tahoma"/>
            <family val="2"/>
          </rPr>
          <t>Please use FAK/ Bullets defined above.</t>
        </r>
      </text>
    </comment>
    <comment ref="B55" authorId="1" shapeId="0" xr:uid="{00000000-0006-0000-1D00-00000E000000}">
      <text>
        <r>
          <rPr>
            <b/>
            <sz val="14"/>
            <color indexed="81"/>
            <rFont val="Tahoma"/>
            <family val="2"/>
          </rPr>
          <t>City, State / ZIP Code</t>
        </r>
      </text>
    </comment>
    <comment ref="C55" authorId="1" shapeId="0" xr:uid="{00000000-0006-0000-1D00-00000F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D55" authorId="1" shapeId="0" xr:uid="{00000000-0006-0000-1D00-000010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E55" authorId="1" shapeId="0" xr:uid="{00000000-0006-0000-1D00-000011000000}">
      <text>
        <r>
          <rPr>
            <b/>
            <sz val="14"/>
            <color indexed="81"/>
            <rFont val="Tahoma"/>
            <family val="2"/>
          </rPr>
          <t>City, State / ZIP Code</t>
        </r>
      </text>
    </comment>
    <comment ref="F55" authorId="2" shapeId="0" xr:uid="{00000000-0006-0000-1D00-000012000000}">
      <text>
        <r>
          <rPr>
            <b/>
            <sz val="14"/>
            <color indexed="81"/>
            <rFont val="Tahoma"/>
            <family val="2"/>
          </rPr>
          <t>Indicate the mode of transportation at origin and destination.
Mode cannot begin with CY if there is a location listed as place of receipt.
Mode cannot end with CY if there is a location is listed as place of delivery</t>
        </r>
      </text>
    </comment>
    <comment ref="G55" authorId="2" shapeId="0" xr:uid="{00000000-0006-0000-1D00-000013000000}">
      <text>
        <r>
          <rPr>
            <b/>
            <sz val="14"/>
            <color indexed="81"/>
            <rFont val="Tahoma"/>
            <family val="2"/>
          </rPr>
          <t>Indicate whether or not door service is included at origin and destination</t>
        </r>
      </text>
    </comment>
    <comment ref="O55" authorId="2" shapeId="0" xr:uid="{00000000-0006-0000-1D00-000014000000}">
      <text>
        <r>
          <rPr>
            <b/>
            <sz val="14"/>
            <color indexed="81"/>
            <rFont val="Tahoma"/>
            <family val="2"/>
          </rPr>
          <t>Use these columns for exceptions to surcharge applicability in note 2</t>
        </r>
      </text>
    </comment>
    <comment ref="AA55" authorId="2" shapeId="0" xr:uid="{00000000-0006-0000-1D00-000015000000}">
      <text>
        <r>
          <rPr>
            <b/>
            <sz val="14"/>
            <color indexed="81"/>
            <rFont val="Tahoma"/>
            <family val="2"/>
          </rPr>
          <t>This field controls construction using Arbitraries and Inland Tariffs
Y = allowed in US, N = not allowed in US, 
E = allowed at origin, I = allowed at destination,
B = allowed at both origin and destination
X = not allowed at either origin or destination</t>
        </r>
      </text>
    </comment>
    <comment ref="A64" authorId="1" shapeId="0" xr:uid="{00000000-0006-0000-1D00-000016000000}">
      <text>
        <r>
          <rPr>
            <b/>
            <sz val="14"/>
            <color indexed="81"/>
            <rFont val="Tahoma"/>
            <family val="2"/>
          </rPr>
          <t>Please use FAK/ Bullets defined above.</t>
        </r>
      </text>
    </comment>
    <comment ref="B64" authorId="1" shapeId="0" xr:uid="{00000000-0006-0000-1D00-000017000000}">
      <text>
        <r>
          <rPr>
            <b/>
            <sz val="14"/>
            <color indexed="81"/>
            <rFont val="Tahoma"/>
            <family val="2"/>
          </rPr>
          <t>City, State / ZIP Code</t>
        </r>
      </text>
    </comment>
    <comment ref="C64" authorId="1" shapeId="0" xr:uid="{00000000-0006-0000-1D00-000018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D64" authorId="1" shapeId="0" xr:uid="{00000000-0006-0000-1D00-000019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E64" authorId="1" shapeId="0" xr:uid="{00000000-0006-0000-1D00-00001A000000}">
      <text>
        <r>
          <rPr>
            <b/>
            <sz val="14"/>
            <color indexed="81"/>
            <rFont val="Tahoma"/>
            <family val="2"/>
          </rPr>
          <t>City, State / ZIP Code</t>
        </r>
      </text>
    </comment>
    <comment ref="F64" authorId="2" shapeId="0" xr:uid="{00000000-0006-0000-1D00-00001B000000}">
      <text>
        <r>
          <rPr>
            <b/>
            <sz val="14"/>
            <color indexed="81"/>
            <rFont val="Tahoma"/>
            <family val="2"/>
          </rPr>
          <t>Indicate the mode of transportation at origin and destination.
Mode cannot begin with CY if there is a location listed as place of receipt.
Mode cannot end with CY if there is a location is listed as place of delivery</t>
        </r>
      </text>
    </comment>
    <comment ref="G64" authorId="2" shapeId="0" xr:uid="{00000000-0006-0000-1D00-00001C000000}">
      <text>
        <r>
          <rPr>
            <b/>
            <sz val="14"/>
            <color indexed="81"/>
            <rFont val="Tahoma"/>
            <family val="2"/>
          </rPr>
          <t>Indicate whether or not door service is included at origin and destination</t>
        </r>
      </text>
    </comment>
    <comment ref="Q64" authorId="2" shapeId="0" xr:uid="{00000000-0006-0000-1D00-00001D000000}">
      <text>
        <r>
          <rPr>
            <b/>
            <sz val="14"/>
            <color indexed="81"/>
            <rFont val="Tahoma"/>
            <family val="2"/>
          </rPr>
          <t>Use these columns for exceptions to surcharge applicability in note 2</t>
        </r>
      </text>
    </comment>
    <comment ref="AC64" authorId="2" shapeId="0" xr:uid="{00000000-0006-0000-1D00-00001E000000}">
      <text>
        <r>
          <rPr>
            <b/>
            <sz val="14"/>
            <color indexed="81"/>
            <rFont val="Tahoma"/>
            <family val="2"/>
          </rPr>
          <t>This field controls construction using Arbitraries and Inland Tariffs
Y = allowed in US, N = not allowed in US, 
E = allowed at origin, I = allowed at destination,
B = allowed at both origin and destination
X = not allowed at either origin or destination</t>
        </r>
      </text>
    </comment>
    <comment ref="B81" authorId="2" shapeId="0" xr:uid="{00000000-0006-0000-1D00-00001F000000}">
      <text>
        <r>
          <rPr>
            <b/>
            <sz val="14"/>
            <color indexed="81"/>
            <rFont val="Tahoma"/>
            <family val="2"/>
          </rPr>
          <t>Place of Origin - may be an outport for feeder (CY) arbitraries or an inland origin
Format is:  City, State or ZIP Code</t>
        </r>
      </text>
    </comment>
    <comment ref="E81" authorId="2" shapeId="0" xr:uid="{00000000-0006-0000-1D00-000020000000}">
      <text>
        <r>
          <rPr>
            <b/>
            <sz val="14"/>
            <color indexed="81"/>
            <rFont val="Tahoma"/>
            <family val="2"/>
          </rPr>
          <t xml:space="preserve">Please use only one port or a group of ports (Port groups must be defined in the Port Group Codes table).
Arbitrary construction can only occur with rate conditions which show these ports as the POL.
</t>
        </r>
        <r>
          <rPr>
            <b/>
            <i/>
            <sz val="14"/>
            <color indexed="81"/>
            <rFont val="Tahoma"/>
            <family val="2"/>
          </rPr>
          <t>All ports must be valid SEA ports.</t>
        </r>
      </text>
    </comment>
    <comment ref="F81" authorId="2" shapeId="0" xr:uid="{00000000-0006-0000-1D00-000021000000}">
      <text>
        <r>
          <rPr>
            <b/>
            <sz val="14"/>
            <color indexed="81"/>
            <rFont val="Tahoma"/>
            <family val="2"/>
          </rPr>
          <t>Indicate the mode of transportation between the arbitrary place of receipt and arbitrary POL.
CY modes can only be used when the mode of transportation is by Feeder.
Use of CY mode requires both the locations to be valid SEA ports.</t>
        </r>
      </text>
    </comment>
    <comment ref="G81" authorId="2" shapeId="0" xr:uid="{00000000-0006-0000-1D00-000022000000}">
      <text>
        <r>
          <rPr>
            <b/>
            <sz val="14"/>
            <color indexed="81"/>
            <rFont val="Tahoma"/>
            <family val="2"/>
          </rPr>
          <t>Indicate whether or not door service is included in the arbitrary rate</t>
        </r>
      </text>
    </comment>
    <comment ref="H81" authorId="2" shapeId="0" xr:uid="{00000000-0006-0000-1D00-000023000000}">
      <text>
        <r>
          <rPr>
            <b/>
            <sz val="14"/>
            <color indexed="81"/>
            <rFont val="Tahoma"/>
            <family val="2"/>
          </rPr>
          <t>Input the rate in this field when the same amount applies for all container sizes</t>
        </r>
      </text>
    </comment>
    <comment ref="N81" authorId="2" shapeId="0" xr:uid="{00000000-0006-0000-1D00-000024000000}">
      <text>
        <r>
          <rPr>
            <b/>
            <sz val="14"/>
            <color indexed="81"/>
            <rFont val="Tahoma"/>
            <family val="2"/>
          </rPr>
          <t>Each Arbitrary applies only to FAK / Bullets as specifically listed in this field.</t>
        </r>
      </text>
    </comment>
    <comment ref="B96" authorId="2" shapeId="0" xr:uid="{00000000-0006-0000-1D00-000025000000}">
      <text>
        <r>
          <rPr>
            <b/>
            <sz val="14"/>
            <color indexed="81"/>
            <rFont val="Tahoma"/>
            <family val="2"/>
          </rPr>
          <t>Place of Destination - may be an outport for feeder (CY) arbitraries or an inland destination
Format is:  City, State or ZIP Code</t>
        </r>
      </text>
    </comment>
    <comment ref="E96" authorId="2" shapeId="0" xr:uid="{00000000-0006-0000-1D00-000026000000}">
      <text>
        <r>
          <rPr>
            <b/>
            <sz val="14"/>
            <color indexed="81"/>
            <rFont val="Tahoma"/>
            <family val="2"/>
          </rPr>
          <t xml:space="preserve">Please use only one port or a group of ports (Port groups must be defined in the Port Group Codes table).
Arbitrary construction can only occur with rate conditions which show these ports as the POD.
</t>
        </r>
        <r>
          <rPr>
            <b/>
            <i/>
            <sz val="14"/>
            <color indexed="81"/>
            <rFont val="Tahoma"/>
            <family val="2"/>
          </rPr>
          <t>All ports must be valid SEA ports.</t>
        </r>
      </text>
    </comment>
    <comment ref="F96" authorId="2" shapeId="0" xr:uid="{00000000-0006-0000-1D00-000027000000}">
      <text>
        <r>
          <rPr>
            <b/>
            <sz val="14"/>
            <color indexed="81"/>
            <rFont val="Tahoma"/>
            <family val="2"/>
          </rPr>
          <t>Indicate the mode of transportation between the arbitrary POD and arbitrary place of delivery.
CY modes can only be used when the mode of transportation is by Feeder.
Use of CY mode requires both the locations to be valid SEA ports.</t>
        </r>
      </text>
    </comment>
    <comment ref="G96" authorId="2" shapeId="0" xr:uid="{00000000-0006-0000-1D00-000028000000}">
      <text>
        <r>
          <rPr>
            <b/>
            <sz val="14"/>
            <color indexed="81"/>
            <rFont val="Tahoma"/>
            <family val="2"/>
          </rPr>
          <t>Indicate whether or not door service is included in the arbitrary rate</t>
        </r>
      </text>
    </comment>
    <comment ref="H96" authorId="2" shapeId="0" xr:uid="{00000000-0006-0000-1D00-000029000000}">
      <text>
        <r>
          <rPr>
            <b/>
            <sz val="14"/>
            <color indexed="81"/>
            <rFont val="Tahoma"/>
            <family val="2"/>
          </rPr>
          <t>Input the rate in this field when the same amount applies for all container sizes</t>
        </r>
      </text>
    </comment>
    <comment ref="N96" authorId="2" shapeId="0" xr:uid="{00000000-0006-0000-1D00-00002A000000}">
      <text>
        <r>
          <rPr>
            <b/>
            <sz val="14"/>
            <color indexed="81"/>
            <rFont val="Tahoma"/>
            <family val="2"/>
          </rPr>
          <t>Each Arbitrary applies only to FAK / Bullets as specifically listed in this field.</t>
        </r>
      </text>
    </comment>
    <comment ref="L106" authorId="2" shapeId="0" xr:uid="{00000000-0006-0000-1D00-00002B000000}">
      <text>
        <r>
          <rPr>
            <b/>
            <sz val="14"/>
            <color indexed="81"/>
            <rFont val="Tahoma"/>
            <family val="2"/>
          </rPr>
          <t>Surcharge applicability mentioned on any row applies specifically to the individual port mentioned in this field.
If the Applicable Port field is blank, then the  surcharge applicability stated on that row applies to all ports.</t>
        </r>
      </text>
    </comment>
    <comment ref="A205" authorId="2" shapeId="0" xr:uid="{00000000-0006-0000-1D00-00002C000000}">
      <text>
        <r>
          <rPr>
            <sz val="12"/>
            <color indexed="81"/>
            <rFont val="Tahoma"/>
            <family val="2"/>
          </rPr>
          <t>Select the bullet for which the exception applies.
If exception applies to all bullets, select "ALL".</t>
        </r>
      </text>
    </comment>
    <comment ref="B205" authorId="2" shapeId="0" xr:uid="{00000000-0006-0000-1D00-00002D000000}">
      <text>
        <r>
          <rPr>
            <sz val="12"/>
            <color indexed="81"/>
            <rFont val="Tahoma"/>
            <family val="2"/>
          </rPr>
          <t xml:space="preserve">Specify if Free Time condition applies to Export or Import:
</t>
        </r>
        <r>
          <rPr>
            <b/>
            <sz val="12"/>
            <color indexed="81"/>
            <rFont val="Tahoma"/>
            <family val="2"/>
          </rPr>
          <t xml:space="preserve">E </t>
        </r>
        <r>
          <rPr>
            <sz val="12"/>
            <color indexed="81"/>
            <rFont val="Tahoma"/>
            <family val="2"/>
          </rPr>
          <t xml:space="preserve">(Export) = applies at origin
</t>
        </r>
        <r>
          <rPr>
            <b/>
            <sz val="12"/>
            <color indexed="81"/>
            <rFont val="Tahoma"/>
            <family val="2"/>
          </rPr>
          <t xml:space="preserve">I </t>
        </r>
        <r>
          <rPr>
            <sz val="12"/>
            <color indexed="81"/>
            <rFont val="Tahoma"/>
            <family val="2"/>
          </rPr>
          <t>(Import) = applies at destination</t>
        </r>
      </text>
    </comment>
    <comment ref="C205" authorId="2" shapeId="0" xr:uid="{00000000-0006-0000-1D00-00002E000000}">
      <text>
        <r>
          <rPr>
            <sz val="12"/>
            <color indexed="81"/>
            <rFont val="Tahoma"/>
            <family val="2"/>
          </rPr>
          <t>Enter Type of Free Time:</t>
        </r>
        <r>
          <rPr>
            <u/>
            <sz val="12"/>
            <color indexed="81"/>
            <rFont val="Tahoma"/>
            <family val="2"/>
          </rPr>
          <t xml:space="preserve">
</t>
        </r>
        <r>
          <rPr>
            <sz val="12"/>
            <color indexed="81"/>
            <rFont val="Tahoma"/>
            <family val="2"/>
          </rPr>
          <t xml:space="preserve">
</t>
        </r>
        <r>
          <rPr>
            <b/>
            <sz val="12"/>
            <color indexed="81"/>
            <rFont val="Tahoma"/>
            <family val="2"/>
          </rPr>
          <t>Detention
Demurrage
Merged</t>
        </r>
      </text>
    </comment>
    <comment ref="F205" authorId="2" shapeId="0" xr:uid="{00000000-0006-0000-1D00-00002F000000}">
      <text>
        <r>
          <rPr>
            <sz val="12"/>
            <color indexed="81"/>
            <rFont val="Tahoma"/>
            <family val="2"/>
          </rPr>
          <t xml:space="preserve">Specify Equipment Type (blank field indicates applicability to all Eq Types):
</t>
        </r>
        <r>
          <rPr>
            <b/>
            <sz val="12"/>
            <color indexed="81"/>
            <rFont val="Tahoma"/>
            <family val="2"/>
          </rPr>
          <t>D</t>
        </r>
        <r>
          <rPr>
            <sz val="12"/>
            <color indexed="81"/>
            <rFont val="Tahoma"/>
            <family val="2"/>
          </rPr>
          <t xml:space="preserve"> = Dry
</t>
        </r>
        <r>
          <rPr>
            <b/>
            <sz val="12"/>
            <color indexed="81"/>
            <rFont val="Tahoma"/>
            <family val="2"/>
          </rPr>
          <t>R</t>
        </r>
        <r>
          <rPr>
            <sz val="12"/>
            <color indexed="81"/>
            <rFont val="Tahoma"/>
            <family val="2"/>
          </rPr>
          <t xml:space="preserve"> = Reefer
</t>
        </r>
        <r>
          <rPr>
            <b/>
            <sz val="12"/>
            <color indexed="81"/>
            <rFont val="Tahoma"/>
            <family val="2"/>
          </rPr>
          <t>OT</t>
        </r>
        <r>
          <rPr>
            <sz val="12"/>
            <color indexed="81"/>
            <rFont val="Tahoma"/>
            <family val="2"/>
          </rPr>
          <t xml:space="preserve"> = Open Top
</t>
        </r>
        <r>
          <rPr>
            <b/>
            <sz val="12"/>
            <color indexed="81"/>
            <rFont val="Tahoma"/>
            <family val="2"/>
          </rPr>
          <t>FR</t>
        </r>
        <r>
          <rPr>
            <sz val="12"/>
            <color indexed="81"/>
            <rFont val="Tahoma"/>
            <family val="2"/>
          </rPr>
          <t xml:space="preserve"> = Flat Rack</t>
        </r>
      </text>
    </comment>
    <comment ref="G205" authorId="2" shapeId="0" xr:uid="{00000000-0006-0000-1D00-000030000000}">
      <text>
        <r>
          <rPr>
            <sz val="12"/>
            <color indexed="81"/>
            <rFont val="Tahoma"/>
            <family val="2"/>
          </rPr>
          <t>Select "OR" from the drop down list if condition applies to Operating Reefers</t>
        </r>
      </text>
    </comment>
    <comment ref="H205" authorId="2" shapeId="0" xr:uid="{00000000-0006-0000-1D00-000031000000}">
      <text>
        <r>
          <rPr>
            <sz val="12"/>
            <color indexed="81"/>
            <rFont val="Tahoma"/>
            <family val="2"/>
          </rPr>
          <t xml:space="preserve">Specify the Place of Receipt if necessary.  </t>
        </r>
        <r>
          <rPr>
            <u/>
            <sz val="12"/>
            <color indexed="81"/>
            <rFont val="Tahoma"/>
            <family val="2"/>
          </rPr>
          <t>Do not</t>
        </r>
        <r>
          <rPr>
            <sz val="12"/>
            <color indexed="81"/>
            <rFont val="Tahoma"/>
            <family val="2"/>
          </rPr>
          <t xml:space="preserve"> use "ALL".
Only 1 location may be entered per row.</t>
        </r>
      </text>
    </comment>
    <comment ref="I205" authorId="2" shapeId="0" xr:uid="{00000000-0006-0000-1D00-000032000000}">
      <text>
        <r>
          <rPr>
            <sz val="12"/>
            <color indexed="81"/>
            <rFont val="Tahoma"/>
            <family val="2"/>
          </rPr>
          <t xml:space="preserve">Enter the POL if necessary.  </t>
        </r>
        <r>
          <rPr>
            <u/>
            <sz val="12"/>
            <color indexed="81"/>
            <rFont val="Tahoma"/>
            <family val="2"/>
          </rPr>
          <t>Do not</t>
        </r>
        <r>
          <rPr>
            <sz val="12"/>
            <color indexed="81"/>
            <rFont val="Tahoma"/>
            <family val="2"/>
          </rPr>
          <t xml:space="preserve"> use "ALL".
Only 1 location is allowed per row and must be a valid seaport.</t>
        </r>
      </text>
    </comment>
    <comment ref="J205" authorId="2" shapeId="0" xr:uid="{00000000-0006-0000-1D00-000033000000}">
      <text>
        <r>
          <rPr>
            <sz val="12"/>
            <color indexed="81"/>
            <rFont val="Tahoma"/>
            <family val="2"/>
          </rPr>
          <t xml:space="preserve">Enter the POD if necessary.  </t>
        </r>
        <r>
          <rPr>
            <u/>
            <sz val="12"/>
            <color indexed="81"/>
            <rFont val="Tahoma"/>
            <family val="2"/>
          </rPr>
          <t>Do not</t>
        </r>
        <r>
          <rPr>
            <sz val="12"/>
            <color indexed="81"/>
            <rFont val="Tahoma"/>
            <family val="2"/>
          </rPr>
          <t xml:space="preserve"> use "ALL".
Only 1 location is allowed per row and must be a valid seaport.</t>
        </r>
      </text>
    </comment>
    <comment ref="K205" authorId="2" shapeId="0" xr:uid="{00000000-0006-0000-1D00-000034000000}">
      <text>
        <r>
          <rPr>
            <sz val="12"/>
            <color indexed="81"/>
            <rFont val="Tahoma"/>
            <family val="2"/>
          </rPr>
          <t xml:space="preserve">Specify the Place of Delivery if necessary.  </t>
        </r>
        <r>
          <rPr>
            <u/>
            <sz val="12"/>
            <color indexed="81"/>
            <rFont val="Tahoma"/>
            <family val="2"/>
          </rPr>
          <t>Do not</t>
        </r>
        <r>
          <rPr>
            <sz val="12"/>
            <color indexed="81"/>
            <rFont val="Tahoma"/>
            <family val="2"/>
          </rPr>
          <t xml:space="preserve"> use "ALL".
Only 1 location may be entered per row.</t>
        </r>
      </text>
    </comment>
    <comment ref="L205" authorId="3" shapeId="0" xr:uid="{9DCD249A-65FE-466A-A28C-A0C30687A0FA}">
      <text>
        <r>
          <rPr>
            <sz val="12"/>
            <color indexed="81"/>
            <rFont val="Tahoma"/>
            <family val="2"/>
          </rPr>
          <t xml:space="preserve">Enter the Country Code ONLY.  </t>
        </r>
        <r>
          <rPr>
            <u/>
            <sz val="12"/>
            <color indexed="81"/>
            <rFont val="Tahoma"/>
            <family val="2"/>
          </rPr>
          <t>Cannot</t>
        </r>
        <r>
          <rPr>
            <sz val="12"/>
            <color indexed="81"/>
            <rFont val="Tahoma"/>
            <family val="2"/>
          </rPr>
          <t xml:space="preserve"> use "ALL" or country name</t>
        </r>
      </text>
    </comment>
    <comment ref="M205" authorId="2" shapeId="0" xr:uid="{00000000-0006-0000-1D00-000035000000}">
      <text>
        <r>
          <rPr>
            <sz val="12"/>
            <color indexed="81"/>
            <rFont val="Tahoma"/>
            <family val="2"/>
          </rPr>
          <t xml:space="preserve">Enter additional notes only when absolutely necessary.  
</t>
        </r>
        <r>
          <rPr>
            <u/>
            <sz val="12"/>
            <color indexed="81"/>
            <rFont val="Tahoma"/>
            <family val="2"/>
          </rPr>
          <t>IMPORTANT</t>
        </r>
        <r>
          <rPr>
            <sz val="12"/>
            <color indexed="81"/>
            <rFont val="Tahoma"/>
            <family val="2"/>
          </rPr>
          <t xml:space="preserve">:  Named accounts and specific commodities </t>
        </r>
        <r>
          <rPr>
            <b/>
            <u/>
            <sz val="12"/>
            <color indexed="81"/>
            <rFont val="Tahoma"/>
            <family val="2"/>
          </rPr>
          <t>may not</t>
        </r>
        <r>
          <rPr>
            <sz val="12"/>
            <color indexed="81"/>
            <rFont val="Tahoma"/>
            <family val="2"/>
          </rPr>
          <t xml:space="preserve"> be listed as Notes.</t>
        </r>
      </text>
    </comment>
    <comment ref="A218" authorId="2" shapeId="0" xr:uid="{D8F54BB7-0602-4338-92CB-8F5C509F42FF}">
      <text>
        <r>
          <rPr>
            <sz val="12"/>
            <color indexed="81"/>
            <rFont val="Tahoma"/>
            <family val="2"/>
          </rPr>
          <t>Select the bullet for which the exception applies.
If exception applies to all bullets, select "ALL".</t>
        </r>
      </text>
    </comment>
    <comment ref="B218" authorId="2" shapeId="0" xr:uid="{6F85DD29-AEE5-4CC1-8B90-9550EDAC696D}">
      <text>
        <r>
          <rPr>
            <sz val="12"/>
            <color indexed="81"/>
            <rFont val="Tahoma"/>
            <family val="2"/>
          </rPr>
          <t xml:space="preserve">Specify if Free Time condition applies to Export or Import:
</t>
        </r>
        <r>
          <rPr>
            <b/>
            <sz val="12"/>
            <color indexed="81"/>
            <rFont val="Tahoma"/>
            <family val="2"/>
          </rPr>
          <t xml:space="preserve">E </t>
        </r>
        <r>
          <rPr>
            <sz val="12"/>
            <color indexed="81"/>
            <rFont val="Tahoma"/>
            <family val="2"/>
          </rPr>
          <t xml:space="preserve">(Export) = applies at origin
</t>
        </r>
        <r>
          <rPr>
            <b/>
            <sz val="12"/>
            <color indexed="81"/>
            <rFont val="Tahoma"/>
            <family val="2"/>
          </rPr>
          <t xml:space="preserve">I </t>
        </r>
        <r>
          <rPr>
            <sz val="12"/>
            <color indexed="81"/>
            <rFont val="Tahoma"/>
            <family val="2"/>
          </rPr>
          <t>(Import) = applies at destination</t>
        </r>
      </text>
    </comment>
    <comment ref="C218" authorId="2" shapeId="0" xr:uid="{34234BD6-3174-4A6F-A1BB-8DB1C25FEFA2}">
      <text>
        <r>
          <rPr>
            <sz val="12"/>
            <color indexed="81"/>
            <rFont val="Tahoma"/>
            <family val="2"/>
          </rPr>
          <t>Enter Type of Free Time:</t>
        </r>
        <r>
          <rPr>
            <u/>
            <sz val="12"/>
            <color indexed="81"/>
            <rFont val="Tahoma"/>
            <family val="2"/>
          </rPr>
          <t xml:space="preserve">
</t>
        </r>
        <r>
          <rPr>
            <sz val="12"/>
            <color indexed="81"/>
            <rFont val="Tahoma"/>
            <family val="2"/>
          </rPr>
          <t xml:space="preserve">
</t>
        </r>
        <r>
          <rPr>
            <b/>
            <sz val="12"/>
            <color indexed="81"/>
            <rFont val="Tahoma"/>
            <family val="2"/>
          </rPr>
          <t>Detention
Demurrage
Merged</t>
        </r>
      </text>
    </comment>
    <comment ref="F218" authorId="2" shapeId="0" xr:uid="{CD858A4A-B4E8-41FF-9DAA-4A92BB49A69E}">
      <text>
        <r>
          <rPr>
            <sz val="12"/>
            <color indexed="81"/>
            <rFont val="Tahoma"/>
            <family val="2"/>
          </rPr>
          <t>If any exceptional charges are offered, then the currency is required to be shown.</t>
        </r>
      </text>
    </comment>
    <comment ref="W218" authorId="2" shapeId="0" xr:uid="{62854BFD-B71E-4B97-8697-AC2DE95FEBCA}">
      <text>
        <r>
          <rPr>
            <sz val="12"/>
            <color indexed="81"/>
            <rFont val="Tahoma"/>
            <family val="2"/>
          </rPr>
          <t xml:space="preserve">Specify Equipment Type (blank field indicates applicability to all Eq Types):
</t>
        </r>
        <r>
          <rPr>
            <b/>
            <sz val="12"/>
            <color indexed="81"/>
            <rFont val="Tahoma"/>
            <family val="2"/>
          </rPr>
          <t>D</t>
        </r>
        <r>
          <rPr>
            <sz val="12"/>
            <color indexed="81"/>
            <rFont val="Tahoma"/>
            <family val="2"/>
          </rPr>
          <t xml:space="preserve"> = Dry
</t>
        </r>
        <r>
          <rPr>
            <b/>
            <sz val="12"/>
            <color indexed="81"/>
            <rFont val="Tahoma"/>
            <family val="2"/>
          </rPr>
          <t>R</t>
        </r>
        <r>
          <rPr>
            <sz val="12"/>
            <color indexed="81"/>
            <rFont val="Tahoma"/>
            <family val="2"/>
          </rPr>
          <t xml:space="preserve"> = Reefer
</t>
        </r>
        <r>
          <rPr>
            <b/>
            <sz val="12"/>
            <color indexed="81"/>
            <rFont val="Tahoma"/>
            <family val="2"/>
          </rPr>
          <t>OT</t>
        </r>
        <r>
          <rPr>
            <sz val="12"/>
            <color indexed="81"/>
            <rFont val="Tahoma"/>
            <family val="2"/>
          </rPr>
          <t xml:space="preserve"> = Open Top
</t>
        </r>
        <r>
          <rPr>
            <b/>
            <sz val="12"/>
            <color indexed="81"/>
            <rFont val="Tahoma"/>
            <family val="2"/>
          </rPr>
          <t>FR</t>
        </r>
        <r>
          <rPr>
            <sz val="12"/>
            <color indexed="81"/>
            <rFont val="Tahoma"/>
            <family val="2"/>
          </rPr>
          <t xml:space="preserve"> = Flat Rack</t>
        </r>
      </text>
    </comment>
    <comment ref="X218" authorId="2" shapeId="0" xr:uid="{870E945A-C737-4FB1-B24A-83FF3C3790FD}">
      <text>
        <r>
          <rPr>
            <sz val="12"/>
            <color indexed="81"/>
            <rFont val="Tahoma"/>
            <family val="2"/>
          </rPr>
          <t>Select "OR" from the drop down list if condition applies to Operating Reefers</t>
        </r>
      </text>
    </comment>
    <comment ref="Y218" authorId="2" shapeId="0" xr:uid="{16A31247-5CDA-4AE1-8D0B-F0E64AEA8A90}">
      <text>
        <r>
          <rPr>
            <sz val="12"/>
            <color indexed="81"/>
            <rFont val="Tahoma"/>
            <family val="2"/>
          </rPr>
          <t xml:space="preserve">Specify the Place of Receipt if necessary.  </t>
        </r>
        <r>
          <rPr>
            <u/>
            <sz val="12"/>
            <color indexed="81"/>
            <rFont val="Tahoma"/>
            <family val="2"/>
          </rPr>
          <t>Do not</t>
        </r>
        <r>
          <rPr>
            <sz val="12"/>
            <color indexed="81"/>
            <rFont val="Tahoma"/>
            <family val="2"/>
          </rPr>
          <t xml:space="preserve"> use "ALL".
Only 1 location may be entered per row.</t>
        </r>
      </text>
    </comment>
    <comment ref="Z218" authorId="2" shapeId="0" xr:uid="{7553618D-4D27-4091-962D-0278BFC2C656}">
      <text>
        <r>
          <rPr>
            <sz val="12"/>
            <color indexed="81"/>
            <rFont val="Tahoma"/>
            <family val="2"/>
          </rPr>
          <t xml:space="preserve">Enter the POL if necessary.  </t>
        </r>
        <r>
          <rPr>
            <u/>
            <sz val="12"/>
            <color indexed="81"/>
            <rFont val="Tahoma"/>
            <family val="2"/>
          </rPr>
          <t>Do not</t>
        </r>
        <r>
          <rPr>
            <sz val="12"/>
            <color indexed="81"/>
            <rFont val="Tahoma"/>
            <family val="2"/>
          </rPr>
          <t xml:space="preserve"> use "ALL".
Only 1 location is allowed per row and must be a valid seaport.</t>
        </r>
      </text>
    </comment>
    <comment ref="AA218" authorId="2" shapeId="0" xr:uid="{597AAA26-4BFC-4A13-A489-B084B7B11868}">
      <text>
        <r>
          <rPr>
            <sz val="12"/>
            <color indexed="81"/>
            <rFont val="Tahoma"/>
            <family val="2"/>
          </rPr>
          <t xml:space="preserve">Enter the POD if necessary.  </t>
        </r>
        <r>
          <rPr>
            <u/>
            <sz val="12"/>
            <color indexed="81"/>
            <rFont val="Tahoma"/>
            <family val="2"/>
          </rPr>
          <t>Do not</t>
        </r>
        <r>
          <rPr>
            <sz val="12"/>
            <color indexed="81"/>
            <rFont val="Tahoma"/>
            <family val="2"/>
          </rPr>
          <t xml:space="preserve"> use "ALL".
Only 1 location is allowed per row and must be a valid seaport.</t>
        </r>
      </text>
    </comment>
    <comment ref="AB218" authorId="2" shapeId="0" xr:uid="{94CF106D-0FD9-4B8D-B5F1-83F5DD56A3B6}">
      <text>
        <r>
          <rPr>
            <sz val="12"/>
            <color indexed="81"/>
            <rFont val="Tahoma"/>
            <family val="2"/>
          </rPr>
          <t xml:space="preserve">Specify the Place of Delivery if necessary.  </t>
        </r>
        <r>
          <rPr>
            <u/>
            <sz val="12"/>
            <color indexed="81"/>
            <rFont val="Tahoma"/>
            <family val="2"/>
          </rPr>
          <t>Do not</t>
        </r>
        <r>
          <rPr>
            <sz val="12"/>
            <color indexed="81"/>
            <rFont val="Tahoma"/>
            <family val="2"/>
          </rPr>
          <t xml:space="preserve"> use "ALL".
Only 1 location may be entered per row.</t>
        </r>
      </text>
    </comment>
    <comment ref="AC218" authorId="3" shapeId="0" xr:uid="{207FBE35-58E8-4996-8465-DD6626FCD00B}">
      <text>
        <r>
          <rPr>
            <sz val="12"/>
            <color indexed="81"/>
            <rFont val="Tahoma"/>
            <family val="2"/>
          </rPr>
          <t xml:space="preserve">Enter the Country Code ONLY.  </t>
        </r>
        <r>
          <rPr>
            <u/>
            <sz val="12"/>
            <color indexed="81"/>
            <rFont val="Tahoma"/>
            <family val="2"/>
          </rPr>
          <t>Cannot</t>
        </r>
        <r>
          <rPr>
            <sz val="12"/>
            <color indexed="81"/>
            <rFont val="Tahoma"/>
            <family val="2"/>
          </rPr>
          <t xml:space="preserve"> use "ALL" or country name</t>
        </r>
      </text>
    </comment>
    <comment ref="AD218" authorId="2" shapeId="0" xr:uid="{0C1CDC44-6C37-4CB1-B371-67E1F9378C77}">
      <text>
        <r>
          <rPr>
            <sz val="12"/>
            <color indexed="81"/>
            <rFont val="Tahoma"/>
            <family val="2"/>
          </rPr>
          <t xml:space="preserve">Enter additional notes only when absolutely necessary.  
</t>
        </r>
        <r>
          <rPr>
            <u/>
            <sz val="12"/>
            <color indexed="81"/>
            <rFont val="Tahoma"/>
            <family val="2"/>
          </rPr>
          <t>IMPORTANT</t>
        </r>
        <r>
          <rPr>
            <sz val="12"/>
            <color indexed="81"/>
            <rFont val="Tahoma"/>
            <family val="2"/>
          </rPr>
          <t xml:space="preserve">:  Named accounts and specific commodities </t>
        </r>
        <r>
          <rPr>
            <b/>
            <u/>
            <sz val="12"/>
            <color indexed="81"/>
            <rFont val="Tahoma"/>
            <family val="2"/>
          </rPr>
          <t>may not</t>
        </r>
        <r>
          <rPr>
            <sz val="12"/>
            <color indexed="81"/>
            <rFont val="Tahoma"/>
            <family val="2"/>
          </rPr>
          <t xml:space="preserve"> be listed as Notes.</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ext.obouge</author>
    <author>William MALLOL</author>
    <author>usa.gewan</author>
  </authors>
  <commentList>
    <comment ref="B13" authorId="0" shapeId="0" xr:uid="{00000000-0006-0000-1E00-000001000000}">
      <text>
        <r>
          <rPr>
            <b/>
            <sz val="12"/>
            <color indexed="81"/>
            <rFont val="Tahoma"/>
            <family val="2"/>
          </rPr>
          <t>Please use comma to separate commodities.</t>
        </r>
      </text>
    </comment>
    <comment ref="A20" authorId="1" shapeId="0" xr:uid="{00000000-0006-0000-1E00-000002000000}">
      <text>
        <r>
          <rPr>
            <b/>
            <sz val="14"/>
            <color indexed="81"/>
            <rFont val="Tahoma"/>
            <family val="2"/>
          </rPr>
          <t>Port Group Codes can be used to group any two or more valid seaports that are common rated.
Port Group Codes cannot be used for inland locations.</t>
        </r>
      </text>
    </comment>
    <comment ref="B20" authorId="0" shapeId="0" xr:uid="{00000000-0006-0000-1E00-000003000000}">
      <text>
        <r>
          <rPr>
            <b/>
            <sz val="14"/>
            <color indexed="81"/>
            <rFont val="Tahoma"/>
            <family val="2"/>
          </rPr>
          <t>Please use comma to separate ports.
Only valid sea ports may be included.</t>
        </r>
      </text>
    </comment>
    <comment ref="A30" authorId="1" shapeId="0" xr:uid="{00000000-0006-0000-1E00-000004000000}">
      <text>
        <r>
          <rPr>
            <b/>
            <sz val="14"/>
            <color indexed="81"/>
            <rFont val="Tahoma"/>
            <family val="2"/>
          </rPr>
          <t>Please use FAK/ Bullets defined above.</t>
        </r>
      </text>
    </comment>
    <comment ref="B30" authorId="1" shapeId="0" xr:uid="{00000000-0006-0000-1E00-000005000000}">
      <text>
        <r>
          <rPr>
            <b/>
            <sz val="14"/>
            <color indexed="81"/>
            <rFont val="Tahoma"/>
            <family val="2"/>
          </rPr>
          <t>City, State / ZIP Code</t>
        </r>
      </text>
    </comment>
    <comment ref="C30" authorId="1" shapeId="0" xr:uid="{00000000-0006-0000-1E00-000006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D30" authorId="1" shapeId="0" xr:uid="{00000000-0006-0000-1E00-000007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E30" authorId="1" shapeId="0" xr:uid="{00000000-0006-0000-1E00-000008000000}">
      <text>
        <r>
          <rPr>
            <b/>
            <sz val="14"/>
            <color indexed="81"/>
            <rFont val="Tahoma"/>
            <family val="2"/>
          </rPr>
          <t>City, State / ZIP Code</t>
        </r>
      </text>
    </comment>
    <comment ref="F30" authorId="2" shapeId="0" xr:uid="{00000000-0006-0000-1E00-000009000000}">
      <text>
        <r>
          <rPr>
            <b/>
            <sz val="14"/>
            <color indexed="81"/>
            <rFont val="Tahoma"/>
            <family val="2"/>
          </rPr>
          <t>Indicate the mode of transportation at origin and destination.
Mode cannot begin with CY if there is a location listed as place of receipt.
Mode cannot end with CY if there is a location is listed as place of delivery</t>
        </r>
      </text>
    </comment>
    <comment ref="G30" authorId="2" shapeId="0" xr:uid="{00000000-0006-0000-1E00-00000A000000}">
      <text>
        <r>
          <rPr>
            <b/>
            <sz val="14"/>
            <color indexed="81"/>
            <rFont val="Tahoma"/>
            <family val="2"/>
          </rPr>
          <t>Indicate whether or not door service is included at origin and destination</t>
        </r>
      </text>
    </comment>
    <comment ref="M30" authorId="2" shapeId="0" xr:uid="{00000000-0006-0000-1E00-00000B000000}">
      <text>
        <r>
          <rPr>
            <b/>
            <sz val="14"/>
            <color indexed="81"/>
            <rFont val="Tahoma"/>
            <family val="2"/>
          </rPr>
          <t>Use these columns for exceptions to surcharge applicability in note 2</t>
        </r>
      </text>
    </comment>
    <comment ref="AA30" authorId="2" shapeId="0" xr:uid="{00000000-0006-0000-1E00-00000C000000}">
      <text>
        <r>
          <rPr>
            <b/>
            <sz val="14"/>
            <color indexed="81"/>
            <rFont val="Tahoma"/>
            <family val="2"/>
          </rPr>
          <t>This field controls construction using Arbitraries and Inland Tariffs</t>
        </r>
      </text>
    </comment>
    <comment ref="A39" authorId="1" shapeId="0" xr:uid="{00000000-0006-0000-1E00-00000D000000}">
      <text>
        <r>
          <rPr>
            <b/>
            <sz val="14"/>
            <color indexed="81"/>
            <rFont val="Tahoma"/>
            <family val="2"/>
          </rPr>
          <t>Please use FAK/ Bullets defined above.</t>
        </r>
      </text>
    </comment>
    <comment ref="B39" authorId="1" shapeId="0" xr:uid="{00000000-0006-0000-1E00-00000E000000}">
      <text>
        <r>
          <rPr>
            <b/>
            <sz val="14"/>
            <color indexed="81"/>
            <rFont val="Tahoma"/>
            <family val="2"/>
          </rPr>
          <t>City, State / ZIP Code</t>
        </r>
      </text>
    </comment>
    <comment ref="C39" authorId="1" shapeId="0" xr:uid="{00000000-0006-0000-1E00-00000F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D39" authorId="1" shapeId="0" xr:uid="{00000000-0006-0000-1E00-000010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E39" authorId="1" shapeId="0" xr:uid="{00000000-0006-0000-1E00-000011000000}">
      <text>
        <r>
          <rPr>
            <b/>
            <sz val="14"/>
            <color indexed="81"/>
            <rFont val="Tahoma"/>
            <family val="2"/>
          </rPr>
          <t>City, State / ZIP Code</t>
        </r>
      </text>
    </comment>
    <comment ref="F39" authorId="2" shapeId="0" xr:uid="{00000000-0006-0000-1E00-000012000000}">
      <text>
        <r>
          <rPr>
            <b/>
            <sz val="14"/>
            <color indexed="81"/>
            <rFont val="Tahoma"/>
            <family val="2"/>
          </rPr>
          <t>Indicate the mode of transportation at origin and destination.
Mode cannot begin with CY if there is a location listed as place of receipt.
Mode cannot end with CY if there is a location is listed as place of delivery</t>
        </r>
      </text>
    </comment>
    <comment ref="G39" authorId="2" shapeId="0" xr:uid="{00000000-0006-0000-1E00-000013000000}">
      <text>
        <r>
          <rPr>
            <b/>
            <sz val="14"/>
            <color indexed="81"/>
            <rFont val="Tahoma"/>
            <family val="2"/>
          </rPr>
          <t>Indicate whether or not door service is included at origin and destination</t>
        </r>
      </text>
    </comment>
    <comment ref="O39" authorId="2" shapeId="0" xr:uid="{00000000-0006-0000-1E00-000014000000}">
      <text>
        <r>
          <rPr>
            <b/>
            <sz val="14"/>
            <color indexed="81"/>
            <rFont val="Tahoma"/>
            <family val="2"/>
          </rPr>
          <t>Use these columns for exceptions to surcharge applicability in note 2</t>
        </r>
      </text>
    </comment>
    <comment ref="AA39" authorId="2" shapeId="0" xr:uid="{00000000-0006-0000-1E00-000015000000}">
      <text>
        <r>
          <rPr>
            <b/>
            <sz val="14"/>
            <color indexed="81"/>
            <rFont val="Tahoma"/>
            <family val="2"/>
          </rPr>
          <t>This field controls construction using Arbitraries and Inland Tariffs</t>
        </r>
      </text>
    </comment>
    <comment ref="A48" authorId="1" shapeId="0" xr:uid="{00000000-0006-0000-1E00-000016000000}">
      <text>
        <r>
          <rPr>
            <b/>
            <sz val="14"/>
            <color indexed="81"/>
            <rFont val="Tahoma"/>
            <family val="2"/>
          </rPr>
          <t>Please use FAK/ Bullets defined above.</t>
        </r>
      </text>
    </comment>
    <comment ref="B48" authorId="1" shapeId="0" xr:uid="{00000000-0006-0000-1E00-000017000000}">
      <text>
        <r>
          <rPr>
            <b/>
            <sz val="14"/>
            <color indexed="81"/>
            <rFont val="Tahoma"/>
            <family val="2"/>
          </rPr>
          <t>City, State / ZIP Code</t>
        </r>
      </text>
    </comment>
    <comment ref="C48" authorId="1" shapeId="0" xr:uid="{00000000-0006-0000-1E00-000018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D48" authorId="1" shapeId="0" xr:uid="{00000000-0006-0000-1E00-000019000000}">
      <text>
        <r>
          <rPr>
            <b/>
            <sz val="14"/>
            <color indexed="81"/>
            <rFont val="Tahoma"/>
            <family val="2"/>
          </rPr>
          <t xml:space="preserve">Please use only one, port name or port group code defined in the table above.  
Ex: Los Angeles or USWC
</t>
        </r>
        <r>
          <rPr>
            <b/>
            <i/>
            <sz val="14"/>
            <color indexed="81"/>
            <rFont val="Tahoma"/>
            <family val="2"/>
          </rPr>
          <t>All ports must be valid SEA ports</t>
        </r>
      </text>
    </comment>
    <comment ref="E48" authorId="1" shapeId="0" xr:uid="{00000000-0006-0000-1E00-00001A000000}">
      <text>
        <r>
          <rPr>
            <b/>
            <sz val="14"/>
            <color indexed="81"/>
            <rFont val="Tahoma"/>
            <family val="2"/>
          </rPr>
          <t>City, State / ZIP Code</t>
        </r>
      </text>
    </comment>
    <comment ref="F48" authorId="2" shapeId="0" xr:uid="{00000000-0006-0000-1E00-00001B000000}">
      <text>
        <r>
          <rPr>
            <b/>
            <sz val="14"/>
            <color indexed="81"/>
            <rFont val="Tahoma"/>
            <family val="2"/>
          </rPr>
          <t>Indicate the mode of transportation at origin and destination.
Mode cannot begin with CY if there is a location listed as place of receipt.
Mode cannot end with CY if there is a location is listed as place of delivery</t>
        </r>
      </text>
    </comment>
    <comment ref="G48" authorId="2" shapeId="0" xr:uid="{00000000-0006-0000-1E00-00001C000000}">
      <text>
        <r>
          <rPr>
            <b/>
            <sz val="14"/>
            <color indexed="81"/>
            <rFont val="Tahoma"/>
            <family val="2"/>
          </rPr>
          <t>Indicate whether or not door service is included at origin and destination</t>
        </r>
      </text>
    </comment>
    <comment ref="Q48" authorId="2" shapeId="0" xr:uid="{00000000-0006-0000-1E00-00001D000000}">
      <text>
        <r>
          <rPr>
            <b/>
            <sz val="14"/>
            <color indexed="81"/>
            <rFont val="Tahoma"/>
            <family val="2"/>
          </rPr>
          <t>Use these columns for exceptions to surcharge applicability in note 2</t>
        </r>
      </text>
    </comment>
    <comment ref="AC48" authorId="2" shapeId="0" xr:uid="{00000000-0006-0000-1E00-00001E000000}">
      <text>
        <r>
          <rPr>
            <b/>
            <sz val="14"/>
            <color indexed="81"/>
            <rFont val="Tahoma"/>
            <family val="2"/>
          </rPr>
          <t>This field controls construction using Arbitraries and Inland Tariffs</t>
        </r>
      </text>
    </comment>
    <comment ref="B63" authorId="2" shapeId="0" xr:uid="{00000000-0006-0000-1E00-00001F000000}">
      <text>
        <r>
          <rPr>
            <b/>
            <sz val="14"/>
            <color indexed="81"/>
            <rFont val="Tahoma"/>
            <family val="2"/>
          </rPr>
          <t>Place of Origin - may be an outport for feeder (CY) arbitraries or an inland origin
Format is:  City, State or ZIP Code</t>
        </r>
      </text>
    </comment>
    <comment ref="E63" authorId="2" shapeId="0" xr:uid="{00000000-0006-0000-1E00-000020000000}">
      <text>
        <r>
          <rPr>
            <b/>
            <sz val="14"/>
            <color indexed="81"/>
            <rFont val="Tahoma"/>
            <family val="2"/>
          </rPr>
          <t xml:space="preserve">Please use only one port or a group of ports (Port groups must be defined in the Port Group Codes table).
Arbitrary construction can only occur with rate conditions which show these ports as the POL.
</t>
        </r>
        <r>
          <rPr>
            <b/>
            <i/>
            <sz val="14"/>
            <color indexed="81"/>
            <rFont val="Tahoma"/>
            <family val="2"/>
          </rPr>
          <t>All ports must be valid SEA ports.</t>
        </r>
      </text>
    </comment>
    <comment ref="F63" authorId="2" shapeId="0" xr:uid="{00000000-0006-0000-1E00-000021000000}">
      <text>
        <r>
          <rPr>
            <b/>
            <sz val="14"/>
            <color indexed="81"/>
            <rFont val="Tahoma"/>
            <family val="2"/>
          </rPr>
          <t>Indicate the mode of transportation between the arbitrary place of receipt and arbitrary POL.
CY modes can only be used when the mode of transportation is by Feeder.
Use of CY mode requires both the locations to be valid SEA ports.</t>
        </r>
      </text>
    </comment>
    <comment ref="G63" authorId="2" shapeId="0" xr:uid="{00000000-0006-0000-1E00-000022000000}">
      <text>
        <r>
          <rPr>
            <b/>
            <sz val="14"/>
            <color indexed="81"/>
            <rFont val="Tahoma"/>
            <family val="2"/>
          </rPr>
          <t>Indicate whether or not door service is included in the arbitrary rate</t>
        </r>
      </text>
    </comment>
    <comment ref="H63" authorId="2" shapeId="0" xr:uid="{00000000-0006-0000-1E00-000023000000}">
      <text>
        <r>
          <rPr>
            <b/>
            <sz val="14"/>
            <color indexed="81"/>
            <rFont val="Tahoma"/>
            <family val="2"/>
          </rPr>
          <t>Input the rate in this field when the same amount applies for all container sizes</t>
        </r>
      </text>
    </comment>
    <comment ref="N63" authorId="2" shapeId="0" xr:uid="{00000000-0006-0000-1E00-000024000000}">
      <text>
        <r>
          <rPr>
            <b/>
            <sz val="14"/>
            <color indexed="81"/>
            <rFont val="Tahoma"/>
            <family val="2"/>
          </rPr>
          <t>Each Arbitrary applies only to FAK / Bullets as specifically listed in this field.</t>
        </r>
      </text>
    </comment>
    <comment ref="B76" authorId="2" shapeId="0" xr:uid="{00000000-0006-0000-1E00-000025000000}">
      <text>
        <r>
          <rPr>
            <b/>
            <sz val="14"/>
            <color indexed="81"/>
            <rFont val="Tahoma"/>
            <family val="2"/>
          </rPr>
          <t>Place of Destination - may be an outport for feeder (CY) arbitraries or an inland destination
Format is:  City, State or ZIP Code</t>
        </r>
      </text>
    </comment>
    <comment ref="E76" authorId="2" shapeId="0" xr:uid="{00000000-0006-0000-1E00-000026000000}">
      <text>
        <r>
          <rPr>
            <b/>
            <sz val="14"/>
            <color indexed="81"/>
            <rFont val="Tahoma"/>
            <family val="2"/>
          </rPr>
          <t xml:space="preserve">Please use only one port or a group of ports (Port groups must be defined in the Port Group Codes table).
Arbitrary construction can only occur with rate conditions which show these ports as the POD.
</t>
        </r>
        <r>
          <rPr>
            <b/>
            <i/>
            <sz val="14"/>
            <color indexed="81"/>
            <rFont val="Tahoma"/>
            <family val="2"/>
          </rPr>
          <t>All ports must be valid SEA ports.</t>
        </r>
      </text>
    </comment>
    <comment ref="F76" authorId="2" shapeId="0" xr:uid="{00000000-0006-0000-1E00-000027000000}">
      <text>
        <r>
          <rPr>
            <b/>
            <sz val="14"/>
            <color indexed="81"/>
            <rFont val="Tahoma"/>
            <family val="2"/>
          </rPr>
          <t>Indicate the mode of transportation between the arbitrary POD and arbitrary place of delivery.
CY modes can only be used when the mode of transportation is by Feeder.
Use of CY mode requires both the locations to be valid SEA ports.</t>
        </r>
      </text>
    </comment>
    <comment ref="G76" authorId="2" shapeId="0" xr:uid="{00000000-0006-0000-1E00-000028000000}">
      <text>
        <r>
          <rPr>
            <b/>
            <sz val="14"/>
            <color indexed="81"/>
            <rFont val="Tahoma"/>
            <family val="2"/>
          </rPr>
          <t>Indicate whether or not door service is included in the arbitrary rate</t>
        </r>
      </text>
    </comment>
    <comment ref="H76" authorId="2" shapeId="0" xr:uid="{00000000-0006-0000-1E00-000029000000}">
      <text>
        <r>
          <rPr>
            <b/>
            <sz val="14"/>
            <color indexed="81"/>
            <rFont val="Tahoma"/>
            <family val="2"/>
          </rPr>
          <t>Input the rate in this field when the same amount applies for all container sizes</t>
        </r>
      </text>
    </comment>
    <comment ref="N76" authorId="2" shapeId="0" xr:uid="{00000000-0006-0000-1E00-00002A000000}">
      <text>
        <r>
          <rPr>
            <b/>
            <sz val="14"/>
            <color indexed="81"/>
            <rFont val="Tahoma"/>
            <family val="2"/>
          </rPr>
          <t>Each Arbitrary applies only to FAK / Bullets as specifically listed in this field.</t>
        </r>
      </text>
    </comment>
    <comment ref="L86" authorId="2" shapeId="0" xr:uid="{00000000-0006-0000-1E00-00002B000000}">
      <text>
        <r>
          <rPr>
            <b/>
            <sz val="14"/>
            <color indexed="81"/>
            <rFont val="Tahoma"/>
            <family val="2"/>
          </rPr>
          <t>Surcharge applicability mentioned on any row applies specifically to the individual port mentioned in this field.
If the Applicable Port field is blank, then the  surcharge applicability stated on that row applies to all ports.</t>
        </r>
      </text>
    </comment>
    <comment ref="A159" authorId="2" shapeId="0" xr:uid="{00000000-0006-0000-1E00-00002C000000}">
      <text>
        <r>
          <rPr>
            <sz val="12"/>
            <color indexed="81"/>
            <rFont val="Tahoma"/>
            <family val="2"/>
          </rPr>
          <t>Select the bullet for which the exception applies.
If exception applies to all bullets, select "ALL".</t>
        </r>
      </text>
    </comment>
    <comment ref="B159" authorId="2" shapeId="0" xr:uid="{00000000-0006-0000-1E00-00002D000000}">
      <text>
        <r>
          <rPr>
            <sz val="12"/>
            <color indexed="81"/>
            <rFont val="Tahoma"/>
            <family val="2"/>
          </rPr>
          <t xml:space="preserve">Specify if Free Time condition applies to Export or Import:
</t>
        </r>
        <r>
          <rPr>
            <b/>
            <sz val="12"/>
            <color indexed="81"/>
            <rFont val="Tahoma"/>
            <family val="2"/>
          </rPr>
          <t xml:space="preserve">E </t>
        </r>
        <r>
          <rPr>
            <sz val="12"/>
            <color indexed="81"/>
            <rFont val="Tahoma"/>
            <family val="2"/>
          </rPr>
          <t xml:space="preserve">(Export) = applies at origin
</t>
        </r>
        <r>
          <rPr>
            <b/>
            <sz val="12"/>
            <color indexed="81"/>
            <rFont val="Tahoma"/>
            <family val="2"/>
          </rPr>
          <t xml:space="preserve">I </t>
        </r>
        <r>
          <rPr>
            <sz val="12"/>
            <color indexed="81"/>
            <rFont val="Tahoma"/>
            <family val="2"/>
          </rPr>
          <t>(Import) = applies at destination</t>
        </r>
      </text>
    </comment>
    <comment ref="C159" authorId="2" shapeId="0" xr:uid="{00000000-0006-0000-1E00-00002E000000}">
      <text>
        <r>
          <rPr>
            <sz val="12"/>
            <color indexed="81"/>
            <rFont val="Tahoma"/>
            <family val="2"/>
          </rPr>
          <t>Enter Type of Free Time:</t>
        </r>
        <r>
          <rPr>
            <u/>
            <sz val="12"/>
            <color indexed="81"/>
            <rFont val="Tahoma"/>
            <family val="2"/>
          </rPr>
          <t xml:space="preserve">
</t>
        </r>
        <r>
          <rPr>
            <sz val="12"/>
            <color indexed="81"/>
            <rFont val="Tahoma"/>
            <family val="2"/>
          </rPr>
          <t xml:space="preserve">
</t>
        </r>
        <r>
          <rPr>
            <b/>
            <sz val="12"/>
            <color indexed="81"/>
            <rFont val="Tahoma"/>
            <family val="2"/>
          </rPr>
          <t>Detention
Demurrage
Merged</t>
        </r>
      </text>
    </comment>
    <comment ref="F159" authorId="2" shapeId="0" xr:uid="{00000000-0006-0000-1E00-00002F000000}">
      <text>
        <r>
          <rPr>
            <sz val="12"/>
            <color indexed="81"/>
            <rFont val="Tahoma"/>
            <family val="2"/>
          </rPr>
          <t xml:space="preserve">Specify Equipment Type (blank field indicates applicability to all Eq Types):
</t>
        </r>
        <r>
          <rPr>
            <b/>
            <sz val="12"/>
            <color indexed="81"/>
            <rFont val="Tahoma"/>
            <family val="2"/>
          </rPr>
          <t>D</t>
        </r>
        <r>
          <rPr>
            <sz val="12"/>
            <color indexed="81"/>
            <rFont val="Tahoma"/>
            <family val="2"/>
          </rPr>
          <t xml:space="preserve"> = Dry
</t>
        </r>
        <r>
          <rPr>
            <b/>
            <sz val="12"/>
            <color indexed="81"/>
            <rFont val="Tahoma"/>
            <family val="2"/>
          </rPr>
          <t>R</t>
        </r>
        <r>
          <rPr>
            <sz val="12"/>
            <color indexed="81"/>
            <rFont val="Tahoma"/>
            <family val="2"/>
          </rPr>
          <t xml:space="preserve"> = Reefer
</t>
        </r>
        <r>
          <rPr>
            <b/>
            <sz val="12"/>
            <color indexed="81"/>
            <rFont val="Tahoma"/>
            <family val="2"/>
          </rPr>
          <t>OT</t>
        </r>
        <r>
          <rPr>
            <sz val="12"/>
            <color indexed="81"/>
            <rFont val="Tahoma"/>
            <family val="2"/>
          </rPr>
          <t xml:space="preserve"> = Open Top
</t>
        </r>
        <r>
          <rPr>
            <b/>
            <sz val="12"/>
            <color indexed="81"/>
            <rFont val="Tahoma"/>
            <family val="2"/>
          </rPr>
          <t>FR</t>
        </r>
        <r>
          <rPr>
            <sz val="12"/>
            <color indexed="81"/>
            <rFont val="Tahoma"/>
            <family val="2"/>
          </rPr>
          <t xml:space="preserve"> = Flat Rack</t>
        </r>
      </text>
    </comment>
    <comment ref="G159" authorId="2" shapeId="0" xr:uid="{00000000-0006-0000-1E00-000030000000}">
      <text>
        <r>
          <rPr>
            <sz val="12"/>
            <color indexed="81"/>
            <rFont val="Tahoma"/>
            <family val="2"/>
          </rPr>
          <t>Select "OR" from the drop down list if condition applies to Operating Reefers</t>
        </r>
      </text>
    </comment>
    <comment ref="H159" authorId="2" shapeId="0" xr:uid="{00000000-0006-0000-1E00-000031000000}">
      <text>
        <r>
          <rPr>
            <sz val="12"/>
            <color indexed="81"/>
            <rFont val="Tahoma"/>
            <family val="2"/>
          </rPr>
          <t xml:space="preserve">Specify the Place of Receipt if necessary.  </t>
        </r>
        <r>
          <rPr>
            <u/>
            <sz val="12"/>
            <color indexed="81"/>
            <rFont val="Tahoma"/>
            <family val="2"/>
          </rPr>
          <t>Do not</t>
        </r>
        <r>
          <rPr>
            <sz val="12"/>
            <color indexed="81"/>
            <rFont val="Tahoma"/>
            <family val="2"/>
          </rPr>
          <t xml:space="preserve"> use "ALL".
Only 1 location may be entered per row.</t>
        </r>
      </text>
    </comment>
    <comment ref="I159" authorId="2" shapeId="0" xr:uid="{00000000-0006-0000-1E00-000032000000}">
      <text>
        <r>
          <rPr>
            <sz val="12"/>
            <color indexed="81"/>
            <rFont val="Tahoma"/>
            <family val="2"/>
          </rPr>
          <t xml:space="preserve">Enter the POL if necessary.  </t>
        </r>
        <r>
          <rPr>
            <u/>
            <sz val="12"/>
            <color indexed="81"/>
            <rFont val="Tahoma"/>
            <family val="2"/>
          </rPr>
          <t>Do not</t>
        </r>
        <r>
          <rPr>
            <sz val="12"/>
            <color indexed="81"/>
            <rFont val="Tahoma"/>
            <family val="2"/>
          </rPr>
          <t xml:space="preserve"> use "ALL".
Only 1 location is allowed per row and must be a valid seaport.</t>
        </r>
      </text>
    </comment>
    <comment ref="J159" authorId="2" shapeId="0" xr:uid="{00000000-0006-0000-1E00-000033000000}">
      <text>
        <r>
          <rPr>
            <sz val="12"/>
            <color indexed="81"/>
            <rFont val="Tahoma"/>
            <family val="2"/>
          </rPr>
          <t xml:space="preserve">Enter the POD if necessary.  </t>
        </r>
        <r>
          <rPr>
            <u/>
            <sz val="12"/>
            <color indexed="81"/>
            <rFont val="Tahoma"/>
            <family val="2"/>
          </rPr>
          <t>Do not</t>
        </r>
        <r>
          <rPr>
            <sz val="12"/>
            <color indexed="81"/>
            <rFont val="Tahoma"/>
            <family val="2"/>
          </rPr>
          <t xml:space="preserve"> use "ALL".
Only 1 location is allowed per row and must be a valid seaport.</t>
        </r>
      </text>
    </comment>
    <comment ref="K159" authorId="2" shapeId="0" xr:uid="{00000000-0006-0000-1E00-000034000000}">
      <text>
        <r>
          <rPr>
            <sz val="12"/>
            <color indexed="81"/>
            <rFont val="Tahoma"/>
            <family val="2"/>
          </rPr>
          <t xml:space="preserve">Specify the Place of Delivery if necessary.  </t>
        </r>
        <r>
          <rPr>
            <u/>
            <sz val="12"/>
            <color indexed="81"/>
            <rFont val="Tahoma"/>
            <family val="2"/>
          </rPr>
          <t>Do not</t>
        </r>
        <r>
          <rPr>
            <sz val="12"/>
            <color indexed="81"/>
            <rFont val="Tahoma"/>
            <family val="2"/>
          </rPr>
          <t xml:space="preserve"> use "ALL".
Only 1 location may be entered per row.</t>
        </r>
      </text>
    </comment>
    <comment ref="L159" authorId="2" shapeId="0" xr:uid="{00000000-0006-0000-1E00-000035000000}">
      <text>
        <r>
          <rPr>
            <sz val="12"/>
            <color indexed="81"/>
            <rFont val="Tahoma"/>
            <family val="2"/>
          </rPr>
          <t xml:space="preserve">Enter additional notes only when absolutely necessary.  
</t>
        </r>
        <r>
          <rPr>
            <u/>
            <sz val="12"/>
            <color indexed="81"/>
            <rFont val="Tahoma"/>
            <family val="2"/>
          </rPr>
          <t>IMPORTANT</t>
        </r>
        <r>
          <rPr>
            <sz val="12"/>
            <color indexed="81"/>
            <rFont val="Tahoma"/>
            <family val="2"/>
          </rPr>
          <t xml:space="preserve">:  Named accounts and specific commodities </t>
        </r>
        <r>
          <rPr>
            <b/>
            <u/>
            <sz val="12"/>
            <color indexed="81"/>
            <rFont val="Tahoma"/>
            <family val="2"/>
          </rPr>
          <t>may not</t>
        </r>
        <r>
          <rPr>
            <sz val="12"/>
            <color indexed="81"/>
            <rFont val="Tahoma"/>
            <family val="2"/>
          </rPr>
          <t xml:space="preserve"> be listed as Notes.</t>
        </r>
      </text>
    </comment>
    <comment ref="A172" authorId="2" shapeId="0" xr:uid="{00000000-0006-0000-1E00-000036000000}">
      <text>
        <r>
          <rPr>
            <sz val="12"/>
            <color indexed="81"/>
            <rFont val="Tahoma"/>
            <family val="2"/>
          </rPr>
          <t>Select the bullet for which the exception applies.
If exception applies to all bullets, select "ALL".</t>
        </r>
      </text>
    </comment>
    <comment ref="B172" authorId="2" shapeId="0" xr:uid="{00000000-0006-0000-1E00-000037000000}">
      <text>
        <r>
          <rPr>
            <sz val="12"/>
            <color indexed="81"/>
            <rFont val="Tahoma"/>
            <family val="2"/>
          </rPr>
          <t xml:space="preserve">Specify if Free Time condition applies to Export or Import:
</t>
        </r>
        <r>
          <rPr>
            <b/>
            <sz val="12"/>
            <color indexed="81"/>
            <rFont val="Tahoma"/>
            <family val="2"/>
          </rPr>
          <t xml:space="preserve">E </t>
        </r>
        <r>
          <rPr>
            <sz val="12"/>
            <color indexed="81"/>
            <rFont val="Tahoma"/>
            <family val="2"/>
          </rPr>
          <t xml:space="preserve">(Export) = applies at origin
</t>
        </r>
        <r>
          <rPr>
            <b/>
            <sz val="12"/>
            <color indexed="81"/>
            <rFont val="Tahoma"/>
            <family val="2"/>
          </rPr>
          <t xml:space="preserve">I </t>
        </r>
        <r>
          <rPr>
            <sz val="12"/>
            <color indexed="81"/>
            <rFont val="Tahoma"/>
            <family val="2"/>
          </rPr>
          <t>(Import) = applies at destination</t>
        </r>
      </text>
    </comment>
    <comment ref="C172" authorId="2" shapeId="0" xr:uid="{00000000-0006-0000-1E00-000038000000}">
      <text>
        <r>
          <rPr>
            <sz val="12"/>
            <color indexed="81"/>
            <rFont val="Tahoma"/>
            <family val="2"/>
          </rPr>
          <t>Enter Type of Free Time:</t>
        </r>
        <r>
          <rPr>
            <u/>
            <sz val="12"/>
            <color indexed="81"/>
            <rFont val="Tahoma"/>
            <family val="2"/>
          </rPr>
          <t xml:space="preserve">
</t>
        </r>
        <r>
          <rPr>
            <sz val="12"/>
            <color indexed="81"/>
            <rFont val="Tahoma"/>
            <family val="2"/>
          </rPr>
          <t xml:space="preserve">
</t>
        </r>
        <r>
          <rPr>
            <b/>
            <sz val="12"/>
            <color indexed="81"/>
            <rFont val="Tahoma"/>
            <family val="2"/>
          </rPr>
          <t>Detention
Demurrage
Merged</t>
        </r>
      </text>
    </comment>
    <comment ref="F172" authorId="2" shapeId="0" xr:uid="{00000000-0006-0000-1E00-000039000000}">
      <text>
        <r>
          <rPr>
            <sz val="12"/>
            <color indexed="81"/>
            <rFont val="Tahoma"/>
            <family val="2"/>
          </rPr>
          <t>If any exceptional charges are offered, then the currency is required to be shown.</t>
        </r>
      </text>
    </comment>
    <comment ref="O172" authorId="2" shapeId="0" xr:uid="{00000000-0006-0000-1E00-00003A000000}">
      <text>
        <r>
          <rPr>
            <sz val="12"/>
            <color indexed="81"/>
            <rFont val="Tahoma"/>
            <family val="2"/>
          </rPr>
          <t xml:space="preserve">Specify Equipment Type (blank field indicates applicability to all Eq Types):
</t>
        </r>
        <r>
          <rPr>
            <b/>
            <sz val="12"/>
            <color indexed="81"/>
            <rFont val="Tahoma"/>
            <family val="2"/>
          </rPr>
          <t>D</t>
        </r>
        <r>
          <rPr>
            <sz val="12"/>
            <color indexed="81"/>
            <rFont val="Tahoma"/>
            <family val="2"/>
          </rPr>
          <t xml:space="preserve"> = Dry
</t>
        </r>
        <r>
          <rPr>
            <b/>
            <sz val="12"/>
            <color indexed="81"/>
            <rFont val="Tahoma"/>
            <family val="2"/>
          </rPr>
          <t>R</t>
        </r>
        <r>
          <rPr>
            <sz val="12"/>
            <color indexed="81"/>
            <rFont val="Tahoma"/>
            <family val="2"/>
          </rPr>
          <t xml:space="preserve"> = Reefer
</t>
        </r>
        <r>
          <rPr>
            <b/>
            <sz val="12"/>
            <color indexed="81"/>
            <rFont val="Tahoma"/>
            <family val="2"/>
          </rPr>
          <t>OT</t>
        </r>
        <r>
          <rPr>
            <sz val="12"/>
            <color indexed="81"/>
            <rFont val="Tahoma"/>
            <family val="2"/>
          </rPr>
          <t xml:space="preserve"> = Open Top
</t>
        </r>
        <r>
          <rPr>
            <b/>
            <sz val="12"/>
            <color indexed="81"/>
            <rFont val="Tahoma"/>
            <family val="2"/>
          </rPr>
          <t>FR</t>
        </r>
        <r>
          <rPr>
            <sz val="12"/>
            <color indexed="81"/>
            <rFont val="Tahoma"/>
            <family val="2"/>
          </rPr>
          <t xml:space="preserve"> = Flat Rack</t>
        </r>
      </text>
    </comment>
    <comment ref="P172" authorId="2" shapeId="0" xr:uid="{00000000-0006-0000-1E00-00003B000000}">
      <text>
        <r>
          <rPr>
            <sz val="12"/>
            <color indexed="81"/>
            <rFont val="Tahoma"/>
            <family val="2"/>
          </rPr>
          <t>Select "OR" from the drop down list if condition applies to Operating Reefers</t>
        </r>
      </text>
    </comment>
    <comment ref="Q172" authorId="2" shapeId="0" xr:uid="{00000000-0006-0000-1E00-00003C000000}">
      <text>
        <r>
          <rPr>
            <sz val="12"/>
            <color indexed="81"/>
            <rFont val="Tahoma"/>
            <family val="2"/>
          </rPr>
          <t xml:space="preserve">Specify the Place of Receipt if necessary.  </t>
        </r>
        <r>
          <rPr>
            <u/>
            <sz val="12"/>
            <color indexed="81"/>
            <rFont val="Tahoma"/>
            <family val="2"/>
          </rPr>
          <t>Do not</t>
        </r>
        <r>
          <rPr>
            <sz val="12"/>
            <color indexed="81"/>
            <rFont val="Tahoma"/>
            <family val="2"/>
          </rPr>
          <t xml:space="preserve"> use "ALL".
Only 1 location may be entered per row.</t>
        </r>
      </text>
    </comment>
    <comment ref="R172" authorId="2" shapeId="0" xr:uid="{00000000-0006-0000-1E00-00003D000000}">
      <text>
        <r>
          <rPr>
            <sz val="12"/>
            <color indexed="81"/>
            <rFont val="Tahoma"/>
            <family val="2"/>
          </rPr>
          <t xml:space="preserve">Enter the POL if necessary.  </t>
        </r>
        <r>
          <rPr>
            <u/>
            <sz val="12"/>
            <color indexed="81"/>
            <rFont val="Tahoma"/>
            <family val="2"/>
          </rPr>
          <t>Do not</t>
        </r>
        <r>
          <rPr>
            <sz val="12"/>
            <color indexed="81"/>
            <rFont val="Tahoma"/>
            <family val="2"/>
          </rPr>
          <t xml:space="preserve"> use "ALL".
Only 1 location is allowed per row and must be a valid seaport.</t>
        </r>
      </text>
    </comment>
    <comment ref="S172" authorId="2" shapeId="0" xr:uid="{00000000-0006-0000-1E00-00003E000000}">
      <text>
        <r>
          <rPr>
            <sz val="12"/>
            <color indexed="81"/>
            <rFont val="Tahoma"/>
            <family val="2"/>
          </rPr>
          <t xml:space="preserve">Enter the POD if necessary.  </t>
        </r>
        <r>
          <rPr>
            <u/>
            <sz val="12"/>
            <color indexed="81"/>
            <rFont val="Tahoma"/>
            <family val="2"/>
          </rPr>
          <t>Do not</t>
        </r>
        <r>
          <rPr>
            <sz val="12"/>
            <color indexed="81"/>
            <rFont val="Tahoma"/>
            <family val="2"/>
          </rPr>
          <t xml:space="preserve"> use "ALL".
Only 1 location is allowed per row and must be a valid seaport.</t>
        </r>
      </text>
    </comment>
    <comment ref="T172" authorId="2" shapeId="0" xr:uid="{00000000-0006-0000-1E00-00003F000000}">
      <text>
        <r>
          <rPr>
            <sz val="12"/>
            <color indexed="81"/>
            <rFont val="Tahoma"/>
            <family val="2"/>
          </rPr>
          <t xml:space="preserve">Specify the Place of Delivery if necessary.  </t>
        </r>
        <r>
          <rPr>
            <u/>
            <sz val="12"/>
            <color indexed="81"/>
            <rFont val="Tahoma"/>
            <family val="2"/>
          </rPr>
          <t>Do not</t>
        </r>
        <r>
          <rPr>
            <sz val="12"/>
            <color indexed="81"/>
            <rFont val="Tahoma"/>
            <family val="2"/>
          </rPr>
          <t xml:space="preserve"> use "ALL".
Only 1 location may be entered per row.</t>
        </r>
      </text>
    </comment>
    <comment ref="U172" authorId="2" shapeId="0" xr:uid="{00000000-0006-0000-1E00-000040000000}">
      <text>
        <r>
          <rPr>
            <sz val="12"/>
            <color indexed="81"/>
            <rFont val="Tahoma"/>
            <family val="2"/>
          </rPr>
          <t xml:space="preserve">Enter additional notes only when absolutely necessary.  
</t>
        </r>
        <r>
          <rPr>
            <u/>
            <sz val="12"/>
            <color indexed="81"/>
            <rFont val="Tahoma"/>
            <family val="2"/>
          </rPr>
          <t>IMPORTANT</t>
        </r>
        <r>
          <rPr>
            <sz val="12"/>
            <color indexed="81"/>
            <rFont val="Tahoma"/>
            <family val="2"/>
          </rPr>
          <t xml:space="preserve">:  Named accounts and specific commodities </t>
        </r>
        <r>
          <rPr>
            <b/>
            <u/>
            <sz val="12"/>
            <color indexed="81"/>
            <rFont val="Tahoma"/>
            <family val="2"/>
          </rPr>
          <t>may not</t>
        </r>
        <r>
          <rPr>
            <sz val="12"/>
            <color indexed="81"/>
            <rFont val="Tahoma"/>
            <family val="2"/>
          </rPr>
          <t xml:space="preserve"> be listed as Notes.</t>
        </r>
      </text>
    </comment>
  </commentList>
</comments>
</file>

<file path=xl/comments29.xml><?xml version="1.0" encoding="utf-8"?>
<comments xmlns="http://schemas.openxmlformats.org/spreadsheetml/2006/main" xmlns:mc="http://schemas.openxmlformats.org/markup-compatibility/2006" xmlns:xr="http://schemas.microsoft.com/office/spreadsheetml/2014/revision" mc:Ignorable="xr">
  <authors>
    <author>CHIDESTER Russell - NOR</author>
  </authors>
  <commentList>
    <comment ref="C102" authorId="0" shapeId="0" xr:uid="{00000000-0006-0000-2000-000001000000}">
      <text>
        <r>
          <rPr>
            <b/>
            <sz val="9"/>
            <color indexed="81"/>
            <rFont val="Tahoma"/>
            <family val="2"/>
          </rPr>
          <t>Changed from FRT11 on 10/22/2014.</t>
        </r>
      </text>
    </comment>
    <comment ref="C103" authorId="0" shapeId="0" xr:uid="{3086CE55-4916-4341-871A-0B3D5E0DF6C7}">
      <text>
        <r>
          <rPr>
            <b/>
            <sz val="9"/>
            <color indexed="81"/>
            <rFont val="Tahoma"/>
            <family val="2"/>
          </rPr>
          <t>Changed from FRT11 on 10/22/2014.</t>
        </r>
      </text>
    </comment>
  </commentList>
</comments>
</file>

<file path=xl/sharedStrings.xml><?xml version="1.0" encoding="utf-8"?>
<sst xmlns="http://schemas.openxmlformats.org/spreadsheetml/2006/main" count="11243" uniqueCount="1392">
  <si>
    <t>Free Time Type</t>
  </si>
  <si>
    <t>Mandatory Fields</t>
  </si>
  <si>
    <t>Free Time mentioned in this section are exceptions to the conditions defined in the governing tariff(s)</t>
  </si>
  <si>
    <t>Term 101 Exceptions</t>
  </si>
  <si>
    <t>ALL</t>
  </si>
  <si>
    <t>FREE TIME TARIFF TYPE - NON US</t>
  </si>
  <si>
    <t>Detention</t>
  </si>
  <si>
    <t>Merged</t>
  </si>
  <si>
    <t>Demurrage (In US ONLY)</t>
  </si>
  <si>
    <t>Container Management Fee</t>
  </si>
  <si>
    <t>CTR09</t>
  </si>
  <si>
    <t>POL</t>
  </si>
  <si>
    <t>POD</t>
  </si>
  <si>
    <t>Place of Delivery</t>
  </si>
  <si>
    <t>MODE</t>
  </si>
  <si>
    <t>SDD (Origin; Dest)</t>
  </si>
  <si>
    <t>Curr</t>
  </si>
  <si>
    <t>D20</t>
  </si>
  <si>
    <t>D40</t>
  </si>
  <si>
    <t>H40</t>
  </si>
  <si>
    <t>H45</t>
  </si>
  <si>
    <t>EBS</t>
  </si>
  <si>
    <t>Effective date</t>
  </si>
  <si>
    <t>Expiration Date</t>
  </si>
  <si>
    <t>Note</t>
  </si>
  <si>
    <t>REEFER</t>
  </si>
  <si>
    <t>RF20</t>
  </si>
  <si>
    <t>RF40</t>
  </si>
  <si>
    <t>Eq type (OT, FR…)</t>
  </si>
  <si>
    <t>ORIGIN ARBITRARY TABLE</t>
  </si>
  <si>
    <t xml:space="preserve">APPLICATION FIELD </t>
  </si>
  <si>
    <t>COUNTRY</t>
  </si>
  <si>
    <t>Per container</t>
  </si>
  <si>
    <t>FAK/ Bullets</t>
  </si>
  <si>
    <t xml:space="preserve">DESTINATION ARBITRARY TABLE </t>
  </si>
  <si>
    <t>For Place of Delivery indicate destination of cargo</t>
  </si>
  <si>
    <t>Note 1</t>
  </si>
  <si>
    <t>COMMON / GENERAL TARIFF</t>
  </si>
  <si>
    <t>CMA CGM S.A.</t>
  </si>
  <si>
    <r>
      <t>Service Contract Number</t>
    </r>
    <r>
      <rPr>
        <b/>
        <sz val="12"/>
        <rFont val="Times New Roman"/>
        <family val="1"/>
      </rPr>
      <t>:</t>
    </r>
  </si>
  <si>
    <t>______________________________</t>
  </si>
  <si>
    <t>Signature</t>
  </si>
  <si>
    <t>Currency</t>
  </si>
  <si>
    <t>Rate per Day (A)</t>
  </si>
  <si>
    <t>Rate per Day (B)</t>
  </si>
  <si>
    <t>Rate per Day (C)</t>
  </si>
  <si>
    <t>Rate per Day (D)</t>
  </si>
  <si>
    <t>SDD</t>
  </si>
  <si>
    <t>N/N</t>
  </si>
  <si>
    <t>Y/Y</t>
  </si>
  <si>
    <t>N/Y</t>
  </si>
  <si>
    <t>Applicable</t>
  </si>
  <si>
    <t>CY/CY</t>
  </si>
  <si>
    <t>Not Applicable</t>
  </si>
  <si>
    <t>CY/R</t>
  </si>
  <si>
    <t>CY</t>
  </si>
  <si>
    <t>N</t>
  </si>
  <si>
    <t>R</t>
  </si>
  <si>
    <t>Y</t>
  </si>
  <si>
    <t>RM</t>
  </si>
  <si>
    <t>ST</t>
  </si>
  <si>
    <t>%</t>
  </si>
  <si>
    <t>20ST</t>
  </si>
  <si>
    <t>Type</t>
  </si>
  <si>
    <t>Shipper own</t>
  </si>
  <si>
    <t>Hazardous</t>
  </si>
  <si>
    <t>Operated 
Yes / No</t>
  </si>
  <si>
    <t>SOC
COC</t>
  </si>
  <si>
    <t>Yes / No</t>
  </si>
  <si>
    <t>OOG</t>
  </si>
  <si>
    <t>IG (In gauge)
OOG (Out Of Gauge)</t>
  </si>
  <si>
    <t>FR</t>
  </si>
  <si>
    <t>Signatory certifies that they have an ownership interest in all named affiliates.</t>
  </si>
  <si>
    <t>Name</t>
  </si>
  <si>
    <t>Per D20</t>
  </si>
  <si>
    <t>Per D40</t>
  </si>
  <si>
    <t>Per H45</t>
  </si>
  <si>
    <t>DRY</t>
  </si>
  <si>
    <t>Charges</t>
  </si>
  <si>
    <t>Per RF40</t>
  </si>
  <si>
    <t>For Foreign to Foreign rates, individual SQ numbers must be assigned</t>
  </si>
  <si>
    <t>Per RF20</t>
  </si>
  <si>
    <t>GRI</t>
  </si>
  <si>
    <t>Final place of delivery</t>
  </si>
  <si>
    <t>Appl/ Not Appl</t>
  </si>
  <si>
    <t>CUS16</t>
  </si>
  <si>
    <t>CAF</t>
  </si>
  <si>
    <t>PSS</t>
  </si>
  <si>
    <t>CAF13</t>
  </si>
  <si>
    <t>OTHC</t>
  </si>
  <si>
    <t>Destination Terminal Security Charge</t>
  </si>
  <si>
    <t>Primage</t>
  </si>
  <si>
    <t>TAX01</t>
  </si>
  <si>
    <t>GOH</t>
  </si>
  <si>
    <t>Inland oncarriage fuel charge</t>
  </si>
  <si>
    <t>CAR82</t>
  </si>
  <si>
    <t>Inland precarriage fuel charge</t>
  </si>
  <si>
    <t>Panama</t>
  </si>
  <si>
    <t>FAS TLC</t>
  </si>
  <si>
    <t>FAS Terms Landing Charge</t>
  </si>
  <si>
    <t>FRT98</t>
  </si>
  <si>
    <t>Alameda Corridor Surcharge import</t>
  </si>
  <si>
    <t>ACS Import</t>
  </si>
  <si>
    <t>ACS export</t>
  </si>
  <si>
    <t>CAR12</t>
  </si>
  <si>
    <t>Alameda Corridor Surcharge export</t>
  </si>
  <si>
    <t>Chassis Usage Charge (Carrier-haulage)</t>
  </si>
  <si>
    <t>LOLO Origin</t>
  </si>
  <si>
    <t>LOLO Destination</t>
  </si>
  <si>
    <t>LOL51</t>
  </si>
  <si>
    <t>LOL52</t>
  </si>
  <si>
    <t>Reefer Congestion</t>
  </si>
  <si>
    <t>Reefer Congestion Surcharge</t>
  </si>
  <si>
    <t>RCS</t>
  </si>
  <si>
    <t>Reefer Consumption Surcharge</t>
  </si>
  <si>
    <t>RCS00</t>
  </si>
  <si>
    <t>POR82</t>
  </si>
  <si>
    <t>POR66</t>
  </si>
  <si>
    <t>THC58</t>
  </si>
  <si>
    <t>FRT57</t>
  </si>
  <si>
    <t>CMDU#044</t>
  </si>
  <si>
    <t>CMDU#028</t>
  </si>
  <si>
    <t>CMDU#101</t>
  </si>
  <si>
    <t>Bullet Exceptions</t>
  </si>
  <si>
    <t>Mode</t>
  </si>
  <si>
    <t>CY/M</t>
  </si>
  <si>
    <t>CY/RM</t>
  </si>
  <si>
    <t>M/R</t>
  </si>
  <si>
    <t>M/M</t>
  </si>
  <si>
    <t>Tug Surcharge</t>
  </si>
  <si>
    <t>D1006</t>
  </si>
  <si>
    <t>M/RM</t>
  </si>
  <si>
    <t>M/CY</t>
  </si>
  <si>
    <t>R/R</t>
  </si>
  <si>
    <t>R/RM</t>
  </si>
  <si>
    <t>RM/R</t>
  </si>
  <si>
    <t>RM/M</t>
  </si>
  <si>
    <t>RM/RM</t>
  </si>
  <si>
    <t>RM/CY</t>
  </si>
  <si>
    <t>Shipper Own</t>
  </si>
  <si>
    <t>IG</t>
  </si>
  <si>
    <t>Arb Mode</t>
  </si>
  <si>
    <t>GRI/PSS</t>
  </si>
  <si>
    <t>As Per Mutual Agreement</t>
  </si>
  <si>
    <t>Equip Type</t>
  </si>
  <si>
    <t>BK</t>
  </si>
  <si>
    <t>OS</t>
  </si>
  <si>
    <t>OT</t>
  </si>
  <si>
    <t>PW</t>
  </si>
  <si>
    <t>RA</t>
  </si>
  <si>
    <t>SH</t>
  </si>
  <si>
    <t>SR</t>
  </si>
  <si>
    <t>TK</t>
  </si>
  <si>
    <t>VH</t>
  </si>
  <si>
    <t>VT</t>
  </si>
  <si>
    <t>APPLICABLE FOR FAK U.O.S - ANY BULLET EXCEPTIONS TO BE STATED IN THE 'BULLET EXCEPTIONS' COLUMN</t>
  </si>
  <si>
    <t>Turkey (Primage)</t>
  </si>
  <si>
    <t>CARIBBEAN (PEX 2)</t>
  </si>
  <si>
    <t>Partner Code:</t>
  </si>
  <si>
    <t>EFS/EFAF</t>
  </si>
  <si>
    <t>Emergency Fuel Surcharge / Emergency Fuel Adjustment Factor</t>
  </si>
  <si>
    <t>MQC Type</t>
  </si>
  <si>
    <t>Global</t>
  </si>
  <si>
    <t>Sub</t>
  </si>
  <si>
    <t>Term 101 Free Time Exceptions:</t>
  </si>
  <si>
    <t>A - Demurrage / B - Detention</t>
  </si>
  <si>
    <t>Per Tariff(s) unless specified in Appendix "Term 101 FREE TIME Exceptions"</t>
  </si>
  <si>
    <r>
      <t xml:space="preserve">Rates in USD unless otherwise specified. </t>
    </r>
    <r>
      <rPr>
        <b/>
        <sz val="12"/>
        <color indexed="53"/>
        <rFont val="Times New Roman"/>
        <family val="1"/>
      </rPr>
      <t>Surcharges listed per line item are exceptions to Note 2 applicability.</t>
    </r>
  </si>
  <si>
    <t>Precarriage from Inland Container Depot TO POL</t>
  </si>
  <si>
    <t>HA</t>
  </si>
  <si>
    <t>HK</t>
  </si>
  <si>
    <t>PL</t>
  </si>
  <si>
    <t>For Place of Intermodal Delivery indicate point and state. Mode:  PORT=CY, RAIL=R (RAMP), MOTOR=M , RAIL/MOTOR=RM , BARGE=B, RAIL/BARGE=RB (RAMP), MOTOR/BARGE=BM</t>
  </si>
  <si>
    <t>For Place of Intermodal Receipt indicate point and state. Mode:  RAIL=R (RAMP), MOTOR=M, RAIL/MOTOR=RM, FEEDER=CY, BARGE=B, RAIL/BARGE=RB (RAMP), BARGE/MOTOR=BM</t>
  </si>
  <si>
    <t>For Place of Intermodal Delivery indicate point and state. Mode:  RAIL=R (RAMP), MOTOR=M, RAIL/MOTOR=RM, FEEDER=CY, BARGE=B, RAIL/BARGE=RB (RAMP), BARGE/MOTOR=BM</t>
  </si>
  <si>
    <t>Alcohol Surcharge, Precarriage</t>
  </si>
  <si>
    <t>Alcohol Surcharge, Oncarriage</t>
  </si>
  <si>
    <t>On Carriage, Alcohol Surcharge</t>
  </si>
  <si>
    <t>FRT99</t>
  </si>
  <si>
    <t>Pre Carriage, Alcohol Surcharge</t>
  </si>
  <si>
    <t>CAR64</t>
  </si>
  <si>
    <t>CAR14</t>
  </si>
  <si>
    <t>CMDU#043 B1</t>
  </si>
  <si>
    <t>CMDU#043 B2</t>
  </si>
  <si>
    <t>CMDU#029 D1</t>
  </si>
  <si>
    <t>CMDU#029 D2</t>
  </si>
  <si>
    <t>CMDU#029 F1</t>
  </si>
  <si>
    <t>CMDU#029 F2</t>
  </si>
  <si>
    <t>CMDU#090 H1</t>
  </si>
  <si>
    <t>CMDU#090 H2</t>
  </si>
  <si>
    <t>CMDU#043 J1</t>
  </si>
  <si>
    <t>CMDU#043 N1</t>
  </si>
  <si>
    <t>INBOUND (INDIAN SUB. CONTINENT-USVI/PR)</t>
  </si>
  <si>
    <t>F-3</t>
  </si>
  <si>
    <t>Extra Container Handling Origin</t>
  </si>
  <si>
    <t>Extra Container Handling Charge Origin</t>
  </si>
  <si>
    <t>Extra Container Handling Charge Destination</t>
  </si>
  <si>
    <t>THC08</t>
  </si>
  <si>
    <t>THC05</t>
  </si>
  <si>
    <t>LSFS</t>
  </si>
  <si>
    <t>Low Sulfur Surcharge</t>
  </si>
  <si>
    <t>Exception Charges</t>
  </si>
  <si>
    <t>Container Inspection</t>
  </si>
  <si>
    <t>FEE85</t>
  </si>
  <si>
    <t>Doc fee</t>
  </si>
  <si>
    <t>Per Teu</t>
  </si>
  <si>
    <t>45HH</t>
  </si>
  <si>
    <t>20SH</t>
  </si>
  <si>
    <t>40SH</t>
  </si>
  <si>
    <t>40HH</t>
  </si>
  <si>
    <t>Panama Canal Lock Improvement</t>
  </si>
  <si>
    <t>Panama Canal Lock Improvement Surcharge</t>
  </si>
  <si>
    <t>PCL01</t>
  </si>
  <si>
    <t>Delivery Order Fee</t>
  </si>
  <si>
    <t>Note2:</t>
  </si>
  <si>
    <t>Effective Date</t>
  </si>
  <si>
    <t>End of note 2</t>
  </si>
  <si>
    <t>Application date</t>
  </si>
  <si>
    <t>Origin</t>
  </si>
  <si>
    <t>Destination</t>
  </si>
  <si>
    <t>Note 3</t>
  </si>
  <si>
    <t>OSPF</t>
  </si>
  <si>
    <t xml:space="preserve">Rate/Surcharge/Arbitrary applicability for equipment not otherwise specified: </t>
  </si>
  <si>
    <t>Rates calculated using formula shall be rounded up to the nearest USD 5.00.</t>
  </si>
  <si>
    <t>3a)</t>
  </si>
  <si>
    <t>Reference</t>
  </si>
  <si>
    <t>Container type</t>
  </si>
  <si>
    <t>Rate</t>
  </si>
  <si>
    <t>Note 4</t>
  </si>
  <si>
    <t>Comments</t>
  </si>
  <si>
    <t>DTHC</t>
  </si>
  <si>
    <t>Container</t>
  </si>
  <si>
    <t>Arbitrary</t>
  </si>
  <si>
    <t>ARB02</t>
  </si>
  <si>
    <t>BAF</t>
  </si>
  <si>
    <t>Bunker Adjustment Factor</t>
  </si>
  <si>
    <t>BAF03</t>
  </si>
  <si>
    <t>BAF08</t>
  </si>
  <si>
    <t>Emergency Bunker Surcharge</t>
  </si>
  <si>
    <t>BAF09</t>
  </si>
  <si>
    <t>BAF10</t>
  </si>
  <si>
    <t>HH</t>
  </si>
  <si>
    <t>CMDU 037</t>
  </si>
  <si>
    <t>Term</t>
  </si>
  <si>
    <t xml:space="preserve">Section             </t>
  </si>
  <si>
    <t xml:space="preserve">Heading             </t>
  </si>
  <si>
    <t>Cold Treatment</t>
  </si>
  <si>
    <t>Cold Treatment Service (Fruit Fly Infestation)</t>
  </si>
  <si>
    <t>FRT15</t>
  </si>
  <si>
    <t>BOTH PARTIES HEREBY AGREE THAT THE REMAINING TERMS AND CONDITIONS OF THE CONTRACT SHALL NOT BE AMENDED BY THIS WRITING AND SHALL REMAIN IN FULL FORCE AND EFFECT FOR THE DURATION OF THE TERM.</t>
  </si>
  <si>
    <t>Panama Canal Surcharge</t>
  </si>
  <si>
    <t>CAN63</t>
  </si>
  <si>
    <t>CAR09</t>
  </si>
  <si>
    <t>CAR10</t>
  </si>
  <si>
    <t>CAR32</t>
  </si>
  <si>
    <t>CAR49</t>
  </si>
  <si>
    <t>ERS06</t>
  </si>
  <si>
    <t>Flat Rack</t>
  </si>
  <si>
    <t>Open Top</t>
  </si>
  <si>
    <t>Reefer</t>
  </si>
  <si>
    <t>Hazardous fees</t>
  </si>
  <si>
    <t>HZD01</t>
  </si>
  <si>
    <t>IPS01</t>
  </si>
  <si>
    <t>CSF</t>
  </si>
  <si>
    <t>Carrier Security Charge</t>
  </si>
  <si>
    <t>ISS01</t>
  </si>
  <si>
    <t>POR59</t>
  </si>
  <si>
    <t>POR65</t>
  </si>
  <si>
    <t>THC34</t>
  </si>
  <si>
    <t>Pick Up / Drop Off</t>
  </si>
  <si>
    <t>Pick Up / Drop Off Fee</t>
  </si>
  <si>
    <t>CAR45</t>
  </si>
  <si>
    <t>prepaid</t>
  </si>
  <si>
    <t>WAR42</t>
  </si>
  <si>
    <t>Winter Surcharge</t>
  </si>
  <si>
    <t>WIN12</t>
  </si>
  <si>
    <t>SDD (Dest)</t>
  </si>
  <si>
    <t>Security Origin</t>
  </si>
  <si>
    <t>Security Destination</t>
  </si>
  <si>
    <t>Out of Gauge</t>
  </si>
  <si>
    <t>FRT51</t>
  </si>
  <si>
    <t>Tank</t>
  </si>
  <si>
    <t>FRT56</t>
  </si>
  <si>
    <t>IPI Premium</t>
  </si>
  <si>
    <t>GRI general</t>
  </si>
  <si>
    <t>Per Cargo</t>
  </si>
  <si>
    <t>Per Container</t>
  </si>
  <si>
    <t>SDD (Origin)</t>
  </si>
  <si>
    <t>Eq Type (OT, RF…)</t>
  </si>
  <si>
    <t>Per D40 OSPF</t>
  </si>
  <si>
    <t>Per RH40</t>
  </si>
  <si>
    <t>River plate</t>
  </si>
  <si>
    <t>POR79</t>
  </si>
  <si>
    <t>FAC</t>
  </si>
  <si>
    <t>FAC43</t>
  </si>
  <si>
    <t>RH40</t>
  </si>
  <si>
    <t>1a)</t>
  </si>
  <si>
    <t>Fixed, OSPF, % or As per mutual agreement</t>
  </si>
  <si>
    <t>Prepaid/collect</t>
  </si>
  <si>
    <t>IPS51</t>
  </si>
  <si>
    <t>Prepaid</t>
  </si>
  <si>
    <t>Collect</t>
  </si>
  <si>
    <t>Applicable Port</t>
  </si>
  <si>
    <t xml:space="preserve">Template INBOUND OUTBOUND </t>
  </si>
  <si>
    <t>All</t>
  </si>
  <si>
    <t>Spec equipment</t>
  </si>
  <si>
    <t>Container Type (note 2)</t>
  </si>
  <si>
    <t>SPECIAL EQUIPMENT, HAZARDOUS, SOC, OOG...</t>
  </si>
  <si>
    <t>Drop and Pull</t>
  </si>
  <si>
    <t>Dry</t>
  </si>
  <si>
    <t>ICD Precarriage</t>
  </si>
  <si>
    <t>CAR00</t>
  </si>
  <si>
    <t>CUC (CH)</t>
  </si>
  <si>
    <t>CUC (MH)</t>
  </si>
  <si>
    <t>CAR11</t>
  </si>
  <si>
    <t>Chassis Usage Charge Merchant-haulage)</t>
  </si>
  <si>
    <t>TEXT</t>
  </si>
  <si>
    <t>Level of calc</t>
  </si>
  <si>
    <t>Cargo</t>
  </si>
  <si>
    <t>BL</t>
  </si>
  <si>
    <t>Type Operated / Haz / ArbSDD</t>
  </si>
  <si>
    <t>E</t>
  </si>
  <si>
    <t>I</t>
  </si>
  <si>
    <t>X</t>
  </si>
  <si>
    <t>USEC1</t>
  </si>
  <si>
    <t>Diversion Fee</t>
  </si>
  <si>
    <t>Diversion / Change of Destination Fee</t>
  </si>
  <si>
    <t>FRT97</t>
  </si>
  <si>
    <t>COLUMBUS</t>
  </si>
  <si>
    <t>CMA CGM (America) LLC</t>
  </si>
  <si>
    <t>Calc</t>
  </si>
  <si>
    <t>Text / Calc</t>
  </si>
  <si>
    <t>PSS00</t>
  </si>
  <si>
    <t xml:space="preserve">Drop and pull </t>
  </si>
  <si>
    <t>E-2</t>
  </si>
  <si>
    <t>OUTBOUND (USWC-ISC)</t>
  </si>
  <si>
    <t>FF</t>
  </si>
  <si>
    <t>Foreign to Foreign</t>
  </si>
  <si>
    <t>COC</t>
  </si>
  <si>
    <t>R/CY</t>
  </si>
  <si>
    <t>SOC</t>
  </si>
  <si>
    <t>R/M</t>
  </si>
  <si>
    <t>RF</t>
  </si>
  <si>
    <t>Fixed</t>
  </si>
  <si>
    <t>40ST</t>
  </si>
  <si>
    <t>40RF</t>
  </si>
  <si>
    <t>Aden Gulf Surcharge</t>
  </si>
  <si>
    <t>AGS01</t>
  </si>
  <si>
    <t>Piracy Surcharge</t>
  </si>
  <si>
    <t>PRS01</t>
  </si>
  <si>
    <t>CUS70</t>
  </si>
  <si>
    <t>FRT50</t>
  </si>
  <si>
    <t>IPI Construction</t>
  </si>
  <si>
    <t>General Surcharges valid to all rates unless otherwise specified</t>
  </si>
  <si>
    <t>Benin Freight Tax</t>
  </si>
  <si>
    <t xml:space="preserve">Benin Freight Tax </t>
  </si>
  <si>
    <t>Nigerian Freight Tax</t>
  </si>
  <si>
    <t>TAX08</t>
  </si>
  <si>
    <t>Harbor Dues</t>
  </si>
  <si>
    <t>POR51</t>
  </si>
  <si>
    <t>SEA06</t>
  </si>
  <si>
    <t>Suez</t>
  </si>
  <si>
    <t>Suez Canal Surcharge</t>
  </si>
  <si>
    <t>CAR99</t>
  </si>
  <si>
    <t>A-1</t>
  </si>
  <si>
    <t>C-5</t>
  </si>
  <si>
    <t>OUTBOUND (USA-E &amp; W AFRICA)</t>
  </si>
  <si>
    <t>Triaxle/Super Chassis Oncarriage</t>
  </si>
  <si>
    <t>Tri-axle/Super Chassis Precarriage</t>
  </si>
  <si>
    <t>Rail Congestion Surcharge, CA</t>
  </si>
  <si>
    <t>Rail Congestion Surcharge, Canada</t>
  </si>
  <si>
    <t>POR55</t>
  </si>
  <si>
    <t>Oncarriage Ramp</t>
  </si>
  <si>
    <t>CAR55</t>
  </si>
  <si>
    <t>Precarriage Ramp</t>
  </si>
  <si>
    <t>CAR16</t>
  </si>
  <si>
    <t>FRT52</t>
  </si>
  <si>
    <t>FRT54</t>
  </si>
  <si>
    <t>FRT55</t>
  </si>
  <si>
    <t>Per B/L</t>
  </si>
  <si>
    <t>CY/B</t>
  </si>
  <si>
    <t>CY/BM</t>
  </si>
  <si>
    <t>CY/RB</t>
  </si>
  <si>
    <t>M/B</t>
  </si>
  <si>
    <t>M/BM</t>
  </si>
  <si>
    <t>M/RB</t>
  </si>
  <si>
    <t>R/B</t>
  </si>
  <si>
    <t>R/BM</t>
  </si>
  <si>
    <t>R/RB</t>
  </si>
  <si>
    <t>RM/B</t>
  </si>
  <si>
    <t>RM/BM</t>
  </si>
  <si>
    <t>RM/RB</t>
  </si>
  <si>
    <t>B/CY</t>
  </si>
  <si>
    <t>B/R</t>
  </si>
  <si>
    <t>B/M</t>
  </si>
  <si>
    <t>B/RM</t>
  </si>
  <si>
    <t>B/B</t>
  </si>
  <si>
    <t>B/BM</t>
  </si>
  <si>
    <t>B/RB</t>
  </si>
  <si>
    <t>BM/CY</t>
  </si>
  <si>
    <t>BM/R</t>
  </si>
  <si>
    <t>BM/M</t>
  </si>
  <si>
    <t>BM/RM</t>
  </si>
  <si>
    <t>BM/B</t>
  </si>
  <si>
    <t>BM/BM</t>
  </si>
  <si>
    <t>BM/RB</t>
  </si>
  <si>
    <t>RB/CY</t>
  </si>
  <si>
    <t>RB/R</t>
  </si>
  <si>
    <t>RB/M</t>
  </si>
  <si>
    <t>RB/RM</t>
  </si>
  <si>
    <t>RB/B</t>
  </si>
  <si>
    <t>RB/RB</t>
  </si>
  <si>
    <t>B</t>
  </si>
  <si>
    <t>RB</t>
  </si>
  <si>
    <t>BM</t>
  </si>
  <si>
    <t>Shipper Cert</t>
  </si>
  <si>
    <t>YES</t>
  </si>
  <si>
    <t>40HC</t>
  </si>
  <si>
    <t>45HC</t>
  </si>
  <si>
    <t>Port Group Codes</t>
  </si>
  <si>
    <t>Fax:  (718) 304-5521</t>
  </si>
  <si>
    <t>Operating Reefer?</t>
  </si>
  <si>
    <t>EXPORT/IMPORT</t>
  </si>
  <si>
    <t>DAYS</t>
  </si>
  <si>
    <t>C</t>
  </si>
  <si>
    <t>W</t>
  </si>
  <si>
    <r>
      <t>C</t>
    </r>
    <r>
      <rPr>
        <b/>
        <sz val="12"/>
        <rFont val="Times New Roman"/>
        <family val="1"/>
      </rPr>
      <t xml:space="preserve">alendar / </t>
    </r>
    <r>
      <rPr>
        <b/>
        <u/>
        <sz val="12"/>
        <rFont val="Times New Roman"/>
        <family val="1"/>
      </rPr>
      <t>W</t>
    </r>
    <r>
      <rPr>
        <b/>
        <sz val="12"/>
        <rFont val="Times New Roman"/>
        <family val="1"/>
      </rPr>
      <t>orking</t>
    </r>
  </si>
  <si>
    <r>
      <t>E</t>
    </r>
    <r>
      <rPr>
        <b/>
        <sz val="12"/>
        <rFont val="Times New Roman"/>
        <family val="1"/>
      </rPr>
      <t xml:space="preserve">xport / </t>
    </r>
    <r>
      <rPr>
        <b/>
        <u/>
        <sz val="12"/>
        <rFont val="Times New Roman"/>
        <family val="1"/>
      </rPr>
      <t>I</t>
    </r>
    <r>
      <rPr>
        <b/>
        <sz val="12"/>
        <rFont val="Times New Roman"/>
        <family val="1"/>
      </rPr>
      <t>mport</t>
    </r>
  </si>
  <si>
    <t>TERM 101 EQUIPMENT TYPE</t>
  </si>
  <si>
    <t>D</t>
  </si>
  <si>
    <t>OPERATING REEFER</t>
  </si>
  <si>
    <t>OR</t>
  </si>
  <si>
    <t>From Day (A)</t>
  </si>
  <si>
    <t>From Day (B)</t>
  </si>
  <si>
    <t>From Day (C)</t>
  </si>
  <si>
    <t>From Day (D)</t>
  </si>
  <si>
    <t>Equipment Type (D, R, OT, FR)</t>
  </si>
  <si>
    <t>Tel:  (757) 961-2100</t>
  </si>
  <si>
    <t>20+</t>
  </si>
  <si>
    <t>40+</t>
  </si>
  <si>
    <t>20RF</t>
  </si>
  <si>
    <t>40RH</t>
  </si>
  <si>
    <t>20OT</t>
  </si>
  <si>
    <t>40OT</t>
  </si>
  <si>
    <t>20FR</t>
  </si>
  <si>
    <t>40FR</t>
  </si>
  <si>
    <t>Street Address</t>
  </si>
  <si>
    <t>City</t>
  </si>
  <si>
    <t>State &amp; Zip Code</t>
  </si>
  <si>
    <t>Country</t>
  </si>
  <si>
    <t>NVOCC Bond Number</t>
  </si>
  <si>
    <t>For NVOCC Affiliates</t>
  </si>
  <si>
    <t>LIST OF AFFILIATES / SHIPPER ASSOCIATION MEMBERS</t>
  </si>
  <si>
    <t>CAN64</t>
  </si>
  <si>
    <t>Charge Automation</t>
  </si>
  <si>
    <t>Applicability</t>
  </si>
  <si>
    <t>Shipper Own Container</t>
  </si>
  <si>
    <t>Garment on Hanger</t>
  </si>
  <si>
    <t>GRI/PSS EQ</t>
  </si>
  <si>
    <t>CMDU#029 F3</t>
  </si>
  <si>
    <t>Follow Governing Tariff</t>
  </si>
  <si>
    <r>
      <t>You must state Applicable, Not applicable. Any amount shown is deemed fixed unless otherwise stated</t>
    </r>
    <r>
      <rPr>
        <b/>
        <sz val="12"/>
        <color indexed="22"/>
        <rFont val="Times New Roman"/>
        <family val="1"/>
      </rPr>
      <t xml:space="preserve"> and must be in USD per D40 for each.</t>
    </r>
  </si>
  <si>
    <t>USWC</t>
  </si>
  <si>
    <t>USEC</t>
  </si>
  <si>
    <t>USGC</t>
  </si>
  <si>
    <t>Los Angeles, Long Beach, Oakland</t>
  </si>
  <si>
    <t>20TK</t>
  </si>
  <si>
    <t>Atmosphere Control</t>
  </si>
  <si>
    <t>Atmosphere Control Transport Unit Charge</t>
  </si>
  <si>
    <t>FRT12</t>
  </si>
  <si>
    <t>Emergency Terminal Congestion</t>
  </si>
  <si>
    <t>POR80</t>
  </si>
  <si>
    <t>Extra Container Handling Dest</t>
  </si>
  <si>
    <t>4a)</t>
  </si>
  <si>
    <t>SUR59</t>
  </si>
  <si>
    <t>Aust/NZ</t>
  </si>
  <si>
    <t>Los Angeles, Long Beach</t>
  </si>
  <si>
    <t>Brisbane, Melbourne, Sydney, Auckland</t>
  </si>
  <si>
    <t>New York, Norfolk, Savannah</t>
  </si>
  <si>
    <t>Philadelphia, Savannah</t>
  </si>
  <si>
    <t>Australia</t>
  </si>
  <si>
    <t>Brisbane, Sydney, Melbourne</t>
  </si>
  <si>
    <t>FPI</t>
  </si>
  <si>
    <t>Papeete, Noumea</t>
  </si>
  <si>
    <t>ECSA</t>
  </si>
  <si>
    <t>New York, Savannah</t>
  </si>
  <si>
    <t>PI</t>
  </si>
  <si>
    <t>PNG</t>
  </si>
  <si>
    <t>Brisbane</t>
  </si>
  <si>
    <t>Shipper Owned Container</t>
  </si>
  <si>
    <t>Shipper Owned Container Surcharge</t>
  </si>
  <si>
    <t>REB72</t>
  </si>
  <si>
    <t>Basseterre, St. Kitts</t>
  </si>
  <si>
    <t>Per H40</t>
  </si>
  <si>
    <t>Emergency Low Water Surcharge</t>
  </si>
  <si>
    <t>POR85</t>
  </si>
  <si>
    <t>Emergency Low Water</t>
  </si>
  <si>
    <t>Oncarriage Hazardous Charge</t>
  </si>
  <si>
    <t>Inland Hazardous Charge Oncarriage</t>
  </si>
  <si>
    <t>CAR65</t>
  </si>
  <si>
    <t>Precarriage Hazardous Charge</t>
  </si>
  <si>
    <t>Inland Hazardous Charge Precarriage</t>
  </si>
  <si>
    <t>CAR15</t>
  </si>
  <si>
    <t>FAK</t>
  </si>
  <si>
    <t>4x)</t>
  </si>
  <si>
    <t>INDIA</t>
  </si>
  <si>
    <t>Mundra, Nhava Sheva</t>
  </si>
  <si>
    <t>Gustavia, St. Barthelemy</t>
  </si>
  <si>
    <t>Road Town, Tortola</t>
  </si>
  <si>
    <t>Charlestown, Nevis</t>
  </si>
  <si>
    <t>Christiansted, St. Croix</t>
  </si>
  <si>
    <t>Service Contract:</t>
  </si>
  <si>
    <t>Trade Service:</t>
  </si>
  <si>
    <t>Fresh Commodities Charge</t>
  </si>
  <si>
    <t xml:space="preserve">Refrigerated Fresh Commodities Transport and Logistics </t>
  </si>
  <si>
    <t xml:space="preserve">Service Contract #: </t>
  </si>
  <si>
    <t>Amendment #:</t>
  </si>
  <si>
    <t>Effective Date of Amendment:</t>
  </si>
  <si>
    <t>Address:</t>
  </si>
  <si>
    <t>Phone:</t>
  </si>
  <si>
    <t>Fax:</t>
  </si>
  <si>
    <t>Email:</t>
  </si>
  <si>
    <t>Amendment Number:</t>
  </si>
  <si>
    <t>General Rate Increase (GRI)</t>
  </si>
  <si>
    <t>Table of Contents</t>
  </si>
  <si>
    <t>Appendix</t>
  </si>
  <si>
    <t>I-1</t>
  </si>
  <si>
    <t>I-2</t>
  </si>
  <si>
    <t>Appendix:</t>
  </si>
  <si>
    <t>B-1</t>
  </si>
  <si>
    <t>INBOUND FAR EAST (ASIA-USWC)</t>
  </si>
  <si>
    <t>B-2</t>
  </si>
  <si>
    <t>Affiliates</t>
  </si>
  <si>
    <t>NVOCC</t>
  </si>
  <si>
    <t>You must indicate one of the following as (YES)</t>
  </si>
  <si>
    <t>Monitoring</t>
  </si>
  <si>
    <t>If NVOCC, Shipper Certifies to Carrier that they are an Ocean Transportation Intermediary (OTI) performing NVOCC Services. OTI License and Bond are on file with the FMC.</t>
  </si>
  <si>
    <t>M</t>
  </si>
  <si>
    <t>Title:</t>
  </si>
  <si>
    <t>OUTBOUND FAR EAST (USWC-ASIA)</t>
  </si>
  <si>
    <t>A-2</t>
  </si>
  <si>
    <t>G-1</t>
  </si>
  <si>
    <t>C-2</t>
  </si>
  <si>
    <t>C-1</t>
  </si>
  <si>
    <t xml:space="preserve">                                            If NVOCC, provide Bond Number:</t>
  </si>
  <si>
    <t xml:space="preserve">                                                         Owner of the Cargo (BCO)</t>
  </si>
  <si>
    <t>For and on Behalf of:</t>
  </si>
  <si>
    <t>As Agents for:</t>
  </si>
  <si>
    <t>Norfolk, VA 23502 USA</t>
  </si>
  <si>
    <t>USWC (1)</t>
  </si>
  <si>
    <t>New York, Norfolk, Charleston, Savannah</t>
  </si>
  <si>
    <t>CPC</t>
  </si>
  <si>
    <t>Chassis Provision Charge</t>
  </si>
  <si>
    <t>POR74</t>
  </si>
  <si>
    <t>High Cube Additional</t>
  </si>
  <si>
    <t>HC Additional</t>
  </si>
  <si>
    <t>FRT53</t>
  </si>
  <si>
    <t>CFC</t>
  </si>
  <si>
    <t>Cargo Facility Charge</t>
  </si>
  <si>
    <t>POR17</t>
  </si>
  <si>
    <t xml:space="preserve">Charlotte Amalie, St. Thomas </t>
  </si>
  <si>
    <t xml:space="preserve">                                                                  Shippers Association</t>
  </si>
  <si>
    <t>J-1</t>
  </si>
  <si>
    <t>D-1</t>
  </si>
  <si>
    <t>D-2</t>
  </si>
  <si>
    <t>INBOUND (INDIAN SUB. CONTINENT-USA EC) (INDAMEX)</t>
  </si>
  <si>
    <t>INBOUND (INDIAN SUB. CONTINENT-USA WC ) (TPX)</t>
  </si>
  <si>
    <t>F-1</t>
  </si>
  <si>
    <t>F-2</t>
  </si>
  <si>
    <t>INBOUND FAR EAST (ASIA-USEC &amp; USGC)</t>
  </si>
  <si>
    <t>INBOUND (MEDITERRANEAN-USA EC &amp; GC) (AMERIGO)</t>
  </si>
  <si>
    <t>INBOUND (MEDITERRANEAN-USA WC) (TPX)</t>
  </si>
  <si>
    <t>AUSTRALIA/NEW ZEALAND/FRENCH POLYNESIAN ISLAND/ PAPOUASIA/NEW GUINEA- USA USWC/USEC (RTW)</t>
  </si>
  <si>
    <t>H-1</t>
  </si>
  <si>
    <t>H-2</t>
  </si>
  <si>
    <t>West Med 1</t>
  </si>
  <si>
    <t>West Med 2</t>
  </si>
  <si>
    <t>East Med 1</t>
  </si>
  <si>
    <t>East Med 2</t>
  </si>
  <si>
    <t>East Med 3</t>
  </si>
  <si>
    <t>Adriatic Ports</t>
  </si>
  <si>
    <t>Genset Surcharge</t>
  </si>
  <si>
    <t>FEE90</t>
  </si>
  <si>
    <t>OUTBOUND FAR EAST (USEC&amp;USGC-ASIA)</t>
  </si>
  <si>
    <t>INBOUND (NE - US) (TRANSAT)</t>
  </si>
  <si>
    <t>INBOUND (NE-USWC)-(TPX)</t>
  </si>
  <si>
    <t>US WEST COAST-AUSTRALIA/NEW ZEALAND</t>
  </si>
  <si>
    <t xml:space="preserve">OUTBOUND (USA-MEDITERRANEAN)  </t>
  </si>
  <si>
    <t xml:space="preserve">OUTBOUND (USA-ARABIAN GULF &amp; RED SEA)  </t>
  </si>
  <si>
    <t>C-3</t>
  </si>
  <si>
    <t>OUTBOUND (USWC-ARABIAN GULF)</t>
  </si>
  <si>
    <t>US EAST COAST-AUSTRALIA/NEW ZEALAND/SOUTH PACIFIC ISLANDS</t>
  </si>
  <si>
    <t>N-1</t>
  </si>
  <si>
    <t>CMDU#091</t>
  </si>
  <si>
    <t>E-1</t>
  </si>
  <si>
    <t>OUTBOUND (USA-TRANSAT)</t>
  </si>
  <si>
    <t>Peak Season Surcharge (PSS)</t>
  </si>
  <si>
    <t>* U.O.S = UNLESS OTHERWISE SPECIFIED</t>
  </si>
  <si>
    <t>OUTBOUND (USA-USEC USGC-INDIAN SUB. CONTINENT) (INDAMEX)</t>
  </si>
  <si>
    <t>TEUS</t>
  </si>
  <si>
    <t>If NVOCC, provide Bond date</t>
  </si>
  <si>
    <t>If NVOCC provide the name of the Bonding Company</t>
  </si>
  <si>
    <t xml:space="preserve">                                            CMA-CGM Sales Representative:</t>
  </si>
  <si>
    <t>OUTBOUND (USA-MEDITERRANEAN)</t>
  </si>
  <si>
    <t>OUTBOUND (USA-ARABIAN GULF &amp; RED SEA)</t>
  </si>
  <si>
    <t>N/A</t>
  </si>
  <si>
    <t>MQC</t>
  </si>
  <si>
    <t>(TEUS)</t>
  </si>
  <si>
    <t>Total</t>
  </si>
  <si>
    <t>Total Days Granted</t>
  </si>
  <si>
    <t>Notes</t>
  </si>
  <si>
    <t>Y/N</t>
  </si>
  <si>
    <t xml:space="preserve">TARIFF applicability </t>
  </si>
  <si>
    <t>COMMODITY  INDEX</t>
  </si>
  <si>
    <t>INB</t>
  </si>
  <si>
    <t>OUB</t>
  </si>
  <si>
    <t>- Unless otherwise indicated, excludes temperature controlled cargo, hazardous cargo, cargo requiring special handling and/or equipment, overweight containers.</t>
  </si>
  <si>
    <t xml:space="preserve">FAK/Bullets </t>
  </si>
  <si>
    <t>Description</t>
  </si>
  <si>
    <t>ERC</t>
  </si>
  <si>
    <t>Emergency Revenue Charge</t>
  </si>
  <si>
    <t>ERC01</t>
  </si>
  <si>
    <t>Named Account</t>
  </si>
  <si>
    <t>Partner Code</t>
  </si>
  <si>
    <t>RATES CONDITIONS</t>
  </si>
  <si>
    <t>Rates in USD unless otherwise specified.</t>
  </si>
  <si>
    <t>For Place of Receipt indicate origin of cargo</t>
  </si>
  <si>
    <t>FAK/ BULLETS</t>
  </si>
  <si>
    <t>Place of Receipt</t>
  </si>
  <si>
    <r>
      <t xml:space="preserve">Date  </t>
    </r>
    <r>
      <rPr>
        <u/>
        <sz val="12"/>
        <rFont val="Times New Roman"/>
        <family val="1"/>
      </rPr>
      <t>_________________________</t>
    </r>
  </si>
  <si>
    <t>Included</t>
  </si>
  <si>
    <t>INDAMEX USEC BP</t>
  </si>
  <si>
    <t>NWI</t>
  </si>
  <si>
    <t>Nhava Sheva, Mundra</t>
  </si>
  <si>
    <t>USEC (1)</t>
  </si>
  <si>
    <t>USEC (2)</t>
  </si>
  <si>
    <t>Houston, Mobile</t>
  </si>
  <si>
    <t>USGC (1)</t>
  </si>
  <si>
    <t>Koper, Rijeka, Ploce, Bar, Split, Durres</t>
  </si>
  <si>
    <t>Casablanca, Tanger Med, Algiers, Oran, Skikda, Bejaia, Annaba</t>
  </si>
  <si>
    <t>USEC2</t>
  </si>
  <si>
    <t>SVI:</t>
  </si>
  <si>
    <t>AED - UAE Dirham</t>
  </si>
  <si>
    <t>ALL - Leck</t>
  </si>
  <si>
    <t>AMD - Armenian Dram</t>
  </si>
  <si>
    <t>ANG - Netherlands Antillan Guilder</t>
  </si>
  <si>
    <t>AOA - Kwanza</t>
  </si>
  <si>
    <t>ARS - Argentine Peso</t>
  </si>
  <si>
    <t>AUD - Australian Dollar</t>
  </si>
  <si>
    <t>AWG - Aruban Guilder</t>
  </si>
  <si>
    <t>AZM - Azerbaijanian Manat</t>
  </si>
  <si>
    <t>BAM - Convertible Marks</t>
  </si>
  <si>
    <t>BBD - Barbados Dollar</t>
  </si>
  <si>
    <t>BDT - Taka</t>
  </si>
  <si>
    <t>BGN - Bulgarian Lev</t>
  </si>
  <si>
    <t>BHD - Bahraini Dinar</t>
  </si>
  <si>
    <t>BIF - Burundi Franc</t>
  </si>
  <si>
    <t>BND - Brunei Dollar</t>
  </si>
  <si>
    <t>BOB - Boliviano</t>
  </si>
  <si>
    <t>BRL - Brazilian Real</t>
  </si>
  <si>
    <t>BYR - Belarussian Ruble</t>
  </si>
  <si>
    <t>BZD - Belize Dollar</t>
  </si>
  <si>
    <t>CAD - Canadian Dollar</t>
  </si>
  <si>
    <t>CDF - Franc Congolais</t>
  </si>
  <si>
    <t>CHF - Swiss Franc</t>
  </si>
  <si>
    <t>CLF - Unidades de fomento</t>
  </si>
  <si>
    <t>CLP - Chilean Peso</t>
  </si>
  <si>
    <t>CNY - Yuan Renminbi</t>
  </si>
  <si>
    <t>COP - Colombian Peso</t>
  </si>
  <si>
    <t>CRC - Costa Rican Colon</t>
  </si>
  <si>
    <t>CVE - Cape Verde Escudo</t>
  </si>
  <si>
    <t>CYP - Cyprus Pound</t>
  </si>
  <si>
    <t>CZK - Czech Koruna</t>
  </si>
  <si>
    <t>DJF - Djibouti Franc</t>
  </si>
  <si>
    <t>DKK - Danish Krone</t>
  </si>
  <si>
    <t>DOP - Dominican Peso</t>
  </si>
  <si>
    <t>DZD - Algerian Dinar</t>
  </si>
  <si>
    <t>ECS - Sucre</t>
  </si>
  <si>
    <t>EEK - Kroon</t>
  </si>
  <si>
    <t>EGP - Egyptian Pound</t>
  </si>
  <si>
    <t>EUR - euro</t>
  </si>
  <si>
    <t>FJD - Fiji Dollar</t>
  </si>
  <si>
    <t>GBP - Pound Sterling</t>
  </si>
  <si>
    <t>GEL - Lari</t>
  </si>
  <si>
    <t>GHC - Cedi</t>
  </si>
  <si>
    <t>GMD - Dalasi</t>
  </si>
  <si>
    <t>GNF - Guinea Franc</t>
  </si>
  <si>
    <t>GTQ - Quetzal</t>
  </si>
  <si>
    <t>GYD - Guyana Dollar</t>
  </si>
  <si>
    <t>HKD - Hong Kong Dollar</t>
  </si>
  <si>
    <t>HNL - Lempira</t>
  </si>
  <si>
    <t>HRK - Croatian kuna</t>
  </si>
  <si>
    <t>HTG - Gourde</t>
  </si>
  <si>
    <t>HUF - Forint</t>
  </si>
  <si>
    <t>IDR - Rupiah</t>
  </si>
  <si>
    <t>ILS - New Israeli Sheqel</t>
  </si>
  <si>
    <t>INR - Indian Rupee</t>
  </si>
  <si>
    <t>IRR - Iranian Rial</t>
  </si>
  <si>
    <t>ISK - Iceland Krona</t>
  </si>
  <si>
    <t>JMD - Jamaican Dollar</t>
  </si>
  <si>
    <t>JOD - Jordanian Dinar</t>
  </si>
  <si>
    <t>JPY - Yen</t>
  </si>
  <si>
    <t>KES - Kenyan Shilling</t>
  </si>
  <si>
    <t>KHR - Riel</t>
  </si>
  <si>
    <t>KMF - Comoro Franc</t>
  </si>
  <si>
    <t>KRW - Won</t>
  </si>
  <si>
    <t>KWD - Kuwaiti Dinar</t>
  </si>
  <si>
    <t>KZT - Tenge</t>
  </si>
  <si>
    <t>LAK - Kip</t>
  </si>
  <si>
    <t>LBP - Lebanese Pound</t>
  </si>
  <si>
    <t>LKR - Sri Lanka Rupee</t>
  </si>
  <si>
    <t>LRD - Liberian Dollar</t>
  </si>
  <si>
    <t>LTL - Lithuanian Litus</t>
  </si>
  <si>
    <t>LVL - Latvian Lats</t>
  </si>
  <si>
    <t>LYD - Lybian Dinar</t>
  </si>
  <si>
    <t>MAD - Moroccan Dirham</t>
  </si>
  <si>
    <t>MMK - Kyat</t>
  </si>
  <si>
    <t>MOP - Pataca</t>
  </si>
  <si>
    <t>MRO - Ouguiya</t>
  </si>
  <si>
    <t>MTL - Maltese Lira</t>
  </si>
  <si>
    <t>MUR - Mauritius Rupee</t>
  </si>
  <si>
    <t>MVR - Rufiyaa</t>
  </si>
  <si>
    <t>MWK - Kwacha</t>
  </si>
  <si>
    <t>MXN - Mexican Peso</t>
  </si>
  <si>
    <t>MYR - Malaysian Ringgit</t>
  </si>
  <si>
    <t>NGN - Naira</t>
  </si>
  <si>
    <t>NIO - Cordoba Oro</t>
  </si>
  <si>
    <t>NOK - Norvegian Krone</t>
  </si>
  <si>
    <t>NZD - New Zealand Dollar</t>
  </si>
  <si>
    <t>OMR - Rial Omani</t>
  </si>
  <si>
    <t>PEN - Nuevo Sol</t>
  </si>
  <si>
    <t>PGK - Kina</t>
  </si>
  <si>
    <t>PHP - Philippine Peso</t>
  </si>
  <si>
    <t>PKR - Pakistan Rupee</t>
  </si>
  <si>
    <t>PLN - Zloty</t>
  </si>
  <si>
    <t>PYG - Guarani</t>
  </si>
  <si>
    <t>QAR - Qatari Rial</t>
  </si>
  <si>
    <t>RUB - Russian Ruble</t>
  </si>
  <si>
    <t>RRI</t>
  </si>
  <si>
    <t>Rate Restoration Initiative</t>
  </si>
  <si>
    <t>RRI01</t>
  </si>
  <si>
    <t>POR53</t>
  </si>
  <si>
    <t>Wharfage (Destination)</t>
  </si>
  <si>
    <t>POR16</t>
  </si>
  <si>
    <t>Drop Off</t>
  </si>
  <si>
    <t>Drop Off Surcharge</t>
  </si>
  <si>
    <t>Container Service</t>
  </si>
  <si>
    <t>Container Service Charge</t>
  </si>
  <si>
    <t>CSC10</t>
  </si>
  <si>
    <t>RWF - Rwanda Franc</t>
  </si>
  <si>
    <t>SAR - Saudi Riyal</t>
  </si>
  <si>
    <t>SCR - Seychelles Rupee</t>
  </si>
  <si>
    <t>SEK - Swedish Krona</t>
  </si>
  <si>
    <t>SGD - Singapore Dollar</t>
  </si>
  <si>
    <t>SKK - Slovak Koruna</t>
  </si>
  <si>
    <t>SLL - Leone</t>
  </si>
  <si>
    <t>STD - Dobra</t>
  </si>
  <si>
    <t>SVC - El Salvador Colon</t>
  </si>
  <si>
    <t>SYP - Syrian Pound</t>
  </si>
  <si>
    <t>THB - Baht</t>
  </si>
  <si>
    <t>TND - Tunisian Dinar</t>
  </si>
  <si>
    <t>TRL - Turkish Lira</t>
  </si>
  <si>
    <t>TTD - Trinidad and Tobago Dollar</t>
  </si>
  <si>
    <t>TWD - New Taiwan Dollar</t>
  </si>
  <si>
    <t>TZS - Tanzanian Shilling</t>
  </si>
  <si>
    <t>UAH - Hryvnia</t>
  </si>
  <si>
    <t>UGX - Uganda Shilling</t>
  </si>
  <si>
    <t>USD - US Dollar</t>
  </si>
  <si>
    <t>UYU - Peso Uruguayo</t>
  </si>
  <si>
    <t>UZS - Uzbekistan Sum</t>
  </si>
  <si>
    <t>VND - Dong</t>
  </si>
  <si>
    <t>VUV - Vatu</t>
  </si>
  <si>
    <t>XAF - CFA Franc BEAC</t>
  </si>
  <si>
    <t>XCD - East Caribbean Dollar</t>
  </si>
  <si>
    <t>XOF - CFA Franc BCEAO</t>
  </si>
  <si>
    <t>XPF - CFP Franc</t>
  </si>
  <si>
    <t>YER - Yemeni Rial</t>
  </si>
  <si>
    <t>ZAR - Rand</t>
  </si>
  <si>
    <t>ZMK - Kwacha</t>
  </si>
  <si>
    <t>ZWD - Zimbabwe Dollar</t>
  </si>
  <si>
    <t>TRY - New Turkish Lira</t>
  </si>
  <si>
    <t>RON - Romania Lei</t>
  </si>
  <si>
    <t>MGA - Madagascar, Ariary</t>
  </si>
  <si>
    <t>RSD - Serbian Dinar</t>
  </si>
  <si>
    <t>VEF - Bolivar Fuerte</t>
  </si>
  <si>
    <t>GHS - Cedi, new</t>
  </si>
  <si>
    <t>SDG - Sudanese pound</t>
  </si>
  <si>
    <t>SRD - Suriname Dollar</t>
  </si>
  <si>
    <t>MZN - Metical</t>
  </si>
  <si>
    <t>Scale for Exceptional Charges</t>
  </si>
  <si>
    <t>Free Time and Charges mentioned in this section are exceptions to the conditions defined in the governing tariff(s)</t>
  </si>
  <si>
    <t>Freight Tax</t>
  </si>
  <si>
    <t>Freight Tax Surcharge</t>
  </si>
  <si>
    <t>SPAIN Ports</t>
  </si>
  <si>
    <t>Houston, New Orleans</t>
  </si>
  <si>
    <t>Landing Charges</t>
  </si>
  <si>
    <t>LOC00</t>
  </si>
  <si>
    <t>Origin THC / Origin Receiving Charge</t>
  </si>
  <si>
    <t>NEW ZEALAND</t>
  </si>
  <si>
    <t>Tauranga, Napier</t>
  </si>
  <si>
    <t>RRI02</t>
  </si>
  <si>
    <t>RRI2</t>
  </si>
  <si>
    <t>Rate Restoration Initiative 2</t>
  </si>
  <si>
    <t>RRI3</t>
  </si>
  <si>
    <t>Rate Restoration Initiative 3</t>
  </si>
  <si>
    <t>RRI03</t>
  </si>
  <si>
    <t>TAX09</t>
  </si>
  <si>
    <t>Drop and Pull Import Side</t>
  </si>
  <si>
    <t>CAR22</t>
  </si>
  <si>
    <t>Drop and Pull Export Side</t>
  </si>
  <si>
    <t>CAR72</t>
  </si>
  <si>
    <t>Port License Fee / Port Taxes NOS</t>
  </si>
  <si>
    <t>POR61</t>
  </si>
  <si>
    <t>PLF</t>
  </si>
  <si>
    <t>LPC51</t>
  </si>
  <si>
    <t>Operation Cost Recovery</t>
  </si>
  <si>
    <t>OCR01</t>
  </si>
  <si>
    <t>Reefer PTI</t>
  </si>
  <si>
    <t>PTI01</t>
  </si>
  <si>
    <t>CAR04</t>
  </si>
  <si>
    <t>CTR33</t>
  </si>
  <si>
    <t>New York, Savannah, Norfolk, Baltimore</t>
  </si>
  <si>
    <t>Valencia, Barcelona</t>
  </si>
  <si>
    <t>Gebze, Gemlick, Istanbul (Haydarpasa), Mersin, Izmir, Istanbul (Ambarli)</t>
  </si>
  <si>
    <t>North Africa 1</t>
  </si>
  <si>
    <t>North Africa 2</t>
  </si>
  <si>
    <t>PSC Destination</t>
  </si>
  <si>
    <t>Port Service Charge / Port Additional Surcharge Destination</t>
  </si>
  <si>
    <t>POR70</t>
  </si>
  <si>
    <t>PCS Origin</t>
  </si>
  <si>
    <t>Port Congestion Surcharge Origin</t>
  </si>
  <si>
    <t>POR09</t>
  </si>
  <si>
    <t>PCS Destination</t>
  </si>
  <si>
    <t>Wharfage (Origin)</t>
  </si>
  <si>
    <t>PSC Origin</t>
  </si>
  <si>
    <t>WAR92</t>
  </si>
  <si>
    <t>Garments on Hanger Additional</t>
  </si>
  <si>
    <t>Off Dock</t>
  </si>
  <si>
    <t>Off Dock Surcharge</t>
  </si>
  <si>
    <t>TAX28</t>
  </si>
  <si>
    <t>CAR95</t>
  </si>
  <si>
    <t>P-1</t>
  </si>
  <si>
    <t>OUTBOUND USA TO CARIB-LATIN AMER</t>
  </si>
  <si>
    <t>CMDU#005 P-1</t>
  </si>
  <si>
    <t>P-2</t>
  </si>
  <si>
    <t>INBOUND CARIB-LATIN AMER TO USA</t>
  </si>
  <si>
    <t>CMDU#006 P-2</t>
  </si>
  <si>
    <t>P-3</t>
  </si>
  <si>
    <t>CMDU#007 P-3</t>
  </si>
  <si>
    <t>OUTBOUND PUERTO RICO &amp; US V.I. TO LATAM</t>
  </si>
  <si>
    <t>P-4</t>
  </si>
  <si>
    <t>CMDU#007 P-4</t>
  </si>
  <si>
    <t>INBOUND LATAM TO PUERTO RICO &amp; US V.I.</t>
  </si>
  <si>
    <t>EXPORT DEC (ENS)</t>
  </si>
  <si>
    <t>Export Declaration</t>
  </si>
  <si>
    <t>Export Declaration Surcharge</t>
  </si>
  <si>
    <t>Bridgetown</t>
  </si>
  <si>
    <t>Campden Park</t>
  </si>
  <si>
    <t>Roseau</t>
  </si>
  <si>
    <t>PSS2</t>
  </si>
  <si>
    <t>PSS02</t>
  </si>
  <si>
    <t>RRI4</t>
  </si>
  <si>
    <t>Rate Restoration Initiative 4</t>
  </si>
  <si>
    <t>RRI04</t>
  </si>
  <si>
    <t>RRI5</t>
  </si>
  <si>
    <t>Rate Restoration Initiative 5</t>
  </si>
  <si>
    <t>RRI05</t>
  </si>
  <si>
    <t>Sensitive Cargo</t>
  </si>
  <si>
    <t>Sensitive Cargo Surcharge</t>
  </si>
  <si>
    <t>INS07</t>
  </si>
  <si>
    <t>X-Ray</t>
  </si>
  <si>
    <t>Port Congestion Surcharge Destination</t>
  </si>
  <si>
    <t>Port Service Charge / Port Additional Surcharge Origin</t>
  </si>
  <si>
    <t>FEE26</t>
  </si>
  <si>
    <t>Exp Doc Fee</t>
  </si>
  <si>
    <t>O/C Haulage</t>
  </si>
  <si>
    <t>CAR50</t>
  </si>
  <si>
    <t>Import Doc Fee</t>
  </si>
  <si>
    <t>FEE30</t>
  </si>
  <si>
    <t>RRI6</t>
  </si>
  <si>
    <t>Rate Restoration Initiative 6</t>
  </si>
  <si>
    <t>RRI06</t>
  </si>
  <si>
    <t>US 1</t>
  </si>
  <si>
    <t>US 2</t>
  </si>
  <si>
    <t>Destination THC / Destination Receiving Charge</t>
  </si>
  <si>
    <r>
      <t xml:space="preserve">Term 100 </t>
    </r>
    <r>
      <rPr>
        <sz val="10"/>
        <rFont val="Times New Roman"/>
        <family val="1"/>
      </rPr>
      <t>Tariff(s) of General Applicability:</t>
    </r>
  </si>
  <si>
    <r>
      <t xml:space="preserve">Rates in USD unless otherwise specified. </t>
    </r>
    <r>
      <rPr>
        <sz val="12"/>
        <color indexed="53"/>
        <rFont val="Times New Roman"/>
        <family val="1"/>
      </rPr>
      <t>Surcharges listed per line item are exceptions to Note 2 applicability.</t>
    </r>
  </si>
  <si>
    <r>
      <t>You must state Applicable, Not applicable. Any amount shown is deemed fixed unless otherwise stated</t>
    </r>
    <r>
      <rPr>
        <sz val="12"/>
        <color indexed="22"/>
        <rFont val="Times New Roman"/>
        <family val="1"/>
      </rPr>
      <t xml:space="preserve"> and must be in USD per D40 for each.</t>
    </r>
  </si>
  <si>
    <r>
      <t>E</t>
    </r>
    <r>
      <rPr>
        <sz val="12"/>
        <rFont val="Times New Roman"/>
        <family val="1"/>
      </rPr>
      <t xml:space="preserve">xport / </t>
    </r>
    <r>
      <rPr>
        <u/>
        <sz val="12"/>
        <rFont val="Times New Roman"/>
        <family val="1"/>
      </rPr>
      <t>I</t>
    </r>
    <r>
      <rPr>
        <sz val="12"/>
        <rFont val="Times New Roman"/>
        <family val="1"/>
      </rPr>
      <t>mport</t>
    </r>
  </si>
  <si>
    <r>
      <t>C</t>
    </r>
    <r>
      <rPr>
        <sz val="12"/>
        <rFont val="Times New Roman"/>
        <family val="1"/>
      </rPr>
      <t xml:space="preserve">alendar / </t>
    </r>
    <r>
      <rPr>
        <u/>
        <sz val="12"/>
        <rFont val="Times New Roman"/>
        <family val="1"/>
      </rPr>
      <t>W</t>
    </r>
    <r>
      <rPr>
        <sz val="12"/>
        <rFont val="Times New Roman"/>
        <family val="1"/>
      </rPr>
      <t>orking</t>
    </r>
  </si>
  <si>
    <t>Buenos Aires, Montevideo, Rio Grande, Navegantes, Itajai, Itaguai, Santos, Rio de Janeiro, Salvador, Suape, Vitoria</t>
  </si>
  <si>
    <t>Rates ex ICD do not include pre-carriage of full containers from icd to port of loading unless otherwise specified</t>
  </si>
  <si>
    <t>Cargo described FAK (Freight all kinds) is for straight loads or mixed commodities/consolidated shipments, FAK excludes: Raw Cotton, WastePaper, Metal Scrap, Logs /Lumber,Wood Pulp, KLB, Exhibition Goods, SOT's/Bulk Liquids, Wine and spirits, Tobacco, Temperature Controlled, Horse/Cattle Feed, Animal Feed (Hay, Meals of all kinds, Fish, chicken, Soy etc,), Animal Bedding (Wood Shavings), Rags, Leather Waste, Tin Plate, Steel Coils, Iron/Metal Products Loose, Alloy Scrap, Ore NOS, Carbon Black, Agricultural Products, Bagged and bulk (including but not limited to Grains, wheat, barley, lentils, soybeans, peas, Corn, Dried distilled grain), Hides, Resin and Chemicals, Automobiles, Dried Fruit and Nuts, Plastic Scrap</t>
  </si>
  <si>
    <t>FRT10</t>
  </si>
  <si>
    <t>OWFAS</t>
  </si>
  <si>
    <t>Overweight Freight Additional Surcharge</t>
  </si>
  <si>
    <t>FRT61</t>
  </si>
  <si>
    <t>IDS Prec Additional</t>
  </si>
  <si>
    <t>IDDS Onc Additional</t>
  </si>
  <si>
    <t>Oncarriage Additional Intermodal Door Delivery Surcharge</t>
  </si>
  <si>
    <t>CAR54</t>
  </si>
  <si>
    <t>Essential Terms (“ET”) Number:</t>
  </si>
  <si>
    <t>CMDU#029 D5</t>
  </si>
  <si>
    <t>INBOUND (E &amp; W AFRICA-USA)</t>
  </si>
  <si>
    <t>D-5</t>
  </si>
  <si>
    <t>Import Seal Fee</t>
  </si>
  <si>
    <t>SEA66</t>
  </si>
  <si>
    <t>Term Fee NOS</t>
  </si>
  <si>
    <t>FEW67</t>
  </si>
  <si>
    <t>CTR32</t>
  </si>
  <si>
    <t>Freight Collection</t>
  </si>
  <si>
    <t>Freight Collect Surcharge (Collection Fee)</t>
  </si>
  <si>
    <t>DIS02</t>
  </si>
  <si>
    <t xml:space="preserve">Freight Collection </t>
  </si>
  <si>
    <t>New York, Norfolk, Savannah, Miami</t>
  </si>
  <si>
    <t>Genoa, Livorno, Valencia, Barcelona</t>
  </si>
  <si>
    <t>Container Inspection Fee/Survey Fee</t>
  </si>
  <si>
    <t>LIBERTY</t>
  </si>
  <si>
    <t>VICTORY</t>
  </si>
  <si>
    <t>PAD</t>
  </si>
  <si>
    <t>NEUR (1)</t>
  </si>
  <si>
    <t>NEUR (2)</t>
  </si>
  <si>
    <t>New York, Norfolk, Savannah, Charleston</t>
  </si>
  <si>
    <t>Antwerp, Rotterdam, Bremerhaven, Le Havre</t>
  </si>
  <si>
    <t>Rotterdam, Tilbury, Dunkerque, Le Havre</t>
  </si>
  <si>
    <t>ITALY AMERIGO</t>
  </si>
  <si>
    <t>Livorno, Genoa</t>
  </si>
  <si>
    <t>Rate Restoration Initiative 7</t>
  </si>
  <si>
    <t>Rate Restoration Initiative 8</t>
  </si>
  <si>
    <t>RRI7</t>
  </si>
  <si>
    <t>RRI8</t>
  </si>
  <si>
    <t>RRI07</t>
  </si>
  <si>
    <t>RRI08</t>
  </si>
  <si>
    <t>Arbitrary Surcharge</t>
  </si>
  <si>
    <t>Export BL Documentation Fee - Brazil only</t>
  </si>
  <si>
    <t>Currency Adjustment Factor</t>
  </si>
  <si>
    <t>ACS Export</t>
  </si>
  <si>
    <t>Delivery Order Fee - Special Requirement, Carrier</t>
  </si>
  <si>
    <t>Store door delivery service includes one round trip dray to Merchant's facility (door). Drop and Pull (Drop and Pick) service may be provided in accordance with Carrier's governing tariff. - In the event an uneven flow of full containers to Merchant's facility prevents an empty-container match back, the subsequent return of empty containers is for the Merchant's account.</t>
  </si>
  <si>
    <t>Export Documentation Fees - Carrier</t>
  </si>
  <si>
    <t>Emergency Terminal Congestion Surcharge / Emergency Port Surcharge</t>
  </si>
  <si>
    <t>Forwarding Agent Commission</t>
  </si>
  <si>
    <t>Ghana Freight Tax</t>
  </si>
  <si>
    <t>General Rate Increase</t>
  </si>
  <si>
    <t>Harbor Dues / Port Dues</t>
  </si>
  <si>
    <t>Hazardous Fees (Ocean)</t>
  </si>
  <si>
    <t xml:space="preserve">Intermodal Door Precarriage Additional for </t>
  </si>
  <si>
    <t>Import Documentation / BL fee - Carrier</t>
  </si>
  <si>
    <t>Oncarriage Inland Fuel Charge</t>
  </si>
  <si>
    <t xml:space="preserve">Precarriage Inland Fuel Charge </t>
  </si>
  <si>
    <t>Lift-On Lift-Off Charges Destination</t>
  </si>
  <si>
    <t>Lift-On Lift-Off Charges Origin</t>
  </si>
  <si>
    <t>On-Carriage Haulage</t>
  </si>
  <si>
    <t>On-Carriage to Ramp</t>
  </si>
  <si>
    <t>Pre-Carriage to Ramp</t>
  </si>
  <si>
    <t>Peak Season</t>
  </si>
  <si>
    <t>Peak Season Surcharge 2</t>
  </si>
  <si>
    <t>River Dues and Duties</t>
  </si>
  <si>
    <t>River plate &amp; EIF Surcharge / Congo River Surcharge</t>
  </si>
  <si>
    <t>Origin Terminal Security Charge</t>
  </si>
  <si>
    <t>Terminal Fees, Not Otherwise Specified</t>
  </si>
  <si>
    <t>Tri-Axle / Super Chassis Oncarriage Surcharge</t>
  </si>
  <si>
    <t>Tri-Axle / Super Chassis Precarriage Surcharge</t>
  </si>
  <si>
    <t>Scanning by Customs, incl other examination charges</t>
  </si>
  <si>
    <t>Scanning by Customs, incl other examinations, carrier</t>
  </si>
  <si>
    <t>X-Ray, Carrier</t>
  </si>
  <si>
    <t>River Plate</t>
  </si>
  <si>
    <t>Inland Oncarriage Fuel Charge</t>
  </si>
  <si>
    <t>Inland Precarriage Fuel Charge</t>
  </si>
  <si>
    <t>Hazardous Fees</t>
  </si>
  <si>
    <t>CBP PNW</t>
  </si>
  <si>
    <t>CBP PSW</t>
  </si>
  <si>
    <t>For and on behalf of:</t>
  </si>
  <si>
    <t>As agents for:</t>
  </si>
  <si>
    <t>4h)</t>
  </si>
  <si>
    <t>Freight Collect Fee</t>
  </si>
  <si>
    <t>Charles A. Gender</t>
  </si>
  <si>
    <t>RRI9</t>
  </si>
  <si>
    <t>Rate Restoration Initiative 9</t>
  </si>
  <si>
    <t>RRI09</t>
  </si>
  <si>
    <t>RRI10</t>
  </si>
  <si>
    <t>RRI11</t>
  </si>
  <si>
    <t>Rate Restoration Initiative 10</t>
  </si>
  <si>
    <t>Rate Restoration Initiative 11</t>
  </si>
  <si>
    <r>
      <t xml:space="preserve">If NVOCC resides in the USA, provide FMC License Number:
</t>
    </r>
    <r>
      <rPr>
        <b/>
        <sz val="10"/>
        <color indexed="12"/>
        <rFont val="Times New Roman"/>
        <family val="1"/>
      </rPr>
      <t>Or</t>
    </r>
    <r>
      <rPr>
        <sz val="10"/>
        <color indexed="12"/>
        <rFont val="Times New Roman"/>
        <family val="1"/>
      </rPr>
      <t xml:space="preserve">
If NVOCC resides outside the USA, provide FMC Organization Number:</t>
    </r>
  </si>
  <si>
    <t>Director, Bids and Contracting</t>
  </si>
  <si>
    <t>Signature on File / Bond Rider</t>
  </si>
  <si>
    <t>Where mode = CY, the port listed in the POL/POD column is a placeholder used for internal systems purposes only.  The actual POL/POD will be the place of receipt and transshipment locations will vary depending on</t>
  </si>
  <si>
    <t>the feeder service used without impacting the rate</t>
  </si>
  <si>
    <t>Demurrage - Port (In US ONLY)</t>
  </si>
  <si>
    <t>Demurrage - Rail (In US ONLY)</t>
  </si>
  <si>
    <t>Demurrage (NOT in US)</t>
  </si>
  <si>
    <t>FREE TIME TARIFF TYPE - US (Import Tabs)</t>
  </si>
  <si>
    <t>FREE TIME TARIFF TYPE - US (Export Tabs)</t>
  </si>
  <si>
    <t>CMDU 020, 100,  102</t>
  </si>
  <si>
    <t>OC Multistop</t>
  </si>
  <si>
    <t>Custom clearance dest</t>
  </si>
  <si>
    <t>Custom clearance origin</t>
  </si>
  <si>
    <t>CAR52</t>
  </si>
  <si>
    <t>CUS18</t>
  </si>
  <si>
    <t>CUS17</t>
  </si>
  <si>
    <t>OC Multi Stop</t>
  </si>
  <si>
    <t>On Carriage Multistop</t>
  </si>
  <si>
    <t>Custom clearance destination</t>
  </si>
  <si>
    <t>Local Port Charges Origin</t>
  </si>
  <si>
    <t>LPC01</t>
  </si>
  <si>
    <t>Local Port Charges Destination</t>
  </si>
  <si>
    <t>PSW</t>
  </si>
  <si>
    <t>PNW</t>
  </si>
  <si>
    <t>CBP CAPOD</t>
  </si>
  <si>
    <t>CAPOD</t>
  </si>
  <si>
    <t>CBP EC</t>
  </si>
  <si>
    <t>EC</t>
  </si>
  <si>
    <t>GC</t>
  </si>
  <si>
    <t>Houston, Mobile, New Orleans</t>
  </si>
  <si>
    <t>CBP BAL</t>
  </si>
  <si>
    <t>CBP BOS</t>
  </si>
  <si>
    <t>CBP CHS</t>
  </si>
  <si>
    <t>Busan, Ningbo, Qingdao, Shanghai</t>
  </si>
  <si>
    <t>Xiamen, Kaohsiung, Hong Kong, Yantian</t>
  </si>
  <si>
    <t>Seattle, Tacoma</t>
  </si>
  <si>
    <t>Vancouver, Prince Rupert</t>
  </si>
  <si>
    <t>Charleston, Savannah, Miami, Houston, New Orleans</t>
  </si>
  <si>
    <t>ITALY GULF</t>
  </si>
  <si>
    <t>Livorno, Genoa, Salerno</t>
  </si>
  <si>
    <t>Benghazi, Tripoli LY, El Khoms, Misurata</t>
  </si>
  <si>
    <t>ANZ 1</t>
  </si>
  <si>
    <t>ANZ 2</t>
  </si>
  <si>
    <t>Precarriage Barge</t>
  </si>
  <si>
    <t>Oncarriage Barge</t>
  </si>
  <si>
    <t>PreCarriage Barge - Congestion</t>
  </si>
  <si>
    <t>OnCarriage Barge - Congestion</t>
  </si>
  <si>
    <t>PreCarriage Barge</t>
  </si>
  <si>
    <t>OnCarriage Barge</t>
  </si>
  <si>
    <t>PC Multi Stop</t>
  </si>
  <si>
    <t>Pre Carriage Multistop</t>
  </si>
  <si>
    <t>CAR02</t>
  </si>
  <si>
    <t>PC Multistop</t>
  </si>
  <si>
    <t>PSS3</t>
  </si>
  <si>
    <t>Peak Season Surcharge 3</t>
  </si>
  <si>
    <t>PSS03</t>
  </si>
  <si>
    <t>TG</t>
  </si>
  <si>
    <t>RC</t>
  </si>
  <si>
    <t>TH</t>
  </si>
  <si>
    <t>CAR46</t>
  </si>
  <si>
    <t>CAR96</t>
  </si>
  <si>
    <t>Pre-Carriage Emergency surcharge</t>
  </si>
  <si>
    <t>Pre-Carriage Emergency Intermodal Surcharge</t>
  </si>
  <si>
    <t>On-Carriage Emergency Intermodal Surcharge</t>
  </si>
  <si>
    <t xml:space="preserve">PreCarriage Emergency Intermodal </t>
  </si>
  <si>
    <t>OnCarriage Emergency Intermodal</t>
  </si>
  <si>
    <t>Term Gate In</t>
  </si>
  <si>
    <t>Terminal Gate In Fee</t>
  </si>
  <si>
    <t>Bunker Recovery Charge</t>
  </si>
  <si>
    <t>El Dekheila, Damietta</t>
  </si>
  <si>
    <t>Pre-Carriage Emergency Inland Fuel Surcharge</t>
  </si>
  <si>
    <t>CAR47</t>
  </si>
  <si>
    <t>On-Carriage Emergency Inland Fuel Surcharge</t>
  </si>
  <si>
    <t>CAR97</t>
  </si>
  <si>
    <t>O/C EIFS</t>
  </si>
  <si>
    <t>P/C EIFS</t>
  </si>
  <si>
    <t>P/C Haulage</t>
  </si>
  <si>
    <t>Pre-Carriage Haulage</t>
  </si>
  <si>
    <t>FAK (Freight all kinds) is for cargo loads in carrier provided equipment and are not consolidated cargo shipments.   FAK excludes: Agricultural Products Bagged and bulk (including but not limited to Grains, wheat, barley, lentils, soybeans, peas, Corn, Dried distilled grain, rice), Animal Bedding (Wood Shavings), Animal Feed (Hay, Meals of all kinds, Fish, chicken, Soy etc.), Alloy Scrap, Automobiles, Carbon Black, Cruise Ship Supplies, Dried Fruit and Nuts, Exhibition Goods, Hides, Horse/Cattle Feed, Iron/Metal Products Loose, KLB, Logs/Lumber, Metal Scrap, Ore NOS, Plastic Scrap, Raw Cotton, Resin, SOT's/Bulk Liquids, Steel Coils, Tin Plate, Used Rubber products, Used tires, Waste Paper, Wine and spirits, and Wood Pulp.
Under this provision, rates for Cargo requiring Controlled Temperature protection, cargo which is prohibited by law, cargo of arms and/or ammunition, or articles of extraordinary (high value sensitive cargo) such as works of Art, fine jewelry, Antiques, Deeds, Drafts, precious metals, precious gems/stones, etc. may not be incorporated under Freight All Kinds (FAK).</t>
  </si>
  <si>
    <t>CV Serenity 1</t>
  </si>
  <si>
    <t>Cargo Value Serenity 1</t>
  </si>
  <si>
    <t>CVS01</t>
  </si>
  <si>
    <t>CV Serenity 2</t>
  </si>
  <si>
    <t>CV Serenity 3</t>
  </si>
  <si>
    <t>CV Serenity Personal</t>
  </si>
  <si>
    <t>Cargo Value Serenity 2</t>
  </si>
  <si>
    <t>Cargo Value Serenity 3</t>
  </si>
  <si>
    <t>Cargo Value Serenity Personalized</t>
  </si>
  <si>
    <t>CVS02</t>
  </si>
  <si>
    <t>CVS03</t>
  </si>
  <si>
    <t>CVS00</t>
  </si>
  <si>
    <t>DTC00</t>
  </si>
  <si>
    <t>Doc Amendment Fee</t>
  </si>
  <si>
    <t>Documentation Amendment Fee</t>
  </si>
  <si>
    <t>Algeciras, Barcelona, Genoa, Fos Sur Mer, Valencia</t>
  </si>
  <si>
    <t xml:space="preserve">Piraeus, Limassol </t>
  </si>
  <si>
    <t>EIS Origin</t>
  </si>
  <si>
    <t>EIS Destination</t>
  </si>
  <si>
    <t>Equipment Imbalance Surcharge at Origin</t>
  </si>
  <si>
    <t>Equipment Imbalance Surcharge at Destination</t>
  </si>
  <si>
    <t>ERS05</t>
  </si>
  <si>
    <t>EIS Dest</t>
  </si>
  <si>
    <t>EIS Org</t>
  </si>
  <si>
    <t>On-Carriage Emergency Surcharge</t>
  </si>
  <si>
    <t>Damage Container Risk</t>
  </si>
  <si>
    <t>Damage to Container Risk charge</t>
  </si>
  <si>
    <t>Driver Detention Fee Pre/c</t>
  </si>
  <si>
    <t>Driver Detention Fee at Origin Waiting Hrs</t>
  </si>
  <si>
    <t>CAR03</t>
  </si>
  <si>
    <t>Driver Detention Pre/C</t>
  </si>
  <si>
    <t>Driver Detention Fee On/c</t>
  </si>
  <si>
    <t>Driver Detention Fee at Destination Waiting Hrs</t>
  </si>
  <si>
    <t>CAR53</t>
  </si>
  <si>
    <t>Driver Detention On/C</t>
  </si>
  <si>
    <t>Expedited Port Release</t>
  </si>
  <si>
    <t>GUA09</t>
  </si>
  <si>
    <t>Manual Booking Fee</t>
  </si>
  <si>
    <t>DA030</t>
  </si>
  <si>
    <t>Chassis Admin Fee Pre/C</t>
  </si>
  <si>
    <t>CAR13</t>
  </si>
  <si>
    <t>Chassis Admin Fee On/C</t>
  </si>
  <si>
    <t>CAR63</t>
  </si>
  <si>
    <t>Chassis Administration Fee Pre-Carriage</t>
  </si>
  <si>
    <t>Chassis Administration Fee On-Carriage</t>
  </si>
  <si>
    <t>O/C Exp Rail</t>
  </si>
  <si>
    <t>On-Carriage Expedited Rail</t>
  </si>
  <si>
    <t>CAR84</t>
  </si>
  <si>
    <t>Extra Risk Surcharge (Destination)</t>
  </si>
  <si>
    <t>Extra Risk Surcharge (Origin)</t>
  </si>
  <si>
    <t>Extra Risk (Destination)</t>
  </si>
  <si>
    <t>Extra Risk (Origin)</t>
  </si>
  <si>
    <t>Port Dues Dest</t>
  </si>
  <si>
    <t>Port Dues Destination</t>
  </si>
  <si>
    <t>Port Dues Orig</t>
  </si>
  <si>
    <t>Port Dues Origin</t>
  </si>
  <si>
    <t>POR52</t>
  </si>
  <si>
    <t>Detention Admin Fee</t>
  </si>
  <si>
    <t>Detention Administration Fee</t>
  </si>
  <si>
    <t>DA035</t>
  </si>
  <si>
    <t>LSS IMO2020</t>
  </si>
  <si>
    <t>LSS20</t>
  </si>
  <si>
    <t>Low Sulfur Surcharge IMO2020</t>
  </si>
  <si>
    <t>Carrier Roll Fee</t>
  </si>
  <si>
    <t>FEE18</t>
  </si>
  <si>
    <t>Refer to Boiler Plate for additional rate terms and conditions if any.</t>
  </si>
  <si>
    <t>Pursuant to the attached Excel document and/or the following revisions:</t>
  </si>
  <si>
    <t>Miami</t>
  </si>
  <si>
    <t>PSS4</t>
  </si>
  <si>
    <t>Peak Season Surcharge 4</t>
  </si>
  <si>
    <t>PSS04</t>
  </si>
  <si>
    <t>As legally required, Carrier’s Bill of Lading, Merchant’s statement of containers shipped under this Contract, written communications issued by Carrier regarding such statement, and force majeure correspondence and notices, shall constitute the records supporting performance under this Contract, and shall be maintained by Carrier’s designated agent in the United States of America at the following address:</t>
  </si>
  <si>
    <t>1.     APPLICATION OF CONTRACT</t>
  </si>
  <si>
    <t xml:space="preserve">A.	     This Contract applies with respect to the transportation of Merchant's and its Affiliates’ (as defined herein) commodities (the “Cargo”) listed in one or more appendices attached hereto (the "Appendix" or “Appendices”) between the origin and destination locations listed in the Appendix.  This Contract, its Appendices and exhibits thereto, together with the terms and conditions of Carrier’s standard form bill of lading (including sea waybills, the “Bill of Lading”), Carrier’s governing tariffs and the Carrier’s standard credit terms (if applicable), each as in effect on the date the Cargo is received, embody the entire understanding between the parties.  There are no other agreements, understandings, conditions, warranties or representations, oral or written, express or implied, with reference to the subject matter of this Contract, which are integrated herein.  No modification of this Contract or waiver of any of its terms or conditions shall be of any force of effect unless made in writing by the parties claimed to be bound thereby.  In the event of any conflict among the terms and conditions of this Contract, the Bill of Lading and the Carrier’s applicable tariff(s), the order of governance shall be, first, the Bill of Lading, second, this Contract, and third, the tariff(s).  </t>
  </si>
  <si>
    <t xml:space="preserve">A.	     The term “Merchant” means the entity signing this Contract and its affiliates and subsidiaries named on the signature page thereof or listed in any Appendix to this Contract (the “Affiliates”).  The person signing this Contract on behalf of Merchant warrants and represents that he or she has authority to enter into this Contract on behalf of Merchant and its affiliates/subsidiaries listed on the signature page or any Appendix.  </t>
  </si>
  <si>
    <t>B.	     Merchant, whether a BCO, Merchant’s Association, NVOCC or other entity, is entering into this Contract as an independent contractor and in no event shall be considered an agent of Carrier, either under this Contract or Carrier’s Bill of Lading.  Notwithstanding anything to the contrary, Merchant signing the Contract remains fully responsible for the complete performance of this Contract. The Affiliates and subsidiaries of Merchant, or any third parties entitled to use the Contract, shall be jointly and severally liable for the said performance.</t>
  </si>
  <si>
    <t>C.	     In the event Merchant certifies itself as an NVOCC in compliance with Shipping Act and FMC requirements, and subsequently the license, tariff, and/or bond is suspended or cancelled, Carrier may unilaterally terminate this Contract with immediate effect upon written notice to Merchant.  Alternatively, and in its sole discretion, Carrier may by written notice to Merchant suspend performance of the Contract until such time as Merchant demonstrates to Carrier’s satisfaction that Merchant meets all Shipping Act and FMC licensing, tariff, and financial responsibility requirements.  In the event Carrier elects to terminate this Contract or suspend performance as provided under this paragraph, the Parties’ respective MQCs shall be prorated based on the ratio between the number of days the Contract remained in effect before such termination or suspension and the then-existing Contract term.</t>
  </si>
  <si>
    <t>A.	     Merchant warrants and represents that all entities identified as Affiliates are under at least 50% common ownership or control by reason of being a parent and subsidiary or entities associated with, under common control with, or otherwise related to Merchant through common stock ownership or common directors or officers. Merchant will provide reasonable evidence to prove common ownership or control of the Affiliates listed in this Contract, upon request of Carrier.</t>
  </si>
  <si>
    <t xml:space="preserve">B.	     For a Merchant’s Association, all members entitled to use this Contract must be listed in the Affiliate Appendix attached hereto.   </t>
  </si>
  <si>
    <t>A.	     Merchant agrees to tender for shipment on vessels of Carrier during the term of this Contract a MINIMUM quantity of containers as stated in the attachments hereto (hereinafter referred to as the “Minimum Quantity Commitment” or “MQC”).  The volume tendered by Merchant in excess of the MQC will be subject to Carrier’s approval at time of booking.  Should Merchant fulfill the above noted MQC prior to the Contract expiration, Carrier reserves the right to terminate the Contract immediately upon its fulfillment.</t>
  </si>
  <si>
    <t>B.	     Carrier and Merchant recognize that breach of the MQC causes not only loss of freight to Carrier but also instability, adverse impact on Carrier’s marketing, logistics, and stowage planning and that a precise quantification of these damages is difficult to calculate.  Accordingly, in order to avoid the difficulty and expense of proving actual losses, the parties agree that in lieu of all damages relating to the obligations of Merchant with respect to the MQC, liquidated damages shall be assessed as follows: If Merchant fails to tender the MQC specified in this Contract, Carrier shall invoice Merchant and Merchant agrees to pay to Carrier liquidated damages on the difference between the quantity of containers actually shipped and the MQC at the rate of U.S.$250 per TEU. The total of any amounts due hereunder shall be paid directly to Carrier within thirty (30) days following written notification by Carrier.</t>
  </si>
  <si>
    <t xml:space="preserve">B.	     In the event that Carrier is unable to offer space on a particular vessel and Merchant has given sufficient notice as specified herein, the MQC will be reduced by the quantity of containers tendered but not carried on Carrier’s vessel. </t>
  </si>
  <si>
    <t>C.	     In the event that Carrier has modified or restructured the service provided within the terms of this Contract, Carrier shall notify Merchant at least fifteen (15) days prior to the occurrence of such modification.  In cases where such modification shall create additional costs to Carrier to comply with the terms of the Contract, Carrier and Merchant shall agree upon and reduce to writing a new applicable rate, which shall be filed with the FMC.  However, this Contract shall remain in force for the Origin(s) or Destination(s) not affected by the restructuring of the services and the obligation of Merchant to meet the MQC shall be reduced pro rata to the volume carried within the affected Origin or Destination.</t>
  </si>
  <si>
    <t xml:space="preserve">D.	     The reduction in MQC herein shall be the exclusive remedy available to Merchant for Carrier’s failure to provide space or to comply with Carrier service commitment as stated herein.  </t>
  </si>
  <si>
    <t>E.	     Carrier shall not be liable to Merchant for any direct, indirect, consequential or other damages relating to Cargo delayed or not transported due to lack of available space or restructuring of any services defined herein.</t>
  </si>
  <si>
    <t xml:space="preserve">A.	     The Contract rates shall be as stated in the Appendices attached hereto.  The rates in this Contract shall be subject to increase by the amount of any increase published in Carrier’s governing tariff(s) applicable to any or all commodities/routings covered by this Contract.  Said increase shall be applied by Carrier automatically and Merchant consents to Carrier filing an amendment to this Contract with the FMC reflecting said increases, without any further signature or consent of Merchant.  
</t>
  </si>
  <si>
    <t xml:space="preserve">B.	     If rates are increased through application of this paragraph at any time during the term of the Contract, Merchant may in its discretion (a) request a negotiation in good faith regarding a reduction of the increase in this Contract, or (b) terminate the Contract upon thirty (30) days’ written notice to Carrier.
</t>
  </si>
  <si>
    <t xml:space="preserve">C.	     For rates to or from ports within the European Economic Area (the “EEA”), Carrier may request to increase the rates at any time during the term of this Contract, upon thirty (30) days prior written notice to Merchant.  The increased rates shall be applied by Carrier automatically and Merchant consents to Carrier filing an amendment to this Contract reflecting the new rates, without any further signature or consent of Merchant.  However, Merchant may, in its discretion, choose to either: (a) request a negotiation in good faith regarding a reduction of the increase in the Contract rates; or (b) remove the affected rates from the Contract upon thirty (30) days’ written notice to Carrier.
</t>
  </si>
  <si>
    <t xml:space="preserve">D.	     The following conditions shall apply to all rates contained herein, unless otherwise specified in the Appendices:
i.	     Cargo shall be rated as “Freight All Kinds” or “F.A.K.” unless: (1) specifically excluded at Note 4 in the rate appendix; (2) specifically excluded by rule in the applicable tariff; or (3) subject to a specific bullet rate (i.e., by commodity description and, for Non-Vessel Operating Common Carrier Service Contracts, the qualified named account).
ii.	     Rates will be applied on a per container basis and are applicable for port to port shipments only, unless an inland point is noted as the origin or destination in the rate appendices.  
iii.	     Rates are applicable to Carrier-owned standard dry equipment only and shall not be applied to any Cargo requiring special equipment or handling.  Rates are subject to equipment availability at origin, without repositioning.  The maximum authorized payload for equipment shall be as per tariff and state and local regulations.  Triaxle charges will be applied when applicable, as per Carrier’s tariff.
iv.	     Dangerous or hazardous Cargo is subject to Carrier’s approval prior to booking.  Hazardous Cargo surcharges shall apply to CY - CY shipments, plus an additional hazardous surcharge shall apply for intermodal moves in the U.S., where applicable.
v.	     Any rate or surcharge which must be mutually agreed (including language such as “as per mutual agreement”) must be agreed by the date of implementation of such rate or surcharge in Carrier’s tariff.  Otherwise, Carrier’s full tariff rate or surcharge will apply.
</t>
  </si>
  <si>
    <t>A.	     Except as may otherwise be provided in this Contract, all shipments moving hereunder shall be subject to all other rules, terms, conditions, charges and surcharges set forth in Carrier’s governing tariff(s) and in effect at the time of shipment.</t>
  </si>
  <si>
    <t xml:space="preserve">B.	     Notwithstanding any other provision of this Contract, including but not limited to any “No General Rate Increase” or “No New Surcharges” clause, Merchant shall be subject to any rule in the Carrier’s published tariff(s) establishing a charge relating to any of the following circumstances or charges arising or taking effect subsequent to the effective date of this Contract:  a strike, lockout, work stoppage, or other labor unrest; origin or destination port or inland congestion; security requirements or costs, taxes, fees, or charges levied by any federal, state, or local government entity, or by any port or harbor authority; increased transportation costs resulting from federal, state or local legislative or regulatory action, including action by any port or harbor authority; or clean air requirements.  Carrier shall notify Merchant of the imposition of such charges in accordance with applicable statute and regulation.  </t>
  </si>
  <si>
    <t>9.	     U.S.-FLAG GOVERNMENT IMPELLED CARGO</t>
  </si>
  <si>
    <t>Merchant shall not tender to Carrier any Military and U. S. Government Agency Household Goods, U.S. flag impelled government and/or military Cargo, U.S. government sponsored Cargo, Humanitarian Aid/Emergency Relief Cargo, and Project Cargo of the type described in CFR 520.2 (collectively “U.S.-flag Government Impelled Cargo).  If Carrier has reason to suspect that Merchant has tendered U.S.-flag Government Impelled Cargo to Carrier under this Contract, Merchant shall allow Carrier to audit Merchant’s documentation related to such shipments, including but not limited to any house bills of lading, commercial invoices, and packing lists related thereto.  Shipments found to be in violation of this rule will be subject to a liquidated damage as set forth in Carrier’s governing tariff, and all other tariff terms and conditions will also apply to the shipment.</t>
  </si>
  <si>
    <t>10.	     VERIFICATION OF CONTRACT CARRYINGS</t>
  </si>
  <si>
    <t xml:space="preserve">A.	     Merchant or one of its Affiliates listed herein must appear as shipper or consignee on the Bill of Lading.  Merchant or its Affiliate may only appear solely as "Notify" party on the Bill of Lading if the Bill of Lading is consigned "To Order."
</t>
  </si>
  <si>
    <t xml:space="preserve">B.	     Each Bill of Lading governing individual shipments under this Contract and all copies thereof shall bear the notification of the Service Contract Number.  Merchant and Carrier agree that the Contract rates cannot be applied to shipments unless the Bill of Lading contains a reference to the unique contract number for this Contract, unless Merchant produces evidence clearly indicating an error or omission and proof sufficient to justify rating the shipment under this Contract.  
</t>
  </si>
  <si>
    <t xml:space="preserve">C.	     If Merchant has certified itself to be an NVOCC, Carrier reserves the right to perform an audit of all shipments made under this Contract.  Upon a request from Carrier, Merchant shall provide documentation to evidence that Merchant was acting as an NVOCC for all shipments made under this Contract and that any shipments made using a rate for a named account were performed on behalf of the named account.  If Merchant fails to provide this information to Carrier within fourteen (14) days after request, Carrier may terminate the Contract for cause and liquidated damages may be assessed according to Term 4 hereof.  
</t>
  </si>
  <si>
    <t>11.	     MANIFEST CHANGES OR CORRECTIONS</t>
  </si>
  <si>
    <t>If Merchant requests any changes to the Bill of Lading, manifest, or other documentation, and Carrier accepts to make changes in accordance with those instructions, Merchant agrees to indemnify and hold Carrier, its underwriters, subsidiaries, agents, and all of their representative directors and employees harmless in respect of any liability, loss, penalty, cost, or damage of any kind arising out of or relating to the change, including any penalties or fines that may be assessed by governmental authorities and any additional costs that may be incurred in connection with the change.</t>
  </si>
  <si>
    <t>A.	     Store door delivery service includes one round trip dray to Merchant's facility (door).  Drop and Pick service may be provided in accordance with Carrier's governing tariff.  In the event an uneven flow of full containers to Merchant's facility prevents an empty-container match back, the subsequent return of empty containers is for the Merchant's account.</t>
  </si>
  <si>
    <t>B.	     In the event Carrier has agreed to provide drayage services as part of a through Bill of Lading from the port of discharge, container yard or rail ramp (as applicable) to the Merchant’s door (a “Carrier Haulage Move”) using one of Carrier’s house motor carriers, and Carrier is unable to perform the Carrier Haulage Move for any of Merchant’s Cargo for any reason prior to its last demurrage free day, then on or before the last demurrage free day Carrier shall notify Merchant of its inability to perform the Carrier Haulage Move and will provide Merchant with an additional 24 hours of demurrage free time.  Merchant shall then have the option to either: 1) ask Carrier to hold the Cargo at the port, container yard or rail ramp (as applicable) after the expiration of free time with all additional costs, including but not limited to increased drayage costs, storage, detention and demurrage, relating to the Cargo to be solely for Merchant’s account; or 2) convert the transportation from a Carrier Haulage Move to a port, container yard or rail ramp delivery (as applicable, a “Merchant Haulage Move”) at Merchant’s sole cost and expense.  In case Merchant chooses option 2), no change of destination fee will be applicable and the port, container yard or rail ramp where the Cargo is delivered will be considered the final place of delivery (“FPD”) for the Cargo and Carrier shall bill Merchant at the rate applicable to the new FPD if one is available in this Contract.  In case no rate applicable to the new FPD is available in this Contract, Carrier shall rate the shipment per the applicable through-rate included in this Contract, and then credit the Merchant’s account in the amount Carrier would have paid its house motor carrier to perform the drayage services as a Carrier Haulage Move, as full compensation for Merchant’s cost in procuring transportation services for the Merchant Haulage Move.</t>
  </si>
  <si>
    <t>C.	     Notwithstanding any other provision of this Contract, if Carrier agrees to utilize Merchant’s preferred motor carrier for a Carrier Haulage Move, and Merchant’s nominated motor carrier is unable to perform the Carrier Haulage Move for any of Merchant’s Cargo for any reason prior to its last demurrage free day, Carrier reserves the right to: (1) nominate a house motor carrier to perform the Carrier Haulage Move; or (2) convert the transportation service to a Merchant Haulage Move.   In either case, all additional costs, including but not limited to increased motor carrier costs, storage, detention, and demurrage, relating to the Cargo shall be solely for Merchant’s account.</t>
  </si>
  <si>
    <t xml:space="preserve">D.	     For live-unload Carrier Haulage Moves, Merchant will be charged a driver wait time fee if the driver’s wait time at the Merchant’s facility exceeds the amount allowed, as stated in Carrier’s governing tariff.  </t>
  </si>
  <si>
    <t>13.	     CHASSIS</t>
  </si>
  <si>
    <t>A.	     Carrier will not provide a chassis for Merchant Haulage Moves; Merchant must secure an appropriate chassis at its own expense prior to receiving containers (empty or loaded).</t>
  </si>
  <si>
    <t>B.	     Carrier may – at its sole discretion – provide a chassis at any U.S. location subject to a Chassis Provision Charge (CPC) as per Carrier’s governing tariff or Appendix attached hereto.  Carrier reserves the right to suspend or terminate the availability of chassis at any facility or location at any time.</t>
  </si>
  <si>
    <t>C.	     Notwithstanding any other provision of this Contract, to the extent Carrier has agreed to provide chassis to Merchant under this Contract for Merchant Haulage Moves, or to pay or absorb, directly or indirectly, the costs of chassis used for Merchant’s containers (including by providing that rates herein are inclusive of such costs), such agreement shall not be construed as a guarantee of chassis supply to Merchant. Unless specifically agreed herein, Carrier will not be responsible to provide chassis to Merchant at any particular time or in any particular quantity. Any costs resulting from or arising out of chassis unavailability, including but not limited to demurrage or storage costs, shall be the sole responsibility of Merchant.</t>
  </si>
  <si>
    <t>D.	     For Carrier Haulage Moves, Equipment charges and free time shall be inclusive of chassis usage unless otherwise stated in the Appendices attached hereto.</t>
  </si>
  <si>
    <t>14.	     FREE TIME</t>
  </si>
  <si>
    <t>15.	     PORT SECURITY</t>
  </si>
  <si>
    <t>A.	     Notwithstanding any provision to the contrary in this Contract or any governing publication, including any limitation or restriction on the application of new surcharges during the term of this Contract, the parties agree that any charge or surcharge relating to costs incurred in connection with newly established security requirements (whether established by law, statute, regulation, or by a service provider to Carrier) applicable to or relating to any portion of the transportation and related services provided under this Contract shall apply.  In this regard, Merchant agrees to reimburse Carrier in full for any and all costs associated with shifting discharging and loading containers in conjunction with customs inspection of any of the Cargoes carried pursuant to this Contract.  It is understood that the said charges shall apply to the extent they are published in a publication governing this Contract at any time during the term of the Contract.</t>
  </si>
  <si>
    <t xml:space="preserve">B.	     Merchant certifies that it will adhere to the provisions of the Maritime Transportation Security Act of 2002 and that in the event of any failure to do so it will indemnify, defend and hold Carrier harmless in the event of any claims, delays or penalties resulting from Merchant’s failure to comply with the provisions of said Act.
</t>
  </si>
  <si>
    <t>16.	     FLEXI TANKS</t>
  </si>
  <si>
    <t xml:space="preserve">In the event that any shipment is transported via flexi-tanks or bladders, Merchant shall comply with the Container Owner Association (COA) Recommended Code of Practice for Flexi-tanks and all shipments shall be properly insured by Merchant.  Merchant  shall be liable for and shall fully indemnify Carrier, its underwriters, agents, subcontractors, and the Vessel and her owners and operators, from and against any and all damages, liabilities, or expenses arising from carriage of Cargo in flexi-tanks or bladders, including, but not limited to:  containment and / or clean-up costs, repairs, replacements, third-party damages, civil or criminal penalties, and / or consequential or indirect damages and claims arising from leakage, spillage or inadvertent release. </t>
  </si>
  <si>
    <t>17.	     RAMP</t>
  </si>
  <si>
    <t>At Carrier’s discretion, the term “Ramp” may be defined as either a container yard operated by the railroad adjacent to a railroad siding or an alternative container yard within the same metropolitan area.  In either case, Carrier’s governing tariff related to storage fees will apply.</t>
  </si>
  <si>
    <t>18.	     MERCHANT POOLS</t>
  </si>
  <si>
    <t>In the event Merchant requests for Carrier to provide it with a certain number of empty containers and, if applicable, chassis (referred to collective in this clause as the “Equipment”), to be transported by Merchant and stored at its owned or operated facility for use on future bookings with Carrier (a “Merchant Pool”), and Carrier agrees to provide Equipment for use in Merchant Pool, the following conditions will apply:</t>
  </si>
  <si>
    <t xml:space="preserve">i.	     Merchant, for itself, its agents, employees, representatives and its and their motor or rail carriers, shall comply with all applicable rules, regulations, laws and ordinances related to Merchant’s use of the Equipment which is included in Merchant Pool, including the loading, unloading and transportation of Cargo.  Additionally, Merchant will only allow interchange of Equipment to or from Merchant Pool to motor carriers who have executed and continue to maintain a Uniform Intermodal Interchange Agreement (UIIA) on file with IANA, and who meet the requirements of Carrier’s UIIA Addendum Agreement.  At Carrier’s request, Merchant shall provide a written indemnification of the motor carrier’s license with the IANA and the motor carrier’s written guarantee of its adherence to all applicable IANA rules and regulations.   </t>
  </si>
  <si>
    <t>ii.	     Merchant shall take all reasonable care to protect the Equipment from, loss, damage, destruction, or theft while the Equipment is in Merchant’s, its agent’s, employee’s, representative’s or motor carrier’s possession or control.  Merchant shall indemnify, defend and hold harmless Carrier, its agents, affiliates and subsidiaries from and against any and all damages, claims, costs, penalties, expenses or fees (including reasonable attorney’s fees) as they relate to the use of the Equipment by Merchant, its agents, employees, representatives and its or their motor carriers.  Without limiting the foregoing, this indemnification obligation shall include, but is not limited to, bodily injury, property damage, freight claims, storage charges, ways of lading, released valuation, adherence to all port rules and requirements, and all claims, losses and damages resulting from the failure of any motor carrier to have a UIIA on file, including attorney’s fees and costs, and agrees to indemnify, defend, and hold harmless Carrier from any fines, damages, costs or causes of action which may result from its motor carrier’s failure to adhere to the IANA rules and regulations.</t>
  </si>
  <si>
    <t>19.	     CUSTOMS TRADE PARTNERSHIP AGAINST TERRORISM (CTPAT)</t>
  </si>
  <si>
    <t>A.	     Merchant, on behalf of itself and each Affiliate, represents and warrants that either:</t>
  </si>
  <si>
    <t>i.	     It is a participating member of U.S. Customs and Border Protection’s CTPAT program or an equivalent World Customs Organization (“WCO”) accredited security program administered by a foreign customs authority, such as Authorized Economic Operator (“AEO”), Secure Export Scheme, Golden List, or Partners in Protection; or
ii.	     If not a participant in such a program, it maintains adequate supply chain security measures appropriate to the business in which it is engaged and agrees to cooperate with any reasonable requests from Carrier for information relating to such measures.</t>
  </si>
  <si>
    <r>
      <t xml:space="preserve">B.     If Merchant or any Affiliate is a participating C-TPAT or equivalent WCO member, Merchant and/or its Affiliate should send Carrier a request via the C-TPAT Portal at </t>
    </r>
    <r>
      <rPr>
        <u/>
        <sz val="12"/>
        <color rgb="FF0033CC"/>
        <rFont val="Times New Roman"/>
        <family val="1"/>
      </rPr>
      <t>http://ctpat.cbp.dhs.gov/trade-web/index</t>
    </r>
    <r>
      <rPr>
        <sz val="12"/>
        <rFont val="Times New Roman"/>
        <family val="1"/>
      </rPr>
      <t xml:space="preserve"> to monitor Carrier’s C-TPAT status and allow Carrier to monitor the C-TPAT status of Merchant and/or its Affiliate.</t>
    </r>
  </si>
  <si>
    <t>20.	     BUSINESS ETHICS</t>
  </si>
  <si>
    <t>A.	     Merchant undertakes to comply with all applicable laws, regulations and rules including, but not limited to, those relating to competition matters, applicable customs regulations and compliance and ethics mandates set forth below.  Merchant shall assure that all of its owners, directors, officers, employees, agents, subcontractors and representatives (hereinafter referred to as "Representatives") shall likewise comply with such applicable laws, regulations and rules. Merchant further warrants that it, and all of its Representatives shall at all times fully comply with the CMA CGM Group Third Party Code of Conduct, a copy of which is available on the CMA CGM Group corporate website.</t>
  </si>
  <si>
    <t xml:space="preserve">B.	     Economic Sanctions – Embargos.	   Merchant, for itself and each of its Affiliates listed in this Contract, warrants it (they) will comply with all restrictions and / or prohibitions of commercial transactions under statute, regulation, rule, or other such rulings published by a relevant governmental entity, including but not limited to the United States, European Union, the United Nations, and / or any country which Cargo may be transported under this Contract to, from, through or over.    Merchant further warrants and represents that no entity named as an Affiliate herein has been identified and/or listed by the United States, European Union, or United Nations as a “Blocked Person,” “Denied Person,” or “Specially Designated National,” or is otherwise subject to prohibition of commercial transactions under statute, regulation, rule or other rulings published by the United States, European Union, or United Nations. </t>
  </si>
  <si>
    <t>Carrier warrants it will comply with all applicable restrictions and / or prohibitions of commercial transactions under statute, regulation, rule, or other such rulings imposing specific duties or obligations upon ocean common carries with respect to such commercial transactions, and published by a relevant governmental entity, including but not limited to the United States, European Union, the United Nations, and / or any country which Cargo may be transported under this Contract to, from, through or over.  Carrier hereby undertakes to indemnify and hold Merchant, its servants, agents  and/or Affiliates harmless from or with respect to any claim, fines, expenses, costs or legal expenses whatsoever that may be incurred or sustained by Merchant, its officers, directors, employees, subsidiaries, servants, agents or affiliates, arising directly or indirectly from Carrier’s breach of the foregoing warranties.</t>
  </si>
  <si>
    <t>C.	     Anti-Corruption Laws.	Merchant, for itself and each of its Affiliates listed in this Contract, represents and warrants to comply with the provisions of the United Nations Convention against corruption (2005), the U.S Foreign Corrupt Practices Act of 1977 and the UK Bribery Act of 2010 and other analogous anti-corruption legislation in other jurisdictions where the parties do business or which otherwise apply to the parties (hereinafter referred to as the “Anti-Corruption Laws”). 
For purposes of this Section 20(C), "Person" means any physical or legal person, including but not limited to any government official or employee of a government agency or government owned business or a person employed or functioning in the private sector.</t>
  </si>
  <si>
    <t xml:space="preserve">Merchant, and each of its Affiliates, represents, warrants, and undertakes that it and all of its Representatives will not:
i.	          give, or offer to give, directly or indirectly, money or anything else of value in any form to any Person to secure a business advantage, to obtain or retain business or to direct business to or away from any person/entity to benefit the Merchant, or any Affiliate,
ii.	          accept, receive or agree to accept or receive, directly or indirectly, any money, or anything else of value in any form, from any Person, to secure a business advantage, to obtain or retain business or to direct business to any person/entity or away from any person/entity to benefit the Merchant or any Affiliate; and
iii.	          provide any facilitation (“grease”) payment to any government official or employee of a government agency (including government-owned businesses) to expedite routine government actions that the official or employee is already bound to perform. </t>
  </si>
  <si>
    <t>Furthermore, Merchant shall immediately inform the Carrier of any conviction, or investigation proceedings initiated against Merchant, or any Affiliate, or any of its Representatives.  Merchant, or any Affiliate, warrants that it has and undertakes that it shall continue to update and maintain during the term of this Contract a comprehensive internal compliance program under which Merchant’s Representatives are required to comply with all applicable local and international anti-bribery and anti-corruption laws and regulations, and that its Representatives are regularly trained on the requirements of Merchant’s compliance program.</t>
  </si>
  <si>
    <t xml:space="preserve">Merchant, and each of its Affiliates, shall, at its own cost, maintain adequate and accurate books and records that accurately and fairly reflect transactions and asset disposals with respect to Merchant’s performance of its obligations under this Contract, including records of payments made by or to, and expenses incurred by the Carrier in relation to this Contract, and shall retain these records until the later of (i) two (2) years after expiry or termination of this Contract, or (ii) as required by applicable laws. </t>
  </si>
  <si>
    <t xml:space="preserve">Merchant, and each of its Affiliates, further agrees that it will not take any action which would cause either party to be in violation of the Anti-Corruption Laws. </t>
  </si>
  <si>
    <t>D.	     Sustainability.		     Merchant, for itself and each of its Affiliates listed in this Contract, represents and warrants to observe internationally accepted treaties relating to the protection of human rights; observe conditions of labor not less favourable than those conditions established by applicable laws; not use child or forced labor; and not engage in any activity which amounts to discrimination on the basis of race, ethnicity, color, national origin, sex, disability, veteran status or age.
Merchant, for itself and each of its Affiliates listed in this Contract, further represents and warrants to comply with all applicable health, safety, and environmental regulations, including systemic risk assessment and prevention measures, notably but not limited to the following policies: personal protective equipment, injury/illness management, adequate training and competencies, hazardous/dangerous substances management, prevention of significant pollution risks (soil, air, water, etc.), responsible use of materials and energy.</t>
  </si>
  <si>
    <t>E.	     Audit Rights.	     Carrier reserves its right to audit the compliance of Merchant’s activities with the foregoing representations and warranties.  In case of breach of any of the above representations and warranties, Carrier may suspend or terminate the Contract, at any time, without notice or indemnity.  Merchant will, at its own expense, indemnify and hold Carrier, its affiliates, officers, directors, employees, agents and third-party subcontractors, harmless from and against any expense, cost, claim, fine, loss, liability and legal expenses (including attorney’s fees and court costs) arising out of or resulting from the acts or omissions of Merchant and/or its Affiliate breaching the above representations and warranties.</t>
  </si>
  <si>
    <t>21.	     DATA AND COMMUNICATIONS</t>
  </si>
  <si>
    <t>A.	     Description of the Transfer.	     Carrier may collect, process, store and transmit data relating to Merchant (including its listed Affiliates).  Such information may include, without limitation, the Merchant’s name, contact details (email, telephone number, fax number, address and the like), as well as information relating to Merchant’s vendors, contractors, agents and customers (collectively “Information”).
Carrier may use any or all of the address information so provided to communicate with Merchant via fax, email, phone, mail or in person.  The purpose of such communications may include, without limitation: a) provision of services to Merchant, b) notification of important changes, improvements or opportunities relating to Carrier’s services (including advertisements and promotions, new service announcements and other cost saving opportunities) and/or c) discussion of other issues relating to Merchant’s logistics or transportation needs.
Carrier may disclose the Information from time to time to certain third parties, including, without limitation, (i) affiliates, vendors, agents and subcontractors that perform services for Carrier, ii) government authorities, or iii) those parties with a need to know in the event that, in Carrier’s good faith belief, a disclosure is necessary to protect its legal rights.
In addition, Carrier may transfer such Information to a successor entity upon a merger, consolidation or other corporate reorganization in which Carrier participates or to a purchaser of all or substantially all of Carrier’s assets.</t>
  </si>
  <si>
    <t xml:space="preserve">B.	     Lawfulness of Processing.	     Merchant and Carrier commit to satisfy the necessary condition of lawfulness for the collection, the processing and the transfer of personal data in accordance with the applicable data protection law.  Carrier processes the data in accordance with the CMA CGM Group Binding Corporate Rules, a copy of which is available on the CMA CGM Group corporate website. </t>
  </si>
  <si>
    <t>C.	      Data Subject’s Rights.	     Both parties commit to responding to requests for exercising data subjects’ rights.  Where it is necessary, each party shall notify the other party in writing of any data subject request.</t>
  </si>
  <si>
    <t xml:space="preserve">D.	     Resolution of Disputes with Data Subjects or the Data Protection Authorities.	     In the event of a dispute or claim brought by a data subject or a data protection authority concerning the processing of the personal data against either or both of the parties, the parties will inform each other about any such disputes or claims and will cooperate with a view to settling them amicably in a timely fashion. </t>
  </si>
  <si>
    <t xml:space="preserve">E.	     Security and Confidentiality.	     Each party commits to implementing appropriate technical and organizational measures to ensure and to be able to demonstrate that processing is performed in accordance with applicable data protection regulations. </t>
  </si>
  <si>
    <t>F.	     Liability.	     Each party shall perform its obligations under these clauses at its own cost. Each party shall be liable to the other party for damages it causes by any breach of these clauses. Each party shall be liable to data subjects for damages it causes by any breach of data subjects’ rights under these clauses.</t>
  </si>
  <si>
    <t>G.	     Transparency.	     Each party shall make available to the other party all information necessary to demonstrate compliance with its obligations under these clauses.</t>
  </si>
  <si>
    <t>H.	     Termination.	     In the event of termination of this Contract, each party must return all personal data transferred to it by the other party or destroy all copies of the same unless it is prevented by its national law or local regulator from destroying or returning all or part of such data, in which event the data will be kept confidential and will not be actively processed for any purpose.</t>
  </si>
  <si>
    <t xml:space="preserve">22.	     FORCE MAJEURE                           </t>
  </si>
  <si>
    <t>A.	     In the event of force majeure circumstances, the party affected by and claiming force majeure shall notify the other party in writing within seven (7) working days of the existence of such circumstances, specifying the effect of those circumstances on the party’s ability to perform its obligations hereunder. Upon receipt of notice of force majeure conditions, the party affected and claiming force majeure shall be excused from its obligations, excepting obligations for payment, under this Contract to the extent of and for the duration of the disability.</t>
  </si>
  <si>
    <t>B.	     For the purpose thereof, the term force majeure shall mean and include, without reservation or restriction, strikes, lock-outs or exceptional circumstances arising from the threat thereof, acts of God, state or public enemy, including but not limited to war, riots, civil disorder and insurrection, embargo or other disruption or interference with trade, act of the Prince, marine disaster, severe weather condition, fire, explosion, or other casualty, and any unforeseen event beyond the control of the parties of whatever nature and however caused which materially affect business of trading conditions and/or the supply or demand for the services of Carrier or the Cargo of Merchant.</t>
  </si>
  <si>
    <t>C.	     In the event that Carrier is prohibited by the U.S. Customs Service, or other governmental entity,  from loading or unloading some or all of the Cargo on a particular vessel and such prohibition is not due to any act or omission of Carrier, then such prohibition shall constitute an event that shall relieve Carrier from responsibility for any and all delay, damage, injury and expense suffered or incurred as a result thereof including, but not limited to, breaches of service commitments and/or transit time guarantees. All extra charges or expenses incurred as a result of such prohibition are for Merchant’s account.</t>
  </si>
  <si>
    <t>23.	     INSURANCE</t>
  </si>
  <si>
    <t xml:space="preserve">Carrier shall obtain and maintain, throughout the term of this Contract and at its sole expense and discretion, insurance cover as per international and/or national regulations, with limits consistent with standard market practices.   Carrier may subscribe such insurance with P&amp;I Clubs members of International Group Association or any other underwriter providing equivalent insurance conditions.
</t>
  </si>
  <si>
    <t>24.	    LAW AND JURISDICTION</t>
  </si>
  <si>
    <t>This Contract shall be subject to the U.S. Shipping Act of 1984, as amended by the Ocean Shipping Reform Act of 1998 (“OSRA”) and shall otherwise be construed and governed in accordance with the applicable law, jurisdiction, and choice of forum identified within the Carrier’s Bill of Lading.  Notwithstanding the foregoing, Carrier may choose to bring suit for any dispute arising under or relating to this Contract in the United States District Court for the Eastern District of Virginia and Merchant agrees to submit to the jurisdiction of this court.</t>
  </si>
  <si>
    <t>25.	     TERMINATION</t>
  </si>
  <si>
    <t>A.	     Except as otherwise provided, this Contract may be terminated by mutual agreement at any time, or by either party on thirty (30) day’s written notice to other party.  If Merchant terminates the Contract before the end of the Contract period having not tendered the MQC, Merchant shall be liable to pay liquidated damages as provided for herein.</t>
  </si>
  <si>
    <t xml:space="preserve">B.	     Carrier may terminate this Contract, with cause and immediately upon written notice: 1) as a result of Merchant’s non-compliance with respect to any representation or warranty, including, but not limited to:  expiry, termination, or other invalidation of  a Bond or License of an NVOCC-certifying Merchant has expired, been terminated, or otherwise invalidated by the FMC; a BCO-certifying Merchant markets, sells, assigns, or allows use of  this Contract by entities not designated as Affiliates; 2) due to Merchant’s violation or alleged violation of any applicable law or 3) if Merchant suffers a material adverse change in its financial condition subsequent to the date hereof or defaults, or suffers an event that with the passage of time would constitute a default, in respect of any obligation for borrowed money, whether as a borrower, guarantor or otherwise. 
</t>
  </si>
  <si>
    <t>C.	     Carrier may terminate this Contract, with cause after giving thirty (30) days’ notice if Merchant breaches any term of this Agreement and such breach has not been cured within the thirty (30) day period after receiving notice of the breach from Carrier.</t>
  </si>
  <si>
    <t xml:space="preserve">D.	     If Carrier terminates the Contract before the end of the period for cause as described above, Merchant shall be liable to pay liquidated damages as provided for herein. </t>
  </si>
  <si>
    <t>26.	     CONFIDENTIALITY</t>
  </si>
  <si>
    <t>B.	     In no case will Merchant or Carrier disclose Contract terms and conditions of the Contract to another Carrier in the trade.</t>
  </si>
  <si>
    <t>27.	     ASSIGNMENT</t>
  </si>
  <si>
    <t>A.	     Merchant may not assign this Contract, including any or all its rights or liabilities hereunder, or to otherwise permit any other person or entity, directly or indirectly to utilize services, rates, or other terms provided by Carrier hereunder, without the prior written consent of Carrier.</t>
  </si>
  <si>
    <t>B.	     Notwithstanding the above, Carrier may assign its rights under this Contract and subcontract any portion of carriage, whether ocean or intermodal or otherwise, for Cargoes carried under its Bill of Lading.</t>
  </si>
  <si>
    <t>28.	     WRITTEN NOTICE</t>
  </si>
  <si>
    <t>Written notice by either party shall be deemed to have been duly served on the other party if delivered in person or by registered mail, courier or electronic mail to the other party’s address on the signature page of this Contract or, if such has been changed subsequent to the execution of this Contract, to the last business address known to the party serving notice.</t>
  </si>
  <si>
    <r>
      <t xml:space="preserve">Term 10       </t>
    </r>
    <r>
      <rPr>
        <sz val="10"/>
        <rFont val="Times New Roman"/>
        <family val="1"/>
      </rPr>
      <t xml:space="preserve">                                    Merchant Certification:</t>
    </r>
  </si>
  <si>
    <t>Merchant Name:</t>
  </si>
  <si>
    <r>
      <t xml:space="preserve">     WHEREAS,</t>
    </r>
    <r>
      <rPr>
        <sz val="12"/>
        <rFont val="Times New Roman"/>
        <family val="1"/>
      </rPr>
      <t xml:space="preserve"> Carrier and Merchant hereby agree to amend the Contract as defined herein.</t>
    </r>
  </si>
  <si>
    <r>
      <t xml:space="preserve">     </t>
    </r>
    <r>
      <rPr>
        <b/>
        <sz val="12"/>
        <rFont val="Times New Roman"/>
        <family val="1"/>
      </rPr>
      <t>NOW THEREFORE,</t>
    </r>
    <r>
      <rPr>
        <sz val="12"/>
        <rFont val="Times New Roman"/>
        <family val="1"/>
      </rPr>
      <t xml:space="preserve"> intending to be legally bound Carrier and Merchant hereby agree that this Amendment shall amend the Contract as follows:</t>
    </r>
  </si>
  <si>
    <t>Term 4                                                                                         MQC:</t>
  </si>
  <si>
    <t>Term 8                                                         Contract Effective Date:</t>
  </si>
  <si>
    <t>Term 8                                                       Contract Expiration Date:</t>
  </si>
  <si>
    <t xml:space="preserve">Term 2                                                                           Merchant Name: </t>
  </si>
  <si>
    <t>TERM 6</t>
  </si>
  <si>
    <t>TERM 3</t>
  </si>
  <si>
    <t>2.	     MERCHANT</t>
  </si>
  <si>
    <t>3.	     MERCHANT’S AFFILIATES</t>
  </si>
  <si>
    <t xml:space="preserve">4.	     MERCHANT’S MINIMUM QUANTITY COMMITMENT </t>
  </si>
  <si>
    <t xml:space="preserve">5.	     CARRIER’S SERVICE COMMITMENTS </t>
  </si>
  <si>
    <t xml:space="preserve">6.	     CONTRACT RATES </t>
  </si>
  <si>
    <t>7.	     GOVERNING TARIFFS</t>
  </si>
  <si>
    <t>8.	     DURATION OF THE CONTRACT</t>
  </si>
  <si>
    <t xml:space="preserve">This Contract shall commence on the Effective Date and shall expire on the date shown on the cover page, unless earlier terminated in accordance with the terms hereof.   </t>
  </si>
  <si>
    <t>A.	     The terms “Free Time”, “Detention”, “Demurrage”, “Storage” and “Per Diem” shall have the meaning as defined in Carrier’s governing tariff(s).  Detention and demurrage free time and per diem charges for shipments made under this Contract shall be applied as per Carrier’s governing tariff(s), unless otherwise stated in Term 101 of the Appendices attached hereto.  In either case, detention per diem charges will be invoiced as follows:</t>
  </si>
  <si>
    <t>IN WITNESS WHEREOF, THE PARTIES HERETO HAVE EXECUTED THIS AMENDMENT  TO THE SERVICE CONTRACT, WHICH SHALL BECOME EFFECTIVE AS OF THE DATE OF FILING WITH THE FEDERAL MARITIME COMMISSION.</t>
  </si>
  <si>
    <t>Merchant, and each of its Affiliates, warrants that neither the Merchant, nor any of its Representatives: 
i.	     has been subject to an investigation or been convicted of or pleaded guilty to an offense involving fraud, money-laundering, corruption or business ethics; or
ii.	     is listed by any government authorities as debarred, suspended or otherwise ineligible for government procurement programs.</t>
  </si>
  <si>
    <t>(VAS) Serenity Container Guarantee Origin</t>
  </si>
  <si>
    <t>DTC03</t>
  </si>
  <si>
    <t>DTC04</t>
  </si>
  <si>
    <t>(VAS) Serenity Container Guarantee Destination</t>
  </si>
  <si>
    <t>Serenity Cont Guarantee Destination</t>
  </si>
  <si>
    <t>Serenity Cont Guarantee Origin</t>
  </si>
  <si>
    <t>Name, Title, Phone, Electronic Mail Address</t>
  </si>
  <si>
    <t>Name:
Title:
Phone:
Email:</t>
  </si>
  <si>
    <t>Panama Canal Adj Factor</t>
  </si>
  <si>
    <t>CAN20</t>
  </si>
  <si>
    <t>Priority Inland Service</t>
  </si>
  <si>
    <t>Priority Inland Service (VAS)</t>
  </si>
  <si>
    <t>GUA10</t>
  </si>
  <si>
    <t>CTR Maintenance Dest</t>
  </si>
  <si>
    <t>Container Maintenance Charge Destination</t>
  </si>
  <si>
    <t>CTR34</t>
  </si>
  <si>
    <t>Container Maintenance Charge Origin</t>
  </si>
  <si>
    <t>CTR Maintenance Orig</t>
  </si>
  <si>
    <t>Reefer Pharma PTI</t>
  </si>
  <si>
    <t>FRT14</t>
  </si>
  <si>
    <t>SEAPRIORITY GET</t>
  </si>
  <si>
    <t>Bio Security Fee - HI</t>
  </si>
  <si>
    <t>Bio Security Facilitation Fee - HI</t>
  </si>
  <si>
    <t>SUR57</t>
  </si>
  <si>
    <t>Bio Security Fee - NZ</t>
  </si>
  <si>
    <t>Bio Security Facilitation Fee - NZ</t>
  </si>
  <si>
    <t>The individual signing this Contract on behalf of the Merchant represents and warrants that he or she is empowered and duly authorized to bind the Merchant to this Contract according to its terms.</t>
  </si>
  <si>
    <t>The individual signing this Amendment on behalf of the Merchant represents and warrants that he or she is empowered and duly authorized to bind the Merchant to this Amendment according to its terms.</t>
  </si>
  <si>
    <t>Brisbane, Sydney, Melbourne, Tauranga</t>
  </si>
  <si>
    <t>Lae, Motukea Island</t>
  </si>
  <si>
    <t>FJ</t>
  </si>
  <si>
    <t>Suva, Lautoka</t>
  </si>
  <si>
    <t>Fremantle, Adelaide, Wellington, Lyttelton, Napier, Nelson</t>
  </si>
  <si>
    <t>CV Serenity 1 Collect</t>
  </si>
  <si>
    <t>CV Serenity 2 Collect</t>
  </si>
  <si>
    <t>CV Serenity 3 Collect</t>
  </si>
  <si>
    <t>CV Serenity Personal Collect</t>
  </si>
  <si>
    <t>Cargo Value Serenity 1 Collect</t>
  </si>
  <si>
    <t>Cargo Value Serenity 2 Collect</t>
  </si>
  <si>
    <t>Cargo Value Serenity 3 Collect</t>
  </si>
  <si>
    <t>Cargo Value Serenity Personalized Collect</t>
  </si>
  <si>
    <t>Local Port Charge Dest Sanitary Fee</t>
  </si>
  <si>
    <t>Local Port Charge Destination Sanitary Fee</t>
  </si>
  <si>
    <t>Local Port Charge Orig Sanitary Fee</t>
  </si>
  <si>
    <t>Local Port Charge Origin Sanitary Fee</t>
  </si>
  <si>
    <t>PSS5</t>
  </si>
  <si>
    <t>Peak Season Surcharge 5</t>
  </si>
  <si>
    <t>PSS05</t>
  </si>
  <si>
    <t>Premium Customer Service Dest</t>
  </si>
  <si>
    <t>Premium Customer Service Destination</t>
  </si>
  <si>
    <t>DA047</t>
  </si>
  <si>
    <t>Premium Customer Service Origin</t>
  </si>
  <si>
    <t>DA046</t>
  </si>
  <si>
    <r>
      <t xml:space="preserve">C.      If the shipment is a Carrier Haulage Move under Drop and Pick conditions, shipper and/or the consignee on the Bill of Lading shall be responsible for notifying Carrier and its designated agent or motor carrier that the Equipment is empty and ready to be picked up.
Carrier notifications must be sent in writing via email to </t>
    </r>
    <r>
      <rPr>
        <u/>
        <sz val="12"/>
        <color rgb="FF0070C0"/>
        <rFont val="Times New Roman"/>
        <family val="1"/>
      </rPr>
      <t>ssc.usemptsplit@cma-cgm.com</t>
    </r>
    <r>
      <rPr>
        <sz val="12"/>
        <rFont val="Times New Roman"/>
        <family val="1"/>
      </rPr>
      <t>.
In the first instance, the Merchant shall be billed per diem charges when the Equipment is not returned within free time. Notwithstanding the foregoing, and without waiving its right to collect from the Merchant, Carrier reserves the right to instead collect detention charges relating to Drop and Pick moves from the motor carrier directly.</t>
    </r>
  </si>
  <si>
    <r>
      <t xml:space="preserve">Email:  </t>
    </r>
    <r>
      <rPr>
        <u/>
        <sz val="12"/>
        <color rgb="FF0070C0"/>
        <rFont val="Times New Roman"/>
        <family val="1"/>
      </rPr>
      <t>usa.contracts@usa.cma-cgm.com</t>
    </r>
  </si>
  <si>
    <t>Precarriage Congestion</t>
  </si>
  <si>
    <t>PreCarriage Congestion</t>
  </si>
  <si>
    <t>CAR31</t>
  </si>
  <si>
    <t>Cleaner Energy Biofuel</t>
  </si>
  <si>
    <t>ENV04</t>
  </si>
  <si>
    <t>Cleaner Energy LNG</t>
  </si>
  <si>
    <t>ENV02</t>
  </si>
  <si>
    <t>Cleaner Energy LNG+Positive Offset</t>
  </si>
  <si>
    <t>ENV03</t>
  </si>
  <si>
    <t>Positive Offset</t>
  </si>
  <si>
    <t>ENV00</t>
  </si>
  <si>
    <t>Fumigation</t>
  </si>
  <si>
    <t>CTR40</t>
  </si>
  <si>
    <t>Oncarriage Congestion</t>
  </si>
  <si>
    <t>OnCarriage Congestion</t>
  </si>
  <si>
    <t>CAR81</t>
  </si>
  <si>
    <t>Export Seal Fee</t>
  </si>
  <si>
    <t>CMA CGM (America) LLC
1 CMA CGM Way, 
Norfolk, Virginia  23502
Phone: (757) 961-2100
Fax: 	(718) 304-5521</t>
  </si>
  <si>
    <t>1 CMA CGM Way</t>
  </si>
  <si>
    <t>Sr. Director, Bids and Contracting</t>
  </si>
  <si>
    <t>Brazil Exp Doc Fee</t>
  </si>
  <si>
    <t>Brazil Imp Doc Fee</t>
  </si>
  <si>
    <t>Import BL Documentation Fee - Brazil only</t>
  </si>
  <si>
    <t>DA044</t>
  </si>
  <si>
    <t>DA012</t>
  </si>
  <si>
    <t>DA001</t>
  </si>
  <si>
    <t>DA002</t>
  </si>
  <si>
    <t>A.	     Unless authorized in writing by mutual agreement, neither party will disclose the Contract terms and conditions, nor the other party's personal or commercial information, nor Contract performance data,  other than to its employees, agents, Carrier’s affiliates or permitted assignees, tariff filers, or auditors, with the exception of the Contract terms and conditions or information that are:
i.	      Required to be disclosed by law or judicial or administrative order;
ii.	     Disclosed to any person participating with Carrier in the transportation under the Contract or receiving copies of the Bill of Lading for contact purposes;
iii.     Disclosed to global digital supply chain platforms (including but not limited to Tradelens);
iv.	     Incorporated herein by reference in Carrier’s published tariff;
v.	     Without identifying the other party, disclosed in a report, analysis or study of rates 
vi.	     or conditions in the trade covered by this Contract to the secretariat of another member of the FMC agreement;
vii.	     Previously disclosed to an authorized third party; or 
viii.	    Used in connection with collection of a debt from Merchant.</t>
  </si>
  <si>
    <t>Term Gate Out</t>
  </si>
  <si>
    <t>Terminal Gate Out Fee</t>
  </si>
  <si>
    <t>FEW70</t>
  </si>
  <si>
    <t>Container Cleaning Dest</t>
  </si>
  <si>
    <t>Container Cleaning Surcharge Destination</t>
  </si>
  <si>
    <t>Container Cleaning Orig</t>
  </si>
  <si>
    <t>Container Cleaning Surcharge Origin</t>
  </si>
  <si>
    <t>CTR66</t>
  </si>
  <si>
    <t>Container Grade Service</t>
  </si>
  <si>
    <t>CTR39</t>
  </si>
  <si>
    <t>HW</t>
  </si>
  <si>
    <t>Busan, Hong Kong, Ningbo, Vung Tau, Port Kelang, Qingdao, Shanghai, Singapore, Xiamen, Yantian, Kaohsiung</t>
  </si>
  <si>
    <t>CBP GC</t>
  </si>
  <si>
    <t>Busan, Shanghai, Ningbo, Shekou, Xiamen, Hong Kong, Singapore, Vung Tau</t>
  </si>
  <si>
    <t>CBP MIA</t>
  </si>
  <si>
    <t>Yantian, Shanghai, Ningbo, Pusan</t>
  </si>
  <si>
    <t>Busan, Ningbo, Qingdao, Shanghai, Hong Kong, Yantian, Xiamen, Vung Tau, Port Kelang, Singapore</t>
  </si>
  <si>
    <t>Yantian, Hong Kong, Shanghai, Ningbo, Xiamen, Kaohsiung, Qingdao, Vung Tau, Taipei, Singapore, Nansha, Tianjinxingang, Fuqing, Port Kelang, Laem Chabang, Pusan</t>
  </si>
  <si>
    <t>LAX-LGB</t>
  </si>
  <si>
    <t>Yantian, Hong Kong, Shanghai, Ningbo, Xiamen, Kaohsiung, Pusan</t>
  </si>
  <si>
    <t>22-XXXX</t>
  </si>
  <si>
    <t>In witness whereof, the parties hereby agree to ratify any electronic signatures and be bound by the terms and conditions of this Contract by signature of their duly authorized representatives, set forth below.</t>
  </si>
  <si>
    <t>B.	     Notwithstanding anything to the contrary contained herein, Carrier shall not be liable or responsible to the Merchant or its affiliates/subsidiaries for any consequential, incidental, special, or punitive damages, or for loss of profits or revenues incurred by Merchant or its affiliates that arise out of or relate to this Contract or any booking. The Carrier does not undertake that the Goods or Containers or other packages shall arrive at the port of discharge or place of delivery at any particular time or to meet any particular market or use, and the Carrier shall in no circumstances be liable for any direct, indirect or consequential loss or damage caused by delay or any other cause.</t>
  </si>
  <si>
    <t>C.	     For purposes of determining whether a shipment is made during the term of this Contract, the date when the Cargo is received by Carrier or its agent shall govern.  Cargo shall not be considered as “received” until the full Bill of Lading quantity has been received by Carrier, its sub-contractor or agent.  Carrier's duties and responsibilities under this Contract shall commence when Carrier, its sub-contractor, or agent takes possession and control of Merchant's Cargo or and shall end when Carrier, its sub-contractor, or agent delivers Merchant's Cargo at the port or place of delivery designated on the Bill of Lading or imposed by specific circumstances.</t>
  </si>
  <si>
    <t>A.	     Carrier agrees to make available vessel capacity adequate to carry the MQC specified herein.  The movement of Cargo on specific vessels shall be on a space available basis only.  Merchant agrees to give twenty-one (21) days booking notice, if possible, but not less than fourteen (14) days to Carrier for the carriage of its Cargo, so as to assist Carrier in making space available on specific vessels. At the time of booking, Merchant shall make reference to the unique contract number assigned to this Contract. Merchant agrees that all Cargo tendered under this Contract shall be rated hereunder and shall not be subject to any other volume discounts, volume rates or other volume incentive program offered by Carrier. Merchant agrees that to the extent feasible, Cargo committed under this Contract will be shipped evenly throughout the duration of the Contract.</t>
  </si>
  <si>
    <t>12.	     CARRIER HAULAGE AND MERCHANT HAULAGE MOVES</t>
  </si>
  <si>
    <t>E.	     Any change to Carrier’s applicable published Tariff regarding Merchant Haulage Moves shall be effective and applicable immediately upon filing of same.</t>
  </si>
  <si>
    <t xml:space="preserve">B.	     Carrier will first bill any detention charges to the shipper and/or consignee shown on the Bill of Lading for direct payment.  Notwithstanding the foregoing, and without waiving its right to collect from the shipper or consignee, Carrier reserves the right to instead collect detention charges relating to Merchant Haulage Moves from the motor carrier directly.
In all cases, the shipper and consignee shown on the Bill of Lading are jointly and severally responsible for detention per diem charges.  </t>
  </si>
  <si>
    <t>D.	     Where demurrage is charged and/or collected by Carrier, the foregoing provisions in Sections 14(B.) and 14(C.) applicable to detention shall likewise apply to demurrage.</t>
  </si>
  <si>
    <t>Notwithstanding the foregoing, Merchant consents to Carrier sharing on the Tradelens platform information and data contained in or related to online bookings, shipping instructions, bills of lading, waybills and other documents or events generated during the course of the provision any transportation services.</t>
  </si>
  <si>
    <t>29.	     CREDIT TERMS</t>
  </si>
  <si>
    <t>Unless otherwise expressly agreed in writing by Carrier, any extension of credit by Carrier to Merchant shall be subject always to and in accordance with Carrier’s Standard Credit Terms (“CSCT”, available at https://www.cma-cgm.com/products-services/shipping-guide/bl-clauses).</t>
  </si>
  <si>
    <t>30.	     COUNTERPARTS</t>
  </si>
  <si>
    <t>This Contract may be executed in counterpart, facsimile, or by electronic transmission, and such counterpart, facsimile, or electronically transmitted documents shall be taken and read together and shall constitute a valid and binding agreement of the parties hereto.</t>
  </si>
  <si>
    <r>
      <rPr>
        <b/>
        <u/>
        <sz val="12"/>
        <rFont val="Times New Roman"/>
        <family val="1"/>
      </rPr>
      <t>TERM 102</t>
    </r>
    <r>
      <rPr>
        <b/>
        <sz val="12"/>
        <rFont val="Times New Roman"/>
        <family val="1"/>
      </rPr>
      <t xml:space="preserve"> </t>
    </r>
    <r>
      <rPr>
        <b/>
        <u/>
        <sz val="12"/>
        <rFont val="Times New Roman"/>
        <family val="1"/>
      </rPr>
      <t>ELECTRONIC ENDORSEMENT</t>
    </r>
  </si>
  <si>
    <t xml:space="preserve">Carrier will accept an Electronic Signature (a digital copy of a signature in place of a handwritten signature) or Electronic Endorsement (email acknowledgment and acceptance) in substitution of an original “pen and ink” endorsement on approved Service Contracts (including amendments).
</t>
  </si>
  <si>
    <t>Merchant may identify persons authorized to submit Electronic Signature or Electronic Endorsement for Service Contracts, including the authorized person’s full name, title, electronic mail address and telephone number.   Unless Merchant identifies specific individuals authorized to approve Service Contracts, any individual who purports to be a representative of the Merchant may accept the Contract on behalf of the Merchant and in doing so represents and warrants that he or she is empowered and duly authorized to bind the Merchant to the Service Contract, according to its terms.</t>
  </si>
  <si>
    <t>Merchant must notify the Carrier in writing if it does not authorize any of its representatives to use Electronic Signature or Electronic Endorsement.</t>
  </si>
  <si>
    <r>
      <t xml:space="preserve">39    </t>
    </r>
    <r>
      <rPr>
        <sz val="10"/>
        <rFont val="Times New Roman"/>
        <family val="1"/>
      </rPr>
      <t xml:space="preserve">                                                                       Contact Person:</t>
    </r>
  </si>
  <si>
    <t>V39</t>
  </si>
  <si>
    <t>Weight Charge</t>
  </si>
  <si>
    <t>EQ019</t>
  </si>
  <si>
    <t>Port Access Fee Origin</t>
  </si>
  <si>
    <t>Port Access Fee Destination</t>
  </si>
  <si>
    <t>POR54</t>
  </si>
  <si>
    <t>31.	     RELEASE AT DESTINATION</t>
  </si>
  <si>
    <t>For shipments from the U.S. to Latin, Central or South America, Carrier, upon Merchant’s formal request at time of booking and consignee’s confirmation, may issue original Bills of Lading (“OBLs”), excluding Bills of Lading issued to order, and release the OBLs directly to the named consignee at destination.  Merchant shall waive any and all rights to claim the delivery of the OBLs and/or to contest the release of the OBLs to the consignee or to claim any damages in connection with said release.  Merchant shall indemnify, defend and hold harmless Carrier, its agents, subcontractors and/or servants, immediately and upon first demand, against any and all claims, damages or liabilities arising either directly or indirectly by reason of the release of the OBL to the consignee, including any delay or failure of the consignee or the holder of the OBL to take delivery of the OBL and/or the cargo.  Even if OBL is released at destination, Merchant hereby confirms having read and approved the full terms and conditions stated in the Bill of Lading, including all mentions whether handwritten, typed, printed or stamped, and confirm that these terms and conditions shall apply and fully bind Merchant.</t>
  </si>
  <si>
    <t>Houston, New Orleans, Port Everglades</t>
  </si>
  <si>
    <t>Rate per Day (A) Per Container</t>
  </si>
  <si>
    <t>Rate per Day (A) Per 20'</t>
  </si>
  <si>
    <t>Rate per Day (A) Per 40'</t>
  </si>
  <si>
    <t>Rate per Day (B) Per Container</t>
  </si>
  <si>
    <t>Rate per Day (C) Per Container</t>
  </si>
  <si>
    <t>Rate per Day (D) Per Container</t>
  </si>
  <si>
    <t>Rate per Day (B) Per 20'</t>
  </si>
  <si>
    <t>Rate per Day (B) Per 40'</t>
  </si>
  <si>
    <t>Rate per Day (C) Per 20'</t>
  </si>
  <si>
    <t>Rate per Day (C) Per 40'</t>
  </si>
  <si>
    <t>Rate per Day (D) Per 20'</t>
  </si>
  <si>
    <t>Rate per Day (D) Per 40'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</si>
</sst>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409]mmmm\ d\,\ yyyy;@"/>
    <numFmt numFmtId="165" formatCode="#,##0____"/>
  </numFmts>
  <fonts count="74" x14ac:knownFonts="1">
    <font>
      <sz val="10"/>
      <name val="Arial"/>
    </font>
    <font>
      <sz val="10"/>
      <name val="Arial"/>
      <family val="2"/>
    </font>
    <font>
      <sz val="12"/>
      <name val="Times New Roman"/>
      <family val="1"/>
    </font>
    <font>
      <b/>
      <sz val="12"/>
      <name val="Times New Roman"/>
      <family val="1"/>
    </font>
    <font>
      <b/>
      <sz val="10"/>
      <name val="Times New Roman"/>
      <family val="1"/>
    </font>
    <font>
      <sz val="12"/>
      <color indexed="8"/>
      <name val="Times New Roman"/>
      <family val="1"/>
    </font>
    <font>
      <b/>
      <sz val="12"/>
      <color indexed="8"/>
      <name val="Times New Roman"/>
      <family val="1"/>
    </font>
    <font>
      <sz val="10"/>
      <name val="Arial"/>
      <family val="2"/>
    </font>
    <font>
      <sz val="12"/>
      <color indexed="10"/>
      <name val="Times New Roman"/>
      <family val="1"/>
    </font>
    <font>
      <b/>
      <sz val="12"/>
      <color indexed="10"/>
      <name val="Times New Roman"/>
      <family val="1"/>
    </font>
    <font>
      <sz val="10"/>
      <name val="Times New Roman"/>
      <family val="1"/>
    </font>
    <font>
      <sz val="8"/>
      <name val="Arial"/>
      <family val="2"/>
    </font>
    <font>
      <sz val="12"/>
      <color indexed="12"/>
      <name val="Times New Roman"/>
      <family val="1"/>
    </font>
    <font>
      <b/>
      <sz val="10"/>
      <name val="Arial"/>
      <family val="2"/>
    </font>
    <font>
      <b/>
      <sz val="10"/>
      <name val="Arial"/>
      <family val="2"/>
    </font>
    <font>
      <b/>
      <sz val="14"/>
      <color indexed="9"/>
      <name val="Times New Roman"/>
      <family val="1"/>
    </font>
    <font>
      <b/>
      <sz val="12"/>
      <color indexed="23"/>
      <name val="Times New Roman"/>
      <family val="1"/>
    </font>
    <font>
      <b/>
      <i/>
      <sz val="12"/>
      <color indexed="8"/>
      <name val="Times New Roman"/>
      <family val="1"/>
    </font>
    <font>
      <b/>
      <i/>
      <sz val="12"/>
      <name val="Times New Roman"/>
      <family val="1"/>
    </font>
    <font>
      <b/>
      <i/>
      <u/>
      <sz val="12"/>
      <color indexed="8"/>
      <name val="Times New Roman"/>
      <family val="1"/>
    </font>
    <font>
      <b/>
      <sz val="12"/>
      <color indexed="9"/>
      <name val="Times New Roman"/>
      <family val="1"/>
    </font>
    <font>
      <b/>
      <sz val="12"/>
      <color indexed="53"/>
      <name val="Times New Roman"/>
      <family val="1"/>
    </font>
    <font>
      <i/>
      <sz val="12"/>
      <name val="Times New Roman"/>
      <family val="1"/>
    </font>
    <font>
      <b/>
      <sz val="10"/>
      <color indexed="8"/>
      <name val="Times New Roman"/>
      <family val="1"/>
    </font>
    <font>
      <b/>
      <sz val="12"/>
      <color indexed="81"/>
      <name val="Tahoma"/>
      <family val="2"/>
    </font>
    <font>
      <b/>
      <sz val="14"/>
      <color indexed="81"/>
      <name val="Tahoma"/>
      <family val="2"/>
    </font>
    <font>
      <b/>
      <sz val="12"/>
      <name val="Arial"/>
      <family val="2"/>
    </font>
    <font>
      <sz val="12"/>
      <name val="Arial"/>
      <family val="2"/>
    </font>
    <font>
      <sz val="14"/>
      <name val="Arial"/>
      <family val="2"/>
    </font>
    <font>
      <b/>
      <sz val="14"/>
      <color indexed="10"/>
      <name val="Arial"/>
      <family val="2"/>
    </font>
    <font>
      <b/>
      <sz val="14"/>
      <name val="Arial"/>
      <family val="2"/>
    </font>
    <font>
      <sz val="10"/>
      <color indexed="22"/>
      <name val="Arial"/>
      <family val="2"/>
    </font>
    <font>
      <b/>
      <sz val="12"/>
      <name val="Arial"/>
      <family val="2"/>
    </font>
    <font>
      <sz val="10"/>
      <color indexed="9"/>
      <name val="Arial"/>
      <family val="2"/>
    </font>
    <font>
      <b/>
      <sz val="12"/>
      <color indexed="22"/>
      <name val="Times New Roman"/>
      <family val="1"/>
    </font>
    <font>
      <sz val="12"/>
      <name val="Arial"/>
      <family val="2"/>
    </font>
    <font>
      <b/>
      <i/>
      <sz val="14"/>
      <color indexed="81"/>
      <name val="Tahoma"/>
      <family val="2"/>
    </font>
    <font>
      <b/>
      <sz val="18"/>
      <name val="Times New Roman"/>
      <family val="1"/>
    </font>
    <font>
      <u/>
      <sz val="12"/>
      <name val="Times New Roman"/>
      <family val="1"/>
    </font>
    <font>
      <b/>
      <u/>
      <sz val="12"/>
      <name val="Times New Roman"/>
      <family val="1"/>
    </font>
    <font>
      <sz val="12"/>
      <color indexed="9"/>
      <name val="Times New Roman"/>
      <family val="1"/>
    </font>
    <font>
      <sz val="12"/>
      <color indexed="81"/>
      <name val="Tahoma"/>
      <family val="2"/>
    </font>
    <font>
      <u/>
      <sz val="12"/>
      <color indexed="81"/>
      <name val="Tahoma"/>
      <family val="2"/>
    </font>
    <font>
      <b/>
      <u/>
      <sz val="12"/>
      <color indexed="81"/>
      <name val="Tahoma"/>
      <family val="2"/>
    </font>
    <font>
      <b/>
      <sz val="14"/>
      <name val="Times New Roman"/>
      <family val="1"/>
    </font>
    <font>
      <sz val="10"/>
      <color indexed="9"/>
      <name val="Arial"/>
      <family val="2"/>
    </font>
    <font>
      <b/>
      <sz val="10"/>
      <color indexed="9"/>
      <name val="Arial"/>
      <family val="2"/>
    </font>
    <font>
      <b/>
      <sz val="10"/>
      <color indexed="9"/>
      <name val="Times New Roman"/>
      <family val="1"/>
    </font>
    <font>
      <sz val="10"/>
      <color indexed="9"/>
      <name val="Times New Roman"/>
      <family val="1"/>
    </font>
    <font>
      <i/>
      <sz val="12"/>
      <color indexed="8"/>
      <name val="Times New Roman"/>
      <family val="1"/>
    </font>
    <font>
      <sz val="10"/>
      <color rgb="FFFF0000"/>
      <name val="Arial"/>
      <family val="2"/>
    </font>
    <font>
      <sz val="10"/>
      <color indexed="10"/>
      <name val="Times New Roman"/>
      <family val="1"/>
    </font>
    <font>
      <sz val="10"/>
      <color indexed="22"/>
      <name val="Times New Roman"/>
      <family val="1"/>
    </font>
    <font>
      <sz val="10"/>
      <color indexed="12"/>
      <name val="Times New Roman"/>
      <family val="1"/>
    </font>
    <font>
      <sz val="9"/>
      <name val="Times New Roman"/>
      <family val="1"/>
    </font>
    <font>
      <sz val="14"/>
      <color indexed="9"/>
      <name val="Times New Roman"/>
      <family val="1"/>
    </font>
    <font>
      <i/>
      <u/>
      <sz val="12"/>
      <color indexed="8"/>
      <name val="Times New Roman"/>
      <family val="1"/>
    </font>
    <font>
      <sz val="12"/>
      <color indexed="53"/>
      <name val="Times New Roman"/>
      <family val="1"/>
    </font>
    <font>
      <sz val="12"/>
      <color indexed="23"/>
      <name val="Times New Roman"/>
      <family val="1"/>
    </font>
    <font>
      <sz val="12"/>
      <color indexed="22"/>
      <name val="Times New Roman"/>
      <family val="1"/>
    </font>
    <font>
      <sz val="10"/>
      <color indexed="8"/>
      <name val="Times New Roman"/>
      <family val="1"/>
    </font>
    <font>
      <i/>
      <u/>
      <sz val="12"/>
      <name val="Times New Roman"/>
      <family val="1"/>
    </font>
    <font>
      <b/>
      <sz val="9"/>
      <color indexed="81"/>
      <name val="Tahoma"/>
      <family val="2"/>
    </font>
    <font>
      <sz val="10"/>
      <name val="Helv"/>
    </font>
    <font>
      <sz val="12"/>
      <name val="Cambria"/>
      <family val="1"/>
    </font>
    <font>
      <b/>
      <sz val="10"/>
      <color indexed="12"/>
      <name val="Times New Roman"/>
      <family val="1"/>
    </font>
    <font>
      <b/>
      <sz val="15"/>
      <name val="Britannic Bold"/>
      <family val="2"/>
    </font>
    <font>
      <sz val="15"/>
      <name val="Britannic Bold"/>
      <family val="2"/>
    </font>
    <font>
      <u/>
      <sz val="12"/>
      <color rgb="FF0033CC"/>
      <name val="Times New Roman"/>
      <family val="1"/>
    </font>
    <font>
      <u/>
      <sz val="10"/>
      <color theme="10"/>
      <name val="Arial"/>
      <family val="2"/>
    </font>
    <font>
      <b/>
      <sz val="11"/>
      <name val="Times New Roman"/>
      <family val="1"/>
    </font>
    <font>
      <sz val="11"/>
      <name val="Times New Roman"/>
      <family val="1"/>
    </font>
    <font>
      <b/>
      <u/>
      <sz val="11"/>
      <name val="Times New Roman"/>
      <family val="1"/>
    </font>
    <font>
      <u/>
      <sz val="12"/>
      <color rgb="FF0070C0"/>
      <name val="Times New Roman"/>
      <family val="1"/>
    </font>
  </fonts>
  <fills count="10">
    <fill>
      <patternFill patternType="none"/>
    </fill>
    <fill>
      <patternFill patternType="gray125"/>
    </fill>
    <fill>
      <patternFill patternType="solid">
        <fgColor indexed="22"/>
        <bgColor indexed="64"/>
      </patternFill>
    </fill>
    <fill>
      <patternFill patternType="solid">
        <fgColor indexed="12"/>
        <bgColor indexed="64"/>
      </patternFill>
    </fill>
    <fill>
      <patternFill patternType="solid">
        <fgColor indexed="8"/>
        <bgColor indexed="64"/>
      </patternFill>
    </fill>
    <fill>
      <patternFill patternType="solid">
        <fgColor indexed="65"/>
        <bgColor indexed="64"/>
      </patternFill>
    </fill>
    <fill>
      <patternFill patternType="solid">
        <fgColor indexed="43"/>
        <bgColor indexed="64"/>
      </patternFill>
    </fill>
    <fill>
      <patternFill patternType="solid">
        <fgColor indexed="44"/>
        <bgColor indexed="64"/>
      </patternFill>
    </fill>
    <fill>
      <patternFill patternType="solid">
        <fgColor theme="3" tint="0.59999389629810485"/>
        <bgColor indexed="64"/>
      </patternFill>
    </fill>
    <fill>
      <patternFill patternType="solid">
        <fgColor indexed="9"/>
        <bgColor indexed="64"/>
      </patternFill>
    </fill>
  </fills>
  <borders count="75">
    <border>
      <left/>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right style="thin">
        <color indexed="64"/>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medium">
        <color indexed="64"/>
      </left>
      <right style="thin">
        <color indexed="64"/>
      </right>
      <top/>
      <bottom/>
      <diagonal/>
    </border>
    <border>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medium">
        <color indexed="64"/>
      </top>
      <bottom style="medium">
        <color indexed="64"/>
      </bottom>
      <diagonal/>
    </border>
    <border>
      <left style="medium">
        <color indexed="64"/>
      </left>
      <right style="thin">
        <color indexed="64"/>
      </right>
      <top/>
      <bottom style="thin">
        <color indexed="64"/>
      </bottom>
      <diagonal/>
    </border>
    <border>
      <left/>
      <right/>
      <top/>
      <bottom style="thin">
        <color indexed="64"/>
      </bottom>
      <diagonal/>
    </border>
    <border>
      <left style="thin">
        <color indexed="64"/>
      </left>
      <right style="medium">
        <color indexed="64"/>
      </right>
      <top/>
      <bottom style="thin">
        <color indexed="64"/>
      </bottom>
      <diagonal/>
    </border>
    <border>
      <left/>
      <right/>
      <top style="thin">
        <color indexed="64"/>
      </top>
      <bottom style="thin">
        <color indexed="64"/>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thin">
        <color indexed="64"/>
      </top>
      <bottom style="medium">
        <color indexed="64"/>
      </bottom>
      <diagonal/>
    </border>
    <border>
      <left style="thin">
        <color indexed="64"/>
      </left>
      <right/>
      <top/>
      <bottom/>
      <diagonal/>
    </border>
    <border>
      <left style="medium">
        <color indexed="64"/>
      </left>
      <right style="medium">
        <color indexed="64"/>
      </right>
      <top style="thin">
        <color indexed="64"/>
      </top>
      <bottom/>
      <diagonal/>
    </border>
    <border>
      <left/>
      <right style="thin">
        <color indexed="64"/>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top style="thin">
        <color indexed="64"/>
      </top>
      <bottom style="medium">
        <color indexed="64"/>
      </bottom>
      <diagonal/>
    </border>
    <border>
      <left style="thin">
        <color indexed="64"/>
      </left>
      <right/>
      <top style="medium">
        <color indexed="64"/>
      </top>
      <bottom style="thin">
        <color indexed="64"/>
      </bottom>
      <diagonal/>
    </border>
    <border>
      <left/>
      <right/>
      <top style="double">
        <color indexed="64"/>
      </top>
      <bottom/>
      <diagonal/>
    </border>
    <border>
      <left style="medium">
        <color indexed="64"/>
      </left>
      <right/>
      <top style="medium">
        <color indexed="64"/>
      </top>
      <bottom style="thick">
        <color indexed="64"/>
      </bottom>
      <diagonal/>
    </border>
    <border>
      <left/>
      <right style="thin">
        <color indexed="64"/>
      </right>
      <top style="thin">
        <color indexed="64"/>
      </top>
      <bottom style="thin">
        <color indexed="64"/>
      </bottom>
      <diagonal/>
    </border>
    <border>
      <left style="thin">
        <color indexed="64"/>
      </left>
      <right style="thin">
        <color indexed="64"/>
      </right>
      <top/>
      <bottom style="medium">
        <color indexed="64"/>
      </bottom>
      <diagonal/>
    </border>
    <border>
      <left/>
      <right/>
      <top style="medium">
        <color indexed="64"/>
      </top>
      <bottom style="thick">
        <color indexed="64"/>
      </bottom>
      <diagonal/>
    </border>
    <border>
      <left/>
      <right style="medium">
        <color indexed="64"/>
      </right>
      <top style="medium">
        <color indexed="64"/>
      </top>
      <bottom style="thick">
        <color indexed="64"/>
      </bottom>
      <diagonal/>
    </border>
    <border>
      <left style="thin">
        <color indexed="64"/>
      </left>
      <right style="medium">
        <color indexed="64"/>
      </right>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
      <left style="medium">
        <color indexed="64"/>
      </left>
      <right style="medium">
        <color indexed="64"/>
      </right>
      <top/>
      <bottom style="thin">
        <color indexed="64"/>
      </bottom>
      <diagonal/>
    </border>
    <border>
      <left style="medium">
        <color indexed="64"/>
      </left>
      <right/>
      <top style="medium">
        <color indexed="64"/>
      </top>
      <bottom style="thin">
        <color indexed="64"/>
      </bottom>
      <diagonal/>
    </border>
    <border>
      <left style="medium">
        <color indexed="64"/>
      </left>
      <right/>
      <top style="thin">
        <color indexed="64"/>
      </top>
      <bottom/>
      <diagonal/>
    </border>
    <border>
      <left style="thin">
        <color indexed="64"/>
      </left>
      <right/>
      <top/>
      <bottom style="medium">
        <color indexed="64"/>
      </bottom>
      <diagonal/>
    </border>
    <border>
      <left style="thin">
        <color indexed="64"/>
      </left>
      <right style="thin">
        <color indexed="64"/>
      </right>
      <top/>
      <bottom style="thin">
        <color indexed="64"/>
      </bottom>
      <diagonal/>
    </border>
    <border>
      <left style="thin">
        <color indexed="64"/>
      </left>
      <right/>
      <top style="medium">
        <color indexed="64"/>
      </top>
      <bottom/>
      <diagonal/>
    </border>
  </borders>
  <cellStyleXfs count="8">
    <xf numFmtId="0" fontId="0" fillId="0" borderId="0"/>
    <xf numFmtId="0" fontId="7" fillId="0" borderId="0"/>
    <xf numFmtId="0" fontId="7" fillId="0" borderId="0"/>
    <xf numFmtId="9" fontId="1" fillId="0" borderId="0" applyFont="0" applyFill="0" applyBorder="0" applyAlignment="0" applyProtection="0"/>
    <xf numFmtId="0" fontId="1" fillId="0" borderId="0"/>
    <xf numFmtId="0" fontId="63" fillId="0" borderId="0"/>
    <xf numFmtId="0" fontId="69" fillId="0" borderId="0" applyNumberFormat="0" applyFill="0" applyBorder="0" applyAlignment="0" applyProtection="0"/>
    <xf numFmtId="9" fontId="1" fillId="0" borderId="0" applyFont="0" applyFill="0" applyBorder="0" applyAlignment="0" applyProtection="0"/>
  </cellStyleXfs>
  <cellXfs count="1205">
    <xf numFmtId="0" fontId="0" fillId="0" borderId="0" xfId="0"/>
    <xf numFmtId="0" fontId="13" fillId="0" borderId="0" xfId="0" applyFont="1"/>
    <xf numFmtId="0" fontId="7" fillId="0" borderId="0" xfId="0" applyFont="1"/>
    <xf numFmtId="0" fontId="3" fillId="2" borderId="1" xfId="0" applyFont="1" applyFill="1" applyBorder="1" applyAlignment="1" applyProtection="1">
      <alignment vertical="center"/>
    </xf>
    <xf numFmtId="0" fontId="3" fillId="2" borderId="2" xfId="0" applyFont="1" applyFill="1" applyBorder="1" applyAlignment="1" applyProtection="1">
      <alignment horizontal="center" vertical="center" wrapText="1"/>
    </xf>
    <xf numFmtId="0" fontId="3" fillId="2" borderId="3" xfId="0" applyFont="1" applyFill="1" applyBorder="1" applyAlignment="1" applyProtection="1">
      <alignment horizontal="center" vertical="center" wrapText="1"/>
    </xf>
    <xf numFmtId="0" fontId="3" fillId="2" borderId="4" xfId="0" applyFont="1" applyFill="1" applyBorder="1" applyAlignment="1" applyProtection="1">
      <alignment horizontal="center" vertical="center" wrapText="1"/>
    </xf>
    <xf numFmtId="0" fontId="3" fillId="2" borderId="5" xfId="0" applyFont="1" applyFill="1" applyBorder="1" applyAlignment="1" applyProtection="1">
      <alignment horizontal="center" vertical="center" wrapText="1"/>
    </xf>
    <xf numFmtId="0" fontId="3" fillId="2" borderId="6" xfId="0" applyFont="1" applyFill="1" applyBorder="1" applyAlignment="1" applyProtection="1">
      <alignment horizontal="center" vertical="center" wrapText="1"/>
    </xf>
    <xf numFmtId="0" fontId="3" fillId="0" borderId="4" xfId="0" applyFont="1" applyFill="1" applyBorder="1" applyAlignment="1" applyProtection="1">
      <alignment vertical="center"/>
      <protection locked="0"/>
    </xf>
    <xf numFmtId="0" fontId="3" fillId="2" borderId="1" xfId="0" applyFont="1" applyFill="1" applyBorder="1" applyAlignment="1" applyProtection="1">
      <alignment horizontal="center" vertical="center" wrapText="1"/>
    </xf>
    <xf numFmtId="0" fontId="3" fillId="2" borderId="7" xfId="0" applyFont="1" applyFill="1" applyBorder="1" applyAlignment="1" applyProtection="1">
      <alignment horizontal="center" vertical="center" wrapText="1"/>
    </xf>
    <xf numFmtId="0" fontId="3" fillId="2" borderId="8" xfId="0" applyFont="1" applyFill="1" applyBorder="1" applyAlignment="1" applyProtection="1">
      <alignment horizontal="center" vertical="center" wrapText="1"/>
    </xf>
    <xf numFmtId="0" fontId="5" fillId="0" borderId="0" xfId="0" applyFont="1" applyFill="1" applyBorder="1" applyAlignment="1" applyProtection="1">
      <alignment horizontal="center" vertical="center" wrapText="1"/>
    </xf>
    <xf numFmtId="0" fontId="2" fillId="0" borderId="0" xfId="0" applyFont="1" applyFill="1" applyBorder="1" applyAlignment="1" applyProtection="1">
      <alignment horizontal="center" vertical="center" wrapText="1"/>
    </xf>
    <xf numFmtId="0" fontId="3" fillId="0" borderId="0" xfId="0" applyFont="1" applyFill="1" applyBorder="1" applyAlignment="1" applyProtection="1">
      <alignment horizontal="center" vertical="center" wrapText="1"/>
    </xf>
    <xf numFmtId="0" fontId="3" fillId="2" borderId="9" xfId="0" applyFont="1" applyFill="1" applyBorder="1" applyAlignment="1" applyProtection="1">
      <alignment horizontal="center" vertical="center" wrapText="1"/>
    </xf>
    <xf numFmtId="0" fontId="14" fillId="2" borderId="10" xfId="0" applyFont="1" applyFill="1" applyBorder="1" applyAlignment="1" applyProtection="1">
      <alignment horizontal="center" vertical="center" wrapText="1"/>
    </xf>
    <xf numFmtId="0" fontId="14" fillId="2" borderId="11" xfId="0" applyFont="1" applyFill="1" applyBorder="1" applyAlignment="1" applyProtection="1">
      <alignment horizontal="center" vertical="center" wrapText="1"/>
    </xf>
    <xf numFmtId="0" fontId="3" fillId="0" borderId="10" xfId="0" applyFont="1" applyBorder="1" applyAlignment="1" applyProtection="1">
      <alignment horizontal="center" vertical="center" wrapText="1"/>
      <protection locked="0"/>
    </xf>
    <xf numFmtId="0" fontId="7" fillId="0" borderId="11" xfId="0" applyFont="1" applyFill="1" applyBorder="1" applyAlignment="1" applyProtection="1">
      <alignment horizontal="center" vertical="center" wrapText="1"/>
      <protection locked="0"/>
    </xf>
    <xf numFmtId="0" fontId="2" fillId="0" borderId="11" xfId="0" applyFont="1" applyFill="1" applyBorder="1" applyAlignment="1" applyProtection="1">
      <alignment vertical="center"/>
      <protection locked="0"/>
    </xf>
    <xf numFmtId="164" fontId="7" fillId="0" borderId="12" xfId="0" applyNumberFormat="1" applyFont="1" applyFill="1" applyBorder="1" applyAlignment="1" applyProtection="1">
      <alignment horizontal="center" vertical="center" wrapText="1"/>
      <protection locked="0"/>
    </xf>
    <xf numFmtId="0" fontId="3" fillId="0" borderId="10" xfId="0" applyFont="1" applyFill="1" applyBorder="1" applyAlignment="1" applyProtection="1">
      <alignment horizontal="center" vertical="center" wrapText="1"/>
      <protection locked="0"/>
    </xf>
    <xf numFmtId="0" fontId="2" fillId="0" borderId="11" xfId="0" applyNumberFormat="1" applyFont="1" applyFill="1" applyBorder="1" applyAlignment="1" applyProtection="1">
      <alignment horizontal="center" vertical="center" wrapText="1"/>
      <protection locked="0"/>
    </xf>
    <xf numFmtId="164" fontId="10" fillId="0" borderId="12" xfId="0" applyNumberFormat="1" applyFont="1" applyFill="1" applyBorder="1" applyAlignment="1" applyProtection="1">
      <alignment horizontal="center" vertical="center" wrapText="1"/>
      <protection locked="0"/>
    </xf>
    <xf numFmtId="0" fontId="3" fillId="0" borderId="4" xfId="0" applyFont="1" applyFill="1" applyBorder="1" applyAlignment="1" applyProtection="1">
      <alignment horizontal="center" vertical="center" wrapText="1"/>
      <protection locked="0"/>
    </xf>
    <xf numFmtId="0" fontId="7" fillId="0" borderId="5" xfId="0" applyFont="1" applyFill="1" applyBorder="1" applyAlignment="1" applyProtection="1">
      <alignment horizontal="center" vertical="center" wrapText="1"/>
      <protection locked="0"/>
    </xf>
    <xf numFmtId="0" fontId="2" fillId="0" borderId="5" xfId="0" applyNumberFormat="1" applyFont="1" applyFill="1" applyBorder="1" applyAlignment="1" applyProtection="1">
      <alignment horizontal="center" vertical="center" wrapText="1"/>
      <protection locked="0"/>
    </xf>
    <xf numFmtId="0" fontId="2" fillId="0" borderId="5" xfId="0" applyFont="1" applyFill="1" applyBorder="1" applyAlignment="1" applyProtection="1">
      <alignment vertical="center"/>
      <protection locked="0"/>
    </xf>
    <xf numFmtId="164" fontId="10" fillId="0" borderId="6" xfId="0" applyNumberFormat="1" applyFont="1" applyFill="1" applyBorder="1" applyAlignment="1" applyProtection="1">
      <alignment horizontal="center" vertical="center" wrapText="1"/>
      <protection locked="0"/>
    </xf>
    <xf numFmtId="0" fontId="3" fillId="0" borderId="0" xfId="0" applyFont="1" applyFill="1" applyBorder="1" applyAlignment="1" applyProtection="1">
      <alignment horizontal="center" vertical="center" wrapText="1"/>
      <protection locked="0"/>
    </xf>
    <xf numFmtId="0" fontId="7" fillId="0" borderId="0" xfId="0" applyFont="1" applyFill="1" applyBorder="1" applyAlignment="1" applyProtection="1">
      <alignment horizontal="center" vertical="center" wrapText="1"/>
      <protection locked="0"/>
    </xf>
    <xf numFmtId="0" fontId="2" fillId="0" borderId="0" xfId="0" applyNumberFormat="1" applyFont="1" applyFill="1" applyBorder="1" applyAlignment="1" applyProtection="1">
      <alignment horizontal="center" vertical="center" wrapText="1"/>
      <protection locked="0"/>
    </xf>
    <xf numFmtId="14" fontId="10" fillId="0" borderId="0" xfId="0" applyNumberFormat="1" applyFont="1" applyFill="1" applyBorder="1" applyAlignment="1" applyProtection="1">
      <alignment horizontal="center" vertical="center" wrapText="1"/>
      <protection locked="0"/>
    </xf>
    <xf numFmtId="0" fontId="3" fillId="2" borderId="2" xfId="0" applyFont="1" applyFill="1" applyBorder="1" applyAlignment="1" applyProtection="1">
      <alignment horizontal="center" vertical="center" wrapText="1"/>
      <protection locked="0"/>
    </xf>
    <xf numFmtId="0" fontId="3" fillId="2" borderId="5" xfId="0" applyFont="1" applyFill="1" applyBorder="1" applyAlignment="1" applyProtection="1">
      <alignment horizontal="center" vertical="center" wrapText="1"/>
      <protection locked="0"/>
    </xf>
    <xf numFmtId="0" fontId="7" fillId="0" borderId="0" xfId="0" applyFont="1" applyFill="1" applyBorder="1" applyAlignment="1">
      <alignment wrapText="1"/>
    </xf>
    <xf numFmtId="0" fontId="13" fillId="0" borderId="13" xfId="0" applyFont="1" applyBorder="1"/>
    <xf numFmtId="0" fontId="7" fillId="0" borderId="14" xfId="0" applyFont="1" applyBorder="1"/>
    <xf numFmtId="0" fontId="3" fillId="0" borderId="10" xfId="0" applyFont="1" applyFill="1" applyBorder="1" applyAlignment="1" applyProtection="1">
      <alignment vertical="center"/>
      <protection locked="0"/>
    </xf>
    <xf numFmtId="0" fontId="3" fillId="2" borderId="15" xfId="0" applyFont="1" applyFill="1" applyBorder="1" applyAlignment="1" applyProtection="1">
      <alignment horizontal="center" vertical="center" wrapText="1"/>
    </xf>
    <xf numFmtId="0" fontId="27" fillId="0" borderId="16" xfId="0" applyFont="1" applyBorder="1"/>
    <xf numFmtId="0" fontId="27" fillId="0" borderId="17" xfId="0" applyFont="1" applyBorder="1"/>
    <xf numFmtId="0" fontId="27" fillId="0" borderId="0" xfId="0" applyFont="1" applyFill="1" applyBorder="1"/>
    <xf numFmtId="0" fontId="26" fillId="0" borderId="18" xfId="0" applyFont="1" applyFill="1" applyBorder="1"/>
    <xf numFmtId="0" fontId="27" fillId="0" borderId="16" xfId="0" applyFont="1" applyFill="1" applyBorder="1"/>
    <xf numFmtId="0" fontId="27" fillId="0" borderId="17" xfId="0" applyFont="1" applyFill="1" applyBorder="1"/>
    <xf numFmtId="0" fontId="26" fillId="0" borderId="18" xfId="0" applyFont="1" applyBorder="1"/>
    <xf numFmtId="0" fontId="2" fillId="0" borderId="2" xfId="0" applyFont="1" applyFill="1" applyBorder="1" applyAlignment="1" applyProtection="1">
      <alignment vertical="center"/>
      <protection locked="0"/>
    </xf>
    <xf numFmtId="0" fontId="7" fillId="0" borderId="11" xfId="0" applyFont="1" applyFill="1" applyBorder="1" applyAlignment="1">
      <alignment wrapText="1"/>
    </xf>
    <xf numFmtId="0" fontId="7" fillId="0" borderId="11" xfId="0" applyFont="1" applyFill="1" applyBorder="1"/>
    <xf numFmtId="0" fontId="7" fillId="0" borderId="2" xfId="0" applyFont="1" applyFill="1" applyBorder="1" applyAlignment="1">
      <alignment wrapText="1"/>
    </xf>
    <xf numFmtId="0" fontId="7" fillId="0" borderId="3" xfId="0" applyFont="1" applyBorder="1"/>
    <xf numFmtId="0" fontId="7" fillId="0" borderId="12" xfId="0" applyFont="1" applyFill="1" applyBorder="1" applyAlignment="1">
      <alignment wrapText="1"/>
    </xf>
    <xf numFmtId="0" fontId="7" fillId="0" borderId="10" xfId="0" applyFont="1" applyFill="1" applyBorder="1" applyAlignment="1">
      <alignment wrapText="1"/>
    </xf>
    <xf numFmtId="0" fontId="7" fillId="0" borderId="10" xfId="0" applyFont="1" applyFill="1" applyBorder="1"/>
    <xf numFmtId="0" fontId="7" fillId="0" borderId="10" xfId="0" applyFont="1" applyFill="1" applyBorder="1" applyAlignment="1">
      <alignment horizontal="left"/>
    </xf>
    <xf numFmtId="0" fontId="7" fillId="0" borderId="19" xfId="0" applyFont="1" applyFill="1" applyBorder="1" applyAlignment="1">
      <alignment wrapText="1"/>
    </xf>
    <xf numFmtId="0" fontId="7" fillId="0" borderId="19" xfId="0" applyFont="1" applyFill="1" applyBorder="1" applyAlignment="1"/>
    <xf numFmtId="0" fontId="7" fillId="0" borderId="1" xfId="0" applyFont="1" applyFill="1" applyBorder="1" applyAlignment="1">
      <alignment wrapText="1"/>
    </xf>
    <xf numFmtId="0" fontId="3" fillId="0" borderId="1" xfId="0" applyFont="1" applyFill="1" applyBorder="1" applyAlignment="1" applyProtection="1">
      <alignment vertical="center"/>
      <protection locked="0"/>
    </xf>
    <xf numFmtId="0" fontId="27" fillId="0" borderId="14" xfId="0" applyFont="1" applyFill="1" applyBorder="1"/>
    <xf numFmtId="0" fontId="26" fillId="0" borderId="13" xfId="0" applyFont="1" applyFill="1" applyBorder="1"/>
    <xf numFmtId="0" fontId="27" fillId="0" borderId="20" xfId="0" applyFont="1" applyFill="1" applyBorder="1"/>
    <xf numFmtId="49" fontId="2" fillId="0" borderId="5" xfId="0" applyNumberFormat="1" applyFont="1" applyBorder="1" applyAlignment="1" applyProtection="1">
      <alignment horizontal="center" vertical="center"/>
      <protection locked="0"/>
    </xf>
    <xf numFmtId="49" fontId="2" fillId="0" borderId="11" xfId="0" applyNumberFormat="1" applyFont="1" applyBorder="1" applyAlignment="1" applyProtection="1">
      <alignment horizontal="center" vertical="center"/>
      <protection locked="0"/>
    </xf>
    <xf numFmtId="0" fontId="3" fillId="0" borderId="0" xfId="0" applyFont="1" applyAlignment="1" applyProtection="1">
      <alignment vertical="center"/>
    </xf>
    <xf numFmtId="0" fontId="3" fillId="2" borderId="21" xfId="0" applyFont="1" applyFill="1" applyBorder="1" applyAlignment="1" applyProtection="1">
      <alignment vertical="center"/>
    </xf>
    <xf numFmtId="0" fontId="2" fillId="0" borderId="0" xfId="0" applyFont="1" applyAlignment="1" applyProtection="1">
      <alignment vertical="center"/>
    </xf>
    <xf numFmtId="0" fontId="3" fillId="0" borderId="0" xfId="0" applyFont="1" applyFill="1" applyAlignment="1" applyProtection="1">
      <alignment vertical="center"/>
    </xf>
    <xf numFmtId="49" fontId="3" fillId="0" borderId="0" xfId="0" applyNumberFormat="1" applyFont="1" applyFill="1" applyAlignment="1" applyProtection="1">
      <alignment vertical="center"/>
    </xf>
    <xf numFmtId="49" fontId="3" fillId="0" borderId="0" xfId="0" applyNumberFormat="1" applyFont="1" applyFill="1" applyAlignment="1" applyProtection="1">
      <alignment horizontal="center" vertical="center"/>
    </xf>
    <xf numFmtId="0" fontId="2" fillId="0" borderId="0" xfId="0" applyFont="1" applyFill="1" applyAlignment="1" applyProtection="1">
      <alignment vertical="center"/>
    </xf>
    <xf numFmtId="0" fontId="9" fillId="0" borderId="0" xfId="0" applyFont="1" applyFill="1" applyAlignment="1" applyProtection="1">
      <alignment vertical="center"/>
    </xf>
    <xf numFmtId="0" fontId="3" fillId="0" borderId="0" xfId="0" applyFont="1" applyFill="1" applyAlignment="1" applyProtection="1">
      <alignment horizontal="left" vertical="center"/>
    </xf>
    <xf numFmtId="0" fontId="15" fillId="3" borderId="22" xfId="0" applyFont="1" applyFill="1" applyBorder="1" applyAlignment="1" applyProtection="1">
      <alignment vertical="center"/>
    </xf>
    <xf numFmtId="0" fontId="3" fillId="3" borderId="23" xfId="0" applyFont="1" applyFill="1" applyBorder="1" applyAlignment="1" applyProtection="1">
      <alignment vertical="center"/>
    </xf>
    <xf numFmtId="0" fontId="2" fillId="0" borderId="0" xfId="0" applyFont="1" applyAlignment="1" applyProtection="1">
      <alignment vertical="center" wrapText="1" shrinkToFit="1"/>
    </xf>
    <xf numFmtId="0" fontId="3" fillId="2" borderId="2" xfId="0" applyFont="1" applyFill="1" applyBorder="1" applyAlignment="1" applyProtection="1">
      <alignment vertical="center"/>
    </xf>
    <xf numFmtId="0" fontId="3" fillId="0" borderId="10" xfId="0" applyFont="1" applyFill="1" applyBorder="1" applyAlignment="1" applyProtection="1">
      <alignment vertical="center" wrapText="1"/>
      <protection locked="0"/>
    </xf>
    <xf numFmtId="0" fontId="2" fillId="0" borderId="0" xfId="0" applyFont="1" applyAlignment="1" applyProtection="1">
      <alignment vertical="center" wrapText="1"/>
      <protection locked="0"/>
    </xf>
    <xf numFmtId="49" fontId="6" fillId="0" borderId="10" xfId="0" applyNumberFormat="1" applyFont="1" applyFill="1" applyBorder="1" applyAlignment="1" applyProtection="1">
      <alignment vertical="center" wrapText="1"/>
      <protection locked="0"/>
    </xf>
    <xf numFmtId="0" fontId="18" fillId="0" borderId="0" xfId="0" applyFont="1" applyFill="1" applyBorder="1" applyAlignment="1" applyProtection="1">
      <alignment vertical="center" wrapText="1"/>
      <protection locked="0"/>
    </xf>
    <xf numFmtId="49" fontId="6" fillId="0" borderId="4" xfId="0" applyNumberFormat="1" applyFont="1" applyFill="1" applyBorder="1" applyAlignment="1" applyProtection="1">
      <alignment vertical="center" wrapText="1"/>
      <protection locked="0"/>
    </xf>
    <xf numFmtId="0" fontId="3" fillId="0" borderId="0" xfId="0" applyFont="1" applyFill="1" applyBorder="1" applyAlignment="1" applyProtection="1">
      <alignment vertical="center"/>
    </xf>
    <xf numFmtId="0" fontId="17" fillId="0" borderId="0" xfId="0" applyFont="1" applyFill="1" applyBorder="1" applyAlignment="1" applyProtection="1">
      <alignment vertical="center"/>
    </xf>
    <xf numFmtId="49" fontId="17" fillId="0" borderId="0" xfId="0" applyNumberFormat="1" applyFont="1" applyFill="1" applyBorder="1" applyAlignment="1" applyProtection="1">
      <alignment vertical="center"/>
    </xf>
    <xf numFmtId="49" fontId="17" fillId="0" borderId="0" xfId="0" applyNumberFormat="1" applyFont="1" applyFill="1" applyBorder="1" applyAlignment="1" applyProtection="1">
      <alignment horizontal="center" vertical="center"/>
    </xf>
    <xf numFmtId="49" fontId="19" fillId="0" borderId="0" xfId="0" applyNumberFormat="1" applyFont="1" applyFill="1" applyBorder="1" applyAlignment="1" applyProtection="1">
      <alignment horizontal="center" vertical="center"/>
    </xf>
    <xf numFmtId="49" fontId="19" fillId="0" borderId="0" xfId="0" applyNumberFormat="1" applyFont="1" applyFill="1" applyBorder="1" applyAlignment="1" applyProtection="1">
      <alignment vertical="center"/>
    </xf>
    <xf numFmtId="0" fontId="18" fillId="0" borderId="0" xfId="0" applyFont="1" applyFill="1" applyBorder="1" applyAlignment="1" applyProtection="1">
      <alignment vertical="center"/>
    </xf>
    <xf numFmtId="49" fontId="19" fillId="0" borderId="0" xfId="0" applyNumberFormat="1" applyFont="1" applyFill="1" applyBorder="1" applyAlignment="1" applyProtection="1">
      <alignment vertical="center"/>
      <protection locked="0"/>
    </xf>
    <xf numFmtId="0" fontId="17" fillId="0" borderId="0" xfId="0" applyFont="1" applyFill="1" applyBorder="1" applyAlignment="1" applyProtection="1">
      <alignment vertical="center"/>
      <protection locked="0"/>
    </xf>
    <xf numFmtId="0" fontId="18" fillId="0" borderId="0" xfId="0" applyFont="1" applyFill="1" applyBorder="1" applyAlignment="1" applyProtection="1">
      <alignment vertical="center"/>
      <protection locked="0"/>
    </xf>
    <xf numFmtId="0" fontId="2" fillId="0" borderId="0" xfId="0" applyFont="1" applyBorder="1" applyAlignment="1" applyProtection="1">
      <alignment vertical="center" wrapText="1"/>
    </xf>
    <xf numFmtId="0" fontId="2" fillId="2" borderId="24" xfId="0" applyFont="1" applyFill="1" applyBorder="1" applyAlignment="1" applyProtection="1">
      <alignment vertical="center"/>
    </xf>
    <xf numFmtId="0" fontId="3" fillId="2" borderId="0" xfId="0" applyFont="1" applyFill="1" applyBorder="1" applyAlignment="1" applyProtection="1">
      <alignment vertical="center"/>
    </xf>
    <xf numFmtId="0" fontId="17" fillId="2" borderId="25" xfId="0" applyFont="1" applyFill="1" applyBorder="1" applyAlignment="1" applyProtection="1">
      <alignment vertical="center"/>
    </xf>
    <xf numFmtId="49" fontId="17" fillId="2" borderId="25" xfId="0" applyNumberFormat="1" applyFont="1" applyFill="1" applyBorder="1" applyAlignment="1" applyProtection="1">
      <alignment vertical="center"/>
    </xf>
    <xf numFmtId="49" fontId="17" fillId="2" borderId="25" xfId="0" applyNumberFormat="1" applyFont="1" applyFill="1" applyBorder="1" applyAlignment="1" applyProtection="1">
      <alignment horizontal="center" vertical="center"/>
    </xf>
    <xf numFmtId="49" fontId="19" fillId="2" borderId="25" xfId="0" applyNumberFormat="1" applyFont="1" applyFill="1" applyBorder="1" applyAlignment="1" applyProtection="1">
      <alignment horizontal="center" vertical="center"/>
    </xf>
    <xf numFmtId="49" fontId="19" fillId="2" borderId="25" xfId="0" applyNumberFormat="1" applyFont="1" applyFill="1" applyBorder="1" applyAlignment="1" applyProtection="1">
      <alignment vertical="center"/>
    </xf>
    <xf numFmtId="49" fontId="19" fillId="2" borderId="26" xfId="0" applyNumberFormat="1" applyFont="1" applyFill="1" applyBorder="1" applyAlignment="1" applyProtection="1">
      <alignment vertical="center"/>
    </xf>
    <xf numFmtId="0" fontId="17" fillId="2" borderId="0" xfId="0" applyFont="1" applyFill="1" applyBorder="1" applyAlignment="1" applyProtection="1">
      <alignment vertical="center"/>
    </xf>
    <xf numFmtId="49" fontId="17" fillId="2" borderId="0" xfId="0" applyNumberFormat="1" applyFont="1" applyFill="1" applyBorder="1" applyAlignment="1" applyProtection="1">
      <alignment vertical="center"/>
    </xf>
    <xf numFmtId="49" fontId="17" fillId="2" borderId="0" xfId="0" applyNumberFormat="1" applyFont="1" applyFill="1" applyBorder="1" applyAlignment="1" applyProtection="1">
      <alignment horizontal="center" vertical="center"/>
    </xf>
    <xf numFmtId="49" fontId="19" fillId="2" borderId="0" xfId="0" applyNumberFormat="1" applyFont="1" applyFill="1" applyBorder="1" applyAlignment="1" applyProtection="1">
      <alignment horizontal="center" vertical="center"/>
    </xf>
    <xf numFmtId="49" fontId="19" fillId="2" borderId="0" xfId="0" applyNumberFormat="1" applyFont="1" applyFill="1" applyBorder="1" applyAlignment="1" applyProtection="1">
      <alignment vertical="center"/>
    </xf>
    <xf numFmtId="49" fontId="19" fillId="2" borderId="27" xfId="0" applyNumberFormat="1" applyFont="1" applyFill="1" applyBorder="1" applyAlignment="1" applyProtection="1">
      <alignment vertical="center"/>
    </xf>
    <xf numFmtId="0" fontId="2" fillId="2" borderId="21" xfId="0" applyFont="1" applyFill="1" applyBorder="1" applyAlignment="1" applyProtection="1">
      <alignment vertical="center"/>
    </xf>
    <xf numFmtId="0" fontId="3" fillId="2" borderId="28" xfId="0" applyFont="1" applyFill="1" applyBorder="1" applyAlignment="1" applyProtection="1">
      <alignment vertical="center"/>
    </xf>
    <xf numFmtId="0" fontId="17" fillId="2" borderId="28" xfId="0" applyFont="1" applyFill="1" applyBorder="1" applyAlignment="1" applyProtection="1">
      <alignment vertical="center"/>
    </xf>
    <xf numFmtId="49" fontId="17" fillId="2" borderId="28" xfId="0" applyNumberFormat="1" applyFont="1" applyFill="1" applyBorder="1" applyAlignment="1" applyProtection="1">
      <alignment vertical="center"/>
    </xf>
    <xf numFmtId="49" fontId="17" fillId="2" borderId="28" xfId="0" applyNumberFormat="1" applyFont="1" applyFill="1" applyBorder="1" applyAlignment="1" applyProtection="1">
      <alignment horizontal="center" vertical="center"/>
    </xf>
    <xf numFmtId="49" fontId="19" fillId="2" borderId="28" xfId="0" applyNumberFormat="1" applyFont="1" applyFill="1" applyBorder="1" applyAlignment="1" applyProtection="1">
      <alignment horizontal="center" vertical="center"/>
    </xf>
    <xf numFmtId="49" fontId="19" fillId="2" borderId="28" xfId="0" applyNumberFormat="1" applyFont="1" applyFill="1" applyBorder="1" applyAlignment="1" applyProtection="1">
      <alignment vertical="center"/>
    </xf>
    <xf numFmtId="49" fontId="19" fillId="2" borderId="29" xfId="0" applyNumberFormat="1" applyFont="1" applyFill="1" applyBorder="1" applyAlignment="1" applyProtection="1">
      <alignment vertical="center"/>
    </xf>
    <xf numFmtId="0" fontId="5" fillId="0" borderId="0" xfId="0" applyFont="1" applyFill="1" applyBorder="1" applyAlignment="1" applyProtection="1">
      <alignment horizontal="center" vertical="center"/>
    </xf>
    <xf numFmtId="0" fontId="3" fillId="0" borderId="0" xfId="0" applyFont="1" applyFill="1" applyAlignment="1" applyProtection="1">
      <alignment horizontal="center" vertical="center" wrapText="1"/>
    </xf>
    <xf numFmtId="0" fontId="5" fillId="0" borderId="2" xfId="0" applyFont="1" applyFill="1" applyBorder="1" applyAlignment="1" applyProtection="1">
      <alignment horizontal="center" vertical="center"/>
      <protection locked="0"/>
    </xf>
    <xf numFmtId="0" fontId="5" fillId="0" borderId="3" xfId="0" applyFont="1" applyFill="1" applyBorder="1" applyAlignment="1" applyProtection="1">
      <alignment horizontal="center" vertical="center"/>
      <protection locked="0"/>
    </xf>
    <xf numFmtId="0" fontId="3" fillId="0" borderId="0" xfId="0" applyFont="1" applyFill="1" applyAlignment="1" applyProtection="1">
      <alignment vertical="center"/>
      <protection locked="0"/>
    </xf>
    <xf numFmtId="0" fontId="5" fillId="0" borderId="11" xfId="0" applyFont="1" applyFill="1" applyBorder="1" applyAlignment="1" applyProtection="1">
      <alignment horizontal="left" vertical="center"/>
      <protection locked="0"/>
    </xf>
    <xf numFmtId="0" fontId="5" fillId="0" borderId="11" xfId="0" applyFont="1" applyFill="1" applyBorder="1" applyAlignment="1" applyProtection="1">
      <alignment horizontal="center" vertical="center"/>
      <protection locked="0"/>
    </xf>
    <xf numFmtId="0" fontId="2" fillId="0" borderId="11" xfId="0" applyFont="1" applyFill="1" applyBorder="1" applyAlignment="1" applyProtection="1">
      <alignment horizontal="center" vertical="center"/>
      <protection locked="0"/>
    </xf>
    <xf numFmtId="164" fontId="5" fillId="0" borderId="11" xfId="0" applyNumberFormat="1" applyFont="1" applyFill="1" applyBorder="1" applyAlignment="1" applyProtection="1">
      <alignment horizontal="center" vertical="center"/>
      <protection locked="0"/>
    </xf>
    <xf numFmtId="0" fontId="5" fillId="0" borderId="12" xfId="0" applyFont="1" applyFill="1" applyBorder="1" applyAlignment="1" applyProtection="1">
      <alignment horizontal="center" vertical="center"/>
      <protection locked="0"/>
    </xf>
    <xf numFmtId="0" fontId="5" fillId="0" borderId="5" xfId="0" applyFont="1" applyFill="1" applyBorder="1" applyAlignment="1" applyProtection="1">
      <alignment horizontal="left" vertical="center"/>
      <protection locked="0"/>
    </xf>
    <xf numFmtId="0" fontId="5" fillId="0" borderId="5" xfId="0" applyFont="1" applyFill="1" applyBorder="1" applyAlignment="1" applyProtection="1">
      <alignment horizontal="center" vertical="center"/>
      <protection locked="0"/>
    </xf>
    <xf numFmtId="0" fontId="2" fillId="0" borderId="5" xfId="0" applyFont="1" applyFill="1" applyBorder="1" applyAlignment="1" applyProtection="1">
      <alignment horizontal="center" vertical="center"/>
      <protection locked="0"/>
    </xf>
    <xf numFmtId="164" fontId="5" fillId="0" borderId="5" xfId="0" applyNumberFormat="1" applyFont="1" applyFill="1" applyBorder="1" applyAlignment="1" applyProtection="1">
      <alignment horizontal="center" vertical="center"/>
      <protection locked="0"/>
    </xf>
    <xf numFmtId="0" fontId="5" fillId="0" borderId="6" xfId="0" applyFont="1" applyFill="1" applyBorder="1" applyAlignment="1" applyProtection="1">
      <alignment horizontal="center" vertical="center"/>
      <protection locked="0"/>
    </xf>
    <xf numFmtId="0" fontId="5" fillId="0" borderId="0" xfId="0" applyFont="1" applyFill="1" applyBorder="1" applyAlignment="1" applyProtection="1">
      <alignment horizontal="left" vertical="center"/>
    </xf>
    <xf numFmtId="0" fontId="2" fillId="0" borderId="0" xfId="0" applyFont="1" applyFill="1" applyBorder="1" applyAlignment="1" applyProtection="1">
      <alignment horizontal="center" vertical="center"/>
    </xf>
    <xf numFmtId="0" fontId="20" fillId="3" borderId="13" xfId="0" applyFont="1" applyFill="1" applyBorder="1" applyAlignment="1" applyProtection="1">
      <alignment horizontal="left" vertical="center"/>
    </xf>
    <xf numFmtId="0" fontId="2" fillId="0" borderId="0" xfId="0" applyFont="1" applyFill="1" applyAlignment="1" applyProtection="1">
      <alignment vertical="center"/>
      <protection locked="0"/>
    </xf>
    <xf numFmtId="0" fontId="5" fillId="0" borderId="4" xfId="0" applyFont="1" applyFill="1" applyBorder="1" applyAlignment="1" applyProtection="1">
      <alignment horizontal="center" vertical="center"/>
      <protection locked="0"/>
    </xf>
    <xf numFmtId="0" fontId="3" fillId="2" borderId="30" xfId="0" applyFont="1" applyFill="1" applyBorder="1" applyAlignment="1" applyProtection="1">
      <alignment horizontal="left" vertical="center"/>
    </xf>
    <xf numFmtId="0" fontId="16" fillId="2" borderId="25" xfId="0" applyFont="1" applyFill="1" applyBorder="1" applyAlignment="1" applyProtection="1">
      <alignment vertical="center"/>
    </xf>
    <xf numFmtId="0" fontId="21" fillId="2" borderId="25" xfId="0" applyFont="1" applyFill="1" applyBorder="1" applyAlignment="1" applyProtection="1">
      <alignment horizontal="left" vertical="center"/>
    </xf>
    <xf numFmtId="49" fontId="3" fillId="2" borderId="25" xfId="0" applyNumberFormat="1" applyFont="1" applyFill="1" applyBorder="1" applyAlignment="1" applyProtection="1">
      <alignment vertical="center"/>
    </xf>
    <xf numFmtId="49" fontId="3" fillId="2" borderId="25" xfId="0" applyNumberFormat="1" applyFont="1" applyFill="1" applyBorder="1" applyAlignment="1" applyProtection="1">
      <alignment horizontal="center" vertical="center"/>
    </xf>
    <xf numFmtId="0" fontId="5" fillId="2" borderId="25" xfId="0" applyFont="1" applyFill="1" applyBorder="1" applyAlignment="1" applyProtection="1">
      <alignment horizontal="center" vertical="center"/>
    </xf>
    <xf numFmtId="0" fontId="2" fillId="2" borderId="26" xfId="0" applyFont="1" applyFill="1" applyBorder="1" applyAlignment="1" applyProtection="1">
      <alignment horizontal="center" vertical="center"/>
    </xf>
    <xf numFmtId="0" fontId="3" fillId="2" borderId="24" xfId="0" applyFont="1" applyFill="1" applyBorder="1" applyAlignment="1" applyProtection="1">
      <alignment vertical="center"/>
    </xf>
    <xf numFmtId="49" fontId="16" fillId="2" borderId="0" xfId="0" applyNumberFormat="1" applyFont="1" applyFill="1" applyBorder="1" applyAlignment="1" applyProtection="1">
      <alignment vertical="center"/>
    </xf>
    <xf numFmtId="49" fontId="3" fillId="2" borderId="0" xfId="0" applyNumberFormat="1" applyFont="1" applyFill="1" applyBorder="1" applyAlignment="1" applyProtection="1">
      <alignment vertical="center"/>
    </xf>
    <xf numFmtId="49" fontId="3" fillId="2" borderId="0" xfId="0" applyNumberFormat="1" applyFont="1" applyFill="1" applyBorder="1" applyAlignment="1" applyProtection="1">
      <alignment horizontal="center" vertical="center"/>
    </xf>
    <xf numFmtId="0" fontId="5" fillId="2" borderId="0" xfId="0" applyFont="1" applyFill="1" applyBorder="1" applyAlignment="1" applyProtection="1">
      <alignment horizontal="center" vertical="center"/>
    </xf>
    <xf numFmtId="0" fontId="2" fillId="2" borderId="27" xfId="0" applyFont="1" applyFill="1" applyBorder="1" applyAlignment="1" applyProtection="1">
      <alignment horizontal="center" vertical="center"/>
    </xf>
    <xf numFmtId="49" fontId="16" fillId="2" borderId="28" xfId="0" applyNumberFormat="1" applyFont="1" applyFill="1" applyBorder="1" applyAlignment="1" applyProtection="1">
      <alignment vertical="center"/>
    </xf>
    <xf numFmtId="49" fontId="3" fillId="2" borderId="28" xfId="0" applyNumberFormat="1" applyFont="1" applyFill="1" applyBorder="1" applyAlignment="1" applyProtection="1">
      <alignment vertical="center"/>
    </xf>
    <xf numFmtId="49" fontId="3" fillId="2" borderId="28" xfId="0" applyNumberFormat="1" applyFont="1" applyFill="1" applyBorder="1" applyAlignment="1" applyProtection="1">
      <alignment horizontal="center" vertical="center"/>
    </xf>
    <xf numFmtId="0" fontId="5" fillId="2" borderId="28" xfId="0" applyFont="1" applyFill="1" applyBorder="1" applyAlignment="1" applyProtection="1">
      <alignment horizontal="center" vertical="center"/>
    </xf>
    <xf numFmtId="0" fontId="2" fillId="2" borderId="29" xfId="0" applyFont="1" applyFill="1" applyBorder="1" applyAlignment="1" applyProtection="1">
      <alignment horizontal="center" vertical="center"/>
    </xf>
    <xf numFmtId="0" fontId="3" fillId="0" borderId="24" xfId="0" applyFont="1" applyFill="1" applyBorder="1" applyAlignment="1" applyProtection="1">
      <alignment horizontal="left" vertical="center"/>
    </xf>
    <xf numFmtId="0" fontId="3" fillId="0" borderId="0" xfId="0" applyFont="1" applyFill="1" applyBorder="1" applyAlignment="1" applyProtection="1">
      <alignment horizontal="left" vertical="center"/>
    </xf>
    <xf numFmtId="0" fontId="3" fillId="0" borderId="0" xfId="0" applyFont="1" applyFill="1" applyBorder="1" applyAlignment="1" applyProtection="1">
      <alignment horizontal="center" vertical="center"/>
    </xf>
    <xf numFmtId="0" fontId="5" fillId="0" borderId="0" xfId="0" applyFont="1" applyFill="1" applyBorder="1" applyAlignment="1" applyProtection="1">
      <alignment horizontal="center" vertical="center"/>
      <protection locked="0"/>
    </xf>
    <xf numFmtId="0" fontId="2" fillId="0" borderId="0" xfId="0" applyFont="1" applyFill="1" applyBorder="1" applyAlignment="1" applyProtection="1">
      <alignment horizontal="center" vertical="center"/>
      <protection locked="0"/>
    </xf>
    <xf numFmtId="0" fontId="5" fillId="0" borderId="17" xfId="0" applyFont="1" applyFill="1" applyBorder="1" applyAlignment="1" applyProtection="1">
      <alignment horizontal="center" vertical="center"/>
      <protection locked="0"/>
    </xf>
    <xf numFmtId="0" fontId="7" fillId="0" borderId="0" xfId="0" applyFont="1" applyBorder="1" applyAlignment="1" applyProtection="1">
      <alignment vertical="center"/>
    </xf>
    <xf numFmtId="0" fontId="15" fillId="0" borderId="0" xfId="0" applyFont="1" applyFill="1" applyBorder="1" applyAlignment="1" applyProtection="1">
      <alignment horizontal="left" vertical="center"/>
    </xf>
    <xf numFmtId="49" fontId="3" fillId="0" borderId="0" xfId="0" applyNumberFormat="1" applyFont="1" applyFill="1" applyBorder="1" applyAlignment="1" applyProtection="1">
      <alignment vertical="center"/>
    </xf>
    <xf numFmtId="49" fontId="3" fillId="0" borderId="0" xfId="0" applyNumberFormat="1" applyFont="1" applyFill="1" applyBorder="1" applyAlignment="1" applyProtection="1">
      <alignment horizontal="center" vertical="center"/>
    </xf>
    <xf numFmtId="0" fontId="3" fillId="2" borderId="25" xfId="0" applyFont="1" applyFill="1" applyBorder="1" applyAlignment="1" applyProtection="1">
      <alignment vertical="center"/>
    </xf>
    <xf numFmtId="0" fontId="3" fillId="0" borderId="24" xfId="0" applyFont="1" applyFill="1" applyBorder="1" applyAlignment="1" applyProtection="1">
      <alignment vertical="center"/>
    </xf>
    <xf numFmtId="0" fontId="6" fillId="0" borderId="0" xfId="0" applyFont="1" applyFill="1" applyBorder="1" applyAlignment="1" applyProtection="1">
      <alignment vertical="center"/>
    </xf>
    <xf numFmtId="0" fontId="2" fillId="0" borderId="0" xfId="0" applyFont="1" applyBorder="1" applyAlignment="1" applyProtection="1">
      <alignment vertical="center"/>
    </xf>
    <xf numFmtId="49" fontId="2" fillId="0" borderId="0" xfId="0" applyNumberFormat="1" applyFont="1" applyBorder="1" applyAlignment="1" applyProtection="1">
      <alignment horizontal="center" vertical="center"/>
    </xf>
    <xf numFmtId="49" fontId="2" fillId="0" borderId="0" xfId="0" applyNumberFormat="1" applyFont="1" applyBorder="1" applyAlignment="1" applyProtection="1">
      <alignment horizontal="center" vertical="center" wrapText="1"/>
      <protection locked="0"/>
    </xf>
    <xf numFmtId="0" fontId="5" fillId="0" borderId="0" xfId="0" applyFont="1" applyFill="1" applyBorder="1" applyAlignment="1" applyProtection="1">
      <alignment horizontal="center" vertical="center" wrapText="1"/>
      <protection locked="0"/>
    </xf>
    <xf numFmtId="0" fontId="2" fillId="0" borderId="0" xfId="0" applyFont="1" applyFill="1" applyBorder="1" applyAlignment="1" applyProtection="1">
      <alignment horizontal="center" vertical="center" wrapText="1"/>
      <protection locked="0"/>
    </xf>
    <xf numFmtId="0" fontId="3" fillId="0" borderId="0" xfId="0" applyFont="1" applyFill="1" applyAlignment="1" applyProtection="1">
      <alignment vertical="center" wrapText="1"/>
      <protection locked="0"/>
    </xf>
    <xf numFmtId="0" fontId="3" fillId="0" borderId="24" xfId="0" applyFont="1" applyBorder="1" applyAlignment="1" applyProtection="1">
      <alignment vertical="center"/>
    </xf>
    <xf numFmtId="0" fontId="2" fillId="0" borderId="0" xfId="0" applyFont="1" applyBorder="1" applyAlignment="1" applyProtection="1">
      <alignment horizontal="center" vertical="center"/>
    </xf>
    <xf numFmtId="0" fontId="8" fillId="0" borderId="0" xfId="0" applyFont="1" applyFill="1" applyBorder="1" applyAlignment="1" applyProtection="1">
      <alignment horizontal="center" vertical="center"/>
    </xf>
    <xf numFmtId="0" fontId="2" fillId="0" borderId="1" xfId="0" applyFont="1" applyBorder="1" applyAlignment="1" applyProtection="1">
      <alignment horizontal="left" vertical="center" wrapText="1"/>
      <protection locked="0"/>
    </xf>
    <xf numFmtId="49" fontId="2" fillId="0" borderId="2" xfId="0" applyNumberFormat="1" applyFont="1" applyBorder="1" applyAlignment="1" applyProtection="1">
      <alignment horizontal="center" vertical="center"/>
      <protection locked="0"/>
    </xf>
    <xf numFmtId="164" fontId="4" fillId="0" borderId="2" xfId="0" applyNumberFormat="1" applyFont="1" applyBorder="1" applyAlignment="1" applyProtection="1">
      <alignment horizontal="center" vertical="center"/>
      <protection locked="0"/>
    </xf>
    <xf numFmtId="164" fontId="4" fillId="0" borderId="3" xfId="0" applyNumberFormat="1" applyFont="1" applyBorder="1" applyAlignment="1" applyProtection="1">
      <alignment horizontal="center" vertical="center"/>
      <protection locked="0"/>
    </xf>
    <xf numFmtId="0" fontId="2" fillId="0" borderId="10" xfId="0" applyFont="1" applyBorder="1" applyAlignment="1" applyProtection="1">
      <alignment horizontal="left" vertical="center" wrapText="1"/>
      <protection locked="0"/>
    </xf>
    <xf numFmtId="164" fontId="4" fillId="0" borderId="11" xfId="0" applyNumberFormat="1" applyFont="1" applyBorder="1" applyAlignment="1" applyProtection="1">
      <alignment horizontal="center" vertical="center"/>
      <protection locked="0"/>
    </xf>
    <xf numFmtId="164" fontId="4" fillId="0" borderId="12" xfId="0" applyNumberFormat="1" applyFont="1" applyBorder="1" applyAlignment="1" applyProtection="1">
      <alignment horizontal="center" vertical="center"/>
      <protection locked="0"/>
    </xf>
    <xf numFmtId="0" fontId="2" fillId="0" borderId="4" xfId="0" applyFont="1" applyBorder="1" applyAlignment="1" applyProtection="1">
      <alignment horizontal="left" vertical="center" wrapText="1"/>
      <protection locked="0"/>
    </xf>
    <xf numFmtId="164" fontId="4" fillId="0" borderId="5" xfId="0" applyNumberFormat="1" applyFont="1" applyBorder="1" applyAlignment="1" applyProtection="1">
      <alignment horizontal="center" vertical="center"/>
      <protection locked="0"/>
    </xf>
    <xf numFmtId="0" fontId="2" fillId="0" borderId="0" xfId="0" applyFont="1" applyBorder="1" applyAlignment="1" applyProtection="1">
      <alignment horizontal="left" vertical="center"/>
    </xf>
    <xf numFmtId="49" fontId="2" fillId="0" borderId="0" xfId="0" applyNumberFormat="1" applyFont="1" applyBorder="1" applyAlignment="1" applyProtection="1">
      <alignment horizontal="left" vertical="center"/>
    </xf>
    <xf numFmtId="49" fontId="2" fillId="0" borderId="0" xfId="0" applyNumberFormat="1" applyFont="1" applyBorder="1" applyAlignment="1" applyProtection="1">
      <alignment vertical="center"/>
    </xf>
    <xf numFmtId="49" fontId="2" fillId="0" borderId="0" xfId="0" applyNumberFormat="1" applyFont="1" applyBorder="1" applyAlignment="1" applyProtection="1">
      <alignment vertical="center"/>
      <protection locked="0"/>
    </xf>
    <xf numFmtId="0" fontId="2" fillId="0" borderId="0" xfId="0" applyFont="1" applyBorder="1" applyAlignment="1" applyProtection="1">
      <alignment horizontal="center" vertical="center"/>
      <protection locked="0"/>
    </xf>
    <xf numFmtId="0" fontId="2" fillId="0" borderId="0" xfId="0" applyFont="1" applyBorder="1" applyAlignment="1" applyProtection="1">
      <alignment vertical="center"/>
      <protection locked="0"/>
    </xf>
    <xf numFmtId="0" fontId="7" fillId="0" borderId="0" xfId="0" applyFont="1" applyFill="1" applyBorder="1" applyAlignment="1" applyProtection="1">
      <alignment vertical="center"/>
    </xf>
    <xf numFmtId="49" fontId="2" fillId="0" borderId="0" xfId="0" applyNumberFormat="1" applyFont="1" applyFill="1" applyBorder="1" applyAlignment="1" applyProtection="1">
      <alignment horizontal="center" vertical="center"/>
    </xf>
    <xf numFmtId="0" fontId="2" fillId="0" borderId="0" xfId="0" applyNumberFormat="1" applyFont="1" applyFill="1" applyBorder="1" applyAlignment="1" applyProtection="1">
      <alignment horizontal="center" vertical="center" wrapText="1"/>
    </xf>
    <xf numFmtId="0" fontId="2" fillId="0" borderId="24" xfId="0" applyFont="1" applyBorder="1" applyAlignment="1" applyProtection="1">
      <alignment vertical="center"/>
    </xf>
    <xf numFmtId="49" fontId="12" fillId="0" borderId="0" xfId="0" applyNumberFormat="1" applyFont="1" applyBorder="1" applyAlignment="1" applyProtection="1">
      <alignment horizontal="left" vertical="center"/>
    </xf>
    <xf numFmtId="0" fontId="12" fillId="0" borderId="0" xfId="0" applyFont="1" applyBorder="1" applyAlignment="1" applyProtection="1">
      <alignment vertical="center"/>
    </xf>
    <xf numFmtId="49" fontId="3" fillId="0" borderId="0" xfId="0" applyNumberFormat="1" applyFont="1" applyFill="1" applyBorder="1" applyAlignment="1" applyProtection="1">
      <alignment horizontal="left" vertical="center"/>
    </xf>
    <xf numFmtId="49" fontId="2" fillId="0" borderId="0" xfId="0" applyNumberFormat="1" applyFont="1" applyFill="1" applyBorder="1" applyAlignment="1" applyProtection="1">
      <alignment vertical="center"/>
    </xf>
    <xf numFmtId="49" fontId="2" fillId="0" borderId="0" xfId="0" applyNumberFormat="1" applyFont="1" applyBorder="1" applyAlignment="1" applyProtection="1">
      <alignment vertical="center" wrapText="1"/>
    </xf>
    <xf numFmtId="0" fontId="3" fillId="2" borderId="3" xfId="0" applyFont="1" applyFill="1" applyBorder="1" applyAlignment="1" applyProtection="1">
      <alignment vertical="center"/>
    </xf>
    <xf numFmtId="0" fontId="2" fillId="0" borderId="24" xfId="0" applyFont="1" applyBorder="1" applyAlignment="1" applyProtection="1">
      <alignment vertical="center"/>
      <protection locked="0"/>
    </xf>
    <xf numFmtId="49" fontId="2" fillId="0" borderId="10" xfId="0" applyNumberFormat="1" applyFont="1" applyBorder="1" applyAlignment="1" applyProtection="1">
      <alignment vertical="center"/>
      <protection locked="0"/>
    </xf>
    <xf numFmtId="49" fontId="2" fillId="0" borderId="11" xfId="0" applyNumberFormat="1" applyFont="1" applyBorder="1" applyAlignment="1" applyProtection="1">
      <alignment vertical="center"/>
      <protection locked="0"/>
    </xf>
    <xf numFmtId="10" fontId="2" fillId="0" borderId="12" xfId="3" applyNumberFormat="1" applyFont="1" applyBorder="1" applyAlignment="1" applyProtection="1">
      <alignment vertical="center"/>
      <protection locked="0"/>
    </xf>
    <xf numFmtId="0" fontId="2" fillId="0" borderId="21" xfId="0" applyFont="1" applyBorder="1" applyAlignment="1" applyProtection="1">
      <alignment vertical="center"/>
      <protection locked="0"/>
    </xf>
    <xf numFmtId="49" fontId="2" fillId="0" borderId="4" xfId="0" applyNumberFormat="1" applyFont="1" applyBorder="1" applyAlignment="1" applyProtection="1">
      <alignment vertical="center"/>
      <protection locked="0"/>
    </xf>
    <xf numFmtId="49" fontId="2" fillId="0" borderId="5" xfId="0" applyNumberFormat="1" applyFont="1" applyBorder="1" applyAlignment="1" applyProtection="1">
      <alignment vertical="center"/>
      <protection locked="0"/>
    </xf>
    <xf numFmtId="10" fontId="2" fillId="0" borderId="6" xfId="3" applyNumberFormat="1" applyFont="1" applyBorder="1" applyAlignment="1" applyProtection="1">
      <alignment vertical="center"/>
      <protection locked="0"/>
    </xf>
    <xf numFmtId="0" fontId="2" fillId="0" borderId="0" xfId="0" applyFont="1" applyAlignment="1" applyProtection="1">
      <alignment horizontal="center" vertical="center"/>
    </xf>
    <xf numFmtId="49" fontId="3" fillId="2" borderId="31" xfId="0" applyNumberFormat="1" applyFont="1" applyFill="1" applyBorder="1" applyAlignment="1" applyProtection="1">
      <alignment horizontal="left" vertical="center"/>
    </xf>
    <xf numFmtId="49" fontId="22" fillId="2" borderId="0" xfId="0" applyNumberFormat="1" applyFont="1" applyFill="1" applyBorder="1" applyAlignment="1" applyProtection="1">
      <alignment vertical="center"/>
    </xf>
    <xf numFmtId="0" fontId="2" fillId="2" borderId="0" xfId="0" applyFont="1" applyFill="1" applyBorder="1" applyAlignment="1" applyProtection="1">
      <alignment vertical="center"/>
    </xf>
    <xf numFmtId="49" fontId="2" fillId="2" borderId="0" xfId="0" applyNumberFormat="1" applyFont="1" applyFill="1" applyBorder="1" applyAlignment="1" applyProtection="1">
      <alignment horizontal="center" vertical="center"/>
    </xf>
    <xf numFmtId="0" fontId="10" fillId="2" borderId="0" xfId="0" applyFont="1" applyFill="1" applyBorder="1" applyAlignment="1" applyProtection="1">
      <alignment vertical="center"/>
    </xf>
    <xf numFmtId="49" fontId="2" fillId="2" borderId="27" xfId="0" applyNumberFormat="1" applyFont="1" applyFill="1" applyBorder="1" applyAlignment="1" applyProtection="1">
      <alignment horizontal="center" vertical="center"/>
    </xf>
    <xf numFmtId="0" fontId="2" fillId="0" borderId="0" xfId="0" applyFont="1" applyAlignment="1" applyProtection="1">
      <alignment vertical="center"/>
      <protection locked="0"/>
    </xf>
    <xf numFmtId="0" fontId="20" fillId="0" borderId="0" xfId="0" applyFont="1" applyAlignment="1">
      <alignment vertical="center"/>
    </xf>
    <xf numFmtId="49" fontId="5" fillId="0" borderId="0" xfId="0" applyNumberFormat="1" applyFont="1" applyFill="1" applyBorder="1" applyAlignment="1" applyProtection="1">
      <alignment vertical="center"/>
      <protection locked="0"/>
    </xf>
    <xf numFmtId="0" fontId="3" fillId="0" borderId="10" xfId="2" applyFont="1" applyFill="1" applyBorder="1" applyAlignment="1" applyProtection="1">
      <alignment vertical="center" wrapText="1"/>
      <protection locked="0"/>
    </xf>
    <xf numFmtId="0" fontId="3" fillId="0" borderId="4" xfId="2" applyFont="1" applyFill="1" applyBorder="1" applyAlignment="1" applyProtection="1">
      <alignment vertical="center" wrapText="1"/>
      <protection locked="0"/>
    </xf>
    <xf numFmtId="0" fontId="2" fillId="2" borderId="30" xfId="0" applyFont="1" applyFill="1" applyBorder="1" applyAlignment="1" applyProtection="1">
      <alignment vertical="center"/>
    </xf>
    <xf numFmtId="164" fontId="4" fillId="0" borderId="6" xfId="0" applyNumberFormat="1" applyFont="1" applyBorder="1" applyAlignment="1" applyProtection="1">
      <alignment horizontal="center" vertical="center"/>
      <protection locked="0"/>
    </xf>
    <xf numFmtId="0" fontId="5" fillId="0" borderId="2" xfId="0" applyFont="1" applyFill="1" applyBorder="1" applyAlignment="1" applyProtection="1">
      <alignment horizontal="left" vertical="center"/>
      <protection locked="0"/>
    </xf>
    <xf numFmtId="0" fontId="2" fillId="0" borderId="2" xfId="0" applyFont="1" applyFill="1" applyBorder="1" applyAlignment="1" applyProtection="1">
      <alignment horizontal="center" vertical="center"/>
      <protection locked="0"/>
    </xf>
    <xf numFmtId="164" fontId="5" fillId="0" borderId="2" xfId="0" applyNumberFormat="1" applyFont="1" applyFill="1" applyBorder="1" applyAlignment="1" applyProtection="1">
      <alignment horizontal="center" vertical="center"/>
      <protection locked="0"/>
    </xf>
    <xf numFmtId="49" fontId="2" fillId="0" borderId="30" xfId="0" applyNumberFormat="1" applyFont="1" applyBorder="1" applyAlignment="1" applyProtection="1">
      <alignment horizontal="right" vertical="center" wrapText="1"/>
      <protection locked="0"/>
    </xf>
    <xf numFmtId="0" fontId="31" fillId="2" borderId="0" xfId="0" applyFont="1" applyFill="1" applyAlignment="1" applyProtection="1">
      <alignment horizontal="center" vertical="center"/>
    </xf>
    <xf numFmtId="0" fontId="0" fillId="2" borderId="0" xfId="0" applyFill="1" applyAlignment="1" applyProtection="1">
      <alignment horizontal="center" vertical="center"/>
    </xf>
    <xf numFmtId="0" fontId="28" fillId="2" borderId="22" xfId="0" applyFont="1" applyFill="1" applyBorder="1" applyAlignment="1" applyProtection="1">
      <alignment horizontal="center" vertical="center"/>
    </xf>
    <xf numFmtId="0" fontId="28" fillId="2" borderId="7" xfId="0" applyFont="1" applyFill="1" applyBorder="1" applyAlignment="1" applyProtection="1">
      <alignment horizontal="center" vertical="center"/>
    </xf>
    <xf numFmtId="0" fontId="28" fillId="2" borderId="34" xfId="0" applyFont="1" applyFill="1" applyBorder="1" applyAlignment="1" applyProtection="1">
      <alignment horizontal="center" vertical="center"/>
    </xf>
    <xf numFmtId="0" fontId="28" fillId="2" borderId="9" xfId="0" applyFont="1" applyFill="1" applyBorder="1" applyAlignment="1" applyProtection="1">
      <alignment horizontal="center" vertical="center"/>
    </xf>
    <xf numFmtId="0" fontId="28" fillId="2" borderId="0" xfId="0" applyFont="1" applyFill="1" applyAlignment="1" applyProtection="1">
      <alignment horizontal="center" vertical="center"/>
    </xf>
    <xf numFmtId="0" fontId="28" fillId="0" borderId="35" xfId="0" applyFont="1" applyFill="1" applyBorder="1" applyAlignment="1" applyProtection="1">
      <alignment horizontal="center" vertical="center"/>
      <protection locked="0"/>
    </xf>
    <xf numFmtId="0" fontId="28" fillId="0" borderId="36" xfId="0" applyFont="1" applyFill="1" applyBorder="1" applyAlignment="1" applyProtection="1">
      <alignment horizontal="center" vertical="center"/>
      <protection locked="0"/>
    </xf>
    <xf numFmtId="0" fontId="28" fillId="0" borderId="37" xfId="0" applyFont="1" applyFill="1" applyBorder="1" applyAlignment="1" applyProtection="1">
      <alignment horizontal="center" vertical="center"/>
      <protection locked="0"/>
    </xf>
    <xf numFmtId="0" fontId="28" fillId="0" borderId="10" xfId="0" applyFont="1" applyFill="1" applyBorder="1" applyAlignment="1" applyProtection="1">
      <alignment horizontal="center" vertical="center"/>
      <protection locked="0"/>
    </xf>
    <xf numFmtId="0" fontId="28" fillId="0" borderId="38" xfId="0" applyFont="1" applyFill="1" applyBorder="1" applyAlignment="1" applyProtection="1">
      <alignment horizontal="center" vertical="center"/>
      <protection locked="0"/>
    </xf>
    <xf numFmtId="0" fontId="28" fillId="0" borderId="12" xfId="0" applyFont="1" applyFill="1" applyBorder="1" applyAlignment="1" applyProtection="1">
      <alignment horizontal="center" vertical="center"/>
      <protection locked="0"/>
    </xf>
    <xf numFmtId="0" fontId="28" fillId="0" borderId="4" xfId="0" applyFont="1" applyFill="1" applyBorder="1" applyAlignment="1" applyProtection="1">
      <alignment horizontal="center" vertical="center"/>
      <protection locked="0"/>
    </xf>
    <xf numFmtId="0" fontId="28" fillId="0" borderId="39" xfId="0" applyFont="1" applyFill="1" applyBorder="1" applyAlignment="1" applyProtection="1">
      <alignment horizontal="center" vertical="center"/>
      <protection locked="0"/>
    </xf>
    <xf numFmtId="0" fontId="28" fillId="0" borderId="6" xfId="0" applyFont="1" applyFill="1" applyBorder="1" applyAlignment="1" applyProtection="1">
      <alignment horizontal="center" vertical="center"/>
      <protection locked="0"/>
    </xf>
    <xf numFmtId="0" fontId="29" fillId="2" borderId="7" xfId="0" applyFont="1" applyFill="1" applyBorder="1" applyAlignment="1" applyProtection="1">
      <alignment horizontal="center" vertical="center"/>
    </xf>
    <xf numFmtId="0" fontId="30" fillId="2" borderId="8" xfId="0" applyFont="1" applyFill="1" applyBorder="1" applyAlignment="1" applyProtection="1">
      <alignment horizontal="center" vertical="center"/>
    </xf>
    <xf numFmtId="0" fontId="29" fillId="2" borderId="9" xfId="0" applyFont="1" applyFill="1" applyBorder="1" applyAlignment="1" applyProtection="1">
      <alignment horizontal="center" vertical="center"/>
    </xf>
    <xf numFmtId="0" fontId="2" fillId="0" borderId="10" xfId="0" applyFont="1" applyFill="1" applyBorder="1" applyAlignment="1" applyProtection="1">
      <alignment horizontal="center" vertical="center"/>
      <protection locked="0"/>
    </xf>
    <xf numFmtId="0" fontId="7" fillId="0" borderId="0" xfId="0" applyFont="1" applyFill="1"/>
    <xf numFmtId="0" fontId="27" fillId="0" borderId="43" xfId="0" applyFont="1" applyFill="1" applyBorder="1"/>
    <xf numFmtId="0" fontId="27" fillId="0" borderId="21" xfId="0" applyFont="1" applyFill="1" applyBorder="1"/>
    <xf numFmtId="0" fontId="26" fillId="0" borderId="13" xfId="0" applyFont="1" applyBorder="1"/>
    <xf numFmtId="0" fontId="27" fillId="0" borderId="14" xfId="0" applyFont="1" applyBorder="1"/>
    <xf numFmtId="0" fontId="27" fillId="0" borderId="20" xfId="0" applyFont="1" applyBorder="1"/>
    <xf numFmtId="165" fontId="5" fillId="0" borderId="11" xfId="0" applyNumberFormat="1" applyFont="1" applyFill="1" applyBorder="1" applyAlignment="1" applyProtection="1">
      <alignment horizontal="right" vertical="center"/>
      <protection locked="0"/>
    </xf>
    <xf numFmtId="165" fontId="5" fillId="0" borderId="5" xfId="0" applyNumberFormat="1" applyFont="1" applyFill="1" applyBorder="1" applyAlignment="1" applyProtection="1">
      <alignment horizontal="right" vertical="center"/>
      <protection locked="0"/>
    </xf>
    <xf numFmtId="0" fontId="3" fillId="3" borderId="26" xfId="0" applyFont="1" applyFill="1" applyBorder="1" applyAlignment="1" applyProtection="1">
      <alignment vertical="center"/>
    </xf>
    <xf numFmtId="165" fontId="2" fillId="0" borderId="5" xfId="0" applyNumberFormat="1" applyFont="1" applyFill="1" applyBorder="1" applyAlignment="1" applyProtection="1">
      <alignment horizontal="center" vertical="center"/>
      <protection locked="0"/>
    </xf>
    <xf numFmtId="0" fontId="5" fillId="0" borderId="10" xfId="0" applyFont="1" applyFill="1" applyBorder="1" applyAlignment="1" applyProtection="1">
      <alignment horizontal="center" vertical="center"/>
      <protection locked="0"/>
    </xf>
    <xf numFmtId="0" fontId="7" fillId="0" borderId="20" xfId="0" applyFont="1" applyBorder="1"/>
    <xf numFmtId="0" fontId="3" fillId="2" borderId="44" xfId="0" applyFont="1" applyFill="1" applyBorder="1" applyAlignment="1" applyProtection="1">
      <alignment horizontal="center" vertical="center" wrapText="1"/>
    </xf>
    <xf numFmtId="0" fontId="3" fillId="2" borderId="31" xfId="0" applyFont="1" applyFill="1" applyBorder="1" applyAlignment="1" applyProtection="1">
      <alignment vertical="center"/>
    </xf>
    <xf numFmtId="165" fontId="5" fillId="0" borderId="2" xfId="0" applyNumberFormat="1" applyFont="1" applyFill="1" applyBorder="1" applyAlignment="1" applyProtection="1">
      <alignment horizontal="right" vertical="center"/>
      <protection locked="0"/>
    </xf>
    <xf numFmtId="0" fontId="3" fillId="2" borderId="4" xfId="0" applyFont="1" applyFill="1" applyBorder="1" applyAlignment="1" applyProtection="1">
      <alignment horizontal="center" vertical="center" wrapText="1"/>
      <protection locked="0"/>
    </xf>
    <xf numFmtId="165" fontId="5" fillId="0" borderId="3" xfId="0" applyNumberFormat="1" applyFont="1" applyFill="1" applyBorder="1" applyAlignment="1" applyProtection="1">
      <alignment horizontal="right" vertical="center"/>
      <protection locked="0"/>
    </xf>
    <xf numFmtId="165" fontId="5" fillId="0" borderId="12" xfId="0" applyNumberFormat="1" applyFont="1" applyFill="1" applyBorder="1" applyAlignment="1" applyProtection="1">
      <alignment horizontal="right" vertical="center"/>
      <protection locked="0"/>
    </xf>
    <xf numFmtId="165" fontId="5" fillId="0" borderId="6" xfId="0" applyNumberFormat="1" applyFont="1" applyFill="1" applyBorder="1" applyAlignment="1" applyProtection="1">
      <alignment horizontal="right" vertical="center"/>
      <protection locked="0"/>
    </xf>
    <xf numFmtId="0" fontId="5" fillId="0" borderId="1" xfId="0" applyFont="1" applyFill="1" applyBorder="1" applyAlignment="1" applyProtection="1">
      <alignment horizontal="center" vertical="center"/>
      <protection locked="0"/>
    </xf>
    <xf numFmtId="0" fontId="2" fillId="0" borderId="1" xfId="0" applyFont="1" applyFill="1" applyBorder="1" applyAlignment="1" applyProtection="1">
      <alignment horizontal="center" vertical="center"/>
      <protection locked="0"/>
    </xf>
    <xf numFmtId="0" fontId="5" fillId="0" borderId="18" xfId="0" applyFont="1" applyFill="1" applyBorder="1" applyAlignment="1" applyProtection="1">
      <alignment horizontal="center" vertical="center"/>
      <protection locked="0"/>
    </xf>
    <xf numFmtId="0" fontId="5" fillId="0" borderId="16" xfId="0" applyFont="1" applyFill="1" applyBorder="1" applyAlignment="1" applyProtection="1">
      <alignment horizontal="center" vertical="center"/>
      <protection locked="0"/>
    </xf>
    <xf numFmtId="0" fontId="6" fillId="2" borderId="8" xfId="0" applyFont="1" applyFill="1" applyBorder="1" applyAlignment="1" applyProtection="1">
      <alignment horizontal="center" vertical="center" wrapText="1"/>
    </xf>
    <xf numFmtId="165" fontId="2" fillId="0" borderId="2" xfId="0" applyNumberFormat="1" applyFont="1" applyFill="1" applyBorder="1" applyAlignment="1" applyProtection="1">
      <alignment horizontal="right" vertical="center"/>
      <protection locked="0"/>
    </xf>
    <xf numFmtId="0" fontId="2" fillId="0" borderId="3" xfId="0" applyFont="1" applyFill="1" applyBorder="1" applyAlignment="1" applyProtection="1">
      <alignment horizontal="center" vertical="center"/>
      <protection locked="0"/>
    </xf>
    <xf numFmtId="165" fontId="2" fillId="0" borderId="11" xfId="0" applyNumberFormat="1" applyFont="1" applyFill="1" applyBorder="1" applyAlignment="1" applyProtection="1">
      <alignment horizontal="right" vertical="center"/>
      <protection locked="0"/>
    </xf>
    <xf numFmtId="0" fontId="2" fillId="0" borderId="12" xfId="0" applyFont="1" applyFill="1" applyBorder="1" applyAlignment="1" applyProtection="1">
      <alignment horizontal="center" vertical="center"/>
      <protection locked="0"/>
    </xf>
    <xf numFmtId="49" fontId="3" fillId="2" borderId="26" xfId="0" applyNumberFormat="1" applyFont="1" applyFill="1" applyBorder="1" applyAlignment="1" applyProtection="1">
      <alignment vertical="center"/>
    </xf>
    <xf numFmtId="49" fontId="3" fillId="2" borderId="27" xfId="0" applyNumberFormat="1" applyFont="1" applyFill="1" applyBorder="1" applyAlignment="1" applyProtection="1">
      <alignment vertical="center"/>
    </xf>
    <xf numFmtId="49" fontId="3" fillId="2" borderId="29" xfId="0" applyNumberFormat="1" applyFont="1" applyFill="1" applyBorder="1" applyAlignment="1" applyProtection="1">
      <alignment vertical="center"/>
    </xf>
    <xf numFmtId="49" fontId="3" fillId="0" borderId="24" xfId="0" applyNumberFormat="1" applyFont="1" applyBorder="1" applyAlignment="1" applyProtection="1">
      <alignment horizontal="right" vertical="center"/>
    </xf>
    <xf numFmtId="0" fontId="2" fillId="0" borderId="24" xfId="0" applyFont="1" applyBorder="1" applyAlignment="1" applyProtection="1">
      <alignment horizontal="right" vertical="center"/>
      <protection locked="0"/>
    </xf>
    <xf numFmtId="0" fontId="2" fillId="0" borderId="21" xfId="0" applyFont="1" applyBorder="1" applyAlignment="1" applyProtection="1">
      <alignment horizontal="right" vertical="center"/>
      <protection locked="0"/>
    </xf>
    <xf numFmtId="0" fontId="13" fillId="0" borderId="40" xfId="0" applyFont="1" applyBorder="1"/>
    <xf numFmtId="0" fontId="0" fillId="0" borderId="0" xfId="0" applyProtection="1">
      <protection locked="0"/>
    </xf>
    <xf numFmtId="0" fontId="20" fillId="3" borderId="22" xfId="0" applyFont="1" applyFill="1" applyBorder="1" applyAlignment="1" applyProtection="1">
      <alignment vertical="center"/>
    </xf>
    <xf numFmtId="0" fontId="20" fillId="3" borderId="9" xfId="0" applyFont="1" applyFill="1" applyBorder="1" applyAlignment="1" applyProtection="1">
      <alignment horizontal="center" vertical="center"/>
    </xf>
    <xf numFmtId="0" fontId="3" fillId="2" borderId="10" xfId="0" applyFont="1" applyFill="1" applyBorder="1" applyAlignment="1" applyProtection="1">
      <alignment vertical="center"/>
    </xf>
    <xf numFmtId="0" fontId="3" fillId="2" borderId="4" xfId="0" applyFont="1" applyFill="1" applyBorder="1" applyAlignment="1" applyProtection="1">
      <alignment vertical="center"/>
    </xf>
    <xf numFmtId="0" fontId="3" fillId="0" borderId="3" xfId="0" applyFont="1" applyBorder="1" applyAlignment="1" applyProtection="1">
      <alignment horizontal="center" vertical="center"/>
      <protection locked="0"/>
    </xf>
    <xf numFmtId="0" fontId="3" fillId="0" borderId="12" xfId="0" applyFont="1" applyBorder="1" applyAlignment="1" applyProtection="1">
      <alignment horizontal="center" vertical="center"/>
      <protection locked="0"/>
    </xf>
    <xf numFmtId="0" fontId="3" fillId="0" borderId="6" xfId="0" applyFont="1" applyBorder="1" applyAlignment="1" applyProtection="1">
      <alignment horizontal="center" vertical="center"/>
      <protection locked="0"/>
    </xf>
    <xf numFmtId="0" fontId="3" fillId="2" borderId="45" xfId="0" applyFont="1" applyFill="1" applyBorder="1" applyAlignment="1" applyProtection="1">
      <alignment vertical="center"/>
    </xf>
    <xf numFmtId="0" fontId="3" fillId="0" borderId="46" xfId="0" applyFont="1" applyBorder="1" applyAlignment="1" applyProtection="1">
      <alignment horizontal="center" vertical="center"/>
      <protection locked="0"/>
    </xf>
    <xf numFmtId="0" fontId="33" fillId="0" borderId="0" xfId="0" applyFont="1"/>
    <xf numFmtId="0" fontId="27" fillId="0" borderId="17" xfId="0" applyFont="1" applyFill="1" applyBorder="1" applyAlignment="1">
      <alignment horizontal="left"/>
    </xf>
    <xf numFmtId="165" fontId="2" fillId="0" borderId="47" xfId="0" applyNumberFormat="1" applyFont="1" applyFill="1" applyBorder="1" applyAlignment="1" applyProtection="1">
      <alignment horizontal="right" vertical="center"/>
      <protection locked="0"/>
    </xf>
    <xf numFmtId="165" fontId="5" fillId="0" borderId="47" xfId="0" applyNumberFormat="1" applyFont="1" applyFill="1" applyBorder="1" applyAlignment="1" applyProtection="1">
      <alignment horizontal="right" vertical="center"/>
      <protection locked="0"/>
    </xf>
    <xf numFmtId="0" fontId="2" fillId="0" borderId="47" xfId="0" applyFont="1" applyFill="1" applyBorder="1" applyAlignment="1" applyProtection="1">
      <alignment vertical="center"/>
      <protection locked="0"/>
    </xf>
    <xf numFmtId="0" fontId="2" fillId="0" borderId="47" xfId="0" applyFont="1" applyFill="1" applyBorder="1" applyAlignment="1" applyProtection="1">
      <alignment horizontal="center" vertical="center"/>
      <protection locked="0"/>
    </xf>
    <xf numFmtId="0" fontId="2" fillId="0" borderId="46" xfId="0" applyFont="1" applyFill="1" applyBorder="1" applyAlignment="1" applyProtection="1">
      <alignment horizontal="center" vertical="center"/>
      <protection locked="0"/>
    </xf>
    <xf numFmtId="0" fontId="2" fillId="0" borderId="45" xfId="0" applyFont="1" applyFill="1" applyBorder="1" applyAlignment="1" applyProtection="1">
      <alignment horizontal="center" vertical="center"/>
      <protection locked="0"/>
    </xf>
    <xf numFmtId="165" fontId="2" fillId="0" borderId="47" xfId="0" applyNumberFormat="1" applyFont="1" applyFill="1" applyBorder="1" applyAlignment="1" applyProtection="1">
      <alignment horizontal="right" vertical="center" indent="6"/>
      <protection locked="0"/>
    </xf>
    <xf numFmtId="0" fontId="2" fillId="0" borderId="0" xfId="0" applyFont="1" applyFill="1" applyBorder="1" applyAlignment="1" applyProtection="1">
      <alignment vertical="center"/>
      <protection locked="0"/>
    </xf>
    <xf numFmtId="0" fontId="2" fillId="0" borderId="4" xfId="0" applyFont="1" applyFill="1" applyBorder="1" applyAlignment="1" applyProtection="1">
      <alignment horizontal="center" vertical="center"/>
      <protection locked="0"/>
    </xf>
    <xf numFmtId="165" fontId="2" fillId="0" borderId="5" xfId="0" applyNumberFormat="1" applyFont="1" applyFill="1" applyBorder="1" applyAlignment="1" applyProtection="1">
      <alignment horizontal="right" vertical="center" indent="6"/>
      <protection locked="0"/>
    </xf>
    <xf numFmtId="165" fontId="2" fillId="0" borderId="2" xfId="0" applyNumberFormat="1" applyFont="1" applyFill="1" applyBorder="1" applyAlignment="1" applyProtection="1">
      <alignment horizontal="right" vertical="center" indent="6"/>
      <protection locked="0"/>
    </xf>
    <xf numFmtId="165" fontId="2" fillId="0" borderId="11" xfId="0" applyNumberFormat="1" applyFont="1" applyFill="1" applyBorder="1" applyAlignment="1" applyProtection="1">
      <alignment horizontal="right" vertical="center" indent="6"/>
      <protection locked="0"/>
    </xf>
    <xf numFmtId="0" fontId="2" fillId="0" borderId="0" xfId="0" applyFont="1" applyFill="1" applyAlignment="1" applyProtection="1">
      <alignment vertical="center" wrapText="1"/>
      <protection locked="0"/>
    </xf>
    <xf numFmtId="0" fontId="5" fillId="0" borderId="47" xfId="0" applyFont="1" applyFill="1" applyBorder="1" applyAlignment="1" applyProtection="1">
      <alignment horizontal="left" vertical="center"/>
      <protection locked="0"/>
    </xf>
    <xf numFmtId="0" fontId="5" fillId="0" borderId="47" xfId="0" applyFont="1" applyFill="1" applyBorder="1" applyAlignment="1" applyProtection="1">
      <alignment horizontal="center" vertical="center"/>
      <protection locked="0"/>
    </xf>
    <xf numFmtId="164" fontId="5" fillId="0" borderId="47" xfId="0" applyNumberFormat="1" applyFont="1" applyFill="1" applyBorder="1" applyAlignment="1" applyProtection="1">
      <alignment horizontal="center" vertical="center"/>
      <protection locked="0"/>
    </xf>
    <xf numFmtId="0" fontId="5" fillId="0" borderId="46" xfId="0" applyFont="1" applyFill="1" applyBorder="1" applyAlignment="1" applyProtection="1">
      <alignment horizontal="center" vertical="center"/>
      <protection locked="0"/>
    </xf>
    <xf numFmtId="0" fontId="27" fillId="5" borderId="16" xfId="0" applyFont="1" applyFill="1" applyBorder="1"/>
    <xf numFmtId="0" fontId="2" fillId="0" borderId="0" xfId="0" applyFont="1" applyProtection="1">
      <protection locked="0"/>
    </xf>
    <xf numFmtId="0" fontId="3" fillId="0" borderId="0" xfId="0" applyFont="1" applyProtection="1">
      <protection locked="0"/>
    </xf>
    <xf numFmtId="0" fontId="2" fillId="0" borderId="0" xfId="0" applyFont="1" applyAlignment="1" applyProtection="1">
      <alignment horizontal="left" indent="5"/>
      <protection locked="0"/>
    </xf>
    <xf numFmtId="0" fontId="2" fillId="0" borderId="0" xfId="0" applyFont="1" applyAlignment="1" applyProtection="1">
      <alignment horizontal="left" indent="5"/>
    </xf>
    <xf numFmtId="0" fontId="2" fillId="0" borderId="0" xfId="0" applyFont="1" applyAlignment="1" applyProtection="1">
      <alignment horizontal="left" wrapText="1" indent="5"/>
    </xf>
    <xf numFmtId="0" fontId="2" fillId="0" borderId="0" xfId="0" applyFont="1" applyProtection="1"/>
    <xf numFmtId="49" fontId="3" fillId="0" borderId="0" xfId="0" applyNumberFormat="1" applyFont="1" applyProtection="1"/>
    <xf numFmtId="0" fontId="2" fillId="0" borderId="48" xfId="0" applyFont="1" applyFill="1" applyBorder="1" applyAlignment="1" applyProtection="1">
      <alignment vertical="center"/>
      <protection locked="0"/>
    </xf>
    <xf numFmtId="0" fontId="2" fillId="0" borderId="48" xfId="0" applyFont="1" applyFill="1" applyBorder="1" applyAlignment="1" applyProtection="1">
      <alignment horizontal="center" vertical="center"/>
      <protection locked="0"/>
    </xf>
    <xf numFmtId="0" fontId="2" fillId="0" borderId="49" xfId="0" applyFont="1" applyFill="1" applyBorder="1" applyAlignment="1" applyProtection="1">
      <alignment horizontal="center" vertical="center"/>
      <protection locked="0"/>
    </xf>
    <xf numFmtId="0" fontId="7" fillId="5" borderId="0" xfId="0" applyFont="1" applyFill="1"/>
    <xf numFmtId="0" fontId="7" fillId="0" borderId="16" xfId="0" applyFont="1" applyBorder="1"/>
    <xf numFmtId="0" fontId="13" fillId="0" borderId="18" xfId="0" applyFont="1" applyBorder="1"/>
    <xf numFmtId="0" fontId="7" fillId="0" borderId="17" xfId="0" applyFont="1" applyBorder="1"/>
    <xf numFmtId="0" fontId="13" fillId="0" borderId="18" xfId="0" applyFont="1" applyFill="1" applyBorder="1"/>
    <xf numFmtId="0" fontId="7" fillId="0" borderId="16" xfId="0" applyFont="1" applyFill="1" applyBorder="1"/>
    <xf numFmtId="0" fontId="7" fillId="0" borderId="17" xfId="0" applyFont="1" applyFill="1" applyBorder="1"/>
    <xf numFmtId="0" fontId="2" fillId="0" borderId="11" xfId="0" applyFont="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13" fillId="0" borderId="27" xfId="0" applyFont="1" applyFill="1" applyBorder="1" applyAlignment="1"/>
    <xf numFmtId="0" fontId="7" fillId="0" borderId="27" xfId="0" applyFont="1" applyBorder="1"/>
    <xf numFmtId="0" fontId="13" fillId="0" borderId="18" xfId="0" applyFont="1" applyFill="1" applyBorder="1" applyAlignment="1"/>
    <xf numFmtId="0" fontId="2" fillId="0" borderId="5" xfId="0" applyFont="1" applyBorder="1" applyAlignment="1" applyProtection="1">
      <alignment horizontal="center" vertical="center" wrapText="1"/>
      <protection locked="0"/>
    </xf>
    <xf numFmtId="0" fontId="2" fillId="0" borderId="0" xfId="0" applyFont="1" applyAlignment="1" applyProtection="1">
      <alignment horizontal="center" vertical="center"/>
      <protection locked="0"/>
    </xf>
    <xf numFmtId="0" fontId="2" fillId="5" borderId="25" xfId="0" applyFont="1" applyFill="1" applyBorder="1" applyAlignment="1" applyProtection="1">
      <alignment horizontal="left" vertical="center"/>
      <protection locked="0"/>
    </xf>
    <xf numFmtId="0" fontId="2" fillId="5" borderId="28" xfId="0" applyFont="1" applyFill="1" applyBorder="1" applyAlignment="1" applyProtection="1">
      <alignment horizontal="left" vertical="center"/>
      <protection locked="0"/>
    </xf>
    <xf numFmtId="0" fontId="2" fillId="0" borderId="2" xfId="0" applyFont="1" applyBorder="1" applyAlignment="1" applyProtection="1">
      <alignment horizontal="center" vertical="center"/>
      <protection locked="0"/>
    </xf>
    <xf numFmtId="0" fontId="2" fillId="0" borderId="11" xfId="0" applyFont="1" applyBorder="1" applyAlignment="1" applyProtection="1">
      <alignment horizontal="center" vertical="center"/>
      <protection locked="0"/>
    </xf>
    <xf numFmtId="0" fontId="2" fillId="0" borderId="5" xfId="0" applyFont="1" applyBorder="1" applyAlignment="1" applyProtection="1">
      <alignment horizontal="center" vertical="center"/>
      <protection locked="0"/>
    </xf>
    <xf numFmtId="49" fontId="20" fillId="0" borderId="0" xfId="0" applyNumberFormat="1" applyFont="1" applyFill="1" applyBorder="1" applyAlignment="1" applyProtection="1">
      <alignment vertical="center"/>
    </xf>
    <xf numFmtId="0" fontId="2" fillId="0" borderId="1" xfId="0" applyFont="1" applyBorder="1" applyAlignment="1" applyProtection="1">
      <alignment horizontal="center" vertical="center"/>
      <protection locked="0"/>
    </xf>
    <xf numFmtId="0" fontId="2" fillId="0" borderId="10" xfId="0" applyFont="1" applyBorder="1" applyAlignment="1" applyProtection="1">
      <alignment horizontal="center" vertical="center"/>
      <protection locked="0"/>
    </xf>
    <xf numFmtId="0" fontId="2" fillId="0" borderId="4" xfId="0" applyFont="1" applyBorder="1" applyAlignment="1" applyProtection="1">
      <alignment horizontal="center" vertical="center"/>
      <protection locked="0"/>
    </xf>
    <xf numFmtId="0" fontId="2" fillId="5" borderId="0" xfId="0" applyFont="1" applyFill="1" applyBorder="1" applyAlignment="1" applyProtection="1">
      <alignment vertical="center"/>
      <protection locked="0"/>
    </xf>
    <xf numFmtId="0" fontId="2" fillId="5" borderId="0" xfId="0" applyFont="1" applyFill="1" applyBorder="1" applyAlignment="1" applyProtection="1">
      <alignment horizontal="center" vertical="center"/>
      <protection locked="0"/>
    </xf>
    <xf numFmtId="0" fontId="40" fillId="0" borderId="0" xfId="0" applyFont="1" applyAlignment="1" applyProtection="1">
      <alignment vertical="center" wrapText="1"/>
      <protection locked="0"/>
    </xf>
    <xf numFmtId="0" fontId="40" fillId="0" borderId="0" xfId="0" applyFont="1" applyAlignment="1" applyProtection="1">
      <alignment vertical="center"/>
    </xf>
    <xf numFmtId="0" fontId="2" fillId="0" borderId="0" xfId="0" applyNumberFormat="1" applyFont="1" applyAlignment="1" applyProtection="1">
      <alignment wrapText="1"/>
    </xf>
    <xf numFmtId="0" fontId="35" fillId="0" borderId="0" xfId="0" applyFont="1" applyProtection="1">
      <protection locked="0"/>
    </xf>
    <xf numFmtId="0" fontId="10" fillId="0" borderId="0" xfId="0" applyFont="1" applyProtection="1">
      <protection locked="0"/>
    </xf>
    <xf numFmtId="3" fontId="35" fillId="0" borderId="0" xfId="0" applyNumberFormat="1" applyFont="1" applyAlignment="1" applyProtection="1">
      <alignment horizontal="left"/>
      <protection locked="0"/>
    </xf>
    <xf numFmtId="0" fontId="35" fillId="0" borderId="25" xfId="0" applyFont="1" applyBorder="1" applyProtection="1">
      <protection locked="0"/>
    </xf>
    <xf numFmtId="0" fontId="35" fillId="0" borderId="52" xfId="0" applyFont="1" applyBorder="1" applyProtection="1">
      <protection locked="0"/>
    </xf>
    <xf numFmtId="0" fontId="38" fillId="0" borderId="0" xfId="0" applyFont="1" applyProtection="1"/>
    <xf numFmtId="0" fontId="2" fillId="0" borderId="0" xfId="0" applyFont="1" applyAlignment="1" applyProtection="1">
      <alignment horizontal="left" vertical="top" wrapText="1" indent="5"/>
    </xf>
    <xf numFmtId="0" fontId="3" fillId="0" borderId="0" xfId="0" applyFont="1" applyProtection="1"/>
    <xf numFmtId="0" fontId="3" fillId="0" borderId="28" xfId="0" applyFont="1" applyBorder="1" applyAlignment="1" applyProtection="1">
      <alignment vertical="top"/>
    </xf>
    <xf numFmtId="0" fontId="3" fillId="0" borderId="28" xfId="0" applyFont="1" applyBorder="1" applyAlignment="1" applyProtection="1">
      <alignment horizontal="left" vertical="top" wrapText="1" indent="5"/>
    </xf>
    <xf numFmtId="0" fontId="2" fillId="0" borderId="2" xfId="0" applyFont="1" applyBorder="1" applyAlignment="1" applyProtection="1">
      <alignment horizontal="left" vertical="center"/>
      <protection locked="0"/>
    </xf>
    <xf numFmtId="0" fontId="2" fillId="0" borderId="11" xfId="0" applyFont="1" applyBorder="1" applyAlignment="1" applyProtection="1">
      <alignment horizontal="left" vertical="center"/>
      <protection locked="0"/>
    </xf>
    <xf numFmtId="0" fontId="2" fillId="0" borderId="5" xfId="0" applyFont="1" applyBorder="1" applyAlignment="1" applyProtection="1">
      <alignment horizontal="left" vertical="center"/>
      <protection locked="0"/>
    </xf>
    <xf numFmtId="0" fontId="2" fillId="0" borderId="45" xfId="0" applyFont="1" applyBorder="1" applyAlignment="1" applyProtection="1">
      <alignment horizontal="left" vertical="center" wrapText="1"/>
      <protection locked="0"/>
    </xf>
    <xf numFmtId="49" fontId="2" fillId="0" borderId="47" xfId="0" applyNumberFormat="1" applyFont="1" applyBorder="1" applyAlignment="1" applyProtection="1">
      <alignment horizontal="center" vertical="center"/>
      <protection locked="0"/>
    </xf>
    <xf numFmtId="0" fontId="45" fillId="0" borderId="0" xfId="0" applyFont="1" applyFill="1" applyBorder="1" applyAlignment="1" applyProtection="1">
      <alignment horizontal="center" vertical="center" wrapText="1"/>
      <protection locked="0"/>
    </xf>
    <xf numFmtId="165" fontId="40" fillId="0" borderId="0" xfId="0" applyNumberFormat="1" applyFont="1" applyFill="1" applyBorder="1" applyAlignment="1" applyProtection="1">
      <alignment horizontal="right" vertical="center"/>
      <protection locked="0"/>
    </xf>
    <xf numFmtId="0" fontId="40" fillId="0" borderId="0" xfId="0" applyNumberFormat="1" applyFont="1" applyFill="1" applyBorder="1" applyAlignment="1" applyProtection="1">
      <alignment horizontal="center" vertical="center" wrapText="1"/>
      <protection locked="0"/>
    </xf>
    <xf numFmtId="0" fontId="40" fillId="0" borderId="0" xfId="0" applyFont="1" applyFill="1" applyBorder="1" applyAlignment="1" applyProtection="1">
      <alignment vertical="center"/>
      <protection locked="0"/>
    </xf>
    <xf numFmtId="164" fontId="45" fillId="0" borderId="0" xfId="0" applyNumberFormat="1" applyFont="1" applyFill="1" applyBorder="1" applyAlignment="1" applyProtection="1">
      <alignment horizontal="center" vertical="center" wrapText="1"/>
      <protection locked="0"/>
    </xf>
    <xf numFmtId="0" fontId="40" fillId="0" borderId="0" xfId="0" applyFont="1" applyFill="1" applyBorder="1" applyAlignment="1" applyProtection="1">
      <alignment horizontal="center" vertical="center" wrapText="1"/>
      <protection locked="0"/>
    </xf>
    <xf numFmtId="164" fontId="48" fillId="0" borderId="0" xfId="0" applyNumberFormat="1" applyFont="1" applyFill="1" applyBorder="1" applyAlignment="1" applyProtection="1">
      <alignment horizontal="center" vertical="center" wrapText="1"/>
      <protection locked="0"/>
    </xf>
    <xf numFmtId="0" fontId="46" fillId="0" borderId="0" xfId="0" applyFont="1" applyFill="1" applyBorder="1" applyAlignment="1" applyProtection="1">
      <alignment horizontal="center" vertical="center" wrapText="1"/>
    </xf>
    <xf numFmtId="0" fontId="2" fillId="0" borderId="0" xfId="0" applyFont="1" applyAlignment="1" applyProtection="1">
      <alignment wrapText="1"/>
      <protection locked="0"/>
    </xf>
    <xf numFmtId="0" fontId="2" fillId="0" borderId="10" xfId="0" applyFont="1" applyFill="1" applyBorder="1" applyAlignment="1" applyProtection="1">
      <alignment horizontal="left" vertical="center" wrapText="1"/>
      <protection locked="0"/>
    </xf>
    <xf numFmtId="0" fontId="7" fillId="0" borderId="43" xfId="0" applyFont="1" applyBorder="1"/>
    <xf numFmtId="0" fontId="1" fillId="0" borderId="10" xfId="0" applyFont="1" applyFill="1" applyBorder="1" applyAlignment="1">
      <alignment wrapText="1"/>
    </xf>
    <xf numFmtId="0" fontId="1" fillId="0" borderId="11" xfId="0" applyFont="1" applyFill="1" applyBorder="1" applyAlignment="1">
      <alignment wrapText="1"/>
    </xf>
    <xf numFmtId="0" fontId="1" fillId="0" borderId="19" xfId="0" applyFont="1" applyFill="1" applyBorder="1" applyAlignment="1">
      <alignment wrapText="1"/>
    </xf>
    <xf numFmtId="0" fontId="1" fillId="0" borderId="54" xfId="0" applyFont="1" applyFill="1" applyBorder="1" applyAlignment="1">
      <alignment wrapText="1"/>
    </xf>
    <xf numFmtId="0" fontId="1" fillId="0" borderId="10" xfId="0" applyFont="1" applyFill="1" applyBorder="1"/>
    <xf numFmtId="0" fontId="1" fillId="0" borderId="11" xfId="0" applyFont="1" applyFill="1" applyBorder="1"/>
    <xf numFmtId="0" fontId="1" fillId="0" borderId="12" xfId="0" applyFont="1" applyFill="1" applyBorder="1" applyAlignment="1">
      <alignment wrapText="1"/>
    </xf>
    <xf numFmtId="0" fontId="1" fillId="0" borderId="0" xfId="0" applyFont="1"/>
    <xf numFmtId="0" fontId="1" fillId="5" borderId="0" xfId="0" applyFont="1" applyFill="1"/>
    <xf numFmtId="0" fontId="50" fillId="0" borderId="0" xfId="0" applyFont="1" applyFill="1"/>
    <xf numFmtId="0" fontId="2" fillId="5" borderId="10" xfId="0" applyFont="1" applyFill="1" applyBorder="1" applyAlignment="1" applyProtection="1">
      <alignment vertical="center" wrapText="1"/>
      <protection locked="0"/>
    </xf>
    <xf numFmtId="0" fontId="2" fillId="5" borderId="10" xfId="4" applyFont="1" applyFill="1" applyBorder="1" applyAlignment="1" applyProtection="1">
      <alignment vertical="center" wrapText="1"/>
      <protection locked="0"/>
    </xf>
    <xf numFmtId="0" fontId="2" fillId="5" borderId="24" xfId="0" applyFont="1" applyFill="1" applyBorder="1" applyAlignment="1" applyProtection="1">
      <alignment horizontal="right" vertical="center"/>
      <protection locked="0"/>
    </xf>
    <xf numFmtId="49" fontId="2" fillId="2" borderId="21" xfId="0" applyNumberFormat="1" applyFont="1" applyFill="1" applyBorder="1" applyAlignment="1" applyProtection="1">
      <alignment vertical="center"/>
    </xf>
    <xf numFmtId="0" fontId="2" fillId="0" borderId="11" xfId="0" applyFont="1" applyBorder="1" applyAlignment="1" applyProtection="1">
      <alignment horizontal="center" vertical="center" wrapText="1"/>
      <protection locked="0"/>
    </xf>
    <xf numFmtId="49" fontId="2" fillId="2" borderId="30" xfId="0" applyNumberFormat="1" applyFont="1" applyFill="1" applyBorder="1" applyAlignment="1" applyProtection="1">
      <alignment vertical="center"/>
    </xf>
    <xf numFmtId="0" fontId="2" fillId="0" borderId="2" xfId="0" applyFont="1" applyBorder="1" applyAlignment="1" applyProtection="1">
      <alignment horizontal="center" vertical="center" wrapText="1"/>
      <protection locked="0"/>
    </xf>
    <xf numFmtId="49" fontId="2" fillId="0" borderId="30" xfId="0" applyNumberFormat="1" applyFont="1" applyBorder="1" applyAlignment="1" applyProtection="1">
      <alignment vertical="center" wrapText="1"/>
      <protection locked="0"/>
    </xf>
    <xf numFmtId="0" fontId="10" fillId="2" borderId="40" xfId="0" applyFont="1" applyFill="1" applyBorder="1" applyAlignment="1" applyProtection="1">
      <alignment horizontal="right"/>
    </xf>
    <xf numFmtId="0" fontId="10" fillId="0" borderId="0" xfId="0" applyFont="1" applyAlignment="1" applyProtection="1"/>
    <xf numFmtId="0" fontId="10" fillId="0" borderId="0" xfId="0" applyFont="1" applyAlignment="1" applyProtection="1">
      <protection locked="0"/>
    </xf>
    <xf numFmtId="0" fontId="51" fillId="0" borderId="0" xfId="0" applyFont="1" applyBorder="1" applyAlignment="1" applyProtection="1">
      <alignment wrapText="1"/>
    </xf>
    <xf numFmtId="0" fontId="10" fillId="2" borderId="40" xfId="0" applyFont="1" applyFill="1" applyBorder="1" applyAlignment="1" applyProtection="1">
      <alignment horizontal="left"/>
    </xf>
    <xf numFmtId="0" fontId="10" fillId="2" borderId="20" xfId="0" applyFont="1" applyFill="1" applyBorder="1" applyAlignment="1" applyProtection="1">
      <alignment horizontal="left"/>
    </xf>
    <xf numFmtId="0" fontId="10" fillId="2" borderId="13" xfId="0" applyFont="1" applyFill="1" applyBorder="1" applyAlignment="1" applyProtection="1">
      <alignment horizontal="left"/>
    </xf>
    <xf numFmtId="0" fontId="10" fillId="2" borderId="25" xfId="0" applyFont="1" applyFill="1" applyBorder="1" applyAlignment="1" applyProtection="1">
      <alignment horizontal="right"/>
    </xf>
    <xf numFmtId="0" fontId="52" fillId="2" borderId="51" xfId="0" applyFont="1" applyFill="1" applyBorder="1" applyAlignment="1" applyProtection="1">
      <alignment horizontal="right"/>
    </xf>
    <xf numFmtId="0" fontId="10" fillId="2" borderId="19" xfId="0" applyFont="1" applyFill="1" applyBorder="1" applyAlignment="1" applyProtection="1">
      <alignment horizontal="right"/>
    </xf>
    <xf numFmtId="0" fontId="10" fillId="2" borderId="24" xfId="0" applyFont="1" applyFill="1" applyBorder="1" applyAlignment="1" applyProtection="1">
      <alignment horizontal="right"/>
    </xf>
    <xf numFmtId="0" fontId="10" fillId="0" borderId="0" xfId="0" applyFont="1" applyAlignment="1" applyProtection="1">
      <alignment wrapText="1"/>
    </xf>
    <xf numFmtId="0" fontId="10" fillId="2" borderId="21" xfId="0" applyFont="1" applyFill="1" applyBorder="1" applyAlignment="1" applyProtection="1">
      <alignment horizontal="right"/>
    </xf>
    <xf numFmtId="0" fontId="10" fillId="2" borderId="22" xfId="0" applyFont="1" applyFill="1" applyBorder="1" applyAlignment="1" applyProtection="1">
      <alignment horizontal="right"/>
    </xf>
    <xf numFmtId="0" fontId="10" fillId="2" borderId="20" xfId="0" applyFont="1" applyFill="1" applyBorder="1" applyAlignment="1" applyProtection="1">
      <alignment horizontal="right"/>
    </xf>
    <xf numFmtId="0" fontId="10" fillId="2" borderId="53" xfId="0" applyFont="1" applyFill="1" applyBorder="1" applyAlignment="1" applyProtection="1">
      <alignment horizontal="right"/>
    </xf>
    <xf numFmtId="0" fontId="52" fillId="2" borderId="24" xfId="0" applyFont="1" applyFill="1" applyBorder="1" applyAlignment="1" applyProtection="1">
      <alignment horizontal="left"/>
    </xf>
    <xf numFmtId="0" fontId="10" fillId="2" borderId="33" xfId="0" applyFont="1" applyFill="1" applyBorder="1" applyAlignment="1" applyProtection="1">
      <alignment horizontal="right"/>
    </xf>
    <xf numFmtId="0" fontId="10" fillId="2" borderId="41" xfId="0" applyFont="1" applyFill="1" applyBorder="1" applyAlignment="1" applyProtection="1">
      <alignment horizontal="right"/>
    </xf>
    <xf numFmtId="0" fontId="53" fillId="2" borderId="42" xfId="0" applyFont="1" applyFill="1" applyBorder="1" applyAlignment="1" applyProtection="1">
      <alignment horizontal="right"/>
    </xf>
    <xf numFmtId="0" fontId="1" fillId="2" borderId="0" xfId="0" applyFont="1" applyFill="1" applyAlignment="1" applyProtection="1"/>
    <xf numFmtId="0" fontId="1" fillId="0" borderId="0" xfId="1" applyFont="1" applyAlignment="1" applyProtection="1"/>
    <xf numFmtId="0" fontId="1" fillId="0" borderId="0" xfId="0" applyFont="1" applyAlignment="1" applyProtection="1"/>
    <xf numFmtId="0" fontId="10" fillId="2" borderId="19" xfId="1" applyFont="1" applyFill="1" applyBorder="1" applyAlignment="1" applyProtection="1">
      <alignment horizontal="left" wrapText="1"/>
    </xf>
    <xf numFmtId="0" fontId="53" fillId="2" borderId="19" xfId="0" applyFont="1" applyFill="1" applyBorder="1" applyAlignment="1" applyProtection="1">
      <alignment horizontal="right" wrapText="1"/>
    </xf>
    <xf numFmtId="0" fontId="54" fillId="2" borderId="19" xfId="0" applyFont="1" applyFill="1" applyBorder="1" applyAlignment="1" applyProtection="1">
      <alignment horizontal="right" wrapText="1"/>
    </xf>
    <xf numFmtId="0" fontId="52" fillId="2" borderId="21" xfId="0" applyFont="1" applyFill="1" applyBorder="1" applyAlignment="1" applyProtection="1">
      <alignment horizontal="right" wrapText="1"/>
    </xf>
    <xf numFmtId="0" fontId="10" fillId="4" borderId="24" xfId="0" applyFont="1" applyFill="1" applyBorder="1" applyAlignment="1" applyProtection="1"/>
    <xf numFmtId="0" fontId="52" fillId="2" borderId="30" xfId="0" applyFont="1" applyFill="1" applyBorder="1" applyAlignment="1" applyProtection="1"/>
    <xf numFmtId="0" fontId="52" fillId="2" borderId="24" xfId="0" applyFont="1" applyFill="1" applyBorder="1" applyAlignment="1" applyProtection="1">
      <alignment horizontal="center"/>
    </xf>
    <xf numFmtId="0" fontId="53" fillId="2" borderId="0" xfId="0" applyFont="1" applyFill="1" applyBorder="1" applyAlignment="1" applyProtection="1">
      <alignment horizontal="right"/>
    </xf>
    <xf numFmtId="0" fontId="10" fillId="0" borderId="30" xfId="0" applyFont="1" applyBorder="1" applyAlignment="1" applyProtection="1">
      <protection locked="0"/>
    </xf>
    <xf numFmtId="0" fontId="10" fillId="0" borderId="18" xfId="0" applyFont="1" applyFill="1" applyBorder="1" applyAlignment="1" applyProtection="1">
      <protection locked="0"/>
    </xf>
    <xf numFmtId="0" fontId="10" fillId="0" borderId="16" xfId="0" applyFont="1" applyBorder="1" applyAlignment="1" applyProtection="1">
      <protection locked="0"/>
    </xf>
    <xf numFmtId="0" fontId="10" fillId="0" borderId="16" xfId="0" applyFont="1" applyFill="1" applyBorder="1" applyAlignment="1" applyProtection="1">
      <protection locked="0"/>
    </xf>
    <xf numFmtId="0" fontId="10" fillId="0" borderId="33" xfId="0" applyFont="1" applyBorder="1" applyAlignment="1" applyProtection="1">
      <protection locked="0"/>
    </xf>
    <xf numFmtId="0" fontId="10" fillId="0" borderId="33" xfId="0" applyFont="1" applyFill="1" applyBorder="1" applyAlignment="1" applyProtection="1">
      <protection locked="0"/>
    </xf>
    <xf numFmtId="0" fontId="10" fillId="0" borderId="32" xfId="0" applyFont="1" applyFill="1" applyBorder="1" applyAlignment="1" applyProtection="1">
      <protection locked="0"/>
    </xf>
    <xf numFmtId="0" fontId="10" fillId="0" borderId="33" xfId="0" applyFont="1" applyBorder="1" applyAlignment="1" applyProtection="1">
      <alignment wrapText="1" shrinkToFit="1"/>
      <protection locked="0"/>
    </xf>
    <xf numFmtId="0" fontId="10" fillId="0" borderId="16" xfId="0" applyFont="1" applyFill="1" applyBorder="1" applyAlignment="1" applyProtection="1">
      <alignment wrapText="1" shrinkToFit="1"/>
      <protection locked="0"/>
    </xf>
    <xf numFmtId="0" fontId="10" fillId="0" borderId="0" xfId="0" applyFont="1" applyAlignment="1" applyProtection="1">
      <alignment wrapText="1" shrinkToFit="1"/>
      <protection locked="0"/>
    </xf>
    <xf numFmtId="0" fontId="10" fillId="0" borderId="0" xfId="0" applyFont="1" applyFill="1" applyAlignment="1" applyProtection="1">
      <protection locked="0"/>
    </xf>
    <xf numFmtId="0" fontId="10" fillId="0" borderId="41" xfId="0" applyFont="1" applyBorder="1" applyAlignment="1" applyProtection="1">
      <protection locked="0"/>
    </xf>
    <xf numFmtId="0" fontId="10" fillId="0" borderId="17" xfId="0" applyFont="1" applyFill="1" applyBorder="1" applyAlignment="1" applyProtection="1">
      <protection locked="0"/>
    </xf>
    <xf numFmtId="0" fontId="10" fillId="0" borderId="0" xfId="0" applyFont="1" applyFill="1" applyBorder="1" applyAlignment="1" applyProtection="1">
      <protection locked="0"/>
    </xf>
    <xf numFmtId="0" fontId="10" fillId="0" borderId="0" xfId="0" applyFont="1" applyFill="1" applyBorder="1" applyAlignment="1" applyProtection="1"/>
    <xf numFmtId="0" fontId="40" fillId="0" borderId="0" xfId="0" applyFont="1" applyAlignment="1">
      <alignment vertical="center"/>
    </xf>
    <xf numFmtId="0" fontId="40" fillId="0" borderId="0" xfId="0" applyFont="1" applyFill="1" applyAlignment="1" applyProtection="1">
      <alignment vertical="center"/>
    </xf>
    <xf numFmtId="49" fontId="2" fillId="0" borderId="0" xfId="0" applyNumberFormat="1" applyFont="1" applyFill="1" applyAlignment="1" applyProtection="1">
      <alignment vertical="center"/>
    </xf>
    <xf numFmtId="49" fontId="2" fillId="0" borderId="0" xfId="0" applyNumberFormat="1" applyFont="1" applyFill="1" applyAlignment="1" applyProtection="1">
      <alignment horizontal="center" vertical="center"/>
    </xf>
    <xf numFmtId="0" fontId="8" fillId="0" borderId="0" xfId="0" applyFont="1" applyFill="1" applyAlignment="1" applyProtection="1">
      <alignment vertical="center"/>
    </xf>
    <xf numFmtId="0" fontId="2" fillId="0" borderId="0" xfId="0" applyFont="1" applyFill="1" applyAlignment="1" applyProtection="1">
      <alignment horizontal="left" vertical="center"/>
    </xf>
    <xf numFmtId="0" fontId="55" fillId="3" borderId="22" xfId="0" applyFont="1" applyFill="1" applyBorder="1" applyAlignment="1" applyProtection="1">
      <alignment vertical="center"/>
    </xf>
    <xf numFmtId="0" fontId="2" fillId="3" borderId="23" xfId="0" applyFont="1" applyFill="1" applyBorder="1" applyAlignment="1" applyProtection="1">
      <alignment vertical="center"/>
    </xf>
    <xf numFmtId="0" fontId="2" fillId="2" borderId="1" xfId="0" applyFont="1" applyFill="1" applyBorder="1" applyAlignment="1" applyProtection="1">
      <alignment vertical="center"/>
    </xf>
    <xf numFmtId="0" fontId="2" fillId="0" borderId="10" xfId="0" applyFont="1" applyFill="1" applyBorder="1" applyAlignment="1" applyProtection="1">
      <alignment vertical="center" wrapText="1"/>
      <protection locked="0"/>
    </xf>
    <xf numFmtId="49" fontId="5" fillId="0" borderId="10" xfId="0" applyNumberFormat="1" applyFont="1" applyFill="1" applyBorder="1" applyAlignment="1" applyProtection="1">
      <alignment vertical="center" wrapText="1"/>
      <protection locked="0"/>
    </xf>
    <xf numFmtId="0" fontId="22" fillId="0" borderId="0" xfId="0" applyFont="1" applyFill="1" applyBorder="1" applyAlignment="1" applyProtection="1">
      <alignment vertical="center" wrapText="1"/>
      <protection locked="0"/>
    </xf>
    <xf numFmtId="49" fontId="5" fillId="0" borderId="4" xfId="0" applyNumberFormat="1" applyFont="1" applyFill="1" applyBorder="1" applyAlignment="1" applyProtection="1">
      <alignment vertical="center" wrapText="1"/>
      <protection locked="0"/>
    </xf>
    <xf numFmtId="49" fontId="40" fillId="0" borderId="0" xfId="0" applyNumberFormat="1" applyFont="1" applyFill="1" applyBorder="1" applyAlignment="1" applyProtection="1">
      <alignment vertical="center"/>
    </xf>
    <xf numFmtId="0" fontId="2" fillId="0" borderId="0" xfId="0" applyFont="1" applyFill="1" applyBorder="1" applyAlignment="1" applyProtection="1">
      <alignment vertical="center"/>
    </xf>
    <xf numFmtId="0" fontId="49" fillId="0" borderId="0" xfId="0" applyFont="1" applyFill="1" applyBorder="1" applyAlignment="1" applyProtection="1">
      <alignment vertical="center"/>
    </xf>
    <xf numFmtId="49" fontId="49" fillId="0" borderId="0" xfId="0" applyNumberFormat="1" applyFont="1" applyFill="1" applyBorder="1" applyAlignment="1" applyProtection="1">
      <alignment vertical="center"/>
    </xf>
    <xf numFmtId="49" fontId="49" fillId="0" borderId="0" xfId="0" applyNumberFormat="1" applyFont="1" applyFill="1" applyBorder="1" applyAlignment="1" applyProtection="1">
      <alignment horizontal="center" vertical="center"/>
    </xf>
    <xf numFmtId="49" fontId="56" fillId="0" borderId="0" xfId="0" applyNumberFormat="1" applyFont="1" applyFill="1" applyBorder="1" applyAlignment="1" applyProtection="1">
      <alignment horizontal="center" vertical="center"/>
    </xf>
    <xf numFmtId="49" fontId="56" fillId="0" borderId="0" xfId="0" applyNumberFormat="1" applyFont="1" applyFill="1" applyBorder="1" applyAlignment="1" applyProtection="1">
      <alignment vertical="center"/>
    </xf>
    <xf numFmtId="0" fontId="22" fillId="0" borderId="0" xfId="0" applyFont="1" applyFill="1" applyBorder="1" applyAlignment="1" applyProtection="1">
      <alignment vertical="center"/>
    </xf>
    <xf numFmtId="0" fontId="2" fillId="3" borderId="26" xfId="0" applyFont="1" applyFill="1" applyBorder="1" applyAlignment="1" applyProtection="1">
      <alignment vertical="center"/>
    </xf>
    <xf numFmtId="0" fontId="2" fillId="2" borderId="31" xfId="0" applyFont="1" applyFill="1" applyBorder="1" applyAlignment="1" applyProtection="1">
      <alignment vertical="center"/>
    </xf>
    <xf numFmtId="49" fontId="56" fillId="0" borderId="0" xfId="0" applyNumberFormat="1" applyFont="1" applyFill="1" applyBorder="1" applyAlignment="1" applyProtection="1">
      <alignment vertical="center"/>
      <protection locked="0"/>
    </xf>
    <xf numFmtId="0" fontId="49" fillId="0" borderId="0" xfId="0" applyFont="1" applyFill="1" applyBorder="1" applyAlignment="1" applyProtection="1">
      <alignment vertical="center"/>
      <protection locked="0"/>
    </xf>
    <xf numFmtId="0" fontId="22" fillId="0" borderId="0" xfId="0" applyFont="1" applyFill="1" applyBorder="1" applyAlignment="1" applyProtection="1">
      <alignment vertical="center"/>
      <protection locked="0"/>
    </xf>
    <xf numFmtId="0" fontId="2" fillId="0" borderId="10" xfId="2" applyFont="1" applyFill="1" applyBorder="1" applyAlignment="1" applyProtection="1">
      <alignment vertical="center" wrapText="1"/>
      <protection locked="0"/>
    </xf>
    <xf numFmtId="0" fontId="2" fillId="0" borderId="4" xfId="2" applyFont="1" applyFill="1" applyBorder="1" applyAlignment="1" applyProtection="1">
      <alignment vertical="center" wrapText="1"/>
      <protection locked="0"/>
    </xf>
    <xf numFmtId="0" fontId="2" fillId="2" borderId="25" xfId="0" applyFont="1" applyFill="1" applyBorder="1" applyAlignment="1" applyProtection="1">
      <alignment vertical="center"/>
    </xf>
    <xf numFmtId="0" fontId="49" fillId="2" borderId="25" xfId="0" applyFont="1" applyFill="1" applyBorder="1" applyAlignment="1" applyProtection="1">
      <alignment vertical="center"/>
    </xf>
    <xf numFmtId="49" fontId="49" fillId="2" borderId="25" xfId="0" applyNumberFormat="1" applyFont="1" applyFill="1" applyBorder="1" applyAlignment="1" applyProtection="1">
      <alignment vertical="center"/>
    </xf>
    <xf numFmtId="49" fontId="49" fillId="2" borderId="25" xfId="0" applyNumberFormat="1" applyFont="1" applyFill="1" applyBorder="1" applyAlignment="1" applyProtection="1">
      <alignment horizontal="center" vertical="center"/>
    </xf>
    <xf numFmtId="49" fontId="56" fillId="2" borderId="25" xfId="0" applyNumberFormat="1" applyFont="1" applyFill="1" applyBorder="1" applyAlignment="1" applyProtection="1">
      <alignment horizontal="center" vertical="center"/>
    </xf>
    <xf numFmtId="49" fontId="56" fillId="2" borderId="25" xfId="0" applyNumberFormat="1" applyFont="1" applyFill="1" applyBorder="1" applyAlignment="1" applyProtection="1">
      <alignment vertical="center"/>
    </xf>
    <xf numFmtId="49" fontId="56" fillId="2" borderId="26" xfId="0" applyNumberFormat="1" applyFont="1" applyFill="1" applyBorder="1" applyAlignment="1" applyProtection="1">
      <alignment vertical="center"/>
    </xf>
    <xf numFmtId="0" fontId="49" fillId="2" borderId="0" xfId="0" applyFont="1" applyFill="1" applyBorder="1" applyAlignment="1" applyProtection="1">
      <alignment vertical="center"/>
    </xf>
    <xf numFmtId="49" fontId="49" fillId="2" borderId="0" xfId="0" applyNumberFormat="1" applyFont="1" applyFill="1" applyBorder="1" applyAlignment="1" applyProtection="1">
      <alignment vertical="center"/>
    </xf>
    <xf numFmtId="49" fontId="49" fillId="2" borderId="0" xfId="0" applyNumberFormat="1" applyFont="1" applyFill="1" applyBorder="1" applyAlignment="1" applyProtection="1">
      <alignment horizontal="center" vertical="center"/>
    </xf>
    <xf numFmtId="49" fontId="56" fillId="2" borderId="0" xfId="0" applyNumberFormat="1" applyFont="1" applyFill="1" applyBorder="1" applyAlignment="1" applyProtection="1">
      <alignment horizontal="center" vertical="center"/>
    </xf>
    <xf numFmtId="49" fontId="56" fillId="2" borderId="0" xfId="0" applyNumberFormat="1" applyFont="1" applyFill="1" applyBorder="1" applyAlignment="1" applyProtection="1">
      <alignment vertical="center"/>
    </xf>
    <xf numFmtId="49" fontId="56" fillId="2" borderId="27" xfId="0" applyNumberFormat="1" applyFont="1" applyFill="1" applyBorder="1" applyAlignment="1" applyProtection="1">
      <alignment vertical="center"/>
    </xf>
    <xf numFmtId="0" fontId="2" fillId="2" borderId="28" xfId="0" applyFont="1" applyFill="1" applyBorder="1" applyAlignment="1" applyProtection="1">
      <alignment vertical="center"/>
    </xf>
    <xf numFmtId="0" fontId="49" fillId="2" borderId="28" xfId="0" applyFont="1" applyFill="1" applyBorder="1" applyAlignment="1" applyProtection="1">
      <alignment vertical="center"/>
    </xf>
    <xf numFmtId="49" fontId="49" fillId="2" borderId="28" xfId="0" applyNumberFormat="1" applyFont="1" applyFill="1" applyBorder="1" applyAlignment="1" applyProtection="1">
      <alignment vertical="center"/>
    </xf>
    <xf numFmtId="49" fontId="49" fillId="2" borderId="28" xfId="0" applyNumberFormat="1" applyFont="1" applyFill="1" applyBorder="1" applyAlignment="1" applyProtection="1">
      <alignment horizontal="center" vertical="center"/>
    </xf>
    <xf numFmtId="49" fontId="56" fillId="2" borderId="28" xfId="0" applyNumberFormat="1" applyFont="1" applyFill="1" applyBorder="1" applyAlignment="1" applyProtection="1">
      <alignment horizontal="center" vertical="center"/>
    </xf>
    <xf numFmtId="49" fontId="56" fillId="2" borderId="28" xfId="0" applyNumberFormat="1" applyFont="1" applyFill="1" applyBorder="1" applyAlignment="1" applyProtection="1">
      <alignment vertical="center"/>
    </xf>
    <xf numFmtId="49" fontId="56" fillId="2" borderId="29" xfId="0" applyNumberFormat="1" applyFont="1" applyFill="1" applyBorder="1" applyAlignment="1" applyProtection="1">
      <alignment vertical="center"/>
    </xf>
    <xf numFmtId="0" fontId="2" fillId="2" borderId="2" xfId="0" applyFont="1" applyFill="1" applyBorder="1" applyAlignment="1" applyProtection="1">
      <alignment horizontal="center" vertical="center" wrapText="1"/>
      <protection locked="0"/>
    </xf>
    <xf numFmtId="0" fontId="2" fillId="0" borderId="0" xfId="0" applyFont="1" applyFill="1" applyAlignment="1" applyProtection="1">
      <alignment horizontal="center" vertical="center" wrapText="1"/>
    </xf>
    <xf numFmtId="0" fontId="2" fillId="2" borderId="5" xfId="0" applyFont="1" applyFill="1" applyBorder="1" applyAlignment="1" applyProtection="1">
      <alignment horizontal="center" vertical="center" wrapText="1"/>
      <protection locked="0"/>
    </xf>
    <xf numFmtId="0" fontId="2" fillId="0" borderId="1" xfId="0" applyFont="1" applyFill="1" applyBorder="1" applyAlignment="1" applyProtection="1">
      <alignment vertical="center"/>
      <protection locked="0"/>
    </xf>
    <xf numFmtId="0" fontId="2" fillId="0" borderId="10" xfId="0" applyFont="1" applyFill="1" applyBorder="1" applyAlignment="1" applyProtection="1">
      <alignment vertical="center"/>
      <protection locked="0"/>
    </xf>
    <xf numFmtId="0" fontId="2" fillId="0" borderId="4" xfId="0" applyFont="1" applyFill="1" applyBorder="1" applyAlignment="1" applyProtection="1">
      <alignment vertical="center"/>
      <protection locked="0"/>
    </xf>
    <xf numFmtId="0" fontId="40" fillId="3" borderId="13" xfId="0" applyFont="1" applyFill="1" applyBorder="1" applyAlignment="1" applyProtection="1">
      <alignment horizontal="left" vertical="center"/>
    </xf>
    <xf numFmtId="0" fontId="2" fillId="2" borderId="1" xfId="0" applyFont="1" applyFill="1" applyBorder="1" applyAlignment="1" applyProtection="1">
      <alignment horizontal="center" vertical="center" wrapText="1"/>
    </xf>
    <xf numFmtId="0" fontId="2" fillId="2" borderId="2" xfId="0" applyFont="1" applyFill="1" applyBorder="1" applyAlignment="1" applyProtection="1">
      <alignment horizontal="center" vertical="center" wrapText="1"/>
    </xf>
    <xf numFmtId="0" fontId="2" fillId="2" borderId="3" xfId="0" applyFont="1" applyFill="1" applyBorder="1" applyAlignment="1" applyProtection="1">
      <alignment horizontal="center" vertical="center" wrapText="1"/>
    </xf>
    <xf numFmtId="0" fontId="2" fillId="2" borderId="4" xfId="0" applyFont="1" applyFill="1" applyBorder="1" applyAlignment="1" applyProtection="1">
      <alignment horizontal="center" vertical="center" wrapText="1"/>
    </xf>
    <xf numFmtId="0" fontId="2" fillId="2" borderId="5" xfId="0" applyFont="1" applyFill="1" applyBorder="1" applyAlignment="1" applyProtection="1">
      <alignment horizontal="center" vertical="center" wrapText="1"/>
    </xf>
    <xf numFmtId="0" fontId="2" fillId="2" borderId="6" xfId="0" applyFont="1" applyFill="1" applyBorder="1" applyAlignment="1" applyProtection="1">
      <alignment horizontal="center" vertical="center" wrapText="1"/>
    </xf>
    <xf numFmtId="0" fontId="2" fillId="2" borderId="4" xfId="0" applyFont="1" applyFill="1" applyBorder="1" applyAlignment="1" applyProtection="1">
      <alignment horizontal="center" vertical="center" wrapText="1"/>
      <protection locked="0"/>
    </xf>
    <xf numFmtId="0" fontId="2" fillId="2" borderId="44" xfId="0" applyFont="1" applyFill="1" applyBorder="1" applyAlignment="1" applyProtection="1">
      <alignment horizontal="center" vertical="center" wrapText="1"/>
    </xf>
    <xf numFmtId="0" fontId="2" fillId="2" borderId="15" xfId="0" applyFont="1" applyFill="1" applyBorder="1" applyAlignment="1" applyProtection="1">
      <alignment horizontal="center" vertical="center" wrapText="1"/>
    </xf>
    <xf numFmtId="0" fontId="2" fillId="2" borderId="30" xfId="0" applyFont="1" applyFill="1" applyBorder="1" applyAlignment="1" applyProtection="1">
      <alignment horizontal="left" vertical="center"/>
    </xf>
    <xf numFmtId="0" fontId="58" fillId="2" borderId="25" xfId="0" applyFont="1" applyFill="1" applyBorder="1" applyAlignment="1" applyProtection="1">
      <alignment vertical="center"/>
    </xf>
    <xf numFmtId="0" fontId="57" fillId="2" borderId="25" xfId="0" applyFont="1" applyFill="1" applyBorder="1" applyAlignment="1" applyProtection="1">
      <alignment horizontal="left" vertical="center"/>
    </xf>
    <xf numFmtId="49" fontId="2" fillId="2" borderId="25" xfId="0" applyNumberFormat="1" applyFont="1" applyFill="1" applyBorder="1" applyAlignment="1" applyProtection="1">
      <alignment vertical="center"/>
    </xf>
    <xf numFmtId="49" fontId="2" fillId="2" borderId="25" xfId="0" applyNumberFormat="1" applyFont="1" applyFill="1" applyBorder="1" applyAlignment="1" applyProtection="1">
      <alignment horizontal="center" vertical="center"/>
    </xf>
    <xf numFmtId="49" fontId="58" fillId="2" borderId="0" xfId="0" applyNumberFormat="1" applyFont="1" applyFill="1" applyBorder="1" applyAlignment="1" applyProtection="1">
      <alignment vertical="center"/>
    </xf>
    <xf numFmtId="49" fontId="2" fillId="2" borderId="0" xfId="0" applyNumberFormat="1" applyFont="1" applyFill="1" applyBorder="1" applyAlignment="1" applyProtection="1">
      <alignment vertical="center"/>
    </xf>
    <xf numFmtId="49" fontId="58" fillId="2" borderId="28" xfId="0" applyNumberFormat="1" applyFont="1" applyFill="1" applyBorder="1" applyAlignment="1" applyProtection="1">
      <alignment vertical="center"/>
    </xf>
    <xf numFmtId="49" fontId="2" fillId="2" borderId="28" xfId="0" applyNumberFormat="1" applyFont="1" applyFill="1" applyBorder="1" applyAlignment="1" applyProtection="1">
      <alignment vertical="center"/>
    </xf>
    <xf numFmtId="49" fontId="2" fillId="2" borderId="28" xfId="0" applyNumberFormat="1" applyFont="1" applyFill="1" applyBorder="1" applyAlignment="1" applyProtection="1">
      <alignment horizontal="center" vertical="center"/>
    </xf>
    <xf numFmtId="0" fontId="2" fillId="0" borderId="24" xfId="0" applyFont="1" applyFill="1" applyBorder="1" applyAlignment="1" applyProtection="1">
      <alignment horizontal="left" vertical="center"/>
    </xf>
    <xf numFmtId="0" fontId="2" fillId="0" borderId="0" xfId="0" applyFont="1" applyFill="1" applyBorder="1" applyAlignment="1" applyProtection="1">
      <alignment horizontal="left" vertical="center"/>
    </xf>
    <xf numFmtId="0" fontId="2" fillId="2" borderId="7" xfId="0" applyFont="1" applyFill="1" applyBorder="1" applyAlignment="1" applyProtection="1">
      <alignment horizontal="center" vertical="center" wrapText="1"/>
    </xf>
    <xf numFmtId="0" fontId="2" fillId="2" borderId="8" xfId="0" applyFont="1" applyFill="1" applyBorder="1" applyAlignment="1" applyProtection="1">
      <alignment horizontal="center" vertical="center" wrapText="1"/>
    </xf>
    <xf numFmtId="0" fontId="5" fillId="2" borderId="8" xfId="0" applyFont="1" applyFill="1" applyBorder="1" applyAlignment="1" applyProtection="1">
      <alignment horizontal="center" vertical="center" wrapText="1"/>
    </xf>
    <xf numFmtId="0" fontId="2" fillId="2" borderId="9" xfId="0" applyFont="1" applyFill="1" applyBorder="1" applyAlignment="1" applyProtection="1">
      <alignment horizontal="center" vertical="center" wrapText="1"/>
    </xf>
    <xf numFmtId="0" fontId="1" fillId="0" borderId="0" xfId="0" applyFont="1" applyBorder="1" applyAlignment="1" applyProtection="1">
      <alignment vertical="center"/>
    </xf>
    <xf numFmtId="0" fontId="55" fillId="0" borderId="0" xfId="0" applyFont="1" applyFill="1" applyBorder="1" applyAlignment="1" applyProtection="1">
      <alignment horizontal="left" vertical="center"/>
    </xf>
    <xf numFmtId="49" fontId="2" fillId="2" borderId="26" xfId="0" applyNumberFormat="1" applyFont="1" applyFill="1" applyBorder="1" applyAlignment="1" applyProtection="1">
      <alignment vertical="center"/>
    </xf>
    <xf numFmtId="49" fontId="2" fillId="2" borderId="27" xfId="0" applyNumberFormat="1" applyFont="1" applyFill="1" applyBorder="1" applyAlignment="1" applyProtection="1">
      <alignment vertical="center"/>
    </xf>
    <xf numFmtId="49" fontId="2" fillId="2" borderId="29" xfId="0" applyNumberFormat="1" applyFont="1" applyFill="1" applyBorder="1" applyAlignment="1" applyProtection="1">
      <alignment vertical="center"/>
    </xf>
    <xf numFmtId="0" fontId="2" fillId="0" borderId="24" xfId="0" applyFont="1" applyFill="1" applyBorder="1" applyAlignment="1" applyProtection="1">
      <alignment vertical="center"/>
    </xf>
    <xf numFmtId="0" fontId="5" fillId="0" borderId="0" xfId="0" applyFont="1" applyFill="1" applyBorder="1" applyAlignment="1" applyProtection="1">
      <alignment vertical="center"/>
    </xf>
    <xf numFmtId="164" fontId="10" fillId="0" borderId="2" xfId="0" applyNumberFormat="1" applyFont="1" applyBorder="1" applyAlignment="1" applyProtection="1">
      <alignment horizontal="center" vertical="center"/>
      <protection locked="0"/>
    </xf>
    <xf numFmtId="164" fontId="10" fillId="0" borderId="3" xfId="0" applyNumberFormat="1" applyFont="1" applyBorder="1" applyAlignment="1" applyProtection="1">
      <alignment horizontal="center" vertical="center"/>
      <protection locked="0"/>
    </xf>
    <xf numFmtId="164" fontId="10" fillId="0" borderId="11" xfId="0" applyNumberFormat="1" applyFont="1" applyBorder="1" applyAlignment="1" applyProtection="1">
      <alignment horizontal="center" vertical="center"/>
      <protection locked="0"/>
    </xf>
    <xf numFmtId="164" fontId="10" fillId="0" borderId="12" xfId="0" applyNumberFormat="1" applyFont="1" applyBorder="1" applyAlignment="1" applyProtection="1">
      <alignment horizontal="center" vertical="center"/>
      <protection locked="0"/>
    </xf>
    <xf numFmtId="164" fontId="10" fillId="0" borderId="5" xfId="0" applyNumberFormat="1" applyFont="1" applyBorder="1" applyAlignment="1" applyProtection="1">
      <alignment horizontal="center" vertical="center"/>
      <protection locked="0"/>
    </xf>
    <xf numFmtId="164" fontId="10" fillId="0" borderId="6" xfId="0" applyNumberFormat="1" applyFont="1" applyBorder="1" applyAlignment="1" applyProtection="1">
      <alignment horizontal="center" vertical="center"/>
      <protection locked="0"/>
    </xf>
    <xf numFmtId="164" fontId="10" fillId="0" borderId="47" xfId="0" applyNumberFormat="1" applyFont="1" applyBorder="1" applyAlignment="1" applyProtection="1">
      <alignment horizontal="center" vertical="center"/>
      <protection locked="0"/>
    </xf>
    <xf numFmtId="164" fontId="10" fillId="0" borderId="46" xfId="0" applyNumberFormat="1" applyFont="1" applyBorder="1" applyAlignment="1" applyProtection="1">
      <alignment horizontal="center" vertical="center"/>
      <protection locked="0"/>
    </xf>
    <xf numFmtId="0" fontId="1" fillId="2" borderId="10" xfId="0" applyFont="1" applyFill="1" applyBorder="1" applyAlignment="1" applyProtection="1">
      <alignment horizontal="center" vertical="center" wrapText="1"/>
    </xf>
    <xf numFmtId="0" fontId="1" fillId="2" borderId="11" xfId="0" applyFont="1" applyFill="1" applyBorder="1" applyAlignment="1" applyProtection="1">
      <alignment horizontal="center" vertical="center" wrapText="1"/>
    </xf>
    <xf numFmtId="0" fontId="2" fillId="0" borderId="10" xfId="0" applyFont="1" applyBorder="1" applyAlignment="1" applyProtection="1">
      <alignment horizontal="center" vertical="center" wrapText="1"/>
      <protection locked="0"/>
    </xf>
    <xf numFmtId="0" fontId="1" fillId="0" borderId="11" xfId="0" applyFont="1" applyFill="1" applyBorder="1" applyAlignment="1" applyProtection="1">
      <alignment horizontal="center" vertical="center" wrapText="1"/>
      <protection locked="0"/>
    </xf>
    <xf numFmtId="164" fontId="1" fillId="0" borderId="12" xfId="0" applyNumberFormat="1" applyFont="1" applyFill="1" applyBorder="1" applyAlignment="1" applyProtection="1">
      <alignment horizontal="center" vertical="center" wrapText="1"/>
      <protection locked="0"/>
    </xf>
    <xf numFmtId="0" fontId="2" fillId="0" borderId="10" xfId="0" applyFont="1" applyFill="1" applyBorder="1" applyAlignment="1" applyProtection="1">
      <alignment horizontal="center" vertical="center" wrapText="1"/>
      <protection locked="0"/>
    </xf>
    <xf numFmtId="0" fontId="2" fillId="0" borderId="4" xfId="0" applyFont="1" applyFill="1" applyBorder="1" applyAlignment="1" applyProtection="1">
      <alignment horizontal="center" vertical="center" wrapText="1"/>
      <protection locked="0"/>
    </xf>
    <xf numFmtId="0" fontId="1" fillId="0" borderId="5" xfId="0" applyFont="1" applyFill="1" applyBorder="1" applyAlignment="1" applyProtection="1">
      <alignment horizontal="center" vertical="center" wrapText="1"/>
      <protection locked="0"/>
    </xf>
    <xf numFmtId="0" fontId="1" fillId="0" borderId="0" xfId="0" applyFont="1" applyFill="1" applyBorder="1" applyAlignment="1" applyProtection="1">
      <alignment horizontal="center" vertical="center" wrapText="1"/>
      <protection locked="0"/>
    </xf>
    <xf numFmtId="0" fontId="33" fillId="0" borderId="0" xfId="0" applyFont="1" applyFill="1" applyBorder="1" applyAlignment="1" applyProtection="1">
      <alignment horizontal="center" vertical="center" wrapText="1"/>
    </xf>
    <xf numFmtId="0" fontId="33" fillId="0" borderId="0" xfId="0" applyFont="1" applyFill="1" applyBorder="1" applyAlignment="1" applyProtection="1">
      <alignment horizontal="center" vertical="center" wrapText="1"/>
      <protection locked="0"/>
    </xf>
    <xf numFmtId="164" fontId="33" fillId="0" borderId="0" xfId="0" applyNumberFormat="1" applyFont="1" applyFill="1" applyBorder="1" applyAlignment="1" applyProtection="1">
      <alignment horizontal="center" vertical="center" wrapText="1"/>
      <protection locked="0"/>
    </xf>
    <xf numFmtId="0" fontId="1" fillId="0" borderId="0" xfId="0" applyFont="1" applyFill="1" applyBorder="1" applyAlignment="1" applyProtection="1">
      <alignment vertical="center"/>
    </xf>
    <xf numFmtId="49" fontId="2" fillId="0" borderId="0" xfId="0" applyNumberFormat="1" applyFont="1" applyFill="1" applyBorder="1" applyAlignment="1" applyProtection="1">
      <alignment horizontal="left" vertical="center"/>
    </xf>
    <xf numFmtId="49" fontId="2" fillId="0" borderId="24" xfId="0" applyNumberFormat="1" applyFont="1" applyBorder="1" applyAlignment="1" applyProtection="1">
      <alignment horizontal="right" vertical="center"/>
    </xf>
    <xf numFmtId="0" fontId="2" fillId="2" borderId="2" xfId="0" applyFont="1" applyFill="1" applyBorder="1" applyAlignment="1" applyProtection="1">
      <alignment vertical="center"/>
    </xf>
    <xf numFmtId="0" fontId="2" fillId="2" borderId="3" xfId="0" applyFont="1" applyFill="1" applyBorder="1" applyAlignment="1" applyProtection="1">
      <alignment vertical="center"/>
    </xf>
    <xf numFmtId="49" fontId="2" fillId="2" borderId="31" xfId="0" applyNumberFormat="1" applyFont="1" applyFill="1" applyBorder="1" applyAlignment="1" applyProtection="1">
      <alignment horizontal="left" vertical="center"/>
    </xf>
    <xf numFmtId="0" fontId="40" fillId="3" borderId="22" xfId="0" applyFont="1" applyFill="1" applyBorder="1" applyAlignment="1" applyProtection="1">
      <alignment vertical="center"/>
    </xf>
    <xf numFmtId="0" fontId="40" fillId="3" borderId="9" xfId="0" applyFont="1" applyFill="1" applyBorder="1" applyAlignment="1" applyProtection="1">
      <alignment horizontal="center" vertical="center"/>
    </xf>
    <xf numFmtId="0" fontId="2" fillId="0" borderId="3" xfId="0" applyFont="1" applyBorder="1" applyAlignment="1" applyProtection="1">
      <alignment horizontal="center" vertical="center"/>
      <protection locked="0"/>
    </xf>
    <xf numFmtId="0" fontId="2" fillId="2" borderId="10" xfId="0" applyFont="1" applyFill="1" applyBorder="1" applyAlignment="1" applyProtection="1">
      <alignment vertical="center"/>
    </xf>
    <xf numFmtId="0" fontId="2" fillId="0" borderId="12" xfId="0" applyFont="1" applyBorder="1" applyAlignment="1" applyProtection="1">
      <alignment horizontal="center" vertical="center"/>
      <protection locked="0"/>
    </xf>
    <xf numFmtId="0" fontId="2" fillId="2" borderId="45" xfId="0" applyFont="1" applyFill="1" applyBorder="1" applyAlignment="1" applyProtection="1">
      <alignment vertical="center"/>
    </xf>
    <xf numFmtId="0" fontId="2" fillId="2" borderId="4" xfId="0" applyFont="1" applyFill="1" applyBorder="1" applyAlignment="1" applyProtection="1">
      <alignment vertical="center"/>
    </xf>
    <xf numFmtId="0" fontId="2" fillId="0" borderId="6" xfId="0" applyFont="1" applyBorder="1" applyAlignment="1" applyProtection="1">
      <alignment horizontal="center" vertical="center"/>
      <protection locked="0"/>
    </xf>
    <xf numFmtId="0" fontId="2" fillId="0" borderId="1" xfId="0" applyFont="1" applyFill="1" applyBorder="1" applyAlignment="1" applyProtection="1">
      <alignment vertical="center" wrapText="1"/>
      <protection locked="0"/>
    </xf>
    <xf numFmtId="164" fontId="10" fillId="0" borderId="11" xfId="0" applyNumberFormat="1" applyFont="1" applyFill="1" applyBorder="1" applyAlignment="1" applyProtection="1">
      <alignment horizontal="center" vertical="center"/>
      <protection locked="0"/>
    </xf>
    <xf numFmtId="164" fontId="10" fillId="0" borderId="12" xfId="0" applyNumberFormat="1" applyFont="1" applyFill="1" applyBorder="1" applyAlignment="1" applyProtection="1">
      <alignment horizontal="center" vertical="center"/>
      <protection locked="0"/>
    </xf>
    <xf numFmtId="0" fontId="2" fillId="0" borderId="45" xfId="0" applyFont="1" applyFill="1" applyBorder="1" applyAlignment="1" applyProtection="1">
      <alignment vertical="center"/>
      <protection locked="0"/>
    </xf>
    <xf numFmtId="0" fontId="2" fillId="5" borderId="10" xfId="2" applyFont="1" applyFill="1" applyBorder="1" applyAlignment="1" applyProtection="1">
      <alignment vertical="center" wrapText="1"/>
      <protection locked="0"/>
    </xf>
    <xf numFmtId="0" fontId="22" fillId="5" borderId="0" xfId="0" applyFont="1" applyFill="1" applyBorder="1" applyAlignment="1" applyProtection="1">
      <alignment vertical="center"/>
      <protection locked="0"/>
    </xf>
    <xf numFmtId="49" fontId="61" fillId="5" borderId="0" xfId="0" applyNumberFormat="1" applyFont="1" applyFill="1" applyBorder="1" applyAlignment="1" applyProtection="1">
      <alignment vertical="center"/>
      <protection locked="0"/>
    </xf>
    <xf numFmtId="49" fontId="2" fillId="2" borderId="26" xfId="0" applyNumberFormat="1" applyFont="1" applyFill="1" applyBorder="1" applyProtection="1">
      <protection locked="0"/>
    </xf>
    <xf numFmtId="49" fontId="2" fillId="2" borderId="24" xfId="0" applyNumberFormat="1" applyFont="1" applyFill="1" applyBorder="1" applyAlignment="1" applyProtection="1">
      <alignment vertical="center"/>
    </xf>
    <xf numFmtId="0" fontId="2" fillId="2" borderId="27" xfId="0" applyFont="1" applyFill="1" applyBorder="1"/>
    <xf numFmtId="1" fontId="2" fillId="2" borderId="27" xfId="0" applyNumberFormat="1" applyFont="1" applyFill="1" applyBorder="1" applyAlignment="1" applyProtection="1">
      <alignment horizontal="left"/>
      <protection locked="0"/>
    </xf>
    <xf numFmtId="0" fontId="2" fillId="2" borderId="27" xfId="0" applyFont="1" applyFill="1" applyBorder="1" applyAlignment="1" applyProtection="1">
      <alignment horizontal="left"/>
      <protection locked="0"/>
    </xf>
    <xf numFmtId="0" fontId="2" fillId="2" borderId="29" xfId="0" applyFont="1" applyFill="1" applyBorder="1" applyProtection="1">
      <protection locked="0"/>
    </xf>
    <xf numFmtId="0" fontId="2" fillId="2" borderId="13" xfId="0" applyFont="1" applyFill="1" applyBorder="1" applyAlignment="1">
      <alignment horizontal="center"/>
    </xf>
    <xf numFmtId="0" fontId="2" fillId="0" borderId="0" xfId="0" applyFont="1"/>
    <xf numFmtId="0" fontId="2" fillId="2" borderId="40" xfId="0" applyFont="1" applyFill="1" applyBorder="1"/>
    <xf numFmtId="0" fontId="2" fillId="2" borderId="40" xfId="0" applyFont="1" applyFill="1" applyBorder="1" applyAlignment="1">
      <alignment horizontal="center"/>
    </xf>
    <xf numFmtId="0" fontId="2" fillId="2" borderId="29" xfId="0" applyFont="1" applyFill="1" applyBorder="1" applyAlignment="1">
      <alignment horizontal="center"/>
    </xf>
    <xf numFmtId="49" fontId="1" fillId="0" borderId="18" xfId="0" applyNumberFormat="1" applyFont="1" applyBorder="1" applyAlignment="1" applyProtection="1">
      <alignment horizontal="left" wrapText="1"/>
      <protection locked="0"/>
    </xf>
    <xf numFmtId="0" fontId="1" fillId="0" borderId="0" xfId="0" applyFont="1" applyProtection="1">
      <protection locked="0"/>
    </xf>
    <xf numFmtId="49" fontId="1" fillId="0" borderId="16" xfId="0" applyNumberFormat="1" applyFont="1" applyBorder="1" applyAlignment="1" applyProtection="1">
      <alignment horizontal="left" wrapText="1"/>
      <protection locked="0"/>
    </xf>
    <xf numFmtId="49" fontId="1" fillId="0" borderId="17" xfId="0" applyNumberFormat="1" applyFont="1" applyBorder="1" applyAlignment="1" applyProtection="1">
      <alignment horizontal="left" wrapText="1"/>
      <protection locked="0"/>
    </xf>
    <xf numFmtId="0" fontId="1" fillId="0" borderId="0" xfId="0" applyFont="1" applyFill="1"/>
    <xf numFmtId="0" fontId="2" fillId="0" borderId="0" xfId="0" applyFont="1" applyAlignment="1" applyProtection="1">
      <alignment horizontal="left" vertical="top" wrapText="1"/>
      <protection locked="0"/>
    </xf>
    <xf numFmtId="0" fontId="2" fillId="0" borderId="0" xfId="0" applyFont="1" applyAlignment="1" applyProtection="1">
      <alignment horizontal="left" wrapText="1"/>
      <protection locked="0"/>
    </xf>
    <xf numFmtId="0" fontId="3" fillId="0" borderId="0" xfId="0" applyFont="1" applyAlignment="1" applyProtection="1">
      <alignment horizontal="left" wrapText="1"/>
      <protection locked="0"/>
    </xf>
    <xf numFmtId="0" fontId="2" fillId="2" borderId="3" xfId="0" applyFont="1" applyFill="1" applyBorder="1" applyAlignment="1" applyProtection="1">
      <alignment horizontal="center" vertical="center" wrapText="1"/>
    </xf>
    <xf numFmtId="0" fontId="2" fillId="2" borderId="6" xfId="0" applyFont="1" applyFill="1" applyBorder="1" applyAlignment="1" applyProtection="1">
      <alignment horizontal="center" vertical="center" wrapText="1"/>
    </xf>
    <xf numFmtId="0" fontId="2" fillId="2" borderId="2" xfId="0" applyFont="1" applyFill="1" applyBorder="1" applyAlignment="1" applyProtection="1">
      <alignment horizontal="center" vertical="center" wrapText="1"/>
    </xf>
    <xf numFmtId="0" fontId="2" fillId="2" borderId="5" xfId="0" applyFont="1" applyFill="1" applyBorder="1" applyAlignment="1" applyProtection="1">
      <alignment horizontal="center" vertical="center" wrapText="1"/>
    </xf>
    <xf numFmtId="0" fontId="2" fillId="2" borderId="8"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2" borderId="4" xfId="0" applyFont="1" applyFill="1" applyBorder="1" applyAlignment="1" applyProtection="1">
      <alignment horizontal="center" vertical="center" wrapText="1"/>
    </xf>
    <xf numFmtId="0" fontId="2" fillId="2" borderId="2" xfId="0" applyFont="1" applyFill="1" applyBorder="1" applyAlignment="1" applyProtection="1">
      <alignment vertical="center"/>
    </xf>
    <xf numFmtId="49" fontId="2" fillId="0" borderId="11" xfId="0" applyNumberFormat="1" applyFont="1" applyBorder="1" applyAlignment="1" applyProtection="1">
      <alignment vertical="center"/>
      <protection locked="0"/>
    </xf>
    <xf numFmtId="0" fontId="2" fillId="2" borderId="21" xfId="0" applyFont="1" applyFill="1" applyBorder="1" applyAlignment="1" applyProtection="1">
      <alignment vertical="center"/>
    </xf>
    <xf numFmtId="0" fontId="2" fillId="0" borderId="11" xfId="0" applyFont="1" applyBorder="1" applyAlignment="1" applyProtection="1">
      <alignment horizontal="center" vertical="center" wrapText="1"/>
      <protection locked="0"/>
    </xf>
    <xf numFmtId="0" fontId="33" fillId="0" borderId="0" xfId="0" applyFont="1" applyFill="1" applyBorder="1" applyAlignment="1" applyProtection="1">
      <alignment horizontal="center" vertical="center" wrapText="1"/>
    </xf>
    <xf numFmtId="0" fontId="2" fillId="0" borderId="2" xfId="0" applyFont="1" applyBorder="1" applyAlignment="1" applyProtection="1">
      <alignment horizontal="center" vertical="center" wrapText="1"/>
      <protection locked="0"/>
    </xf>
    <xf numFmtId="0" fontId="2" fillId="0" borderId="10" xfId="4" applyFont="1" applyFill="1" applyBorder="1" applyAlignment="1" applyProtection="1">
      <alignment vertical="center" wrapText="1"/>
      <protection locked="0"/>
    </xf>
    <xf numFmtId="0" fontId="2" fillId="0" borderId="4" xfId="4" applyFont="1" applyFill="1" applyBorder="1" applyAlignment="1" applyProtection="1">
      <alignment vertical="center" wrapText="1"/>
      <protection locked="0"/>
    </xf>
    <xf numFmtId="0" fontId="10" fillId="0" borderId="33" xfId="0" applyFont="1" applyFill="1" applyBorder="1" applyAlignment="1" applyProtection="1">
      <protection locked="0"/>
    </xf>
    <xf numFmtId="0" fontId="10" fillId="0" borderId="32" xfId="0" applyFont="1" applyFill="1" applyBorder="1" applyAlignment="1" applyProtection="1">
      <protection locked="0"/>
    </xf>
    <xf numFmtId="0" fontId="2" fillId="0" borderId="0" xfId="0" applyFont="1" applyAlignment="1" applyProtection="1">
      <alignment horizontal="left" wrapText="1"/>
      <protection locked="0"/>
    </xf>
    <xf numFmtId="0" fontId="7" fillId="0" borderId="16" xfId="0" applyFont="1" applyFill="1" applyBorder="1" applyAlignment="1">
      <alignment wrapText="1"/>
    </xf>
    <xf numFmtId="0" fontId="1" fillId="0" borderId="16" xfId="0" applyFont="1" applyFill="1" applyBorder="1" applyAlignment="1">
      <alignment wrapText="1"/>
    </xf>
    <xf numFmtId="0" fontId="7" fillId="0" borderId="16" xfId="0" applyFont="1" applyFill="1" applyBorder="1" applyAlignment="1">
      <alignment horizontal="left"/>
    </xf>
    <xf numFmtId="0" fontId="1" fillId="0" borderId="43" xfId="0" applyFont="1" applyFill="1" applyBorder="1" applyAlignment="1">
      <alignment wrapText="1"/>
    </xf>
    <xf numFmtId="0" fontId="64" fillId="0" borderId="24" xfId="5" applyFont="1" applyFill="1" applyBorder="1" applyAlignment="1" applyProtection="1">
      <alignment horizontal="right" vertical="center"/>
      <protection locked="0"/>
    </xf>
    <xf numFmtId="49" fontId="2" fillId="0" borderId="11" xfId="0" applyNumberFormat="1" applyFont="1" applyBorder="1" applyAlignment="1" applyProtection="1">
      <alignment horizontal="center" vertical="center"/>
      <protection locked="0"/>
    </xf>
    <xf numFmtId="49" fontId="2" fillId="0" borderId="5" xfId="0" applyNumberFormat="1" applyFont="1" applyBorder="1" applyAlignment="1" applyProtection="1">
      <alignment horizontal="center" vertical="center"/>
      <protection locked="0"/>
    </xf>
    <xf numFmtId="49" fontId="2" fillId="0" borderId="2" xfId="0" applyNumberFormat="1" applyFont="1" applyBorder="1" applyAlignment="1" applyProtection="1">
      <alignment horizontal="center" vertical="center"/>
      <protection locked="0"/>
    </xf>
    <xf numFmtId="49" fontId="2" fillId="0" borderId="11" xfId="0" applyNumberFormat="1" applyFont="1" applyFill="1" applyBorder="1" applyAlignment="1" applyProtection="1">
      <alignment horizontal="center" vertical="center"/>
      <protection locked="0"/>
    </xf>
    <xf numFmtId="0" fontId="2" fillId="0" borderId="4" xfId="0" applyFont="1" applyFill="1" applyBorder="1" applyAlignment="1" applyProtection="1">
      <alignment horizontal="left" vertical="center" wrapText="1"/>
      <protection locked="0"/>
    </xf>
    <xf numFmtId="0" fontId="2" fillId="0" borderId="70" xfId="0" applyFont="1" applyBorder="1" applyAlignment="1" applyProtection="1">
      <alignment horizontal="left" vertical="center" wrapText="1"/>
      <protection locked="0"/>
    </xf>
    <xf numFmtId="0" fontId="2" fillId="0" borderId="33" xfId="0" applyFont="1" applyBorder="1" applyAlignment="1" applyProtection="1">
      <alignment horizontal="left" vertical="center" wrapText="1"/>
      <protection locked="0"/>
    </xf>
    <xf numFmtId="0" fontId="2" fillId="0" borderId="71" xfId="0" applyFont="1" applyBorder="1" applyAlignment="1" applyProtection="1">
      <alignment horizontal="left" vertical="center" wrapText="1"/>
      <protection locked="0"/>
    </xf>
    <xf numFmtId="0" fontId="2" fillId="0" borderId="41" xfId="0" applyFont="1" applyBorder="1" applyAlignment="1" applyProtection="1">
      <alignment horizontal="left" vertical="center" wrapText="1"/>
      <protection locked="0"/>
    </xf>
    <xf numFmtId="0" fontId="1" fillId="0" borderId="69" xfId="0" applyFont="1" applyFill="1" applyBorder="1" applyAlignment="1">
      <alignment wrapText="1"/>
    </xf>
    <xf numFmtId="0" fontId="2" fillId="0" borderId="0" xfId="0" applyFont="1" applyAlignment="1" applyProtection="1">
      <alignment horizontal="left" wrapText="1"/>
      <protection locked="0"/>
    </xf>
    <xf numFmtId="0" fontId="1" fillId="0" borderId="16" xfId="0" applyFont="1" applyBorder="1"/>
    <xf numFmtId="0" fontId="1" fillId="0" borderId="17" xfId="0" applyFont="1" applyBorder="1"/>
    <xf numFmtId="49" fontId="2" fillId="0" borderId="11" xfId="0" applyNumberFormat="1" applyFont="1" applyBorder="1" applyAlignment="1" applyProtection="1">
      <alignment horizontal="center" vertical="center"/>
      <protection locked="0"/>
    </xf>
    <xf numFmtId="49" fontId="2" fillId="0" borderId="11" xfId="0" applyNumberFormat="1" applyFont="1" applyBorder="1" applyAlignment="1" applyProtection="1">
      <alignment horizontal="center" vertical="center"/>
      <protection locked="0"/>
    </xf>
    <xf numFmtId="0" fontId="2" fillId="9" borderId="0" xfId="0" applyFont="1" applyFill="1" applyAlignment="1" applyProtection="1">
      <alignment vertical="center"/>
    </xf>
    <xf numFmtId="49" fontId="2" fillId="0" borderId="11" xfId="0" applyNumberFormat="1" applyFont="1" applyBorder="1" applyAlignment="1" applyProtection="1">
      <alignment horizontal="center" vertical="center"/>
      <protection locked="0"/>
    </xf>
    <xf numFmtId="49" fontId="2" fillId="0" borderId="11" xfId="0" applyNumberFormat="1" applyFont="1" applyBorder="1" applyAlignment="1" applyProtection="1">
      <alignment horizontal="center" vertical="center"/>
      <protection locked="0"/>
    </xf>
    <xf numFmtId="0" fontId="2" fillId="0" borderId="0" xfId="0" applyFont="1" applyAlignment="1" applyProtection="1">
      <alignment horizontal="left" vertical="top" wrapText="1"/>
      <protection locked="0"/>
    </xf>
    <xf numFmtId="49" fontId="2" fillId="0" borderId="11" xfId="0" applyNumberFormat="1" applyFont="1" applyBorder="1" applyAlignment="1" applyProtection="1">
      <alignment horizontal="center" vertical="center"/>
      <protection locked="0"/>
    </xf>
    <xf numFmtId="49" fontId="2" fillId="0" borderId="2" xfId="0" applyNumberFormat="1" applyFont="1" applyBorder="1" applyAlignment="1" applyProtection="1">
      <alignment horizontal="center" vertical="center"/>
      <protection locked="0"/>
    </xf>
    <xf numFmtId="0" fontId="1" fillId="0" borderId="20" xfId="0" applyFont="1" applyFill="1" applyBorder="1" applyAlignment="1">
      <alignment wrapText="1"/>
    </xf>
    <xf numFmtId="0" fontId="7" fillId="0" borderId="62" xfId="0" applyFont="1" applyFill="1" applyBorder="1"/>
    <xf numFmtId="0" fontId="7" fillId="0" borderId="55" xfId="0" applyFont="1" applyFill="1" applyBorder="1"/>
    <xf numFmtId="0" fontId="7" fillId="0" borderId="58" xfId="0" applyFont="1" applyFill="1" applyBorder="1" applyAlignment="1">
      <alignment wrapText="1"/>
    </xf>
    <xf numFmtId="0" fontId="1" fillId="0" borderId="62" xfId="0" applyFont="1" applyFill="1" applyBorder="1" applyAlignment="1">
      <alignment wrapText="1"/>
    </xf>
    <xf numFmtId="0" fontId="1" fillId="0" borderId="55" xfId="0" applyFont="1" applyFill="1" applyBorder="1" applyAlignment="1">
      <alignment wrapText="1"/>
    </xf>
    <xf numFmtId="0" fontId="1" fillId="0" borderId="72" xfId="0" applyFont="1" applyFill="1" applyBorder="1" applyAlignment="1">
      <alignment wrapText="1"/>
    </xf>
    <xf numFmtId="0" fontId="2" fillId="0" borderId="35" xfId="0" applyFont="1" applyBorder="1" applyAlignment="1" applyProtection="1">
      <alignment horizontal="left" vertical="center" wrapText="1"/>
      <protection locked="0"/>
    </xf>
    <xf numFmtId="49" fontId="2" fillId="0" borderId="73" xfId="0" applyNumberFormat="1" applyFont="1" applyBorder="1" applyAlignment="1" applyProtection="1">
      <alignment horizontal="center" vertical="center"/>
      <protection locked="0"/>
    </xf>
    <xf numFmtId="164" fontId="10" fillId="0" borderId="73" xfId="0" applyNumberFormat="1" applyFont="1" applyBorder="1" applyAlignment="1" applyProtection="1">
      <alignment horizontal="center" vertical="center"/>
      <protection locked="0"/>
    </xf>
    <xf numFmtId="164" fontId="10" fillId="0" borderId="37" xfId="0" applyNumberFormat="1" applyFont="1" applyBorder="1" applyAlignment="1" applyProtection="1">
      <alignment horizontal="center" vertical="center"/>
      <protection locked="0"/>
    </xf>
    <xf numFmtId="49" fontId="2" fillId="0" borderId="11" xfId="0" applyNumberFormat="1" applyFont="1" applyBorder="1" applyAlignment="1" applyProtection="1">
      <alignment horizontal="center" vertical="center"/>
      <protection locked="0"/>
    </xf>
    <xf numFmtId="49" fontId="2" fillId="0" borderId="11" xfId="0" applyNumberFormat="1" applyFont="1" applyBorder="1" applyAlignment="1" applyProtection="1">
      <alignment horizontal="center" vertical="center"/>
      <protection locked="0"/>
    </xf>
    <xf numFmtId="49" fontId="2" fillId="0" borderId="11" xfId="0" applyNumberFormat="1" applyFont="1" applyBorder="1" applyAlignment="1" applyProtection="1">
      <alignment horizontal="center" vertical="center"/>
      <protection locked="0"/>
    </xf>
    <xf numFmtId="49" fontId="2" fillId="0" borderId="11" xfId="0" applyNumberFormat="1" applyFont="1" applyBorder="1" applyAlignment="1" applyProtection="1">
      <alignment horizontal="center" vertical="center"/>
      <protection locked="0"/>
    </xf>
    <xf numFmtId="49" fontId="2" fillId="0" borderId="11" xfId="0" applyNumberFormat="1" applyFont="1" applyBorder="1" applyAlignment="1" applyProtection="1">
      <alignment horizontal="center" vertical="center"/>
      <protection locked="0"/>
    </xf>
    <xf numFmtId="0" fontId="2" fillId="0" borderId="62" xfId="0" applyFont="1" applyBorder="1" applyAlignment="1" applyProtection="1">
      <alignment horizontal="left" vertical="center" wrapText="1"/>
      <protection locked="0"/>
    </xf>
    <xf numFmtId="49" fontId="2" fillId="0" borderId="55" xfId="0" applyNumberFormat="1" applyFont="1" applyBorder="1" applyAlignment="1" applyProtection="1">
      <alignment horizontal="center" vertical="center"/>
      <protection locked="0"/>
    </xf>
    <xf numFmtId="164" fontId="10" fillId="0" borderId="55" xfId="0" applyNumberFormat="1" applyFont="1" applyBorder="1" applyAlignment="1" applyProtection="1">
      <alignment horizontal="center" vertical="center"/>
      <protection locked="0"/>
    </xf>
    <xf numFmtId="164" fontId="10" fillId="0" borderId="58" xfId="0" applyNumberFormat="1" applyFont="1" applyBorder="1" applyAlignment="1" applyProtection="1">
      <alignment horizontal="center" vertical="center"/>
      <protection locked="0"/>
    </xf>
    <xf numFmtId="49" fontId="2" fillId="0" borderId="11" xfId="0" applyNumberFormat="1" applyFont="1" applyBorder="1" applyAlignment="1" applyProtection="1">
      <alignment horizontal="center" vertical="center"/>
      <protection locked="0"/>
    </xf>
    <xf numFmtId="49" fontId="2" fillId="0" borderId="2" xfId="0" applyNumberFormat="1" applyFont="1" applyBorder="1" applyAlignment="1" applyProtection="1">
      <alignment horizontal="center" vertical="center"/>
      <protection locked="0"/>
    </xf>
    <xf numFmtId="49" fontId="2" fillId="0" borderId="5" xfId="0" applyNumberFormat="1" applyFont="1" applyBorder="1" applyAlignment="1" applyProtection="1">
      <alignment horizontal="center" vertical="center"/>
      <protection locked="0"/>
    </xf>
    <xf numFmtId="49" fontId="2" fillId="0" borderId="73" xfId="0" applyNumberFormat="1" applyFont="1" applyBorder="1" applyAlignment="1" applyProtection="1">
      <alignment horizontal="center" vertical="center"/>
      <protection locked="0"/>
    </xf>
    <xf numFmtId="49" fontId="2" fillId="0" borderId="11" xfId="0" applyNumberFormat="1" applyFont="1" applyBorder="1" applyAlignment="1" applyProtection="1">
      <alignment horizontal="center" vertical="center"/>
      <protection locked="0"/>
    </xf>
    <xf numFmtId="49" fontId="2" fillId="0" borderId="2" xfId="0" applyNumberFormat="1" applyFont="1" applyBorder="1" applyAlignment="1" applyProtection="1">
      <alignment horizontal="center" vertical="center"/>
      <protection locked="0"/>
    </xf>
    <xf numFmtId="49" fontId="2" fillId="0" borderId="5" xfId="0" applyNumberFormat="1" applyFont="1" applyBorder="1" applyAlignment="1" applyProtection="1">
      <alignment horizontal="center" vertical="center"/>
      <protection locked="0"/>
    </xf>
    <xf numFmtId="0" fontId="7" fillId="0" borderId="54" xfId="0" applyFont="1" applyFill="1" applyBorder="1" applyAlignment="1">
      <alignment wrapText="1"/>
    </xf>
    <xf numFmtId="0" fontId="2" fillId="0" borderId="51" xfId="0" applyFont="1" applyBorder="1" applyAlignment="1" applyProtection="1">
      <alignment horizontal="center" vertical="center"/>
      <protection locked="0"/>
    </xf>
    <xf numFmtId="0" fontId="2" fillId="0" borderId="19" xfId="0" applyFont="1" applyBorder="1" applyAlignment="1" applyProtection="1">
      <alignment horizontal="center" vertical="center"/>
      <protection locked="0"/>
    </xf>
    <xf numFmtId="0" fontId="2" fillId="0" borderId="50" xfId="0" applyFont="1" applyBorder="1" applyAlignment="1" applyProtection="1">
      <alignment horizontal="center" vertical="center"/>
      <protection locked="0"/>
    </xf>
    <xf numFmtId="0" fontId="2" fillId="0" borderId="10" xfId="0" applyFont="1" applyBorder="1" applyAlignment="1" applyProtection="1">
      <alignment horizontal="left" vertical="top" wrapText="1"/>
      <protection locked="0"/>
    </xf>
    <xf numFmtId="49" fontId="2" fillId="0" borderId="40" xfId="0" applyNumberFormat="1" applyFont="1" applyBorder="1" applyAlignment="1" applyProtection="1">
      <alignment horizontal="right" vertical="center" wrapText="1"/>
      <protection locked="0"/>
    </xf>
    <xf numFmtId="49" fontId="2" fillId="0" borderId="11" xfId="0" applyNumberFormat="1" applyFont="1" applyBorder="1" applyAlignment="1" applyProtection="1">
      <alignment horizontal="center" vertical="center"/>
      <protection locked="0"/>
    </xf>
    <xf numFmtId="49" fontId="2" fillId="0" borderId="11" xfId="0" applyNumberFormat="1" applyFont="1" applyBorder="1" applyAlignment="1" applyProtection="1">
      <alignment horizontal="center" vertical="center"/>
      <protection locked="0"/>
    </xf>
    <xf numFmtId="0" fontId="2" fillId="0" borderId="0" xfId="0" applyFont="1" applyAlignment="1" applyProtection="1">
      <alignment horizontal="left" wrapText="1"/>
      <protection locked="0"/>
    </xf>
    <xf numFmtId="0" fontId="7" fillId="0" borderId="69" xfId="0" applyFont="1" applyFill="1" applyBorder="1" applyAlignment="1">
      <alignment wrapText="1"/>
    </xf>
    <xf numFmtId="49" fontId="2" fillId="0" borderId="11" xfId="0" applyNumberFormat="1" applyFont="1" applyBorder="1" applyAlignment="1" applyProtection="1">
      <alignment horizontal="center" vertical="center"/>
      <protection locked="0"/>
    </xf>
    <xf numFmtId="0" fontId="18" fillId="0" borderId="0" xfId="0" applyFont="1" applyAlignment="1" applyProtection="1">
      <alignment horizontal="right"/>
      <protection locked="0"/>
    </xf>
    <xf numFmtId="0" fontId="3" fillId="0" borderId="40" xfId="0" applyFont="1" applyBorder="1" applyAlignment="1">
      <alignment horizontal="center" vertical="center" wrapText="1"/>
    </xf>
    <xf numFmtId="0" fontId="3" fillId="0" borderId="0" xfId="0" applyFont="1" applyBorder="1" applyAlignment="1">
      <alignment horizontal="center" vertical="center" wrapText="1"/>
    </xf>
    <xf numFmtId="49" fontId="2" fillId="0" borderId="11" xfId="0" applyNumberFormat="1" applyFont="1" applyBorder="1" applyAlignment="1" applyProtection="1">
      <alignment horizontal="center" vertical="center"/>
      <protection locked="0"/>
    </xf>
    <xf numFmtId="49" fontId="2" fillId="0" borderId="11" xfId="0" applyNumberFormat="1" applyFont="1" applyBorder="1" applyAlignment="1" applyProtection="1">
      <alignment horizontal="center" vertical="center"/>
      <protection locked="0"/>
    </xf>
    <xf numFmtId="0" fontId="7" fillId="0" borderId="33" xfId="0" applyFont="1" applyFill="1" applyBorder="1" applyAlignment="1">
      <alignment wrapText="1"/>
    </xf>
    <xf numFmtId="0" fontId="1" fillId="0" borderId="11" xfId="0" applyFont="1" applyBorder="1" applyAlignment="1">
      <alignment wrapText="1"/>
    </xf>
    <xf numFmtId="0" fontId="1" fillId="0" borderId="10" xfId="0" applyFont="1" applyBorder="1" applyAlignment="1">
      <alignment wrapText="1"/>
    </xf>
    <xf numFmtId="0" fontId="1" fillId="0" borderId="11" xfId="0" applyFont="1" applyFill="1" applyBorder="1" applyAlignment="1">
      <alignment wrapText="1"/>
    </xf>
    <xf numFmtId="0" fontId="1" fillId="0" borderId="10" xfId="0" applyFont="1" applyFill="1" applyBorder="1" applyAlignment="1">
      <alignment wrapText="1"/>
    </xf>
    <xf numFmtId="0" fontId="1" fillId="0" borderId="19" xfId="0" applyFont="1" applyFill="1" applyBorder="1" applyAlignment="1">
      <alignment wrapText="1"/>
    </xf>
    <xf numFmtId="0" fontId="1" fillId="0" borderId="0" xfId="0" applyFont="1" applyFill="1"/>
    <xf numFmtId="0" fontId="1" fillId="0" borderId="16" xfId="0" applyFont="1" applyFill="1" applyBorder="1"/>
    <xf numFmtId="0" fontId="1" fillId="0" borderId="19" xfId="0" applyFont="1" applyBorder="1" applyAlignment="1">
      <alignment wrapText="1"/>
    </xf>
    <xf numFmtId="49" fontId="2" fillId="0" borderId="11" xfId="0" applyNumberFormat="1" applyFont="1" applyBorder="1" applyAlignment="1" applyProtection="1">
      <alignment horizontal="center" vertical="center"/>
      <protection locked="0"/>
    </xf>
    <xf numFmtId="49" fontId="2" fillId="0" borderId="11" xfId="0" applyNumberFormat="1" applyFont="1" applyBorder="1" applyAlignment="1" applyProtection="1">
      <alignment horizontal="center" vertical="center"/>
      <protection locked="0"/>
    </xf>
    <xf numFmtId="49" fontId="2" fillId="0" borderId="11" xfId="0" applyNumberFormat="1" applyFont="1" applyBorder="1" applyAlignment="1" applyProtection="1">
      <alignment horizontal="center" vertical="center"/>
      <protection locked="0"/>
    </xf>
    <xf numFmtId="49" fontId="2" fillId="0" borderId="11" xfId="0" applyNumberFormat="1" applyFont="1" applyBorder="1" applyAlignment="1" applyProtection="1">
      <alignment horizontal="center" vertical="center"/>
      <protection locked="0"/>
    </xf>
    <xf numFmtId="0" fontId="1" fillId="0" borderId="10" xfId="0" applyFont="1" applyBorder="1"/>
    <xf numFmtId="0" fontId="1" fillId="0" borderId="11" xfId="0" applyFont="1" applyBorder="1"/>
    <xf numFmtId="0" fontId="1" fillId="0" borderId="12" xfId="0" applyFont="1" applyBorder="1" applyAlignment="1">
      <alignment wrapText="1"/>
    </xf>
    <xf numFmtId="0" fontId="1" fillId="0" borderId="16" xfId="0" applyFont="1" applyBorder="1" applyAlignment="1">
      <alignment wrapText="1"/>
    </xf>
    <xf numFmtId="0" fontId="2" fillId="0" borderId="45" xfId="4" applyFont="1" applyBorder="1" applyAlignment="1" applyProtection="1">
      <alignment vertical="center" wrapText="1"/>
      <protection locked="0"/>
    </xf>
    <xf numFmtId="49" fontId="2" fillId="0" borderId="11" xfId="0" applyNumberFormat="1" applyFont="1" applyBorder="1" applyAlignment="1" applyProtection="1">
      <alignment horizontal="center" vertical="center"/>
      <protection locked="0"/>
    </xf>
    <xf numFmtId="0" fontId="2" fillId="0" borderId="13" xfId="0" applyFont="1" applyBorder="1" applyAlignment="1" applyProtection="1">
      <alignment vertical="center" wrapText="1"/>
      <protection locked="0"/>
    </xf>
    <xf numFmtId="0" fontId="2" fillId="0" borderId="14" xfId="0" applyFont="1" applyBorder="1" applyAlignment="1" applyProtection="1">
      <alignment vertical="center" wrapText="1"/>
      <protection locked="0"/>
    </xf>
    <xf numFmtId="0" fontId="2" fillId="0" borderId="20" xfId="0" applyFont="1" applyBorder="1" applyAlignment="1" applyProtection="1">
      <alignment vertical="center" wrapText="1"/>
      <protection locked="0"/>
    </xf>
    <xf numFmtId="0" fontId="2" fillId="0" borderId="0" xfId="0" applyFont="1" applyBorder="1" applyAlignment="1" applyProtection="1">
      <alignment vertical="center" wrapText="1"/>
      <protection locked="0"/>
    </xf>
    <xf numFmtId="0" fontId="3" fillId="0" borderId="0" xfId="0" applyFont="1" applyAlignment="1" applyProtection="1">
      <alignment horizontal="left"/>
      <protection locked="0"/>
    </xf>
    <xf numFmtId="0" fontId="2" fillId="0" borderId="0" xfId="0" applyFont="1" applyAlignment="1" applyProtection="1">
      <alignment horizontal="left" vertical="top" wrapText="1"/>
      <protection locked="0"/>
    </xf>
    <xf numFmtId="0" fontId="3" fillId="0" borderId="0" xfId="0" applyFont="1" applyAlignment="1" applyProtection="1">
      <alignment horizontal="left" vertical="top" wrapText="1"/>
      <protection locked="0"/>
    </xf>
    <xf numFmtId="0" fontId="2" fillId="0" borderId="0" xfId="0" applyFont="1" applyAlignment="1" applyProtection="1">
      <alignment horizontal="left" wrapText="1"/>
      <protection locked="0"/>
    </xf>
    <xf numFmtId="0" fontId="44" fillId="0" borderId="0" xfId="0" applyFont="1" applyAlignment="1" applyProtection="1">
      <alignment horizontal="center"/>
    </xf>
    <xf numFmtId="0" fontId="2" fillId="0" borderId="0" xfId="0" applyFont="1" applyAlignment="1" applyProtection="1">
      <alignment horizontal="left" wrapText="1"/>
    </xf>
    <xf numFmtId="0" fontId="3" fillId="0" borderId="0" xfId="0" applyFont="1" applyAlignment="1" applyProtection="1">
      <alignment horizontal="left" wrapText="1"/>
    </xf>
    <xf numFmtId="0" fontId="70" fillId="0" borderId="0" xfId="0" applyFont="1" applyAlignment="1" applyProtection="1">
      <alignment horizontal="left" wrapText="1"/>
    </xf>
    <xf numFmtId="0" fontId="71" fillId="0" borderId="0" xfId="0" applyFont="1" applyAlignment="1" applyProtection="1">
      <alignment horizontal="left" wrapText="1"/>
    </xf>
    <xf numFmtId="0" fontId="37" fillId="0" borderId="25" xfId="0" applyFont="1" applyBorder="1" applyAlignment="1" applyProtection="1">
      <alignment horizontal="center"/>
    </xf>
    <xf numFmtId="0" fontId="72" fillId="0" borderId="0" xfId="0" applyFont="1" applyAlignment="1" applyProtection="1">
      <alignment horizontal="left" wrapText="1"/>
    </xf>
    <xf numFmtId="0" fontId="2" fillId="0" borderId="0" xfId="0" applyFont="1" applyFill="1" applyAlignment="1" applyProtection="1">
      <alignment horizontal="left" wrapText="1"/>
    </xf>
    <xf numFmtId="0" fontId="2" fillId="0" borderId="0" xfId="0" applyFont="1" applyAlignment="1" applyProtection="1">
      <alignment horizontal="left" wrapText="1" indent="5"/>
      <protection locked="0"/>
    </xf>
    <xf numFmtId="0" fontId="2" fillId="0" borderId="0" xfId="0" applyFont="1" applyAlignment="1" applyProtection="1">
      <alignment horizontal="left" vertical="top" wrapText="1" indent="2"/>
      <protection locked="0"/>
    </xf>
    <xf numFmtId="0" fontId="3" fillId="0" borderId="0" xfId="0" applyFont="1" applyAlignment="1" applyProtection="1">
      <alignment horizontal="left" wrapText="1" indent="5"/>
      <protection locked="0"/>
    </xf>
    <xf numFmtId="0" fontId="3" fillId="0" borderId="0" xfId="0" applyFont="1" applyAlignment="1" applyProtection="1">
      <alignment horizontal="left" wrapText="1"/>
      <protection locked="0"/>
    </xf>
    <xf numFmtId="0" fontId="39" fillId="0" borderId="0" xfId="0" applyFont="1" applyAlignment="1" applyProtection="1">
      <alignment horizontal="left" wrapText="1"/>
      <protection locked="0"/>
    </xf>
    <xf numFmtId="0" fontId="2" fillId="0" borderId="0" xfId="0" applyFont="1" applyAlignment="1" applyProtection="1">
      <alignment horizontal="left"/>
      <protection locked="0"/>
    </xf>
    <xf numFmtId="0" fontId="10" fillId="0" borderId="30" xfId="0" applyFont="1" applyFill="1" applyBorder="1" applyAlignment="1" applyProtection="1">
      <alignment horizontal="left"/>
      <protection locked="0"/>
    </xf>
    <xf numFmtId="0" fontId="1" fillId="0" borderId="25" xfId="0" applyFont="1" applyBorder="1" applyAlignment="1" applyProtection="1">
      <alignment horizontal="left"/>
      <protection locked="0"/>
    </xf>
    <xf numFmtId="0" fontId="1" fillId="0" borderId="26" xfId="0" applyFont="1" applyBorder="1" applyAlignment="1" applyProtection="1">
      <alignment horizontal="left"/>
      <protection locked="0"/>
    </xf>
    <xf numFmtId="0" fontId="1" fillId="0" borderId="21" xfId="0" applyFont="1" applyBorder="1" applyAlignment="1" applyProtection="1">
      <alignment horizontal="left"/>
      <protection locked="0"/>
    </xf>
    <xf numFmtId="0" fontId="1" fillId="0" borderId="28" xfId="0" applyFont="1" applyBorder="1" applyAlignment="1" applyProtection="1">
      <alignment horizontal="left"/>
      <protection locked="0"/>
    </xf>
    <xf numFmtId="0" fontId="1" fillId="0" borderId="29" xfId="0" applyFont="1" applyBorder="1" applyAlignment="1" applyProtection="1">
      <alignment horizontal="left"/>
      <protection locked="0"/>
    </xf>
    <xf numFmtId="0" fontId="10" fillId="0" borderId="22" xfId="0" applyFont="1" applyFill="1" applyBorder="1" applyAlignment="1" applyProtection="1">
      <alignment horizontal="left"/>
      <protection locked="0"/>
    </xf>
    <xf numFmtId="0" fontId="1" fillId="0" borderId="34" xfId="0" applyFont="1" applyBorder="1" applyAlignment="1" applyProtection="1">
      <alignment horizontal="left"/>
      <protection locked="0"/>
    </xf>
    <xf numFmtId="0" fontId="1" fillId="0" borderId="23" xfId="0" applyFont="1" applyBorder="1" applyAlignment="1" applyProtection="1">
      <alignment horizontal="left"/>
      <protection locked="0"/>
    </xf>
    <xf numFmtId="49" fontId="53" fillId="0" borderId="22" xfId="0" applyNumberFormat="1" applyFont="1" applyFill="1" applyBorder="1" applyAlignment="1" applyProtection="1">
      <alignment horizontal="left"/>
      <protection locked="0"/>
    </xf>
    <xf numFmtId="49" fontId="1" fillId="0" borderId="34" xfId="0" applyNumberFormat="1" applyFont="1" applyBorder="1" applyAlignment="1" applyProtection="1">
      <alignment horizontal="left"/>
      <protection locked="0"/>
    </xf>
    <xf numFmtId="49" fontId="1" fillId="0" borderId="23" xfId="0" applyNumberFormat="1" applyFont="1" applyBorder="1" applyAlignment="1" applyProtection="1">
      <alignment horizontal="left"/>
      <protection locked="0"/>
    </xf>
    <xf numFmtId="0" fontId="10" fillId="0" borderId="22" xfId="0" applyNumberFormat="1" applyFont="1" applyFill="1" applyBorder="1" applyAlignment="1" applyProtection="1">
      <alignment horizontal="left"/>
      <protection locked="0"/>
    </xf>
    <xf numFmtId="0" fontId="1" fillId="0" borderId="34" xfId="0" applyNumberFormat="1" applyFont="1" applyBorder="1" applyAlignment="1" applyProtection="1">
      <alignment horizontal="left"/>
      <protection locked="0"/>
    </xf>
    <xf numFmtId="0" fontId="1" fillId="0" borderId="23" xfId="0" applyNumberFormat="1" applyFont="1" applyBorder="1" applyAlignment="1" applyProtection="1">
      <alignment horizontal="left"/>
      <protection locked="0"/>
    </xf>
    <xf numFmtId="0" fontId="69" fillId="0" borderId="22" xfId="6" applyFill="1" applyBorder="1" applyAlignment="1" applyProtection="1">
      <alignment horizontal="left"/>
      <protection locked="0"/>
    </xf>
    <xf numFmtId="0" fontId="53" fillId="2" borderId="21" xfId="0" applyFont="1" applyFill="1" applyBorder="1" applyAlignment="1" applyProtection="1">
      <alignment horizontal="left"/>
      <protection locked="0"/>
    </xf>
    <xf numFmtId="0" fontId="1" fillId="2" borderId="28" xfId="0" applyFont="1" applyFill="1" applyBorder="1" applyAlignment="1" applyProtection="1">
      <alignment horizontal="left"/>
      <protection locked="0"/>
    </xf>
    <xf numFmtId="0" fontId="1" fillId="0" borderId="29" xfId="0" applyFont="1" applyBorder="1" applyAlignment="1">
      <alignment horizontal="left"/>
    </xf>
    <xf numFmtId="49" fontId="10" fillId="0" borderId="53" xfId="0" applyNumberFormat="1" applyFont="1" applyFill="1" applyBorder="1" applyAlignment="1" applyProtection="1">
      <alignment horizontal="left"/>
      <protection locked="0"/>
    </xf>
    <xf numFmtId="49" fontId="10" fillId="0" borderId="56" xfId="0" applyNumberFormat="1" applyFont="1" applyFill="1" applyBorder="1" applyAlignment="1" applyProtection="1">
      <alignment horizontal="left"/>
      <protection locked="0"/>
    </xf>
    <xf numFmtId="49" fontId="10" fillId="0" borderId="57" xfId="0" applyNumberFormat="1" applyFont="1" applyFill="1" applyBorder="1" applyAlignment="1" applyProtection="1">
      <alignment horizontal="left"/>
      <protection locked="0"/>
    </xf>
    <xf numFmtId="0" fontId="10" fillId="0" borderId="33" xfId="0" applyFont="1" applyFill="1" applyBorder="1" applyAlignment="1" applyProtection="1">
      <protection locked="0"/>
    </xf>
    <xf numFmtId="0" fontId="10" fillId="0" borderId="32" xfId="0" applyFont="1" applyFill="1" applyBorder="1" applyAlignment="1" applyProtection="1">
      <protection locked="0"/>
    </xf>
    <xf numFmtId="49" fontId="10" fillId="0" borderId="22" xfId="0" applyNumberFormat="1" applyFont="1" applyBorder="1" applyAlignment="1" applyProtection="1">
      <alignment horizontal="left"/>
      <protection locked="0"/>
    </xf>
    <xf numFmtId="3" fontId="10" fillId="0" borderId="22" xfId="0" applyNumberFormat="1" applyFont="1" applyBorder="1" applyAlignment="1" applyProtection="1">
      <alignment horizontal="left"/>
      <protection locked="0"/>
    </xf>
    <xf numFmtId="3" fontId="10" fillId="0" borderId="34" xfId="0" applyNumberFormat="1" applyFont="1" applyBorder="1" applyAlignment="1" applyProtection="1">
      <alignment horizontal="left"/>
      <protection locked="0"/>
    </xf>
    <xf numFmtId="3" fontId="10" fillId="0" borderId="23" xfId="0" applyNumberFormat="1" applyFont="1" applyBorder="1" applyAlignment="1" applyProtection="1">
      <alignment horizontal="left"/>
      <protection locked="0"/>
    </xf>
    <xf numFmtId="164" fontId="10" fillId="0" borderId="22" xfId="0" applyNumberFormat="1" applyFont="1" applyFill="1" applyBorder="1" applyAlignment="1" applyProtection="1">
      <alignment horizontal="left"/>
      <protection locked="0"/>
    </xf>
    <xf numFmtId="164" fontId="1" fillId="0" borderId="34" xfId="0" applyNumberFormat="1" applyFont="1" applyBorder="1" applyAlignment="1" applyProtection="1">
      <alignment horizontal="left"/>
      <protection locked="0"/>
    </xf>
    <xf numFmtId="164" fontId="1" fillId="0" borderId="23" xfId="0" applyNumberFormat="1" applyFont="1" applyBorder="1" applyAlignment="1" applyProtection="1">
      <alignment horizontal="left"/>
      <protection locked="0"/>
    </xf>
    <xf numFmtId="0" fontId="10" fillId="2" borderId="22" xfId="0" applyFont="1" applyFill="1" applyBorder="1" applyAlignment="1" applyProtection="1">
      <alignment horizontal="left"/>
    </xf>
    <xf numFmtId="0" fontId="1" fillId="0" borderId="23" xfId="0" applyFont="1" applyBorder="1" applyAlignment="1">
      <alignment horizontal="left"/>
    </xf>
    <xf numFmtId="49" fontId="10" fillId="0" borderId="34" xfId="0" applyNumberFormat="1" applyFont="1" applyBorder="1" applyAlignment="1" applyProtection="1">
      <alignment horizontal="left"/>
      <protection locked="0"/>
    </xf>
    <xf numFmtId="49" fontId="10" fillId="0" borderId="23" xfId="0" applyNumberFormat="1" applyFont="1" applyBorder="1" applyAlignment="1" applyProtection="1">
      <alignment horizontal="left"/>
      <protection locked="0"/>
    </xf>
    <xf numFmtId="14" fontId="10" fillId="0" borderId="22" xfId="0" applyNumberFormat="1" applyFont="1" applyBorder="1" applyAlignment="1" applyProtection="1">
      <alignment horizontal="left"/>
      <protection locked="0"/>
    </xf>
    <xf numFmtId="0" fontId="10" fillId="0" borderId="34" xfId="0" applyFont="1" applyBorder="1" applyAlignment="1" applyProtection="1">
      <alignment horizontal="left"/>
      <protection locked="0"/>
    </xf>
    <xf numFmtId="0" fontId="10" fillId="0" borderId="23" xfId="0" applyFont="1" applyBorder="1" applyAlignment="1" applyProtection="1">
      <alignment horizontal="left"/>
      <protection locked="0"/>
    </xf>
    <xf numFmtId="0" fontId="10" fillId="0" borderId="22" xfId="1" applyFont="1" applyFill="1" applyBorder="1" applyAlignment="1" applyProtection="1">
      <alignment horizontal="left"/>
      <protection locked="0"/>
    </xf>
    <xf numFmtId="0" fontId="1" fillId="0" borderId="34" xfId="0" applyFont="1" applyFill="1" applyBorder="1" applyAlignment="1" applyProtection="1">
      <alignment horizontal="left"/>
      <protection locked="0"/>
    </xf>
    <xf numFmtId="0" fontId="10" fillId="0" borderId="22" xfId="0" applyFont="1" applyBorder="1" applyAlignment="1" applyProtection="1">
      <alignment horizontal="left"/>
      <protection locked="0"/>
    </xf>
    <xf numFmtId="0" fontId="54" fillId="0" borderId="22" xfId="0" applyFont="1" applyFill="1" applyBorder="1" applyAlignment="1" applyProtection="1">
      <alignment horizontal="center"/>
    </xf>
    <xf numFmtId="0" fontId="54" fillId="0" borderId="34" xfId="0" applyFont="1" applyFill="1" applyBorder="1" applyAlignment="1" applyProtection="1">
      <alignment horizontal="center"/>
    </xf>
    <xf numFmtId="0" fontId="54" fillId="0" borderId="23" xfId="0" applyFont="1" applyFill="1" applyBorder="1" applyAlignment="1" applyProtection="1">
      <alignment horizontal="center"/>
    </xf>
    <xf numFmtId="0" fontId="52" fillId="2" borderId="30" xfId="0" applyFont="1" applyFill="1" applyBorder="1" applyAlignment="1" applyProtection="1"/>
    <xf numFmtId="0" fontId="31" fillId="2" borderId="25" xfId="0" applyFont="1" applyFill="1" applyBorder="1" applyAlignment="1" applyProtection="1"/>
    <xf numFmtId="0" fontId="31" fillId="2" borderId="26" xfId="0" applyFont="1" applyFill="1" applyBorder="1" applyAlignment="1"/>
    <xf numFmtId="0" fontId="10" fillId="0" borderId="30" xfId="0" applyFont="1" applyBorder="1" applyAlignment="1" applyProtection="1">
      <protection locked="0"/>
    </xf>
    <xf numFmtId="0" fontId="1" fillId="0" borderId="25" xfId="0" applyFont="1" applyBorder="1" applyAlignment="1" applyProtection="1">
      <protection locked="0"/>
    </xf>
    <xf numFmtId="0" fontId="1" fillId="0" borderId="26" xfId="0" applyFont="1" applyBorder="1" applyAlignment="1" applyProtection="1">
      <protection locked="0"/>
    </xf>
    <xf numFmtId="0" fontId="10" fillId="7" borderId="22" xfId="0" applyFont="1" applyFill="1" applyBorder="1" applyAlignment="1" applyProtection="1">
      <alignment horizontal="center"/>
    </xf>
    <xf numFmtId="0" fontId="1" fillId="0" borderId="34" xfId="0" applyFont="1" applyBorder="1" applyAlignment="1"/>
    <xf numFmtId="0" fontId="1" fillId="0" borderId="23" xfId="0" applyFont="1" applyBorder="1" applyAlignment="1"/>
    <xf numFmtId="0" fontId="52" fillId="2" borderId="24" xfId="0" applyFont="1" applyFill="1" applyBorder="1" applyAlignment="1" applyProtection="1"/>
    <xf numFmtId="0" fontId="31" fillId="2" borderId="0" xfId="0" applyFont="1" applyFill="1" applyBorder="1" applyAlignment="1" applyProtection="1"/>
    <xf numFmtId="0" fontId="31" fillId="2" borderId="27" xfId="0" applyFont="1" applyFill="1" applyBorder="1" applyAlignment="1"/>
    <xf numFmtId="0" fontId="10" fillId="4" borderId="24" xfId="0" applyFont="1" applyFill="1" applyBorder="1" applyAlignment="1" applyProtection="1"/>
    <xf numFmtId="0" fontId="1" fillId="0" borderId="0" xfId="0" applyFont="1" applyBorder="1" applyAlignment="1" applyProtection="1"/>
    <xf numFmtId="0" fontId="1" fillId="0" borderId="0" xfId="0" applyFont="1" applyAlignment="1"/>
    <xf numFmtId="0" fontId="10" fillId="0" borderId="44" xfId="0" applyFont="1" applyFill="1" applyBorder="1" applyAlignment="1" applyProtection="1">
      <protection locked="0"/>
    </xf>
    <xf numFmtId="0" fontId="10" fillId="0" borderId="3" xfId="0" applyFont="1" applyBorder="1" applyAlignment="1" applyProtection="1">
      <protection locked="0"/>
    </xf>
    <xf numFmtId="49" fontId="10" fillId="0" borderId="33" xfId="0" applyNumberFormat="1" applyFont="1" applyFill="1" applyBorder="1" applyAlignment="1" applyProtection="1">
      <protection locked="0"/>
    </xf>
    <xf numFmtId="49" fontId="10" fillId="0" borderId="32" xfId="0" applyNumberFormat="1" applyFont="1" applyFill="1" applyBorder="1" applyAlignment="1" applyProtection="1">
      <protection locked="0"/>
    </xf>
    <xf numFmtId="0" fontId="10" fillId="0" borderId="15" xfId="0" applyFont="1" applyFill="1" applyBorder="1" applyAlignment="1" applyProtection="1">
      <protection locked="0"/>
    </xf>
    <xf numFmtId="0" fontId="10" fillId="0" borderId="6" xfId="0" applyFont="1" applyBorder="1" applyAlignment="1" applyProtection="1">
      <protection locked="0"/>
    </xf>
    <xf numFmtId="0" fontId="10" fillId="0" borderId="54" xfId="0" applyFont="1" applyFill="1" applyBorder="1" applyAlignment="1" applyProtection="1">
      <protection locked="0"/>
    </xf>
    <xf numFmtId="0" fontId="10" fillId="0" borderId="12" xfId="0" applyFont="1" applyBorder="1" applyAlignment="1" applyProtection="1">
      <protection locked="0"/>
    </xf>
    <xf numFmtId="0" fontId="10" fillId="0" borderId="33" xfId="0" applyFont="1" applyFill="1" applyBorder="1" applyAlignment="1" applyProtection="1">
      <alignment wrapText="1" shrinkToFit="1"/>
      <protection locked="0"/>
    </xf>
    <xf numFmtId="0" fontId="10" fillId="0" borderId="32" xfId="0" applyFont="1" applyFill="1" applyBorder="1" applyAlignment="1" applyProtection="1">
      <alignment wrapText="1" shrinkToFit="1"/>
      <protection locked="0"/>
    </xf>
    <xf numFmtId="0" fontId="2" fillId="2" borderId="48" xfId="0" applyFont="1" applyFill="1" applyBorder="1" applyAlignment="1" applyProtection="1">
      <alignment horizontal="center" vertical="center" wrapText="1"/>
    </xf>
    <xf numFmtId="0" fontId="2" fillId="2" borderId="55" xfId="0" applyFont="1" applyFill="1" applyBorder="1" applyAlignment="1" applyProtection="1">
      <alignment horizontal="center" vertical="center" wrapText="1"/>
    </xf>
    <xf numFmtId="0" fontId="2" fillId="2" borderId="49" xfId="0" applyFont="1" applyFill="1" applyBorder="1" applyAlignment="1" applyProtection="1">
      <alignment horizontal="center" vertical="center" wrapText="1"/>
    </xf>
    <xf numFmtId="0" fontId="2" fillId="2" borderId="58" xfId="0" applyFont="1" applyFill="1" applyBorder="1" applyAlignment="1" applyProtection="1">
      <alignment horizontal="center" vertical="center" wrapText="1"/>
    </xf>
    <xf numFmtId="0" fontId="2" fillId="0" borderId="19" xfId="0" applyFont="1" applyBorder="1" applyAlignment="1" applyProtection="1">
      <alignment horizontal="left" vertical="center" wrapText="1"/>
      <protection locked="0"/>
    </xf>
    <xf numFmtId="0" fontId="2" fillId="0" borderId="32" xfId="0" applyFont="1" applyBorder="1" applyAlignment="1" applyProtection="1">
      <alignment horizontal="left" vertical="center" wrapText="1"/>
      <protection locked="0"/>
    </xf>
    <xf numFmtId="0" fontId="2" fillId="0" borderId="50" xfId="0" applyFont="1" applyBorder="1" applyAlignment="1" applyProtection="1">
      <alignment horizontal="left" vertical="center"/>
      <protection locked="0"/>
    </xf>
    <xf numFmtId="0" fontId="2" fillId="0" borderId="59" xfId="0" applyFont="1" applyBorder="1" applyAlignment="1" applyProtection="1">
      <alignment horizontal="left" vertical="center"/>
      <protection locked="0"/>
    </xf>
    <xf numFmtId="0" fontId="2" fillId="0" borderId="50" xfId="0" applyFont="1" applyBorder="1" applyAlignment="1" applyProtection="1">
      <alignment horizontal="left" vertical="center" wrapText="1"/>
      <protection locked="0"/>
    </xf>
    <xf numFmtId="0" fontId="2" fillId="0" borderId="59" xfId="0" applyFont="1" applyBorder="1" applyAlignment="1" applyProtection="1">
      <alignment horizontal="left" vertical="center" wrapText="1"/>
      <protection locked="0"/>
    </xf>
    <xf numFmtId="0" fontId="2" fillId="0" borderId="51" xfId="0" applyFont="1" applyBorder="1" applyAlignment="1" applyProtection="1">
      <alignment horizontal="left" vertical="center"/>
      <protection locked="0"/>
    </xf>
    <xf numFmtId="0" fontId="2" fillId="0" borderId="60" xfId="0" applyFont="1" applyBorder="1" applyAlignment="1" applyProtection="1">
      <alignment horizontal="left" vertical="center"/>
      <protection locked="0"/>
    </xf>
    <xf numFmtId="0" fontId="2" fillId="0" borderId="19" xfId="0" applyFont="1" applyBorder="1" applyAlignment="1" applyProtection="1">
      <alignment horizontal="left" vertical="center"/>
      <protection locked="0"/>
    </xf>
    <xf numFmtId="0" fontId="2" fillId="0" borderId="32" xfId="0" applyFont="1" applyBorder="1" applyAlignment="1" applyProtection="1">
      <alignment horizontal="left" vertical="center"/>
      <protection locked="0"/>
    </xf>
    <xf numFmtId="0" fontId="2" fillId="2" borderId="22" xfId="0" applyFont="1" applyFill="1" applyBorder="1" applyAlignment="1" applyProtection="1">
      <alignment horizontal="left" vertical="center"/>
    </xf>
    <xf numFmtId="0" fontId="2" fillId="2" borderId="34" xfId="0" applyFont="1" applyFill="1" applyBorder="1" applyAlignment="1" applyProtection="1">
      <alignment horizontal="left" vertical="center"/>
    </xf>
    <xf numFmtId="0" fontId="2" fillId="2" borderId="23" xfId="0" applyFont="1" applyFill="1" applyBorder="1" applyAlignment="1" applyProtection="1">
      <alignment horizontal="left" vertical="center"/>
    </xf>
    <xf numFmtId="0" fontId="2" fillId="2" borderId="61" xfId="0" applyFont="1" applyFill="1" applyBorder="1" applyAlignment="1" applyProtection="1">
      <alignment horizontal="center" vertical="center" wrapText="1"/>
    </xf>
    <xf numFmtId="0" fontId="2" fillId="2" borderId="62" xfId="0" applyFont="1" applyFill="1" applyBorder="1" applyAlignment="1" applyProtection="1">
      <alignment horizontal="center" vertical="center" wrapText="1"/>
    </xf>
    <xf numFmtId="0" fontId="38" fillId="2" borderId="48" xfId="0" applyFont="1" applyFill="1" applyBorder="1" applyAlignment="1" applyProtection="1">
      <alignment horizontal="center" vertical="center" wrapText="1"/>
    </xf>
    <xf numFmtId="0" fontId="38" fillId="2" borderId="55" xfId="0" applyFont="1" applyFill="1" applyBorder="1" applyAlignment="1" applyProtection="1">
      <alignment horizontal="center" vertical="center" wrapText="1"/>
    </xf>
    <xf numFmtId="0" fontId="2" fillId="6" borderId="22" xfId="0" applyFont="1" applyFill="1" applyBorder="1" applyAlignment="1" applyProtection="1">
      <alignment horizontal="center" vertical="center"/>
    </xf>
    <xf numFmtId="0" fontId="2" fillId="6" borderId="34" xfId="0" applyFont="1" applyFill="1" applyBorder="1" applyAlignment="1" applyProtection="1">
      <alignment horizontal="center" vertical="center"/>
    </xf>
    <xf numFmtId="0" fontId="2" fillId="6" borderId="23" xfId="0" applyFont="1" applyFill="1" applyBorder="1" applyAlignment="1" applyProtection="1">
      <alignment horizontal="center" vertical="center"/>
    </xf>
    <xf numFmtId="0" fontId="2" fillId="0" borderId="51" xfId="0" applyFont="1" applyBorder="1" applyAlignment="1" applyProtection="1">
      <alignment horizontal="left" vertical="center" wrapText="1"/>
      <protection locked="0"/>
    </xf>
    <xf numFmtId="0" fontId="2" fillId="0" borderId="60" xfId="0" applyFont="1" applyBorder="1" applyAlignment="1" applyProtection="1">
      <alignment horizontal="left" vertical="center" wrapText="1"/>
      <protection locked="0"/>
    </xf>
    <xf numFmtId="0" fontId="2" fillId="0" borderId="5" xfId="0" applyFont="1" applyBorder="1" applyAlignment="1" applyProtection="1">
      <alignment horizontal="center" vertical="center" wrapText="1"/>
      <protection locked="0"/>
    </xf>
    <xf numFmtId="0" fontId="2" fillId="0" borderId="11" xfId="0" applyFont="1" applyBorder="1" applyAlignment="1" applyProtection="1">
      <alignment horizontal="center" vertical="center" wrapText="1"/>
      <protection locked="0"/>
    </xf>
    <xf numFmtId="49" fontId="2" fillId="0" borderId="11" xfId="0" applyNumberFormat="1" applyFont="1" applyBorder="1" applyAlignment="1" applyProtection="1">
      <alignment horizontal="center" vertical="center"/>
      <protection locked="0"/>
    </xf>
    <xf numFmtId="49" fontId="2" fillId="0" borderId="5" xfId="0" applyNumberFormat="1" applyFont="1" applyBorder="1" applyAlignment="1" applyProtection="1">
      <alignment horizontal="center" vertical="center"/>
      <protection locked="0"/>
    </xf>
    <xf numFmtId="49" fontId="2" fillId="0" borderId="24" xfId="0" applyNumberFormat="1" applyFont="1" applyBorder="1" applyAlignment="1" applyProtection="1">
      <alignment horizontal="left" vertical="center" wrapText="1"/>
      <protection locked="0"/>
    </xf>
    <xf numFmtId="0" fontId="1" fillId="0" borderId="0" xfId="0" applyFont="1" applyBorder="1" applyAlignment="1" applyProtection="1">
      <alignment horizontal="left" vertical="center" wrapText="1"/>
      <protection locked="0"/>
    </xf>
    <xf numFmtId="0" fontId="1" fillId="0" borderId="27" xfId="0" applyFont="1" applyBorder="1" applyAlignment="1" applyProtection="1">
      <alignment horizontal="left" vertical="center" wrapText="1"/>
      <protection locked="0"/>
    </xf>
    <xf numFmtId="49" fontId="2" fillId="0" borderId="21" xfId="0" applyNumberFormat="1" applyFont="1" applyBorder="1" applyAlignment="1" applyProtection="1">
      <alignment horizontal="left" vertical="center" wrapText="1"/>
      <protection locked="0"/>
    </xf>
    <xf numFmtId="0" fontId="1" fillId="0" borderId="28" xfId="0" applyFont="1" applyBorder="1" applyAlignment="1" applyProtection="1">
      <alignment horizontal="left" vertical="center" wrapText="1"/>
      <protection locked="0"/>
    </xf>
    <xf numFmtId="0" fontId="1" fillId="0" borderId="29" xfId="0" applyFont="1" applyBorder="1" applyAlignment="1" applyProtection="1">
      <alignment horizontal="left" vertical="center" wrapText="1"/>
      <protection locked="0"/>
    </xf>
    <xf numFmtId="0" fontId="40" fillId="3" borderId="22" xfId="0" applyFont="1" applyFill="1" applyBorder="1" applyAlignment="1" applyProtection="1">
      <alignment horizontal="left" vertical="center"/>
    </xf>
    <xf numFmtId="0" fontId="1" fillId="0" borderId="34" xfId="0" applyFont="1" applyBorder="1" applyAlignment="1" applyProtection="1">
      <alignment horizontal="left" vertical="center"/>
    </xf>
    <xf numFmtId="0" fontId="1" fillId="0" borderId="23" xfId="0" applyFont="1" applyBorder="1" applyAlignment="1" applyProtection="1">
      <alignment horizontal="left" vertical="center"/>
    </xf>
    <xf numFmtId="0" fontId="40" fillId="3" borderId="30" xfId="0" applyFont="1" applyFill="1" applyBorder="1" applyAlignment="1" applyProtection="1">
      <alignment horizontal="left" vertical="center"/>
    </xf>
    <xf numFmtId="0" fontId="40" fillId="3" borderId="26" xfId="0" applyFont="1" applyFill="1" applyBorder="1" applyAlignment="1" applyProtection="1">
      <alignment horizontal="left" vertical="center"/>
    </xf>
    <xf numFmtId="2" fontId="2" fillId="0" borderId="30" xfId="0" applyNumberFormat="1" applyFont="1" applyBorder="1" applyAlignment="1" applyProtection="1">
      <alignment horizontal="left" vertical="center" wrapText="1"/>
      <protection locked="0"/>
    </xf>
    <xf numFmtId="2" fontId="1" fillId="0" borderId="25" xfId="0" applyNumberFormat="1" applyFont="1" applyBorder="1" applyAlignment="1" applyProtection="1">
      <alignment horizontal="left" vertical="center" wrapText="1"/>
      <protection locked="0"/>
    </xf>
    <xf numFmtId="2" fontId="1" fillId="0" borderId="26" xfId="0" applyNumberFormat="1" applyFont="1" applyBorder="1" applyAlignment="1" applyProtection="1">
      <alignment horizontal="left" vertical="center" wrapText="1"/>
      <protection locked="0"/>
    </xf>
    <xf numFmtId="0" fontId="40" fillId="3" borderId="1" xfId="0" applyFont="1" applyFill="1" applyBorder="1" applyAlignment="1" applyProtection="1">
      <alignment horizontal="center" vertical="center" wrapText="1"/>
    </xf>
    <xf numFmtId="0" fontId="1" fillId="0" borderId="2" xfId="0" applyFont="1" applyBorder="1" applyAlignment="1" applyProtection="1">
      <alignment horizontal="center" vertical="center" wrapText="1"/>
    </xf>
    <xf numFmtId="49" fontId="2" fillId="2" borderId="21" xfId="0" applyNumberFormat="1" applyFont="1" applyFill="1" applyBorder="1" applyAlignment="1" applyProtection="1">
      <alignment vertical="center"/>
    </xf>
    <xf numFmtId="0" fontId="1" fillId="0" borderId="28" xfId="0" applyFont="1" applyBorder="1" applyAlignment="1" applyProtection="1">
      <alignment vertical="center"/>
    </xf>
    <xf numFmtId="0" fontId="1" fillId="0" borderId="29" xfId="0" applyFont="1" applyBorder="1" applyAlignment="1" applyProtection="1">
      <alignment vertical="center"/>
    </xf>
    <xf numFmtId="49" fontId="2" fillId="2" borderId="30" xfId="0" applyNumberFormat="1" applyFont="1" applyFill="1" applyBorder="1" applyAlignment="1" applyProtection="1">
      <alignment vertical="center"/>
    </xf>
    <xf numFmtId="0" fontId="1" fillId="0" borderId="25" xfId="0" applyFont="1" applyBorder="1" applyAlignment="1" applyProtection="1">
      <alignment vertical="center"/>
    </xf>
    <xf numFmtId="0" fontId="1" fillId="0" borderId="26" xfId="0" applyFont="1" applyBorder="1" applyAlignment="1" applyProtection="1">
      <alignment vertical="center"/>
    </xf>
    <xf numFmtId="0" fontId="1" fillId="0" borderId="25" xfId="0" applyFont="1" applyBorder="1" applyAlignment="1" applyProtection="1">
      <alignment horizontal="left" vertical="center"/>
    </xf>
    <xf numFmtId="0" fontId="1" fillId="0" borderId="26" xfId="0" applyFont="1" applyBorder="1" applyAlignment="1" applyProtection="1">
      <alignment horizontal="left" vertical="center"/>
    </xf>
    <xf numFmtId="0" fontId="33" fillId="0" borderId="0" xfId="0" applyFont="1" applyFill="1" applyBorder="1" applyAlignment="1" applyProtection="1">
      <alignment horizontal="center" vertical="center" wrapText="1"/>
    </xf>
    <xf numFmtId="0" fontId="40" fillId="0" borderId="0" xfId="0" applyFont="1" applyFill="1" applyBorder="1" applyAlignment="1" applyProtection="1">
      <alignment horizontal="center" vertical="center" wrapText="1"/>
    </xf>
    <xf numFmtId="0" fontId="1" fillId="2" borderId="2" xfId="0" applyFont="1" applyFill="1" applyBorder="1" applyAlignment="1" applyProtection="1">
      <alignment horizontal="center" vertical="center" wrapText="1"/>
    </xf>
    <xf numFmtId="0" fontId="1" fillId="0" borderId="11" xfId="0" applyFont="1" applyBorder="1" applyAlignment="1" applyProtection="1">
      <alignment horizontal="center" vertical="center" wrapText="1"/>
    </xf>
    <xf numFmtId="0" fontId="48" fillId="0" borderId="0" xfId="0" applyFont="1" applyFill="1" applyBorder="1" applyAlignment="1" applyProtection="1">
      <alignment horizontal="center" vertical="center" wrapText="1"/>
    </xf>
    <xf numFmtId="49" fontId="40" fillId="0" borderId="0" xfId="0" applyNumberFormat="1" applyFont="1" applyFill="1" applyBorder="1" applyAlignment="1" applyProtection="1">
      <alignment horizontal="center" vertical="center" wrapText="1"/>
    </xf>
    <xf numFmtId="0" fontId="60" fillId="2" borderId="3" xfId="0" applyFont="1" applyFill="1" applyBorder="1" applyAlignment="1" applyProtection="1">
      <alignment horizontal="center" vertical="center" wrapText="1"/>
    </xf>
    <xf numFmtId="0" fontId="60" fillId="2" borderId="12" xfId="0" applyFont="1" applyFill="1" applyBorder="1" applyAlignment="1" applyProtection="1">
      <alignment horizontal="center" vertical="center" wrapText="1"/>
    </xf>
    <xf numFmtId="49" fontId="2" fillId="2" borderId="2" xfId="0" applyNumberFormat="1" applyFont="1" applyFill="1" applyBorder="1" applyAlignment="1" applyProtection="1">
      <alignment horizontal="center" vertical="center" wrapText="1"/>
    </xf>
    <xf numFmtId="0" fontId="8" fillId="2" borderId="21" xfId="0" applyFont="1" applyFill="1" applyBorder="1" applyAlignment="1" applyProtection="1">
      <alignment vertical="center"/>
    </xf>
    <xf numFmtId="0" fontId="2" fillId="0" borderId="62" xfId="0" applyFont="1" applyBorder="1" applyAlignment="1" applyProtection="1">
      <alignment horizontal="center" vertical="center"/>
    </xf>
    <xf numFmtId="0" fontId="2" fillId="0" borderId="55" xfId="0" applyFont="1" applyBorder="1" applyAlignment="1" applyProtection="1">
      <alignment horizontal="center" vertical="center"/>
    </xf>
    <xf numFmtId="0" fontId="1" fillId="0" borderId="55" xfId="0" applyFont="1" applyBorder="1" applyAlignment="1" applyProtection="1">
      <alignment horizontal="center" vertical="center"/>
    </xf>
    <xf numFmtId="0" fontId="1" fillId="0" borderId="58" xfId="0" applyFont="1" applyBorder="1" applyAlignment="1" applyProtection="1">
      <alignment horizontal="center" vertical="center"/>
    </xf>
    <xf numFmtId="0" fontId="2" fillId="0" borderId="11" xfId="2" applyFont="1" applyFill="1" applyBorder="1" applyAlignment="1" applyProtection="1">
      <alignment vertical="center"/>
      <protection locked="0"/>
    </xf>
    <xf numFmtId="0" fontId="27" fillId="0" borderId="11" xfId="0" applyFont="1" applyBorder="1" applyAlignment="1" applyProtection="1">
      <alignment vertical="center"/>
      <protection locked="0"/>
    </xf>
    <xf numFmtId="0" fontId="27" fillId="0" borderId="12" xfId="0" applyFont="1" applyBorder="1" applyAlignment="1" applyProtection="1">
      <alignment vertical="center"/>
      <protection locked="0"/>
    </xf>
    <xf numFmtId="49" fontId="5" fillId="0" borderId="5" xfId="0" applyNumberFormat="1" applyFont="1" applyFill="1" applyBorder="1" applyAlignment="1" applyProtection="1">
      <alignment horizontal="center" vertical="center"/>
      <protection locked="0"/>
    </xf>
    <xf numFmtId="49" fontId="27" fillId="0" borderId="6" xfId="0" applyNumberFormat="1" applyFont="1" applyBorder="1" applyAlignment="1" applyProtection="1">
      <alignment horizontal="center" vertical="center"/>
      <protection locked="0"/>
    </xf>
    <xf numFmtId="0" fontId="2" fillId="2" borderId="48" xfId="0" applyFont="1" applyFill="1" applyBorder="1" applyAlignment="1" applyProtection="1">
      <alignment vertical="center" wrapText="1"/>
    </xf>
    <xf numFmtId="0" fontId="1" fillId="2" borderId="48" xfId="0" applyFont="1" applyFill="1" applyBorder="1" applyAlignment="1" applyProtection="1">
      <alignment vertical="center" wrapText="1"/>
    </xf>
    <xf numFmtId="0" fontId="1" fillId="2" borderId="49" xfId="0" applyFont="1" applyFill="1" applyBorder="1" applyAlignment="1" applyProtection="1">
      <alignment vertical="center" wrapText="1"/>
    </xf>
    <xf numFmtId="0" fontId="2" fillId="0" borderId="11" xfId="0" applyFont="1" applyBorder="1" applyAlignment="1" applyProtection="1">
      <alignment vertical="center" wrapText="1"/>
      <protection locked="0"/>
    </xf>
    <xf numFmtId="0" fontId="2" fillId="0" borderId="12" xfId="0" applyFont="1" applyBorder="1" applyAlignment="1" applyProtection="1">
      <alignment vertical="center" wrapText="1"/>
      <protection locked="0"/>
    </xf>
    <xf numFmtId="0" fontId="2" fillId="0" borderId="5" xfId="0" applyFont="1" applyFill="1" applyBorder="1" applyAlignment="1" applyProtection="1">
      <alignment vertical="center" wrapText="1" shrinkToFit="1"/>
      <protection locked="0"/>
    </xf>
    <xf numFmtId="0" fontId="27" fillId="0" borderId="5" xfId="0" applyFont="1" applyBorder="1" applyAlignment="1" applyProtection="1">
      <alignment vertical="center" wrapText="1" shrinkToFit="1"/>
      <protection locked="0"/>
    </xf>
    <xf numFmtId="49" fontId="5" fillId="0" borderId="5" xfId="0" applyNumberFormat="1" applyFont="1" applyFill="1" applyBorder="1" applyAlignment="1" applyProtection="1">
      <alignment vertical="center"/>
      <protection locked="0"/>
    </xf>
    <xf numFmtId="0" fontId="27" fillId="0" borderId="5" xfId="0" applyFont="1" applyBorder="1" applyAlignment="1" applyProtection="1">
      <alignment vertical="center"/>
      <protection locked="0"/>
    </xf>
    <xf numFmtId="0" fontId="2" fillId="2" borderId="2" xfId="0" applyFont="1" applyFill="1" applyBorder="1" applyAlignment="1" applyProtection="1">
      <alignment horizontal="center" vertical="center" wrapText="1"/>
    </xf>
    <xf numFmtId="0" fontId="2" fillId="2" borderId="5" xfId="0" applyFont="1" applyFill="1" applyBorder="1" applyAlignment="1" applyProtection="1">
      <alignment horizontal="center" vertical="center" wrapText="1"/>
    </xf>
    <xf numFmtId="49" fontId="5" fillId="0" borderId="11" xfId="0" applyNumberFormat="1" applyFont="1" applyFill="1" applyBorder="1" applyAlignment="1" applyProtection="1">
      <alignment vertical="center"/>
      <protection locked="0"/>
    </xf>
    <xf numFmtId="49" fontId="27" fillId="0" borderId="12" xfId="0" applyNumberFormat="1" applyFont="1" applyBorder="1" applyAlignment="1" applyProtection="1">
      <alignment vertical="center"/>
      <protection locked="0"/>
    </xf>
    <xf numFmtId="0" fontId="1" fillId="0" borderId="5" xfId="0" applyFont="1" applyBorder="1" applyAlignment="1" applyProtection="1">
      <alignment horizontal="center" vertical="center" wrapText="1"/>
    </xf>
    <xf numFmtId="0" fontId="40" fillId="3" borderId="34" xfId="0" applyFont="1" applyFill="1" applyBorder="1" applyAlignment="1" applyProtection="1">
      <alignment horizontal="left" vertical="center"/>
    </xf>
    <xf numFmtId="0" fontId="40" fillId="3" borderId="23" xfId="0" applyFont="1" applyFill="1" applyBorder="1" applyAlignment="1" applyProtection="1">
      <alignment horizontal="left" vertical="center"/>
    </xf>
    <xf numFmtId="0" fontId="2" fillId="2" borderId="1" xfId="0" applyFont="1" applyFill="1" applyBorder="1" applyAlignment="1" applyProtection="1">
      <alignment horizontal="center" vertical="center" wrapText="1"/>
    </xf>
    <xf numFmtId="0" fontId="2" fillId="2" borderId="4" xfId="0" applyFont="1" applyFill="1" applyBorder="1" applyAlignment="1" applyProtection="1">
      <alignment horizontal="center" vertical="center" wrapText="1"/>
    </xf>
    <xf numFmtId="0" fontId="2" fillId="0" borderId="5" xfId="2" applyFont="1" applyFill="1" applyBorder="1" applyAlignment="1" applyProtection="1">
      <alignment vertical="center"/>
      <protection locked="0"/>
    </xf>
    <xf numFmtId="0" fontId="27" fillId="0" borderId="6" xfId="0" applyFont="1" applyBorder="1" applyAlignment="1" applyProtection="1">
      <alignment vertical="center"/>
      <protection locked="0"/>
    </xf>
    <xf numFmtId="0" fontId="2" fillId="0" borderId="11" xfId="0" applyFont="1" applyFill="1" applyBorder="1" applyAlignment="1" applyProtection="1">
      <alignment vertical="center" wrapText="1" shrinkToFit="1"/>
      <protection locked="0"/>
    </xf>
    <xf numFmtId="0" fontId="27" fillId="0" borderId="11" xfId="0" applyFont="1" applyBorder="1" applyAlignment="1" applyProtection="1">
      <alignment vertical="center" wrapText="1" shrinkToFit="1"/>
      <protection locked="0"/>
    </xf>
    <xf numFmtId="0" fontId="2" fillId="2" borderId="2" xfId="0" applyFont="1" applyFill="1" applyBorder="1" applyAlignment="1" applyProtection="1">
      <alignment vertical="center" wrapText="1"/>
    </xf>
    <xf numFmtId="49" fontId="2" fillId="2" borderId="2" xfId="0" applyNumberFormat="1" applyFont="1" applyFill="1" applyBorder="1" applyAlignment="1" applyProtection="1">
      <alignment vertical="center"/>
    </xf>
    <xf numFmtId="0" fontId="1" fillId="0" borderId="2" xfId="0" applyFont="1" applyBorder="1" applyAlignment="1" applyProtection="1">
      <alignment vertical="center"/>
    </xf>
    <xf numFmtId="0" fontId="2" fillId="2" borderId="24" xfId="0" applyNumberFormat="1" applyFont="1" applyFill="1" applyBorder="1" applyAlignment="1" applyProtection="1">
      <alignment horizontal="left" vertical="center" wrapText="1"/>
      <protection locked="0"/>
    </xf>
    <xf numFmtId="49" fontId="2" fillId="2" borderId="24" xfId="0" applyNumberFormat="1" applyFont="1" applyFill="1" applyBorder="1" applyAlignment="1" applyProtection="1">
      <alignment vertical="center"/>
    </xf>
    <xf numFmtId="0" fontId="1" fillId="0" borderId="27" xfId="0" applyFont="1" applyBorder="1" applyAlignment="1" applyProtection="1">
      <alignment vertical="center"/>
    </xf>
    <xf numFmtId="0" fontId="2" fillId="2" borderId="24" xfId="0" applyNumberFormat="1" applyFont="1" applyFill="1" applyBorder="1" applyAlignment="1" applyProtection="1">
      <alignment vertical="center" wrapText="1"/>
      <protection locked="0"/>
    </xf>
    <xf numFmtId="0" fontId="1" fillId="0" borderId="0" xfId="0" applyFont="1" applyBorder="1" applyAlignment="1" applyProtection="1">
      <alignment vertical="center" wrapText="1"/>
      <protection locked="0"/>
    </xf>
    <xf numFmtId="0" fontId="1" fillId="0" borderId="27" xfId="0" applyFont="1" applyBorder="1" applyAlignment="1" applyProtection="1">
      <alignment vertical="center" wrapText="1"/>
      <protection locked="0"/>
    </xf>
    <xf numFmtId="0" fontId="2" fillId="2" borderId="2" xfId="0" applyFont="1" applyFill="1" applyBorder="1" applyAlignment="1" applyProtection="1">
      <alignment vertical="center"/>
    </xf>
    <xf numFmtId="0" fontId="1" fillId="0" borderId="3" xfId="0" applyFont="1" applyBorder="1" applyAlignment="1" applyProtection="1">
      <alignment vertical="center"/>
    </xf>
    <xf numFmtId="0" fontId="27" fillId="0" borderId="11" xfId="0" applyFont="1" applyBorder="1" applyAlignment="1" applyProtection="1">
      <alignment vertical="center" wrapText="1"/>
      <protection locked="0"/>
    </xf>
    <xf numFmtId="49" fontId="2" fillId="0" borderId="11" xfId="0" applyNumberFormat="1" applyFont="1" applyBorder="1" applyAlignment="1" applyProtection="1">
      <alignment vertical="center"/>
      <protection locked="0"/>
    </xf>
    <xf numFmtId="164" fontId="2" fillId="2" borderId="21" xfId="0" applyNumberFormat="1" applyFont="1" applyFill="1" applyBorder="1" applyAlignment="1" applyProtection="1">
      <alignment horizontal="left" vertical="center" wrapText="1"/>
    </xf>
    <xf numFmtId="164" fontId="1" fillId="2" borderId="28" xfId="0" applyNumberFormat="1" applyFont="1" applyFill="1" applyBorder="1" applyAlignment="1" applyProtection="1">
      <alignment horizontal="left" vertical="center" wrapText="1"/>
    </xf>
    <xf numFmtId="164" fontId="1" fillId="2" borderId="29" xfId="0" applyNumberFormat="1" applyFont="1" applyFill="1" applyBorder="1" applyAlignment="1" applyProtection="1">
      <alignment horizontal="left" vertical="center" wrapText="1"/>
    </xf>
    <xf numFmtId="0" fontId="2" fillId="2" borderId="7" xfId="0" applyFont="1" applyFill="1" applyBorder="1" applyAlignment="1" applyProtection="1">
      <alignment vertical="center" wrapText="1" shrinkToFit="1"/>
    </xf>
    <xf numFmtId="0" fontId="1" fillId="0" borderId="8" xfId="0" applyFont="1" applyBorder="1" applyAlignment="1" applyProtection="1">
      <alignment vertical="center" wrapText="1"/>
    </xf>
    <xf numFmtId="0" fontId="1" fillId="0" borderId="9" xfId="0" applyFont="1" applyBorder="1" applyAlignment="1" applyProtection="1">
      <alignment vertical="center" wrapText="1"/>
    </xf>
    <xf numFmtId="0" fontId="2" fillId="2" borderId="21" xfId="0" applyFont="1" applyFill="1" applyBorder="1" applyAlignment="1" applyProtection="1">
      <alignment vertical="center"/>
    </xf>
    <xf numFmtId="0" fontId="1" fillId="2" borderId="29" xfId="0" applyFont="1" applyFill="1" applyBorder="1" applyAlignment="1" applyProtection="1">
      <alignment vertical="center"/>
    </xf>
    <xf numFmtId="0" fontId="2" fillId="2" borderId="30" xfId="0" applyNumberFormat="1" applyFont="1" applyFill="1" applyBorder="1" applyAlignment="1" applyProtection="1">
      <alignment vertical="center" wrapText="1"/>
      <protection locked="0"/>
    </xf>
    <xf numFmtId="0" fontId="1" fillId="0" borderId="25" xfId="0" applyNumberFormat="1" applyFont="1" applyBorder="1" applyAlignment="1" applyProtection="1">
      <alignment vertical="center" wrapText="1"/>
      <protection locked="0"/>
    </xf>
    <xf numFmtId="0" fontId="1" fillId="0" borderId="26" xfId="0" applyNumberFormat="1" applyFont="1" applyBorder="1" applyAlignment="1" applyProtection="1">
      <alignment vertical="center" wrapText="1"/>
      <protection locked="0"/>
    </xf>
    <xf numFmtId="1" fontId="2" fillId="2" borderId="24" xfId="0" applyNumberFormat="1" applyFont="1" applyFill="1" applyBorder="1" applyAlignment="1" applyProtection="1">
      <alignment horizontal="left" vertical="center" wrapText="1"/>
      <protection locked="0"/>
    </xf>
    <xf numFmtId="1" fontId="1" fillId="0" borderId="0" xfId="0" applyNumberFormat="1" applyFont="1" applyBorder="1" applyAlignment="1" applyProtection="1">
      <alignment horizontal="left" vertical="center" wrapText="1"/>
      <protection locked="0"/>
    </xf>
    <xf numFmtId="1" fontId="1" fillId="0" borderId="27" xfId="0" applyNumberFormat="1" applyFont="1" applyBorder="1" applyAlignment="1" applyProtection="1">
      <alignment horizontal="left" vertical="center" wrapText="1"/>
      <protection locked="0"/>
    </xf>
    <xf numFmtId="0" fontId="2" fillId="2" borderId="64" xfId="0" applyFont="1" applyFill="1" applyBorder="1" applyAlignment="1" applyProtection="1">
      <alignment horizontal="center" vertical="center" wrapText="1"/>
    </xf>
    <xf numFmtId="49" fontId="2" fillId="0" borderId="34" xfId="0" applyNumberFormat="1" applyFont="1" applyBorder="1" applyAlignment="1" applyProtection="1">
      <alignment vertical="center" wrapText="1"/>
      <protection locked="0"/>
    </xf>
    <xf numFmtId="0" fontId="1" fillId="0" borderId="34" xfId="0" applyFont="1" applyBorder="1" applyAlignment="1" applyProtection="1">
      <alignment vertical="center" wrapText="1"/>
      <protection locked="0"/>
    </xf>
    <xf numFmtId="0" fontId="1" fillId="0" borderId="23" xfId="0" applyFont="1" applyBorder="1" applyAlignment="1" applyProtection="1">
      <alignment vertical="center" wrapText="1"/>
      <protection locked="0"/>
    </xf>
    <xf numFmtId="0" fontId="2" fillId="0" borderId="5" xfId="0" applyFont="1" applyFill="1" applyBorder="1" applyAlignment="1" applyProtection="1">
      <alignment horizontal="center" vertical="center" wrapText="1"/>
      <protection locked="0"/>
    </xf>
    <xf numFmtId="0" fontId="1" fillId="0" borderId="5" xfId="0" applyFont="1" applyBorder="1" applyAlignment="1" applyProtection="1">
      <alignment horizontal="center" vertical="center" wrapText="1"/>
      <protection locked="0"/>
    </xf>
    <xf numFmtId="0" fontId="8" fillId="2" borderId="30" xfId="0" applyFont="1" applyFill="1" applyBorder="1" applyAlignment="1">
      <alignment horizontal="left" vertical="center" wrapText="1"/>
    </xf>
    <xf numFmtId="0" fontId="8" fillId="2" borderId="25" xfId="0" applyFont="1" applyFill="1" applyBorder="1" applyAlignment="1">
      <alignment horizontal="left" vertical="center" wrapText="1"/>
    </xf>
    <xf numFmtId="0" fontId="8" fillId="2" borderId="66" xfId="0" applyFont="1" applyFill="1" applyBorder="1" applyAlignment="1">
      <alignment horizontal="left" vertical="center" wrapText="1"/>
    </xf>
    <xf numFmtId="0" fontId="40" fillId="3" borderId="7" xfId="0" applyFont="1" applyFill="1" applyBorder="1" applyAlignment="1" applyProtection="1">
      <alignment horizontal="left" vertical="center"/>
    </xf>
    <xf numFmtId="0" fontId="1" fillId="0" borderId="8" xfId="0" applyFont="1" applyBorder="1" applyAlignment="1" applyProtection="1">
      <alignment horizontal="left" vertical="center"/>
    </xf>
    <xf numFmtId="0" fontId="8" fillId="2" borderId="22" xfId="0" applyFont="1" applyFill="1" applyBorder="1" applyAlignment="1">
      <alignment horizontal="left" vertical="center" wrapText="1"/>
    </xf>
    <xf numFmtId="0" fontId="8" fillId="2" borderId="34" xfId="0" applyFont="1" applyFill="1" applyBorder="1" applyAlignment="1">
      <alignment horizontal="left" vertical="center" wrapText="1"/>
    </xf>
    <xf numFmtId="0" fontId="8" fillId="2" borderId="63" xfId="0" applyFont="1" applyFill="1" applyBorder="1" applyAlignment="1">
      <alignment horizontal="left" vertical="center" wrapText="1"/>
    </xf>
    <xf numFmtId="0" fontId="2" fillId="2" borderId="3" xfId="0" applyFont="1" applyFill="1" applyBorder="1" applyAlignment="1" applyProtection="1">
      <alignment horizontal="center" vertical="center" wrapText="1"/>
    </xf>
    <xf numFmtId="0" fontId="2" fillId="2" borderId="6" xfId="0" applyFont="1" applyFill="1" applyBorder="1" applyAlignment="1" applyProtection="1">
      <alignment horizontal="center" vertical="center" wrapText="1"/>
    </xf>
    <xf numFmtId="0" fontId="1" fillId="0" borderId="5" xfId="0" applyFont="1" applyBorder="1" applyAlignment="1">
      <alignment horizontal="center" vertical="center" wrapText="1"/>
    </xf>
    <xf numFmtId="0" fontId="2" fillId="0" borderId="2" xfId="0" applyFont="1" applyFill="1" applyBorder="1" applyAlignment="1" applyProtection="1">
      <alignment horizontal="center" vertical="center" wrapText="1"/>
      <protection locked="0"/>
    </xf>
    <xf numFmtId="0" fontId="1" fillId="0" borderId="2" xfId="0" applyFont="1" applyBorder="1" applyAlignment="1" applyProtection="1">
      <alignment horizontal="center" vertical="center" wrapText="1"/>
      <protection locked="0"/>
    </xf>
    <xf numFmtId="0" fontId="2" fillId="0" borderId="11" xfId="0" applyFont="1" applyFill="1" applyBorder="1" applyAlignment="1" applyProtection="1">
      <alignment horizontal="center" vertical="center" wrapText="1"/>
      <protection locked="0"/>
    </xf>
    <xf numFmtId="0" fontId="1" fillId="0" borderId="11" xfId="0" applyFont="1" applyBorder="1" applyAlignment="1" applyProtection="1">
      <alignment horizontal="center" vertical="center" wrapText="1"/>
      <protection locked="0"/>
    </xf>
    <xf numFmtId="0" fontId="2" fillId="2" borderId="65" xfId="0" applyFont="1" applyFill="1" applyBorder="1" applyAlignment="1" applyProtection="1">
      <alignment horizontal="center" vertical="center" wrapText="1"/>
    </xf>
    <xf numFmtId="0" fontId="2" fillId="2" borderId="66" xfId="0" applyFont="1" applyFill="1" applyBorder="1" applyAlignment="1" applyProtection="1">
      <alignment horizontal="center" vertical="center" wrapText="1"/>
    </xf>
    <xf numFmtId="0" fontId="2" fillId="2" borderId="67" xfId="0" applyFont="1" applyFill="1" applyBorder="1" applyAlignment="1" applyProtection="1">
      <alignment horizontal="center" vertical="center" wrapText="1"/>
    </xf>
    <xf numFmtId="0" fontId="2" fillId="2" borderId="8" xfId="0" applyFont="1" applyFill="1" applyBorder="1" applyAlignment="1" applyProtection="1">
      <alignment horizontal="center" vertical="center" wrapText="1"/>
    </xf>
    <xf numFmtId="0" fontId="1" fillId="2" borderId="8" xfId="0" applyFont="1" applyFill="1" applyBorder="1" applyAlignment="1" applyProtection="1">
      <alignment horizontal="center" vertical="center" wrapText="1"/>
    </xf>
    <xf numFmtId="0" fontId="1" fillId="0" borderId="8" xfId="0" applyFont="1" applyBorder="1" applyAlignment="1" applyProtection="1">
      <alignment horizontal="center" vertical="center" wrapText="1"/>
    </xf>
    <xf numFmtId="49" fontId="2" fillId="2" borderId="22" xfId="0" applyNumberFormat="1" applyFont="1" applyFill="1" applyBorder="1" applyAlignment="1" applyProtection="1">
      <alignment horizontal="left" vertical="center"/>
    </xf>
    <xf numFmtId="49" fontId="2" fillId="2" borderId="34" xfId="0" applyNumberFormat="1" applyFont="1" applyFill="1" applyBorder="1" applyAlignment="1" applyProtection="1">
      <alignment horizontal="left" vertical="center"/>
    </xf>
    <xf numFmtId="49" fontId="2" fillId="2" borderId="23" xfId="0" applyNumberFormat="1" applyFont="1" applyFill="1" applyBorder="1" applyAlignment="1" applyProtection="1">
      <alignment horizontal="left" vertical="center"/>
    </xf>
    <xf numFmtId="0" fontId="55" fillId="3" borderId="22" xfId="0" applyFont="1" applyFill="1" applyBorder="1" applyAlignment="1" applyProtection="1">
      <alignment horizontal="left" vertical="center"/>
    </xf>
    <xf numFmtId="0" fontId="55" fillId="3" borderId="34" xfId="0" applyFont="1" applyFill="1" applyBorder="1" applyAlignment="1" applyProtection="1">
      <alignment horizontal="left" vertical="center"/>
    </xf>
    <xf numFmtId="0" fontId="55" fillId="3" borderId="23" xfId="0" applyFont="1" applyFill="1" applyBorder="1" applyAlignment="1" applyProtection="1">
      <alignment horizontal="left" vertical="center"/>
    </xf>
    <xf numFmtId="49" fontId="2" fillId="0" borderId="2" xfId="0" applyNumberFormat="1" applyFont="1" applyBorder="1" applyAlignment="1" applyProtection="1">
      <alignment horizontal="center" vertical="center"/>
      <protection locked="0"/>
    </xf>
    <xf numFmtId="0" fontId="2" fillId="0" borderId="2" xfId="0" applyFont="1" applyBorder="1" applyAlignment="1" applyProtection="1">
      <alignment horizontal="center" vertical="center" wrapText="1"/>
      <protection locked="0"/>
    </xf>
    <xf numFmtId="0" fontId="2" fillId="2" borderId="18" xfId="0" applyFont="1" applyFill="1" applyBorder="1" applyAlignment="1" applyProtection="1">
      <alignment horizontal="center" vertical="center" wrapText="1"/>
    </xf>
    <xf numFmtId="0" fontId="2" fillId="2" borderId="17" xfId="0" applyFont="1" applyFill="1" applyBorder="1" applyAlignment="1" applyProtection="1">
      <alignment horizontal="center" vertical="center" wrapText="1"/>
    </xf>
    <xf numFmtId="0" fontId="2" fillId="2" borderId="51" xfId="0" applyFont="1" applyFill="1" applyBorder="1" applyAlignment="1" applyProtection="1">
      <alignment horizontal="center" vertical="center" wrapText="1"/>
    </xf>
    <xf numFmtId="0" fontId="2" fillId="2" borderId="50" xfId="0" applyFont="1" applyFill="1" applyBorder="1" applyAlignment="1" applyProtection="1">
      <alignment horizontal="center" vertical="center" wrapText="1"/>
    </xf>
    <xf numFmtId="0" fontId="2" fillId="0" borderId="11" xfId="4" applyFont="1" applyBorder="1" applyAlignment="1" applyProtection="1">
      <alignment vertical="center" wrapText="1"/>
      <protection locked="0"/>
    </xf>
    <xf numFmtId="0" fontId="2" fillId="0" borderId="11" xfId="4" applyFont="1" applyBorder="1" applyAlignment="1" applyProtection="1">
      <alignment vertical="center"/>
      <protection locked="0"/>
    </xf>
    <xf numFmtId="49" fontId="2" fillId="0" borderId="30" xfId="0" applyNumberFormat="1" applyFont="1" applyBorder="1" applyAlignment="1" applyProtection="1">
      <alignment horizontal="left" vertical="center" wrapText="1"/>
      <protection locked="0"/>
    </xf>
    <xf numFmtId="0" fontId="1" fillId="0" borderId="25" xfId="0" applyFont="1" applyBorder="1" applyAlignment="1" applyProtection="1">
      <alignment horizontal="left" vertical="center" wrapText="1"/>
      <protection locked="0"/>
    </xf>
    <xf numFmtId="0" fontId="1" fillId="0" borderId="26" xfId="0" applyFont="1" applyBorder="1" applyAlignment="1" applyProtection="1">
      <alignment horizontal="left" vertical="center" wrapText="1"/>
      <protection locked="0"/>
    </xf>
    <xf numFmtId="49" fontId="2" fillId="0" borderId="55" xfId="0" applyNumberFormat="1" applyFont="1" applyBorder="1" applyAlignment="1" applyProtection="1">
      <alignment horizontal="center" vertical="center"/>
      <protection locked="0"/>
    </xf>
    <xf numFmtId="0" fontId="2" fillId="0" borderId="55" xfId="0" applyFont="1" applyBorder="1" applyAlignment="1" applyProtection="1">
      <alignment horizontal="center" vertical="center" wrapText="1"/>
      <protection locked="0"/>
    </xf>
    <xf numFmtId="0" fontId="2" fillId="0" borderId="11" xfId="4" applyFont="1" applyFill="1" applyBorder="1" applyAlignment="1" applyProtection="1">
      <alignment vertical="center"/>
      <protection locked="0"/>
    </xf>
    <xf numFmtId="0" fontId="2" fillId="0" borderId="11" xfId="0" applyFont="1" applyFill="1" applyBorder="1" applyAlignment="1" applyProtection="1">
      <alignment vertical="center" wrapText="1"/>
      <protection locked="0"/>
    </xf>
    <xf numFmtId="0" fontId="2" fillId="0" borderId="12" xfId="0" applyFont="1" applyFill="1" applyBorder="1" applyAlignment="1" applyProtection="1">
      <alignment vertical="center" wrapText="1"/>
      <protection locked="0"/>
    </xf>
    <xf numFmtId="0" fontId="2" fillId="0" borderId="2" xfId="0" applyFont="1" applyBorder="1" applyAlignment="1" applyProtection="1">
      <alignment vertical="center" wrapText="1"/>
      <protection locked="0"/>
    </xf>
    <xf numFmtId="0" fontId="2" fillId="0" borderId="3" xfId="0" applyFont="1" applyBorder="1" applyAlignment="1" applyProtection="1">
      <alignment vertical="center" wrapText="1"/>
      <protection locked="0"/>
    </xf>
    <xf numFmtId="0" fontId="2" fillId="2" borderId="68" xfId="0" applyFont="1" applyFill="1" applyBorder="1" applyAlignment="1" applyProtection="1">
      <alignment horizontal="center" vertical="center" wrapText="1"/>
    </xf>
    <xf numFmtId="0" fontId="2" fillId="0" borderId="19" xfId="0" applyFont="1" applyBorder="1" applyAlignment="1" applyProtection="1">
      <alignment horizontal="center" vertical="center" wrapText="1"/>
      <protection locked="0"/>
    </xf>
    <xf numFmtId="0" fontId="2" fillId="0" borderId="38" xfId="0" applyFont="1" applyBorder="1" applyAlignment="1" applyProtection="1">
      <alignment horizontal="center" vertical="center" wrapText="1"/>
      <protection locked="0"/>
    </xf>
    <xf numFmtId="0" fontId="2" fillId="0" borderId="54" xfId="0" applyFont="1" applyBorder="1" applyAlignment="1" applyProtection="1">
      <alignment horizontal="center" vertical="center" wrapText="1"/>
      <protection locked="0"/>
    </xf>
    <xf numFmtId="49" fontId="2" fillId="0" borderId="19" xfId="0" applyNumberFormat="1" applyFont="1" applyBorder="1" applyAlignment="1" applyProtection="1">
      <alignment horizontal="center" vertical="center"/>
      <protection locked="0"/>
    </xf>
    <xf numFmtId="49" fontId="2" fillId="0" borderId="38" xfId="0" applyNumberFormat="1" applyFont="1" applyBorder="1" applyAlignment="1" applyProtection="1">
      <alignment horizontal="center" vertical="center"/>
      <protection locked="0"/>
    </xf>
    <xf numFmtId="49" fontId="2" fillId="0" borderId="54" xfId="0" applyNumberFormat="1" applyFont="1" applyBorder="1" applyAlignment="1" applyProtection="1">
      <alignment horizontal="center" vertical="center"/>
      <protection locked="0"/>
    </xf>
    <xf numFmtId="0" fontId="2" fillId="0" borderId="73" xfId="0" applyFont="1" applyBorder="1" applyAlignment="1" applyProtection="1">
      <alignment horizontal="center" vertical="center" wrapText="1"/>
      <protection locked="0"/>
    </xf>
    <xf numFmtId="49" fontId="2" fillId="0" borderId="73" xfId="0" applyNumberFormat="1" applyFont="1" applyBorder="1" applyAlignment="1" applyProtection="1">
      <alignment horizontal="center" vertical="center"/>
      <protection locked="0"/>
    </xf>
    <xf numFmtId="0" fontId="2" fillId="0" borderId="50" xfId="0" applyFont="1" applyFill="1" applyBorder="1" applyAlignment="1" applyProtection="1">
      <alignment horizontal="center" vertical="center" wrapText="1"/>
      <protection locked="0"/>
    </xf>
    <xf numFmtId="0" fontId="2" fillId="0" borderId="39" xfId="0" applyFont="1" applyFill="1" applyBorder="1" applyAlignment="1" applyProtection="1">
      <alignment horizontal="center" vertical="center" wrapText="1"/>
      <protection locked="0"/>
    </xf>
    <xf numFmtId="0" fontId="2" fillId="0" borderId="15" xfId="0" applyFont="1" applyFill="1" applyBorder="1" applyAlignment="1" applyProtection="1">
      <alignment horizontal="center" vertical="center" wrapText="1"/>
      <protection locked="0"/>
    </xf>
    <xf numFmtId="0" fontId="2" fillId="2" borderId="74" xfId="0" applyFont="1" applyFill="1" applyBorder="1" applyAlignment="1" applyProtection="1">
      <alignment horizontal="center" vertical="center" wrapText="1"/>
    </xf>
    <xf numFmtId="0" fontId="2" fillId="2" borderId="72" xfId="0" applyFont="1" applyFill="1" applyBorder="1" applyAlignment="1" applyProtection="1">
      <alignment horizontal="center" vertical="center" wrapText="1"/>
    </xf>
    <xf numFmtId="49" fontId="2" fillId="0" borderId="50" xfId="0" applyNumberFormat="1" applyFont="1" applyBorder="1" applyAlignment="1" applyProtection="1">
      <alignment horizontal="center" vertical="center"/>
      <protection locked="0"/>
    </xf>
    <xf numFmtId="49" fontId="2" fillId="0" borderId="39" xfId="0" applyNumberFormat="1" applyFont="1" applyBorder="1" applyAlignment="1" applyProtection="1">
      <alignment horizontal="center" vertical="center"/>
      <protection locked="0"/>
    </xf>
    <xf numFmtId="49" fontId="2" fillId="0" borderId="15" xfId="0" applyNumberFormat="1" applyFont="1" applyBorder="1" applyAlignment="1" applyProtection="1">
      <alignment horizontal="center" vertical="center"/>
      <protection locked="0"/>
    </xf>
    <xf numFmtId="49" fontId="2" fillId="0" borderId="11" xfId="0" applyNumberFormat="1" applyFont="1" applyFill="1" applyBorder="1" applyAlignment="1" applyProtection="1">
      <alignment horizontal="center" vertical="center"/>
      <protection locked="0"/>
    </xf>
    <xf numFmtId="0" fontId="2" fillId="0" borderId="19" xfId="2" applyFont="1" applyFill="1" applyBorder="1" applyAlignment="1" applyProtection="1">
      <alignment vertical="center"/>
      <protection locked="0"/>
    </xf>
    <xf numFmtId="0" fontId="2" fillId="0" borderId="38" xfId="2" applyFont="1" applyFill="1" applyBorder="1" applyAlignment="1" applyProtection="1">
      <alignment vertical="center"/>
      <protection locked="0"/>
    </xf>
    <xf numFmtId="0" fontId="2" fillId="0" borderId="32" xfId="2" applyFont="1" applyFill="1" applyBorder="1" applyAlignment="1" applyProtection="1">
      <alignment vertical="center"/>
      <protection locked="0"/>
    </xf>
    <xf numFmtId="0" fontId="2" fillId="0" borderId="19" xfId="0" applyFont="1" applyBorder="1" applyAlignment="1" applyProtection="1">
      <alignment vertical="center" wrapText="1"/>
      <protection locked="0"/>
    </xf>
    <xf numFmtId="0" fontId="2" fillId="0" borderId="38" xfId="0" applyFont="1" applyBorder="1" applyAlignment="1" applyProtection="1">
      <alignment vertical="center" wrapText="1"/>
      <protection locked="0"/>
    </xf>
    <xf numFmtId="0" fontId="2" fillId="0" borderId="32" xfId="0" applyFont="1" applyBorder="1" applyAlignment="1" applyProtection="1">
      <alignment vertical="center" wrapText="1"/>
      <protection locked="0"/>
    </xf>
    <xf numFmtId="0" fontId="2" fillId="0" borderId="5" xfId="4" applyFont="1" applyFill="1" applyBorder="1" applyAlignment="1" applyProtection="1">
      <alignment vertical="center"/>
      <protection locked="0"/>
    </xf>
    <xf numFmtId="0" fontId="2" fillId="0" borderId="54" xfId="0" applyFont="1" applyBorder="1" applyAlignment="1" applyProtection="1">
      <alignment vertical="center" wrapText="1"/>
      <protection locked="0"/>
    </xf>
    <xf numFmtId="49" fontId="5" fillId="0" borderId="19" xfId="0" applyNumberFormat="1" applyFont="1" applyFill="1" applyBorder="1" applyAlignment="1" applyProtection="1">
      <alignment vertical="center"/>
      <protection locked="0"/>
    </xf>
    <xf numFmtId="49" fontId="5" fillId="0" borderId="54" xfId="0" applyNumberFormat="1" applyFont="1" applyFill="1" applyBorder="1" applyAlignment="1" applyProtection="1">
      <alignment vertical="center"/>
      <protection locked="0"/>
    </xf>
    <xf numFmtId="49" fontId="2" fillId="0" borderId="19" xfId="0" applyNumberFormat="1" applyFont="1" applyBorder="1" applyAlignment="1" applyProtection="1">
      <alignment vertical="center"/>
      <protection locked="0"/>
    </xf>
    <xf numFmtId="49" fontId="2" fillId="0" borderId="32" xfId="0" applyNumberFormat="1" applyFont="1" applyBorder="1" applyAlignment="1" applyProtection="1">
      <alignment vertical="center"/>
      <protection locked="0"/>
    </xf>
    <xf numFmtId="49" fontId="2" fillId="0" borderId="30" xfId="0" applyNumberFormat="1" applyFont="1" applyBorder="1" applyAlignment="1" applyProtection="1">
      <alignment vertical="center" wrapText="1"/>
      <protection locked="0"/>
    </xf>
    <xf numFmtId="0" fontId="1" fillId="0" borderId="25" xfId="0" applyFont="1" applyBorder="1" applyAlignment="1" applyProtection="1">
      <alignment vertical="center" wrapText="1"/>
      <protection locked="0"/>
    </xf>
    <xf numFmtId="0" fontId="1" fillId="0" borderId="26" xfId="0" applyFont="1" applyBorder="1" applyAlignment="1" applyProtection="1">
      <alignment vertical="center" wrapText="1"/>
      <protection locked="0"/>
    </xf>
    <xf numFmtId="49" fontId="2" fillId="0" borderId="25" xfId="0" applyNumberFormat="1" applyFont="1" applyBorder="1" applyAlignment="1" applyProtection="1">
      <alignment horizontal="left" vertical="center" wrapText="1"/>
      <protection locked="0"/>
    </xf>
    <xf numFmtId="49" fontId="2" fillId="0" borderId="26" xfId="0" applyNumberFormat="1" applyFont="1" applyBorder="1" applyAlignment="1" applyProtection="1">
      <alignment horizontal="left" vertical="center" wrapText="1"/>
      <protection locked="0"/>
    </xf>
    <xf numFmtId="49" fontId="2" fillId="0" borderId="2" xfId="0" applyNumberFormat="1" applyFont="1" applyFill="1" applyBorder="1" applyAlignment="1" applyProtection="1">
      <alignment horizontal="center" vertical="center"/>
      <protection locked="0"/>
    </xf>
    <xf numFmtId="0" fontId="2" fillId="0" borderId="7" xfId="0" applyFont="1" applyBorder="1" applyAlignment="1" applyProtection="1">
      <alignment horizontal="center" vertical="center"/>
    </xf>
    <xf numFmtId="0" fontId="2" fillId="0" borderId="8" xfId="0" applyFont="1" applyBorder="1" applyAlignment="1" applyProtection="1">
      <alignment horizontal="center" vertical="center"/>
    </xf>
    <xf numFmtId="0" fontId="1" fillId="0" borderId="8" xfId="0" applyFont="1" applyBorder="1" applyAlignment="1" applyProtection="1">
      <alignment horizontal="center" vertical="center"/>
    </xf>
    <xf numFmtId="0" fontId="2" fillId="0" borderId="50" xfId="0" applyFont="1" applyBorder="1" applyAlignment="1" applyProtection="1">
      <alignment horizontal="center" vertical="center" wrapText="1"/>
      <protection locked="0"/>
    </xf>
    <xf numFmtId="0" fontId="2" fillId="0" borderId="39" xfId="0" applyFont="1" applyBorder="1" applyAlignment="1" applyProtection="1">
      <alignment horizontal="center" vertical="center" wrapText="1"/>
      <protection locked="0"/>
    </xf>
    <xf numFmtId="0" fontId="2" fillId="0" borderId="15" xfId="0" applyFont="1" applyBorder="1" applyAlignment="1" applyProtection="1">
      <alignment horizontal="center" vertical="center" wrapText="1"/>
      <protection locked="0"/>
    </xf>
    <xf numFmtId="0" fontId="2" fillId="5" borderId="19" xfId="4" applyFont="1" applyFill="1" applyBorder="1" applyAlignment="1" applyProtection="1">
      <alignment vertical="center"/>
      <protection locked="0"/>
    </xf>
    <xf numFmtId="0" fontId="2" fillId="5" borderId="38" xfId="4" applyFont="1" applyFill="1" applyBorder="1" applyAlignment="1" applyProtection="1">
      <alignment vertical="center"/>
      <protection locked="0"/>
    </xf>
    <xf numFmtId="0" fontId="2" fillId="5" borderId="32" xfId="4" applyFont="1" applyFill="1" applyBorder="1" applyAlignment="1" applyProtection="1">
      <alignment vertical="center"/>
      <protection locked="0"/>
    </xf>
    <xf numFmtId="0" fontId="2" fillId="5" borderId="19" xfId="0" applyFont="1" applyFill="1" applyBorder="1" applyAlignment="1" applyProtection="1">
      <alignment vertical="center" wrapText="1"/>
      <protection locked="0"/>
    </xf>
    <xf numFmtId="0" fontId="2" fillId="5" borderId="38" xfId="0" applyFont="1" applyFill="1" applyBorder="1" applyAlignment="1" applyProtection="1">
      <alignment vertical="center" wrapText="1"/>
      <protection locked="0"/>
    </xf>
    <xf numFmtId="0" fontId="2" fillId="5" borderId="32" xfId="0" applyFont="1" applyFill="1" applyBorder="1" applyAlignment="1" applyProtection="1">
      <alignment vertical="center" wrapText="1"/>
      <protection locked="0"/>
    </xf>
    <xf numFmtId="49" fontId="2" fillId="5" borderId="24" xfId="0" applyNumberFormat="1" applyFont="1" applyFill="1" applyBorder="1" applyAlignment="1" applyProtection="1">
      <alignment horizontal="left" vertical="center" wrapText="1"/>
      <protection locked="0"/>
    </xf>
    <xf numFmtId="0" fontId="1" fillId="5" borderId="0" xfId="0" applyFont="1" applyFill="1" applyBorder="1" applyAlignment="1" applyProtection="1">
      <alignment horizontal="left" vertical="center" wrapText="1"/>
      <protection locked="0"/>
    </xf>
    <xf numFmtId="0" fontId="1" fillId="5" borderId="27" xfId="0" applyFont="1" applyFill="1" applyBorder="1" applyAlignment="1" applyProtection="1">
      <alignment horizontal="left" vertical="center" wrapText="1"/>
      <protection locked="0"/>
    </xf>
    <xf numFmtId="0" fontId="2" fillId="0" borderId="1" xfId="0" applyFont="1" applyBorder="1" applyAlignment="1" applyProtection="1">
      <alignment horizontal="center" vertical="center" wrapText="1"/>
      <protection locked="0"/>
    </xf>
    <xf numFmtId="0" fontId="2" fillId="0" borderId="10" xfId="0" applyFont="1" applyBorder="1" applyAlignment="1" applyProtection="1">
      <alignment horizontal="center" vertical="center" wrapText="1"/>
      <protection locked="0"/>
    </xf>
    <xf numFmtId="0" fontId="2" fillId="0" borderId="33" xfId="0" applyFont="1" applyBorder="1" applyAlignment="1" applyProtection="1">
      <alignment horizontal="center" vertical="center" wrapText="1"/>
      <protection locked="0"/>
    </xf>
    <xf numFmtId="0" fontId="2" fillId="0" borderId="41" xfId="0" applyFont="1" applyBorder="1" applyAlignment="1" applyProtection="1">
      <alignment horizontal="center" vertical="center" wrapText="1"/>
      <protection locked="0"/>
    </xf>
    <xf numFmtId="0" fontId="2" fillId="5" borderId="11" xfId="2" applyFont="1" applyFill="1" applyBorder="1" applyAlignment="1" applyProtection="1">
      <alignment vertical="center"/>
      <protection locked="0"/>
    </xf>
    <xf numFmtId="0" fontId="27" fillId="5" borderId="11" xfId="0" applyFont="1" applyFill="1" applyBorder="1" applyAlignment="1" applyProtection="1">
      <alignment vertical="center"/>
      <protection locked="0"/>
    </xf>
    <xf numFmtId="0" fontId="27" fillId="5" borderId="12" xfId="0" applyFont="1" applyFill="1" applyBorder="1" applyAlignment="1" applyProtection="1">
      <alignment vertical="center"/>
      <protection locked="0"/>
    </xf>
    <xf numFmtId="2" fontId="2" fillId="0" borderId="24" xfId="0" applyNumberFormat="1" applyFont="1" applyBorder="1" applyAlignment="1" applyProtection="1">
      <alignment horizontal="left" vertical="center" wrapText="1"/>
      <protection locked="0"/>
    </xf>
    <xf numFmtId="2" fontId="1" fillId="0" borderId="0" xfId="0" applyNumberFormat="1" applyFont="1" applyBorder="1" applyAlignment="1" applyProtection="1">
      <alignment horizontal="left" vertical="center" wrapText="1"/>
      <protection locked="0"/>
    </xf>
    <xf numFmtId="2" fontId="1" fillId="0" borderId="27" xfId="0" applyNumberFormat="1" applyFont="1" applyBorder="1" applyAlignment="1" applyProtection="1">
      <alignment horizontal="left" vertical="center" wrapText="1"/>
      <protection locked="0"/>
    </xf>
    <xf numFmtId="0" fontId="3" fillId="6" borderId="22" xfId="0" applyFont="1" applyFill="1" applyBorder="1" applyAlignment="1" applyProtection="1">
      <alignment horizontal="center" vertical="center"/>
    </xf>
    <xf numFmtId="0" fontId="3" fillId="6" borderId="34" xfId="0" applyFont="1" applyFill="1" applyBorder="1" applyAlignment="1" applyProtection="1">
      <alignment horizontal="center" vertical="center"/>
    </xf>
    <xf numFmtId="0" fontId="3" fillId="6" borderId="23" xfId="0" applyFont="1" applyFill="1" applyBorder="1" applyAlignment="1" applyProtection="1">
      <alignment horizontal="center" vertical="center"/>
    </xf>
    <xf numFmtId="0" fontId="3" fillId="2" borderId="22" xfId="0" applyFont="1" applyFill="1" applyBorder="1" applyAlignment="1" applyProtection="1">
      <alignment horizontal="left" vertical="center"/>
    </xf>
    <xf numFmtId="0" fontId="3" fillId="2" borderId="34" xfId="0" applyFont="1" applyFill="1" applyBorder="1" applyAlignment="1" applyProtection="1">
      <alignment horizontal="left" vertical="center"/>
    </xf>
    <xf numFmtId="0" fontId="3" fillId="2" borderId="23" xfId="0" applyFont="1" applyFill="1" applyBorder="1" applyAlignment="1" applyProtection="1">
      <alignment horizontal="left" vertical="center"/>
    </xf>
    <xf numFmtId="0" fontId="3" fillId="2" borderId="48" xfId="0" applyFont="1" applyFill="1" applyBorder="1" applyAlignment="1" applyProtection="1">
      <alignment horizontal="center" vertical="center" wrapText="1"/>
    </xf>
    <xf numFmtId="0" fontId="3" fillId="2" borderId="55" xfId="0" applyFont="1" applyFill="1" applyBorder="1" applyAlignment="1" applyProtection="1">
      <alignment horizontal="center" vertical="center" wrapText="1"/>
    </xf>
    <xf numFmtId="0" fontId="39" fillId="2" borderId="48" xfId="0" applyFont="1" applyFill="1" applyBorder="1" applyAlignment="1" applyProtection="1">
      <alignment horizontal="center" vertical="center" wrapText="1"/>
    </xf>
    <xf numFmtId="0" fontId="39" fillId="2" borderId="55" xfId="0" applyFont="1" applyFill="1" applyBorder="1" applyAlignment="1" applyProtection="1">
      <alignment horizontal="center" vertical="center" wrapText="1"/>
    </xf>
    <xf numFmtId="0" fontId="3" fillId="2" borderId="61" xfId="0" applyFont="1" applyFill="1" applyBorder="1" applyAlignment="1" applyProtection="1">
      <alignment horizontal="center" vertical="center" wrapText="1"/>
    </xf>
    <xf numFmtId="0" fontId="3" fillId="2" borderId="62" xfId="0" applyFont="1" applyFill="1" applyBorder="1" applyAlignment="1" applyProtection="1">
      <alignment horizontal="center" vertical="center" wrapText="1"/>
    </xf>
    <xf numFmtId="0" fontId="3" fillId="2" borderId="8" xfId="0" applyFont="1" applyFill="1" applyBorder="1" applyAlignment="1" applyProtection="1">
      <alignment horizontal="center" vertical="center"/>
    </xf>
    <xf numFmtId="0" fontId="3" fillId="2" borderId="49" xfId="0" applyFont="1" applyFill="1" applyBorder="1" applyAlignment="1" applyProtection="1">
      <alignment horizontal="center" vertical="center" wrapText="1"/>
    </xf>
    <xf numFmtId="0" fontId="3" fillId="2" borderId="58" xfId="0" applyFont="1" applyFill="1" applyBorder="1" applyAlignment="1" applyProtection="1">
      <alignment horizontal="center" vertical="center" wrapText="1"/>
    </xf>
    <xf numFmtId="0" fontId="7" fillId="0" borderId="0" xfId="0" applyFont="1" applyBorder="1" applyAlignment="1" applyProtection="1">
      <alignment horizontal="left" vertical="center" wrapText="1"/>
      <protection locked="0"/>
    </xf>
    <xf numFmtId="0" fontId="7" fillId="0" borderId="27" xfId="0" applyFont="1" applyBorder="1" applyAlignment="1" applyProtection="1">
      <alignment horizontal="left" vertical="center" wrapText="1"/>
      <protection locked="0"/>
    </xf>
    <xf numFmtId="0" fontId="7" fillId="0" borderId="28" xfId="0" applyFont="1" applyBorder="1" applyAlignment="1" applyProtection="1">
      <alignment horizontal="left" vertical="center" wrapText="1"/>
      <protection locked="0"/>
    </xf>
    <xf numFmtId="0" fontId="7" fillId="0" borderId="29" xfId="0" applyFont="1" applyBorder="1" applyAlignment="1" applyProtection="1">
      <alignment horizontal="left" vertical="center" wrapText="1"/>
      <protection locked="0"/>
    </xf>
    <xf numFmtId="0" fontId="20" fillId="3" borderId="30" xfId="0" applyFont="1" applyFill="1" applyBorder="1" applyAlignment="1" applyProtection="1">
      <alignment horizontal="left" vertical="center"/>
    </xf>
    <xf numFmtId="0" fontId="20" fillId="3" borderId="26" xfId="0" applyFont="1" applyFill="1" applyBorder="1" applyAlignment="1" applyProtection="1">
      <alignment horizontal="left" vertical="center"/>
    </xf>
    <xf numFmtId="49" fontId="20" fillId="0" borderId="0" xfId="0" applyNumberFormat="1" applyFont="1" applyFill="1" applyBorder="1" applyAlignment="1" applyProtection="1">
      <alignment horizontal="center" vertical="center" wrapText="1"/>
    </xf>
    <xf numFmtId="0" fontId="46" fillId="0" borderId="0" xfId="0" applyFont="1" applyFill="1" applyBorder="1" applyAlignment="1" applyProtection="1">
      <alignment horizontal="center" vertical="center" wrapText="1"/>
    </xf>
    <xf numFmtId="0" fontId="47" fillId="0" borderId="0" xfId="0" applyFont="1" applyFill="1" applyBorder="1" applyAlignment="1" applyProtection="1">
      <alignment horizontal="center" vertical="center" wrapText="1"/>
    </xf>
    <xf numFmtId="0" fontId="14" fillId="2" borderId="2" xfId="0" applyFont="1" applyFill="1" applyBorder="1" applyAlignment="1" applyProtection="1">
      <alignment horizontal="center" vertical="center" wrapText="1"/>
    </xf>
    <xf numFmtId="0" fontId="7" fillId="0" borderId="11" xfId="0" applyFont="1" applyBorder="1" applyAlignment="1" applyProtection="1">
      <alignment horizontal="center" vertical="center" wrapText="1"/>
    </xf>
    <xf numFmtId="0" fontId="45" fillId="0" borderId="0" xfId="0" applyFont="1" applyFill="1" applyBorder="1" applyAlignment="1" applyProtection="1">
      <alignment horizontal="center" vertical="center" wrapText="1"/>
    </xf>
    <xf numFmtId="49" fontId="3" fillId="2" borderId="2" xfId="0" applyNumberFormat="1" applyFont="1" applyFill="1" applyBorder="1" applyAlignment="1" applyProtection="1">
      <alignment horizontal="center" vertical="center" wrapText="1"/>
    </xf>
    <xf numFmtId="0" fontId="14" fillId="0" borderId="11" xfId="0" applyFont="1" applyBorder="1" applyAlignment="1" applyProtection="1">
      <alignment horizontal="center" vertical="center" wrapText="1"/>
    </xf>
    <xf numFmtId="0" fontId="20" fillId="0" borderId="0" xfId="0" applyFont="1" applyFill="1" applyBorder="1" applyAlignment="1" applyProtection="1">
      <alignment horizontal="center" vertical="center" wrapText="1"/>
    </xf>
    <xf numFmtId="0" fontId="7" fillId="0" borderId="25" xfId="0" applyFont="1" applyBorder="1" applyAlignment="1" applyProtection="1">
      <alignment vertical="center"/>
    </xf>
    <xf numFmtId="0" fontId="7" fillId="0" borderId="26" xfId="0" applyFont="1" applyBorder="1" applyAlignment="1" applyProtection="1">
      <alignment vertical="center"/>
    </xf>
    <xf numFmtId="0" fontId="7" fillId="0" borderId="25" xfId="0" applyFont="1" applyBorder="1" applyAlignment="1" applyProtection="1">
      <alignment horizontal="left" vertical="center" wrapText="1"/>
      <protection locked="0"/>
    </xf>
    <xf numFmtId="0" fontId="7" fillId="0" borderId="26" xfId="0" applyFont="1" applyBorder="1" applyAlignment="1" applyProtection="1">
      <alignment horizontal="left" vertical="center" wrapText="1"/>
      <protection locked="0"/>
    </xf>
    <xf numFmtId="0" fontId="20" fillId="3" borderId="22" xfId="0" applyFont="1" applyFill="1" applyBorder="1" applyAlignment="1" applyProtection="1">
      <alignment horizontal="left" vertical="center"/>
    </xf>
    <xf numFmtId="0" fontId="7" fillId="0" borderId="34" xfId="0" applyFont="1" applyBorder="1" applyAlignment="1" applyProtection="1">
      <alignment horizontal="left" vertical="center"/>
    </xf>
    <xf numFmtId="0" fontId="7" fillId="0" borderId="23" xfId="0" applyFont="1" applyBorder="1" applyAlignment="1" applyProtection="1">
      <alignment horizontal="left" vertical="center"/>
    </xf>
    <xf numFmtId="0" fontId="7" fillId="0" borderId="28" xfId="0" applyFont="1" applyBorder="1" applyAlignment="1" applyProtection="1">
      <alignment vertical="center"/>
    </xf>
    <xf numFmtId="0" fontId="7" fillId="0" borderId="29" xfId="0" applyFont="1" applyBorder="1" applyAlignment="1" applyProtection="1">
      <alignment vertical="center"/>
    </xf>
    <xf numFmtId="0" fontId="20" fillId="3" borderId="1" xfId="0" applyFont="1" applyFill="1" applyBorder="1" applyAlignment="1" applyProtection="1">
      <alignment horizontal="center" vertical="center" wrapText="1"/>
    </xf>
    <xf numFmtId="0" fontId="7" fillId="0" borderId="2" xfId="0" applyFont="1" applyBorder="1" applyAlignment="1" applyProtection="1">
      <alignment horizontal="center" vertical="center" wrapText="1"/>
    </xf>
    <xf numFmtId="0" fontId="23" fillId="2" borderId="3" xfId="0" applyFont="1" applyFill="1" applyBorder="1" applyAlignment="1" applyProtection="1">
      <alignment horizontal="center" vertical="center" wrapText="1"/>
    </xf>
    <xf numFmtId="0" fontId="23" fillId="2" borderId="12" xfId="0" applyFont="1" applyFill="1" applyBorder="1" applyAlignment="1" applyProtection="1">
      <alignment horizontal="center" vertical="center" wrapText="1"/>
    </xf>
    <xf numFmtId="0" fontId="7" fillId="0" borderId="25" xfId="0" applyFont="1" applyBorder="1" applyAlignment="1" applyProtection="1">
      <alignment horizontal="left" vertical="center"/>
    </xf>
    <xf numFmtId="0" fontId="7" fillId="0" borderId="26" xfId="0" applyFont="1" applyBorder="1" applyAlignment="1" applyProtection="1">
      <alignment horizontal="left" vertical="center"/>
    </xf>
    <xf numFmtId="0" fontId="7" fillId="0" borderId="8" xfId="0" applyFont="1" applyBorder="1" applyAlignment="1" applyProtection="1">
      <alignment horizontal="center" vertical="center"/>
    </xf>
    <xf numFmtId="0" fontId="7" fillId="0" borderId="58" xfId="0" applyFont="1" applyBorder="1" applyAlignment="1" applyProtection="1">
      <alignment horizontal="center" vertical="center"/>
    </xf>
    <xf numFmtId="0" fontId="9" fillId="2" borderId="21" xfId="0" applyFont="1" applyFill="1" applyBorder="1" applyAlignment="1" applyProtection="1">
      <alignment vertical="center"/>
    </xf>
    <xf numFmtId="0" fontId="3" fillId="2" borderId="64" xfId="0" applyFont="1" applyFill="1" applyBorder="1" applyAlignment="1" applyProtection="1">
      <alignment horizontal="center" vertical="center" wrapText="1"/>
    </xf>
    <xf numFmtId="0" fontId="3" fillId="2" borderId="65" xfId="0" applyFont="1" applyFill="1" applyBorder="1" applyAlignment="1" applyProtection="1">
      <alignment horizontal="center" vertical="center" wrapText="1"/>
    </xf>
    <xf numFmtId="0" fontId="7" fillId="0" borderId="11" xfId="0" applyFont="1" applyBorder="1" applyAlignment="1" applyProtection="1">
      <alignment horizontal="center" vertical="center" wrapText="1"/>
      <protection locked="0"/>
    </xf>
    <xf numFmtId="0" fontId="7" fillId="0" borderId="5" xfId="0" applyFont="1" applyBorder="1" applyAlignment="1" applyProtection="1">
      <alignment horizontal="center" vertical="center" wrapText="1"/>
      <protection locked="0"/>
    </xf>
    <xf numFmtId="0" fontId="9" fillId="2" borderId="22" xfId="0" applyFont="1" applyFill="1" applyBorder="1" applyAlignment="1">
      <alignment horizontal="left" vertical="center" wrapText="1"/>
    </xf>
    <xf numFmtId="0" fontId="9" fillId="2" borderId="34" xfId="0" applyFont="1" applyFill="1" applyBorder="1" applyAlignment="1">
      <alignment horizontal="left" vertical="center" wrapText="1"/>
    </xf>
    <xf numFmtId="0" fontId="9" fillId="2" borderId="63" xfId="0" applyFont="1" applyFill="1" applyBorder="1" applyAlignment="1">
      <alignment horizontal="left" vertical="center" wrapText="1"/>
    </xf>
    <xf numFmtId="0" fontId="3" fillId="2" borderId="2" xfId="0" applyFont="1" applyFill="1" applyBorder="1" applyAlignment="1" applyProtection="1">
      <alignment horizontal="center" vertical="center" wrapText="1"/>
    </xf>
    <xf numFmtId="0" fontId="7" fillId="0" borderId="5" xfId="0" applyFont="1" applyBorder="1" applyAlignment="1" applyProtection="1">
      <alignment horizontal="center" vertical="center" wrapText="1"/>
    </xf>
    <xf numFmtId="0" fontId="3" fillId="2" borderId="5" xfId="0" applyFont="1" applyFill="1" applyBorder="1" applyAlignment="1" applyProtection="1">
      <alignment horizontal="center" vertical="center" wrapText="1"/>
    </xf>
    <xf numFmtId="0" fontId="3" fillId="2" borderId="1" xfId="0" applyFont="1" applyFill="1" applyBorder="1" applyAlignment="1" applyProtection="1">
      <alignment horizontal="center" vertical="center" wrapText="1"/>
    </xf>
    <xf numFmtId="0" fontId="3" fillId="2" borderId="4" xfId="0" applyFont="1" applyFill="1" applyBorder="1" applyAlignment="1" applyProtection="1">
      <alignment horizontal="center" vertical="center" wrapText="1"/>
    </xf>
    <xf numFmtId="0" fontId="7" fillId="0" borderId="2" xfId="0" applyFont="1" applyBorder="1" applyAlignment="1" applyProtection="1">
      <alignment horizontal="center" vertical="center" wrapText="1"/>
      <protection locked="0"/>
    </xf>
    <xf numFmtId="49" fontId="3" fillId="2" borderId="22" xfId="0" applyNumberFormat="1" applyFont="1" applyFill="1" applyBorder="1" applyAlignment="1" applyProtection="1">
      <alignment horizontal="left" vertical="center"/>
    </xf>
    <xf numFmtId="49" fontId="3" fillId="2" borderId="34" xfId="0" applyNumberFormat="1" applyFont="1" applyFill="1" applyBorder="1" applyAlignment="1" applyProtection="1">
      <alignment horizontal="left" vertical="center"/>
    </xf>
    <xf numFmtId="49" fontId="3" fillId="2" borderId="23" xfId="0" applyNumberFormat="1" applyFont="1" applyFill="1" applyBorder="1" applyAlignment="1" applyProtection="1">
      <alignment horizontal="left" vertical="center"/>
    </xf>
    <xf numFmtId="0" fontId="3" fillId="2" borderId="8" xfId="0" applyFont="1" applyFill="1" applyBorder="1" applyAlignment="1" applyProtection="1">
      <alignment horizontal="center" vertical="center" wrapText="1"/>
    </xf>
    <xf numFmtId="0" fontId="7" fillId="2" borderId="8" xfId="0" applyFont="1" applyFill="1" applyBorder="1" applyAlignment="1" applyProtection="1">
      <alignment horizontal="center" vertical="center" wrapText="1"/>
    </xf>
    <xf numFmtId="0" fontId="7" fillId="0" borderId="8" xfId="0" applyFont="1" applyBorder="1" applyAlignment="1" applyProtection="1">
      <alignment horizontal="center" vertical="center" wrapText="1"/>
    </xf>
    <xf numFmtId="0" fontId="3" fillId="2" borderId="66" xfId="0" applyFont="1" applyFill="1" applyBorder="1" applyAlignment="1" applyProtection="1">
      <alignment horizontal="center" vertical="center" wrapText="1"/>
    </xf>
    <xf numFmtId="0" fontId="3" fillId="2" borderId="67" xfId="0" applyFont="1" applyFill="1" applyBorder="1" applyAlignment="1" applyProtection="1">
      <alignment horizontal="center" vertical="center" wrapText="1"/>
    </xf>
    <xf numFmtId="0" fontId="3" fillId="2" borderId="68" xfId="0" applyFont="1" applyFill="1" applyBorder="1" applyAlignment="1" applyProtection="1">
      <alignment horizontal="center" vertical="center" wrapText="1"/>
    </xf>
    <xf numFmtId="0" fontId="20" fillId="3" borderId="7" xfId="0" applyFont="1" applyFill="1" applyBorder="1" applyAlignment="1" applyProtection="1">
      <alignment horizontal="left" vertical="center"/>
    </xf>
    <xf numFmtId="0" fontId="7" fillId="0" borderId="8" xfId="0" applyFont="1" applyBorder="1" applyAlignment="1" applyProtection="1">
      <alignment horizontal="left" vertical="center"/>
    </xf>
    <xf numFmtId="0" fontId="15" fillId="3" borderId="22" xfId="0" applyFont="1" applyFill="1" applyBorder="1" applyAlignment="1" applyProtection="1">
      <alignment horizontal="left" vertical="center"/>
    </xf>
    <xf numFmtId="0" fontId="15" fillId="3" borderId="34" xfId="0" applyFont="1" applyFill="1" applyBorder="1" applyAlignment="1" applyProtection="1">
      <alignment horizontal="left" vertical="center"/>
    </xf>
    <xf numFmtId="0" fontId="15" fillId="3" borderId="23" xfId="0" applyFont="1" applyFill="1" applyBorder="1" applyAlignment="1" applyProtection="1">
      <alignment horizontal="left" vertical="center"/>
    </xf>
    <xf numFmtId="0" fontId="20" fillId="3" borderId="34" xfId="0" applyFont="1" applyFill="1" applyBorder="1" applyAlignment="1" applyProtection="1">
      <alignment horizontal="left" vertical="center"/>
    </xf>
    <xf numFmtId="0" fontId="20" fillId="3" borderId="23" xfId="0" applyFont="1" applyFill="1" applyBorder="1" applyAlignment="1" applyProtection="1">
      <alignment horizontal="left" vertical="center"/>
    </xf>
    <xf numFmtId="49" fontId="6" fillId="0" borderId="5" xfId="0" applyNumberFormat="1" applyFont="1" applyFill="1" applyBorder="1" applyAlignment="1" applyProtection="1">
      <alignment horizontal="center" vertical="center"/>
      <protection locked="0"/>
    </xf>
    <xf numFmtId="49" fontId="26" fillId="0" borderId="6" xfId="0" applyNumberFormat="1" applyFont="1" applyBorder="1" applyAlignment="1" applyProtection="1">
      <alignment horizontal="center" vertical="center"/>
      <protection locked="0"/>
    </xf>
    <xf numFmtId="49" fontId="6" fillId="0" borderId="11" xfId="0" applyNumberFormat="1" applyFont="1" applyFill="1" applyBorder="1" applyAlignment="1" applyProtection="1">
      <alignment vertical="center"/>
      <protection locked="0"/>
    </xf>
    <xf numFmtId="0" fontId="26" fillId="0" borderId="11" xfId="0" applyFont="1" applyBorder="1" applyAlignment="1" applyProtection="1">
      <alignment vertical="center"/>
      <protection locked="0"/>
    </xf>
    <xf numFmtId="49" fontId="26" fillId="0" borderId="12" xfId="0" applyNumberFormat="1" applyFont="1" applyBorder="1" applyAlignment="1" applyProtection="1">
      <alignment vertical="center"/>
      <protection locked="0"/>
    </xf>
    <xf numFmtId="0" fontId="3" fillId="0" borderId="5" xfId="0" applyFont="1" applyFill="1" applyBorder="1" applyAlignment="1" applyProtection="1">
      <alignment vertical="center" wrapText="1" shrinkToFit="1"/>
      <protection locked="0"/>
    </xf>
    <xf numFmtId="0" fontId="32" fillId="0" borderId="5" xfId="0" applyFont="1" applyBorder="1" applyAlignment="1" applyProtection="1">
      <alignment vertical="center" wrapText="1" shrinkToFit="1"/>
      <protection locked="0"/>
    </xf>
    <xf numFmtId="0" fontId="3" fillId="0" borderId="11" xfId="0" applyFont="1" applyBorder="1" applyAlignment="1" applyProtection="1">
      <alignment vertical="center" wrapText="1"/>
      <protection locked="0"/>
    </xf>
    <xf numFmtId="0" fontId="3" fillId="0" borderId="12" xfId="0" applyFont="1" applyBorder="1" applyAlignment="1" applyProtection="1">
      <alignment vertical="center" wrapText="1"/>
      <protection locked="0"/>
    </xf>
    <xf numFmtId="0" fontId="3" fillId="2" borderId="48" xfId="0" applyFont="1" applyFill="1" applyBorder="1" applyAlignment="1" applyProtection="1">
      <alignment vertical="center" wrapText="1"/>
    </xf>
    <xf numFmtId="0" fontId="3" fillId="0" borderId="11" xfId="0" applyFont="1" applyFill="1" applyBorder="1" applyAlignment="1" applyProtection="1">
      <alignment vertical="center" wrapText="1" shrinkToFit="1"/>
      <protection locked="0"/>
    </xf>
    <xf numFmtId="0" fontId="32" fillId="0" borderId="11" xfId="0" applyFont="1" applyBorder="1" applyAlignment="1" applyProtection="1">
      <alignment vertical="center" wrapText="1" shrinkToFit="1"/>
      <protection locked="0"/>
    </xf>
    <xf numFmtId="0" fontId="3" fillId="0" borderId="11" xfId="2" applyFont="1" applyFill="1" applyBorder="1" applyAlignment="1" applyProtection="1">
      <alignment vertical="center"/>
      <protection locked="0"/>
    </xf>
    <xf numFmtId="0" fontId="32" fillId="0" borderId="11" xfId="0" applyFont="1" applyBorder="1" applyAlignment="1" applyProtection="1">
      <alignment vertical="center"/>
      <protection locked="0"/>
    </xf>
    <xf numFmtId="0" fontId="32" fillId="0" borderId="12" xfId="0" applyFont="1" applyBorder="1" applyAlignment="1" applyProtection="1">
      <alignment vertical="center"/>
      <protection locked="0"/>
    </xf>
    <xf numFmtId="0" fontId="3" fillId="0" borderId="5" xfId="2" applyFont="1" applyFill="1" applyBorder="1" applyAlignment="1" applyProtection="1">
      <alignment vertical="center"/>
      <protection locked="0"/>
    </xf>
    <xf numFmtId="0" fontId="32" fillId="0" borderId="5" xfId="0" applyFont="1" applyBorder="1" applyAlignment="1" applyProtection="1">
      <alignment vertical="center"/>
      <protection locked="0"/>
    </xf>
    <xf numFmtId="0" fontId="32" fillId="0" borderId="6" xfId="0" applyFont="1" applyBorder="1" applyAlignment="1" applyProtection="1">
      <alignment vertical="center"/>
      <protection locked="0"/>
    </xf>
    <xf numFmtId="49" fontId="6" fillId="0" borderId="5" xfId="0" applyNumberFormat="1" applyFont="1" applyFill="1" applyBorder="1" applyAlignment="1" applyProtection="1">
      <alignment vertical="center"/>
      <protection locked="0"/>
    </xf>
    <xf numFmtId="0" fontId="26" fillId="0" borderId="5" xfId="0" applyFont="1" applyBorder="1" applyAlignment="1" applyProtection="1">
      <alignment vertical="center"/>
      <protection locked="0"/>
    </xf>
    <xf numFmtId="0" fontId="3" fillId="2" borderId="51" xfId="0" applyFont="1" applyFill="1" applyBorder="1" applyAlignment="1" applyProtection="1">
      <alignment horizontal="center" vertical="center" wrapText="1"/>
    </xf>
    <xf numFmtId="0" fontId="3" fillId="2" borderId="50" xfId="0" applyFont="1" applyFill="1" applyBorder="1" applyAlignment="1" applyProtection="1">
      <alignment horizontal="center" vertical="center" wrapText="1"/>
    </xf>
    <xf numFmtId="0" fontId="3" fillId="2" borderId="2" xfId="0" applyFont="1" applyFill="1" applyBorder="1" applyAlignment="1" applyProtection="1">
      <alignment vertical="center"/>
    </xf>
    <xf numFmtId="0" fontId="7" fillId="0" borderId="3" xfId="0" applyFont="1" applyBorder="1" applyAlignment="1" applyProtection="1">
      <alignment vertical="center"/>
    </xf>
    <xf numFmtId="49" fontId="3" fillId="0" borderId="11" xfId="0" applyNumberFormat="1" applyFont="1" applyBorder="1" applyAlignment="1" applyProtection="1">
      <alignment vertical="center"/>
      <protection locked="0"/>
    </xf>
    <xf numFmtId="49" fontId="3" fillId="2" borderId="30" xfId="0" applyNumberFormat="1" applyFont="1" applyFill="1" applyBorder="1" applyAlignment="1" applyProtection="1">
      <alignment vertical="center"/>
    </xf>
    <xf numFmtId="0" fontId="3" fillId="2" borderId="30" xfId="0" applyNumberFormat="1" applyFont="1" applyFill="1" applyBorder="1" applyAlignment="1" applyProtection="1">
      <alignment vertical="center" wrapText="1"/>
      <protection locked="0"/>
    </xf>
    <xf numFmtId="0" fontId="7" fillId="0" borderId="25" xfId="0" applyNumberFormat="1" applyFont="1" applyBorder="1" applyAlignment="1" applyProtection="1">
      <alignment vertical="center" wrapText="1"/>
      <protection locked="0"/>
    </xf>
    <xf numFmtId="0" fontId="7" fillId="0" borderId="26" xfId="0" applyNumberFormat="1" applyFont="1" applyBorder="1" applyAlignment="1" applyProtection="1">
      <alignment vertical="center" wrapText="1"/>
      <protection locked="0"/>
    </xf>
    <xf numFmtId="49" fontId="3" fillId="2" borderId="24" xfId="0" applyNumberFormat="1" applyFont="1" applyFill="1" applyBorder="1" applyAlignment="1" applyProtection="1">
      <alignment vertical="center"/>
    </xf>
    <xf numFmtId="0" fontId="7" fillId="0" borderId="27" xfId="0" applyFont="1" applyBorder="1" applyAlignment="1" applyProtection="1">
      <alignment vertical="center"/>
    </xf>
    <xf numFmtId="0" fontId="3" fillId="2" borderId="24" xfId="0" applyNumberFormat="1" applyFont="1" applyFill="1" applyBorder="1" applyAlignment="1" applyProtection="1">
      <alignment vertical="center" wrapText="1"/>
      <protection locked="0"/>
    </xf>
    <xf numFmtId="0" fontId="7" fillId="0" borderId="0" xfId="0" applyFont="1" applyBorder="1" applyAlignment="1" applyProtection="1">
      <alignment vertical="center" wrapText="1"/>
      <protection locked="0"/>
    </xf>
    <xf numFmtId="0" fontId="7" fillId="0" borderId="27" xfId="0" applyFont="1" applyBorder="1" applyAlignment="1" applyProtection="1">
      <alignment vertical="center" wrapText="1"/>
      <protection locked="0"/>
    </xf>
    <xf numFmtId="1" fontId="3" fillId="2" borderId="24" xfId="0" applyNumberFormat="1" applyFont="1" applyFill="1" applyBorder="1" applyAlignment="1" applyProtection="1">
      <alignment horizontal="left" vertical="center" wrapText="1"/>
      <protection locked="0"/>
    </xf>
    <xf numFmtId="1" fontId="7" fillId="0" borderId="0" xfId="0" applyNumberFormat="1" applyFont="1" applyBorder="1" applyAlignment="1" applyProtection="1">
      <alignment horizontal="left" vertical="center" wrapText="1"/>
      <protection locked="0"/>
    </xf>
    <xf numFmtId="1" fontId="7" fillId="0" borderId="27" xfId="0" applyNumberFormat="1" applyFont="1" applyBorder="1" applyAlignment="1" applyProtection="1">
      <alignment horizontal="left" vertical="center" wrapText="1"/>
      <protection locked="0"/>
    </xf>
    <xf numFmtId="0" fontId="3" fillId="2" borderId="7" xfId="0" applyFont="1" applyFill="1" applyBorder="1" applyAlignment="1" applyProtection="1">
      <alignment vertical="center" wrapText="1" shrinkToFit="1"/>
    </xf>
    <xf numFmtId="0" fontId="7" fillId="0" borderId="9" xfId="0" applyFont="1" applyBorder="1" applyAlignment="1" applyProtection="1">
      <alignment vertical="center" wrapText="1"/>
    </xf>
    <xf numFmtId="49" fontId="3" fillId="2" borderId="2" xfId="0" applyNumberFormat="1" applyFont="1" applyFill="1" applyBorder="1" applyAlignment="1" applyProtection="1">
      <alignment vertical="center"/>
    </xf>
    <xf numFmtId="0" fontId="7" fillId="0" borderId="2" xfId="0" applyFont="1" applyBorder="1" applyAlignment="1" applyProtection="1">
      <alignment vertical="center"/>
    </xf>
    <xf numFmtId="0" fontId="3" fillId="2" borderId="21" xfId="0" applyFont="1" applyFill="1" applyBorder="1" applyAlignment="1" applyProtection="1">
      <alignment vertical="center"/>
    </xf>
    <xf numFmtId="0" fontId="7" fillId="2" borderId="29" xfId="0" applyFont="1" applyFill="1" applyBorder="1" applyAlignment="1" applyProtection="1">
      <alignment vertical="center"/>
    </xf>
    <xf numFmtId="164" fontId="3" fillId="2" borderId="21" xfId="0" applyNumberFormat="1" applyFont="1" applyFill="1" applyBorder="1" applyAlignment="1" applyProtection="1">
      <alignment horizontal="left" vertical="center" wrapText="1"/>
    </xf>
    <xf numFmtId="164" fontId="7" fillId="2" borderId="28" xfId="0" applyNumberFormat="1" applyFont="1" applyFill="1" applyBorder="1" applyAlignment="1" applyProtection="1">
      <alignment horizontal="left" vertical="center" wrapText="1"/>
    </xf>
    <xf numFmtId="164" fontId="7" fillId="2" borderId="29" xfId="0" applyNumberFormat="1" applyFont="1" applyFill="1" applyBorder="1" applyAlignment="1" applyProtection="1">
      <alignment horizontal="left" vertical="center" wrapText="1"/>
    </xf>
    <xf numFmtId="0" fontId="26" fillId="0" borderId="0" xfId="0" applyFont="1"/>
    <xf numFmtId="0" fontId="32" fillId="0" borderId="11" xfId="0" applyFont="1" applyBorder="1" applyAlignment="1" applyProtection="1">
      <alignment vertical="center" wrapText="1"/>
      <protection locked="0"/>
    </xf>
    <xf numFmtId="0" fontId="3" fillId="2" borderId="2" xfId="0" applyFont="1" applyFill="1" applyBorder="1" applyAlignment="1" applyProtection="1">
      <alignment vertical="center" wrapText="1"/>
    </xf>
    <xf numFmtId="0" fontId="3" fillId="2" borderId="24" xfId="0" applyNumberFormat="1" applyFont="1" applyFill="1" applyBorder="1" applyAlignment="1" applyProtection="1">
      <alignment horizontal="left" vertical="center" wrapText="1"/>
      <protection locked="0"/>
    </xf>
    <xf numFmtId="0" fontId="3" fillId="2" borderId="3" xfId="0" applyFont="1" applyFill="1" applyBorder="1" applyAlignment="1" applyProtection="1">
      <alignment horizontal="center" vertical="center" wrapText="1"/>
    </xf>
    <xf numFmtId="0" fontId="3" fillId="2" borderId="6" xfId="0" applyFont="1" applyFill="1" applyBorder="1" applyAlignment="1" applyProtection="1">
      <alignment horizontal="center" vertical="center" wrapText="1"/>
    </xf>
    <xf numFmtId="0" fontId="7" fillId="0" borderId="5" xfId="0" applyFont="1" applyBorder="1" applyAlignment="1">
      <alignment horizontal="center" vertical="center" wrapText="1"/>
    </xf>
    <xf numFmtId="0" fontId="3" fillId="2" borderId="18" xfId="0" applyFont="1" applyFill="1" applyBorder="1" applyAlignment="1" applyProtection="1">
      <alignment horizontal="center" vertical="center" wrapText="1"/>
    </xf>
    <xf numFmtId="0" fontId="3" fillId="2" borderId="17" xfId="0" applyFont="1" applyFill="1" applyBorder="1" applyAlignment="1" applyProtection="1">
      <alignment horizontal="center" vertical="center" wrapText="1"/>
    </xf>
    <xf numFmtId="0" fontId="2" fillId="0" borderId="22" xfId="0" applyFont="1" applyBorder="1" applyAlignment="1" applyProtection="1">
      <alignment horizontal="center"/>
      <protection locked="0"/>
    </xf>
    <xf numFmtId="0" fontId="2" fillId="0" borderId="34" xfId="0" applyFont="1" applyBorder="1" applyAlignment="1" applyProtection="1">
      <alignment horizontal="center"/>
      <protection locked="0"/>
    </xf>
    <xf numFmtId="0" fontId="2" fillId="0" borderId="23" xfId="0" applyFont="1" applyBorder="1" applyAlignment="1" applyProtection="1">
      <alignment horizontal="center"/>
      <protection locked="0"/>
    </xf>
    <xf numFmtId="0" fontId="13" fillId="0" borderId="1" xfId="0" applyFont="1" applyBorder="1" applyAlignment="1">
      <alignment horizontal="center"/>
    </xf>
    <xf numFmtId="0" fontId="13" fillId="0" borderId="2" xfId="0" applyFont="1" applyBorder="1" applyAlignment="1">
      <alignment horizontal="center"/>
    </xf>
    <xf numFmtId="0" fontId="13" fillId="0" borderId="51" xfId="0" applyFont="1" applyBorder="1" applyAlignment="1">
      <alignment horizontal="center"/>
    </xf>
    <xf numFmtId="0" fontId="66" fillId="8" borderId="22" xfId="0" applyFont="1" applyFill="1" applyBorder="1" applyAlignment="1">
      <alignment horizontal="center" vertical="center"/>
    </xf>
    <xf numFmtId="0" fontId="67" fillId="8" borderId="34" xfId="0" applyFont="1" applyFill="1" applyBorder="1" applyAlignment="1">
      <alignment horizontal="center" vertical="center"/>
    </xf>
    <xf numFmtId="0" fontId="67" fillId="8" borderId="23" xfId="0" applyFont="1" applyFill="1" applyBorder="1" applyAlignment="1">
      <alignment horizontal="center" vertical="center"/>
    </xf>
    <xf numFmtId="0" fontId="2" fillId="2" borderId="26" xfId="0" applyFont="1" applyFill="1" applyBorder="1" applyAlignment="1" applyProtection="1">
      <alignment horizontal="center" vertical="center" wrapText="1"/>
    </xf>
    <xf numFmtId="0" fontId="2" fillId="2" borderId="29" xfId="0" applyFont="1" applyFill="1" applyBorder="1" applyAlignment="1" applyProtection="1">
      <alignment horizontal="center" vertical="center" wrapText="1"/>
    </xf>
    <xf numFmtId="0" fontId="2" fillId="2" borderId="34" xfId="0" applyFont="1" applyFill="1" applyBorder="1" applyAlignment="1" applyProtection="1">
      <alignment horizontal="center" vertical="center"/>
    </xf>
    <xf numFmtId="0" fontId="2" fillId="2" borderId="23" xfId="0" applyFont="1" applyFill="1" applyBorder="1" applyAlignment="1" applyProtection="1">
      <alignment horizontal="center" vertical="center"/>
    </xf>
    <xf numFmtId="0" fontId="2" fillId="2" borderId="22" xfId="0" applyFont="1" applyFill="1" applyBorder="1" applyAlignment="1" applyProtection="1">
      <alignment horizontal="center" vertical="center"/>
    </xf>
    <xf numFmtId="0" fontId="2" fillId="2" borderId="55" xfId="0" applyFont="1" applyFill="1" applyBorder="1" applyAlignment="1" applyProtection="1">
      <alignment horizontal="center" vertical="center" wrapText="1"/>
    </xf>
    <xf numFmtId="0" fontId="2" fillId="2" borderId="8" xfId="0" applyFont="1" applyFill="1" applyBorder="1" applyAlignment="1" applyProtection="1">
      <alignment horizontal="center" vertical="center" wrapText="1"/>
    </xf>
    <xf numFmtId="0" fontId="2" fillId="2" borderId="8" xfId="0" applyFont="1" applyFill="1" applyBorder="1" applyAlignment="1" applyProtection="1">
      <alignment horizontal="center" vertical="center" wrapText="1"/>
    </xf>
    <xf numFmtId="0" fontId="2" fillId="0" borderId="0" xfId="0" applyFont="1" applyAlignment="1" applyProtection="1">
      <alignment vertical="center"/>
      <protection locked="0"/>
    </xf>
    <xf numFmtId="0" fontId="2" fillId="0" borderId="11" xfId="0" applyFont="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5" xfId="0" applyFont="1" applyBorder="1" applyAlignment="1" applyProtection="1">
      <alignment horizontal="center" vertical="center" wrapText="1"/>
      <protection locked="0"/>
    </xf>
    <xf numFmtId="0" fontId="2" fillId="0" borderId="2" xfId="0" applyFont="1" applyBorder="1" applyAlignment="1" applyProtection="1">
      <alignment horizontal="center" vertical="center"/>
      <protection locked="0"/>
    </xf>
    <xf numFmtId="0" fontId="2" fillId="0" borderId="11" xfId="0" applyFont="1" applyBorder="1" applyAlignment="1" applyProtection="1">
      <alignment horizontal="center" vertical="center"/>
      <protection locked="0"/>
    </xf>
    <xf numFmtId="0" fontId="2" fillId="0" borderId="5" xfId="0" applyFont="1" applyBorder="1" applyAlignment="1" applyProtection="1">
      <alignment horizontal="center" vertical="center"/>
      <protection locked="0"/>
    </xf>
    <xf numFmtId="0" fontId="2" fillId="0" borderId="1" xfId="0" applyFont="1" applyBorder="1" applyAlignment="1" applyProtection="1">
      <alignment horizontal="center" vertical="center"/>
      <protection locked="0"/>
    </xf>
    <xf numFmtId="0" fontId="2" fillId="0" borderId="10" xfId="0" applyFont="1" applyBorder="1" applyAlignment="1" applyProtection="1">
      <alignment horizontal="center" vertical="center"/>
      <protection locked="0"/>
    </xf>
    <xf numFmtId="0" fontId="2" fillId="0" borderId="4" xfId="0" applyFont="1" applyBorder="1" applyAlignment="1" applyProtection="1">
      <alignment horizontal="center" vertical="center"/>
      <protection locked="0"/>
    </xf>
    <xf numFmtId="0" fontId="2" fillId="0" borderId="2" xfId="0" applyFont="1" applyBorder="1" applyAlignment="1" applyProtection="1">
      <alignment horizontal="left" vertical="center"/>
      <protection locked="0"/>
    </xf>
    <xf numFmtId="0" fontId="2" fillId="0" borderId="11" xfId="0" applyFont="1" applyBorder="1" applyAlignment="1" applyProtection="1">
      <alignment horizontal="left" vertical="center"/>
      <protection locked="0"/>
    </xf>
    <xf numFmtId="0" fontId="2" fillId="0" borderId="5" xfId="0" applyFont="1" applyBorder="1" applyAlignment="1" applyProtection="1">
      <alignment horizontal="left" vertical="center"/>
      <protection locked="0"/>
    </xf>
    <xf numFmtId="0" fontId="2" fillId="2" borderId="8" xfId="0" applyFont="1" applyFill="1" applyBorder="1" applyAlignment="1" applyProtection="1">
      <alignment horizontal="center" vertical="center" wrapText="1"/>
    </xf>
    <xf numFmtId="0" fontId="2" fillId="0" borderId="51" xfId="0" applyFont="1" applyBorder="1" applyAlignment="1" applyProtection="1">
      <alignment horizontal="center" vertical="center"/>
      <protection locked="0"/>
    </xf>
    <xf numFmtId="0" fontId="2" fillId="0" borderId="19" xfId="0" applyFont="1" applyBorder="1" applyAlignment="1" applyProtection="1">
      <alignment horizontal="center" vertical="center"/>
      <protection locked="0"/>
    </xf>
    <xf numFmtId="0" fontId="2" fillId="0" borderId="50" xfId="0" applyFont="1" applyBorder="1" applyAlignment="1" applyProtection="1">
      <alignment horizontal="center" vertical="center"/>
      <protection locked="0"/>
    </xf>
    <xf numFmtId="0" fontId="2" fillId="2" borderId="55" xfId="0" applyFont="1" applyFill="1" applyBorder="1" applyAlignment="1" applyProtection="1">
      <alignment horizontal="center" vertical="center" wrapText="1"/>
    </xf>
    <xf numFmtId="0" fontId="2" fillId="0" borderId="0" xfId="0" applyFont="1" applyAlignment="1" applyProtection="1">
      <alignment vertical="center"/>
      <protection locked="0"/>
    </xf>
    <xf numFmtId="0" fontId="2" fillId="0" borderId="11" xfId="0" applyFont="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5" xfId="0" applyFont="1" applyBorder="1" applyAlignment="1" applyProtection="1">
      <alignment horizontal="center" vertical="center" wrapText="1"/>
      <protection locked="0"/>
    </xf>
    <xf numFmtId="0" fontId="2" fillId="0" borderId="2" xfId="0" applyFont="1" applyBorder="1" applyAlignment="1" applyProtection="1">
      <alignment horizontal="center" vertical="center"/>
      <protection locked="0"/>
    </xf>
    <xf numFmtId="0" fontId="2" fillId="0" borderId="11" xfId="0" applyFont="1" applyBorder="1" applyAlignment="1" applyProtection="1">
      <alignment horizontal="center" vertical="center"/>
      <protection locked="0"/>
    </xf>
    <xf numFmtId="0" fontId="2" fillId="0" borderId="5" xfId="0" applyFont="1" applyBorder="1" applyAlignment="1" applyProtection="1">
      <alignment horizontal="center" vertical="center"/>
      <protection locked="0"/>
    </xf>
    <xf numFmtId="0" fontId="2" fillId="0" borderId="1" xfId="0" applyFont="1" applyBorder="1" applyAlignment="1" applyProtection="1">
      <alignment horizontal="center" vertical="center"/>
      <protection locked="0"/>
    </xf>
    <xf numFmtId="0" fontId="2" fillId="0" borderId="10" xfId="0" applyFont="1" applyBorder="1" applyAlignment="1" applyProtection="1">
      <alignment horizontal="center" vertical="center"/>
      <protection locked="0"/>
    </xf>
    <xf numFmtId="0" fontId="2" fillId="0" borderId="4" xfId="0" applyFont="1" applyBorder="1" applyAlignment="1" applyProtection="1">
      <alignment horizontal="center" vertical="center"/>
      <protection locked="0"/>
    </xf>
    <xf numFmtId="0" fontId="2" fillId="0" borderId="2" xfId="0" applyFont="1" applyBorder="1" applyAlignment="1" applyProtection="1">
      <alignment horizontal="left" vertical="center"/>
      <protection locked="0"/>
    </xf>
    <xf numFmtId="0" fontId="2" fillId="0" borderId="11" xfId="0" applyFont="1" applyBorder="1" applyAlignment="1" applyProtection="1">
      <alignment horizontal="left" vertical="center"/>
      <protection locked="0"/>
    </xf>
    <xf numFmtId="0" fontId="2" fillId="0" borderId="5" xfId="0" applyFont="1" applyBorder="1" applyAlignment="1" applyProtection="1">
      <alignment horizontal="left" vertical="center"/>
      <protection locked="0"/>
    </xf>
    <xf numFmtId="0" fontId="2" fillId="2" borderId="8" xfId="0" applyFont="1" applyFill="1" applyBorder="1" applyAlignment="1" applyProtection="1">
      <alignment horizontal="center" vertical="center" wrapText="1"/>
    </xf>
    <xf numFmtId="0" fontId="2" fillId="0" borderId="51" xfId="0" applyFont="1" applyBorder="1" applyAlignment="1" applyProtection="1">
      <alignment horizontal="center" vertical="center"/>
      <protection locked="0"/>
    </xf>
    <xf numFmtId="0" fontId="2" fillId="0" borderId="19" xfId="0" applyFont="1" applyBorder="1" applyAlignment="1" applyProtection="1">
      <alignment horizontal="center" vertical="center"/>
      <protection locked="0"/>
    </xf>
    <xf numFmtId="0" fontId="2" fillId="0" borderId="50" xfId="0" applyFont="1" applyBorder="1" applyAlignment="1" applyProtection="1">
      <alignment horizontal="center" vertical="center"/>
      <protection locked="0"/>
    </xf>
    <xf numFmtId="0" fontId="2" fillId="2" borderId="55" xfId="0" applyFont="1" applyFill="1" applyBorder="1" applyAlignment="1" applyProtection="1">
      <alignment horizontal="center" vertical="center" wrapText="1"/>
    </xf>
  </cellXfs>
  <cellStyles count="8">
    <cellStyle name="Hyperlink" xfId="6" builtinId="8"/>
    <cellStyle name="Normal" xfId="0" builtinId="0"/>
    <cellStyle name="Normal_Sheet1" xfId="1" xr:uid="{00000000-0005-0000-0000-000002000000}"/>
    <cellStyle name="Normal_Tariff N America to WAF+EAF+IO 1.A134 watanmal" xfId="5" xr:uid="{00000000-0005-0000-0000-000003000000}"/>
    <cellStyle name="Normal_Template ~ Proposal Liberty Container Line" xfId="2" xr:uid="{00000000-0005-0000-0000-000004000000}"/>
    <cellStyle name="Normal_Template ~ Proposal Liberty Container Line 2" xfId="4" xr:uid="{00000000-0005-0000-0000-000005000000}"/>
    <cellStyle name="Percent" xfId="3" builtinId="5"/>
    <cellStyle name="Percent 2" xfId="7" xr:uid="{E9BFAE23-DEAD-4696-A5E5-B35FFBE045E0}"/>
  </cellStyles>
  <dxfs count="0"/>
  <tableStyles count="0" defaultTableStyle="TableStyleMedium2" defaultPivotStyle="PivotStyleLight16"/>
  <colors>
    <mruColors>
      <color rgb="FF0033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ustomXml" Target="../customXml/item4.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40"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220000" mc:Ignorable="a14" a14:legacySpreadsheetColorIndex="34"/>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extLst>
          <a:ext uri="{53640926-AAD7-44D8-BBD7-CCE9431645EC}">
            <a14:shadowObscured xmlns:a14="http://schemas.microsoft.com/office/drawing/2010/main" val="1"/>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220000" mc:Ignorable="a14" a14:legacySpreadsheetColorIndex="34"/>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extLst>
          <a:ext uri="{53640926-AAD7-44D8-BBD7-CCE9431645EC}">
            <a14:shadowObscured xmlns:a14="http://schemas.microsoft.com/office/drawing/2010/main" val="1"/>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externalLinkPath" Target="http://contracts.usa.cma-cgm.com/Users/usa.rchidester/AppData/Local/Microsoft/Windows/Temporary%20Internet%20Files/Content.Outlook/XE44VG12/Inbound%20Outbound%20template%20V28-%20July%202%20new%20D5%20test%20file%202014.xlsx" TargetMode="External"/><Relationship Id="rId1" Type="http://schemas.openxmlformats.org/officeDocument/2006/relationships/externalLinkPath" Target="http://contracts.usa.cma-cgm.com/Users/usa.rchidester/AppData/Local/Microsoft/Windows/Temporary%20Internet%20Files/Content.Outlook/XE44VG12/Inbound%20Outbound%20template%20V28-%20July%202%20new%20D5%20test%20file%202014.xlsx" TargetMode="External"/><Relationship Id="rId5" Type="http://schemas.openxmlformats.org/officeDocument/2006/relationships/comments" Target="../comments11.xml"/><Relationship Id="rId4" Type="http://schemas.openxmlformats.org/officeDocument/2006/relationships/vmlDrawing" Target="../drawings/vmlDrawing11.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19.v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20.xml"/><Relationship Id="rId2" Type="http://schemas.openxmlformats.org/officeDocument/2006/relationships/vmlDrawing" Target="../drawings/vmlDrawing20.v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1.v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2.v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3.v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4.v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5.v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3" Type="http://schemas.openxmlformats.org/officeDocument/2006/relationships/comments" Target="../comments26.xml"/><Relationship Id="rId2" Type="http://schemas.openxmlformats.org/officeDocument/2006/relationships/vmlDrawing" Target="../drawings/vmlDrawing26.v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3" Type="http://schemas.openxmlformats.org/officeDocument/2006/relationships/comments" Target="../comments27.xml"/><Relationship Id="rId2" Type="http://schemas.openxmlformats.org/officeDocument/2006/relationships/vmlDrawing" Target="../drawings/vmlDrawing27.v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3" Type="http://schemas.openxmlformats.org/officeDocument/2006/relationships/comments" Target="../comments28.xml"/><Relationship Id="rId2" Type="http://schemas.openxmlformats.org/officeDocument/2006/relationships/vmlDrawing" Target="../drawings/vmlDrawing28.v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3" Type="http://schemas.openxmlformats.org/officeDocument/2006/relationships/comments" Target="../comments29.xml"/><Relationship Id="rId2" Type="http://schemas.openxmlformats.org/officeDocument/2006/relationships/vmlDrawing" Target="../drawings/vmlDrawing29.v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autoPageBreaks="0"/>
  </sheetPr>
  <dimension ref="A1:B602"/>
  <sheetViews>
    <sheetView showGridLines="0" topLeftCell="A40" zoomScaleNormal="100" zoomScaleSheetLayoutView="100" workbookViewId="0">
      <selection activeCell="A40" sqref="A40:B40"/>
    </sheetView>
  </sheetViews>
  <sheetFormatPr defaultColWidth="9.140625" defaultRowHeight="12.75" outlineLevelRow="1" x14ac:dyDescent="0.2"/>
  <cols>
    <col min="1" max="1" width="38.28515625" style="284" customWidth="1"/>
    <col min="2" max="2" width="52" style="284" customWidth="1"/>
    <col min="3" max="16384" width="9.140625" style="284"/>
  </cols>
  <sheetData>
    <row r="1" spans="1:2" ht="18.75" hidden="1" outlineLevel="1" x14ac:dyDescent="0.3">
      <c r="A1" s="703" t="str">
        <f>CONCATENATE("AMENDMENT ",Cover!B2," TO SERVICE CONTRACT ",Cover!B1)</f>
        <v>AMENDMENT  TO SERVICE CONTRACT 22-XXXX</v>
      </c>
      <c r="B1" s="703"/>
    </row>
    <row r="2" spans="1:2" ht="8.1" hidden="1" customHeight="1" outlineLevel="1" x14ac:dyDescent="0.2">
      <c r="A2" s="353"/>
      <c r="B2" s="353"/>
    </row>
    <row r="3" spans="1:2" ht="85.5" hidden="1" customHeight="1" outlineLevel="1" x14ac:dyDescent="0.25">
      <c r="A3" s="704" t="str">
        <f>CONCATENATE("     This Amendment to the Service Contract (the “Amendment”) is made as of the date of filing of the Amendment with the Federal Maritime Commission (the “Effective Date”), by and between CMA CGM S.A. (hereinafter referred to as “Carrier”) and ",IF(Cover!B7="","__________",Cover!B7)," (hereinafter referred to as “Merchant”).")</f>
        <v xml:space="preserve">     This Amendment to the Service Contract (the “Amendment”) is made as of the date of filing of the Amendment with the Federal Maritime Commission (the “Effective Date”), by and between CMA CGM S.A. (hereinafter referred to as “Carrier”) and __________ (hereinafter referred to as “Merchant”).</v>
      </c>
      <c r="B3" s="704"/>
    </row>
    <row r="4" spans="1:2" ht="8.1" hidden="1" customHeight="1" outlineLevel="1" x14ac:dyDescent="0.25">
      <c r="A4" s="314"/>
      <c r="B4" s="314"/>
    </row>
    <row r="5" spans="1:2" ht="23.25" hidden="1" customHeight="1" outlineLevel="1" x14ac:dyDescent="0.25">
      <c r="A5" s="705" t="s">
        <v>1230</v>
      </c>
      <c r="B5" s="704"/>
    </row>
    <row r="6" spans="1:2" ht="8.1" hidden="1" customHeight="1" outlineLevel="1" x14ac:dyDescent="0.25">
      <c r="A6" s="314"/>
      <c r="B6" s="314"/>
    </row>
    <row r="7" spans="1:2" ht="30.75" hidden="1" customHeight="1" outlineLevel="1" x14ac:dyDescent="0.25">
      <c r="A7" s="704" t="s">
        <v>1231</v>
      </c>
      <c r="B7" s="704"/>
    </row>
    <row r="8" spans="1:2" ht="8.1" hidden="1" customHeight="1" outlineLevel="1" x14ac:dyDescent="0.25">
      <c r="A8" s="314"/>
      <c r="B8" s="314"/>
    </row>
    <row r="9" spans="1:2" ht="15.75" hidden="1" outlineLevel="1" x14ac:dyDescent="0.25">
      <c r="A9" s="704" t="s">
        <v>1130</v>
      </c>
      <c r="B9" s="704"/>
    </row>
    <row r="10" spans="1:2" ht="8.1" hidden="1" customHeight="1" outlineLevel="1" x14ac:dyDescent="0.25">
      <c r="A10" s="314"/>
      <c r="B10" s="314"/>
    </row>
    <row r="11" spans="1:2" ht="15.75" hidden="1" outlineLevel="1" x14ac:dyDescent="0.25">
      <c r="A11" s="357" t="s">
        <v>244</v>
      </c>
      <c r="B11" s="357" t="s">
        <v>245</v>
      </c>
    </row>
    <row r="12" spans="1:2" ht="15.75" hidden="1" outlineLevel="1" x14ac:dyDescent="0.25">
      <c r="A12" s="314" t="s">
        <v>243</v>
      </c>
      <c r="B12" s="314" t="s">
        <v>525</v>
      </c>
    </row>
    <row r="13" spans="1:2" ht="15.75" hidden="1" outlineLevel="1" x14ac:dyDescent="0.25">
      <c r="A13" s="622"/>
      <c r="B13" s="375"/>
    </row>
    <row r="14" spans="1:2" ht="15.75" hidden="1" outlineLevel="1" x14ac:dyDescent="0.25">
      <c r="A14" s="622"/>
      <c r="B14" s="375"/>
    </row>
    <row r="15" spans="1:2" ht="15.75" hidden="1" outlineLevel="1" x14ac:dyDescent="0.25">
      <c r="A15" s="622"/>
      <c r="B15" s="375"/>
    </row>
    <row r="16" spans="1:2" ht="15.75" hidden="1" outlineLevel="1" x14ac:dyDescent="0.25">
      <c r="A16" s="622"/>
      <c r="B16" s="375"/>
    </row>
    <row r="17" spans="1:2" ht="15.75" hidden="1" outlineLevel="1" x14ac:dyDescent="0.25">
      <c r="A17" s="622"/>
      <c r="B17" s="375"/>
    </row>
    <row r="18" spans="1:2" ht="15.75" hidden="1" outlineLevel="1" x14ac:dyDescent="0.25">
      <c r="A18" s="622"/>
      <c r="B18" s="375"/>
    </row>
    <row r="19" spans="1:2" ht="15.75" hidden="1" outlineLevel="1" x14ac:dyDescent="0.25">
      <c r="A19" s="622"/>
      <c r="B19" s="375"/>
    </row>
    <row r="20" spans="1:2" ht="15.75" hidden="1" outlineLevel="1" x14ac:dyDescent="0.25">
      <c r="A20" s="622"/>
      <c r="B20" s="375"/>
    </row>
    <row r="21" spans="1:2" ht="15.75" hidden="1" outlineLevel="1" x14ac:dyDescent="0.25">
      <c r="A21" s="622"/>
      <c r="B21" s="375"/>
    </row>
    <row r="22" spans="1:2" ht="8.1" hidden="1" customHeight="1" outlineLevel="1" x14ac:dyDescent="0.25">
      <c r="A22" s="314"/>
      <c r="B22" s="314"/>
    </row>
    <row r="23" spans="1:2" ht="47.25" hidden="1" customHeight="1" outlineLevel="1" x14ac:dyDescent="0.25">
      <c r="A23" s="706" t="s">
        <v>249</v>
      </c>
      <c r="B23" s="707"/>
    </row>
    <row r="24" spans="1:2" ht="8.1" hidden="1" customHeight="1" outlineLevel="1" x14ac:dyDescent="0.25">
      <c r="A24" s="314"/>
      <c r="B24" s="314"/>
    </row>
    <row r="25" spans="1:2" ht="52.5" hidden="1" customHeight="1" outlineLevel="1" x14ac:dyDescent="0.25">
      <c r="A25" s="709" t="s">
        <v>1247</v>
      </c>
      <c r="B25" s="707"/>
    </row>
    <row r="26" spans="1:2" ht="8.1" hidden="1" customHeight="1" outlineLevel="1" x14ac:dyDescent="0.25">
      <c r="A26" s="314"/>
      <c r="B26" s="314"/>
    </row>
    <row r="27" spans="1:2" ht="52.5" hidden="1" customHeight="1" outlineLevel="1" x14ac:dyDescent="0.25">
      <c r="A27" s="706" t="s">
        <v>1276</v>
      </c>
      <c r="B27" s="707"/>
    </row>
    <row r="28" spans="1:2" ht="8.1" hidden="1" customHeight="1" outlineLevel="1" x14ac:dyDescent="0.25">
      <c r="A28" s="314"/>
      <c r="B28" s="314"/>
    </row>
    <row r="29" spans="1:2" ht="15.75" hidden="1" outlineLevel="1" x14ac:dyDescent="0.25">
      <c r="A29" s="314"/>
      <c r="B29" s="314"/>
    </row>
    <row r="30" spans="1:2" ht="15.75" hidden="1" outlineLevel="1" x14ac:dyDescent="0.25">
      <c r="A30" s="314"/>
      <c r="B30" s="314"/>
    </row>
    <row r="31" spans="1:2" ht="15.75" hidden="1" outlineLevel="1" x14ac:dyDescent="0.25">
      <c r="A31" s="314" t="s">
        <v>40</v>
      </c>
      <c r="B31" s="316" t="s">
        <v>40</v>
      </c>
    </row>
    <row r="32" spans="1:2" ht="15.75" hidden="1" outlineLevel="1" x14ac:dyDescent="0.25">
      <c r="A32" s="319" t="s">
        <v>41</v>
      </c>
      <c r="B32" s="317" t="s">
        <v>41</v>
      </c>
    </row>
    <row r="33" spans="1:2" ht="15.75" hidden="1" outlineLevel="1" x14ac:dyDescent="0.25">
      <c r="A33" s="314"/>
      <c r="B33" s="316"/>
    </row>
    <row r="34" spans="1:2" ht="15.75" hidden="1" outlineLevel="1" x14ac:dyDescent="0.25">
      <c r="A34" s="314" t="s">
        <v>629</v>
      </c>
      <c r="B34" s="316" t="s">
        <v>629</v>
      </c>
    </row>
    <row r="35" spans="1:2" ht="15.75" hidden="1" outlineLevel="1" x14ac:dyDescent="0.25">
      <c r="A35" s="314" t="s">
        <v>976</v>
      </c>
      <c r="B35" s="317" t="str">
        <f>IF(Cover!B9="","Name:  ________________________",Cover!B9)</f>
        <v>Name:  ________________________</v>
      </c>
    </row>
    <row r="36" spans="1:2" ht="15.75" hidden="1" outlineLevel="1" x14ac:dyDescent="0.25">
      <c r="A36" s="314" t="s">
        <v>985</v>
      </c>
      <c r="B36" s="317" t="str">
        <f>IF(Cover!B10="","Title:  _________________________",Cover!B10)</f>
        <v>Title:  _________________________</v>
      </c>
    </row>
    <row r="37" spans="1:2" ht="15.75" hidden="1" outlineLevel="1" x14ac:dyDescent="0.25">
      <c r="A37" s="319" t="s">
        <v>329</v>
      </c>
      <c r="B37" s="314"/>
    </row>
    <row r="38" spans="1:2" ht="15.75" hidden="1" outlineLevel="1" x14ac:dyDescent="0.25">
      <c r="A38" s="319" t="s">
        <v>547</v>
      </c>
      <c r="B38" s="317" t="s">
        <v>546</v>
      </c>
    </row>
    <row r="39" spans="1:2" ht="34.5" hidden="1" customHeight="1" outlineLevel="1" thickBot="1" x14ac:dyDescent="0.25">
      <c r="A39" s="360" t="s">
        <v>38</v>
      </c>
      <c r="B39" s="361" t="str">
        <f>IF(Cover!B7="","(Merchant)",Cover!B7)</f>
        <v>(Merchant)</v>
      </c>
    </row>
    <row r="40" spans="1:2" ht="22.5" collapsed="1" x14ac:dyDescent="0.3">
      <c r="A40" s="708" t="s">
        <v>38</v>
      </c>
      <c r="B40" s="708"/>
    </row>
    <row r="41" spans="1:2" ht="8.1" customHeight="1" x14ac:dyDescent="0.2"/>
    <row r="42" spans="1:2" ht="15.75" x14ac:dyDescent="0.25">
      <c r="A42" s="319" t="s">
        <v>39</v>
      </c>
      <c r="B42" s="320" t="str">
        <f>Cover!B1</f>
        <v>22-XXXX</v>
      </c>
    </row>
    <row r="43" spans="1:2" ht="8.1" customHeight="1" x14ac:dyDescent="0.25">
      <c r="A43" s="314"/>
      <c r="B43" s="354"/>
    </row>
    <row r="44" spans="1:2" ht="15.75" x14ac:dyDescent="0.25">
      <c r="A44" s="319" t="s">
        <v>901</v>
      </c>
      <c r="B44" s="351" t="s">
        <v>242</v>
      </c>
    </row>
    <row r="45" spans="1:2" ht="8.1" customHeight="1" x14ac:dyDescent="0.25">
      <c r="A45" s="314"/>
      <c r="B45" s="352"/>
    </row>
    <row r="46" spans="1:2" ht="8.1" customHeight="1" thickBot="1" x14ac:dyDescent="0.25">
      <c r="A46" s="352"/>
      <c r="B46" s="352"/>
    </row>
    <row r="47" spans="1:2" ht="8.25" customHeight="1" x14ac:dyDescent="0.2">
      <c r="A47" s="355"/>
      <c r="B47" s="355"/>
    </row>
    <row r="48" spans="1:2" ht="79.5" customHeight="1" x14ac:dyDescent="0.25">
      <c r="A48" s="710" t="str">
        <f>CONCATENATE("This Service Contract (“Contract”) will become effective (the “Effective Date”) upon date signed by both parties as required by 46 §CFR 530.8 and will expire on ",IF(Cover!B6="","__________",TEXT(Cover!B6,"mmmmmmmmm dd, yyyy")),".", "  In no event shall the Effective Date be earlier than thirty (30) days prior to the filing of the Contract with the Federal Maritime Commission (“FMC”).")</f>
        <v>This Service Contract (“Contract”) will become effective (the “Effective Date”) upon date signed by both parties as required by 46 §CFR 530.8 and will expire on __________.  In no event shall the Effective Date be earlier than thirty (30) days prior to the filing of the Contract with the Federal Maritime Commission (“FMC”).</v>
      </c>
      <c r="B48" s="710"/>
    </row>
    <row r="49" spans="1:2" ht="8.1" customHeight="1" x14ac:dyDescent="0.2">
      <c r="A49" s="352"/>
      <c r="B49" s="352"/>
    </row>
    <row r="50" spans="1:2" ht="66.75" customHeight="1" x14ac:dyDescent="0.25">
      <c r="A50" s="704" t="str">
        <f>CONCATENATE("This Contract is made by and between CMA CGM S.A., a French company having its registered office at Boulevard Jacques Saadé, 4 Quai d'Arenc, 13002 Marseilles, France (hereinafter referred to as “Carrier”) and ",IF(Cover!B7="","__________",Cover!B7),", (hereinafter referred to as “Merchant”) whereby the parties mutually agree to bind themselves to the terms and conditions set forth herein.")</f>
        <v>This Contract is made by and between CMA CGM S.A., a French company having its registered office at Boulevard Jacques Saadé, 4 Quai d'Arenc, 13002 Marseilles, France (hereinafter referred to as “Carrier”) and __________, (hereinafter referred to as “Merchant”) whereby the parties mutually agree to bind themselves to the terms and conditions set forth herein.</v>
      </c>
      <c r="B50" s="704"/>
    </row>
    <row r="51" spans="1:2" ht="8.1" customHeight="1" x14ac:dyDescent="0.2">
      <c r="A51" s="352"/>
      <c r="B51" s="352"/>
    </row>
    <row r="52" spans="1:2" ht="66.75" customHeight="1" x14ac:dyDescent="0.25">
      <c r="A52" s="704" t="str">
        <f>CONCATENATE("Pursuant to FMC Regulation 46 C.F.R. §530.6, by execution of this Contract, Merchant certifies its status and that of all of its affiliates authorized to use this Contract as: (1) ",IF(Cover!B19="YES","__X__","_____")," Owner of the Cargo ('Beneficial Cargo Owner' or 'BCO'), (2) ",IF(Cover!B21="YES","__X__","_____")," Non-Vessel Operating Common Carrier (NVOCC), or (3) ",IF(Cover!B20="YES","__X__","_____"), " Shipper's Association",".")</f>
        <v>Pursuant to FMC Regulation 46 C.F.R. §530.6, by execution of this Contract, Merchant certifies its status and that of all of its affiliates authorized to use this Contract as: (1) _____ Owner of the Cargo ('Beneficial Cargo Owner' or 'BCO'), (2) _____ Non-Vessel Operating Common Carrier (NVOCC), or (3) _____ Shipper's Association.</v>
      </c>
      <c r="B52" s="704"/>
    </row>
    <row r="53" spans="1:2" ht="8.1" customHeight="1" x14ac:dyDescent="0.2">
      <c r="A53" s="352"/>
      <c r="B53" s="352"/>
    </row>
    <row r="54" spans="1:2" ht="96.75" customHeight="1" x14ac:dyDescent="0.2">
      <c r="A54" s="700" t="str">
        <f>IF(Cover!B21="YES",CONCATENATE("For all Merchants certifying their status as a NVOCC, it is further certified that Merchant is a duly licensed and bonded NVOCC having a published tariff and surety bond number ",IF(Cover!B22="","__________",Cover!B22),", dated ",IF(Cover!B23="","__________",TEXT(Cover!B23,"mmmmmmmmm dd, yyyy")),", issued by ",IF(Cover!B24="","__________",Cover!B24)," on ",IF(Cover!F23="",IF(Cover!B23="","__________",TEXT(Cover!B23,"mmmmmmmmm dd, yyyy")),TEXT(Cover!F23,"mmmmmmmmm dd, yyyy")),", which has been filed with the FMC, that an appropriate tariff or tariffs have been filed with the FMC, and that copies of tariff pages have been provided to Carrier."),"")</f>
        <v/>
      </c>
      <c r="B54" s="700"/>
    </row>
    <row r="55" spans="1:2" ht="8.1" customHeight="1" x14ac:dyDescent="0.2">
      <c r="A55" s="352"/>
      <c r="B55" s="352"/>
    </row>
    <row r="56" spans="1:2" ht="80.25" customHeight="1" x14ac:dyDescent="0.25">
      <c r="A56" s="704" t="s">
        <v>1135</v>
      </c>
      <c r="B56" s="704"/>
    </row>
    <row r="57" spans="1:2" ht="8.1" customHeight="1" x14ac:dyDescent="0.2">
      <c r="A57" s="352"/>
      <c r="B57" s="352"/>
    </row>
    <row r="58" spans="1:2" ht="80.25" customHeight="1" x14ac:dyDescent="0.25">
      <c r="A58" s="704" t="s">
        <v>1321</v>
      </c>
      <c r="B58" s="704"/>
    </row>
    <row r="59" spans="1:2" ht="8.1" customHeight="1" x14ac:dyDescent="0.2">
      <c r="A59" s="352"/>
      <c r="B59" s="352"/>
    </row>
    <row r="60" spans="1:2" ht="44.25" customHeight="1" x14ac:dyDescent="0.25">
      <c r="A60" s="704" t="s">
        <v>1353</v>
      </c>
      <c r="B60" s="704"/>
    </row>
    <row r="61" spans="1:2" ht="8.1" customHeight="1" x14ac:dyDescent="0.2">
      <c r="A61" s="352"/>
      <c r="B61" s="352"/>
    </row>
    <row r="62" spans="1:2" ht="34.5" customHeight="1" x14ac:dyDescent="0.25">
      <c r="A62" s="704" t="s">
        <v>1275</v>
      </c>
      <c r="B62" s="704"/>
    </row>
    <row r="63" spans="1:2" ht="8.1" customHeight="1" thickBot="1" x14ac:dyDescent="0.25">
      <c r="A63" s="352"/>
      <c r="B63" s="352"/>
    </row>
    <row r="64" spans="1:2" ht="4.5" customHeight="1" thickTop="1" x14ac:dyDescent="0.2">
      <c r="A64" s="356"/>
      <c r="B64" s="356"/>
    </row>
    <row r="65" spans="1:2" ht="15.75" x14ac:dyDescent="0.25">
      <c r="A65" s="314"/>
      <c r="B65" s="314"/>
    </row>
    <row r="66" spans="1:2" ht="15.75" x14ac:dyDescent="0.25">
      <c r="A66" s="314" t="s">
        <v>40</v>
      </c>
      <c r="B66" s="316" t="s">
        <v>40</v>
      </c>
    </row>
    <row r="67" spans="1:2" ht="15.75" x14ac:dyDescent="0.25">
      <c r="A67" s="319" t="s">
        <v>41</v>
      </c>
      <c r="B67" s="317" t="s">
        <v>41</v>
      </c>
    </row>
    <row r="68" spans="1:2" ht="15.75" x14ac:dyDescent="0.25">
      <c r="A68" s="314"/>
      <c r="B68" s="316"/>
    </row>
    <row r="69" spans="1:2" ht="15.75" x14ac:dyDescent="0.25">
      <c r="A69" s="314" t="s">
        <v>629</v>
      </c>
      <c r="B69" s="316" t="s">
        <v>629</v>
      </c>
    </row>
    <row r="70" spans="1:2" ht="15.75" x14ac:dyDescent="0.25">
      <c r="A70" s="314" t="s">
        <v>976</v>
      </c>
      <c r="B70" s="317" t="str">
        <f>IF(Cover!B9="","Contact:",Cover!B9)</f>
        <v>Contact:</v>
      </c>
    </row>
    <row r="71" spans="1:2" ht="15.75" x14ac:dyDescent="0.25">
      <c r="A71" s="314" t="s">
        <v>1323</v>
      </c>
      <c r="B71" s="317" t="str">
        <f>IF(Cover!B10="","Title:",Cover!B10)</f>
        <v>Title:</v>
      </c>
    </row>
    <row r="72" spans="1:2" ht="8.1" customHeight="1" x14ac:dyDescent="0.25">
      <c r="A72" s="314"/>
      <c r="B72" s="314"/>
    </row>
    <row r="73" spans="1:2" ht="15.75" x14ac:dyDescent="0.25">
      <c r="A73" s="319" t="s">
        <v>972</v>
      </c>
      <c r="B73" s="316" t="s">
        <v>972</v>
      </c>
    </row>
    <row r="74" spans="1:2" ht="15.75" x14ac:dyDescent="0.25">
      <c r="A74" s="319" t="s">
        <v>329</v>
      </c>
      <c r="B74" s="316"/>
    </row>
    <row r="75" spans="1:2" ht="16.5" customHeight="1" x14ac:dyDescent="0.25">
      <c r="A75" s="319" t="s">
        <v>973</v>
      </c>
      <c r="B75" s="316"/>
    </row>
    <row r="76" spans="1:2" ht="18.75" customHeight="1" x14ac:dyDescent="0.25">
      <c r="A76" s="359" t="s">
        <v>38</v>
      </c>
      <c r="B76" s="318" t="str">
        <f>IF(Cover!B7="","",Cover!B7)</f>
        <v/>
      </c>
    </row>
    <row r="77" spans="1:2" ht="18" customHeight="1" x14ac:dyDescent="0.25">
      <c r="A77" s="319" t="s">
        <v>1322</v>
      </c>
      <c r="B77" s="318" t="str">
        <f>IF(Cover!B11="","",Cover!B11)</f>
        <v/>
      </c>
    </row>
    <row r="78" spans="1:2" ht="15.75" x14ac:dyDescent="0.25">
      <c r="A78" s="319" t="s">
        <v>548</v>
      </c>
      <c r="B78" s="318" t="str">
        <f>IF(Cover!B12="","",Cover!B12)</f>
        <v/>
      </c>
    </row>
    <row r="79" spans="1:2" ht="8.1" customHeight="1" x14ac:dyDescent="0.25">
      <c r="A79" s="352"/>
      <c r="B79" s="316"/>
    </row>
    <row r="80" spans="1:2" ht="15.75" x14ac:dyDescent="0.25">
      <c r="A80" s="319" t="s">
        <v>437</v>
      </c>
      <c r="B80" s="317" t="str">
        <f>IF(Cover!B14="","Tel:     (required)",CONCATENATE("Tel: ",Cover!B14))</f>
        <v>Tel:     (required)</v>
      </c>
    </row>
    <row r="81" spans="1:2" ht="15.75" x14ac:dyDescent="0.25">
      <c r="A81" s="319" t="s">
        <v>420</v>
      </c>
      <c r="B81" s="317" t="str">
        <f>IF(Cover!B15="","Fax:     (required)",CONCATENATE("Fax: ",Cover!B15))</f>
        <v>Fax:     (required)</v>
      </c>
    </row>
    <row r="82" spans="1:2" ht="15.75" x14ac:dyDescent="0.25">
      <c r="A82" s="314" t="s">
        <v>1303</v>
      </c>
      <c r="B82" s="358" t="str">
        <f>IF(Cover!B16="","Email:     (required)",CONCATENATE("Email: ",Cover!B16))</f>
        <v>Email:     (required)</v>
      </c>
    </row>
    <row r="83" spans="1:2" ht="15.75" x14ac:dyDescent="0.25">
      <c r="A83" s="314"/>
      <c r="B83" s="317"/>
    </row>
    <row r="84" spans="1:2" ht="15.75" x14ac:dyDescent="0.25">
      <c r="A84" s="315" t="s">
        <v>1136</v>
      </c>
    </row>
    <row r="85" spans="1:2" ht="5.25" customHeight="1" x14ac:dyDescent="0.25">
      <c r="A85" s="314"/>
    </row>
    <row r="86" spans="1:2" ht="204" customHeight="1" x14ac:dyDescent="0.25">
      <c r="A86" s="704" t="s">
        <v>1137</v>
      </c>
      <c r="B86" s="704"/>
    </row>
    <row r="87" spans="1:2" ht="9.75" customHeight="1" x14ac:dyDescent="0.25">
      <c r="A87" s="314"/>
      <c r="B87" s="317"/>
    </row>
    <row r="88" spans="1:2" ht="111" customHeight="1" x14ac:dyDescent="0.25">
      <c r="A88" s="704" t="s">
        <v>1354</v>
      </c>
      <c r="B88" s="704"/>
    </row>
    <row r="89" spans="1:2" ht="9.75" customHeight="1" x14ac:dyDescent="0.25">
      <c r="A89" s="314"/>
      <c r="B89" s="317"/>
    </row>
    <row r="90" spans="1:2" ht="111" customHeight="1" x14ac:dyDescent="0.25">
      <c r="A90" s="704" t="s">
        <v>1355</v>
      </c>
      <c r="B90" s="704"/>
    </row>
    <row r="91" spans="1:2" ht="10.5" customHeight="1" x14ac:dyDescent="0.25">
      <c r="A91" s="314"/>
    </row>
    <row r="92" spans="1:2" ht="10.5" customHeight="1" x14ac:dyDescent="0.25">
      <c r="A92" s="315"/>
    </row>
    <row r="93" spans="1:2" ht="15.75" x14ac:dyDescent="0.25">
      <c r="A93" s="315" t="s">
        <v>1238</v>
      </c>
    </row>
    <row r="94" spans="1:2" ht="5.25" customHeight="1" x14ac:dyDescent="0.25">
      <c r="A94" s="314"/>
    </row>
    <row r="95" spans="1:2" ht="82.5" customHeight="1" x14ac:dyDescent="0.25">
      <c r="A95" s="704" t="s">
        <v>1138</v>
      </c>
      <c r="B95" s="704"/>
    </row>
    <row r="96" spans="1:2" ht="9" customHeight="1" x14ac:dyDescent="0.25">
      <c r="A96" s="314"/>
    </row>
    <row r="97" spans="1:2" ht="98.25" customHeight="1" x14ac:dyDescent="0.25">
      <c r="A97" s="704" t="s">
        <v>1139</v>
      </c>
      <c r="B97" s="704"/>
    </row>
    <row r="98" spans="1:2" ht="9" customHeight="1" x14ac:dyDescent="0.25">
      <c r="A98" s="314"/>
    </row>
    <row r="99" spans="1:2" ht="147" customHeight="1" x14ac:dyDescent="0.25">
      <c r="A99" s="704" t="s">
        <v>1140</v>
      </c>
      <c r="B99" s="704"/>
    </row>
    <row r="100" spans="1:2" ht="6.75" customHeight="1" x14ac:dyDescent="0.25">
      <c r="A100" s="314"/>
    </row>
    <row r="101" spans="1:2" ht="20.25" customHeight="1" x14ac:dyDescent="0.25">
      <c r="A101" s="714" t="s">
        <v>1239</v>
      </c>
      <c r="B101" s="715"/>
    </row>
    <row r="102" spans="1:2" ht="4.5" customHeight="1" x14ac:dyDescent="0.2"/>
    <row r="103" spans="1:2" ht="77.25" customHeight="1" x14ac:dyDescent="0.25">
      <c r="A103" s="704" t="s">
        <v>1141</v>
      </c>
      <c r="B103" s="704"/>
    </row>
    <row r="104" spans="1:2" ht="10.5" customHeight="1" x14ac:dyDescent="0.2"/>
    <row r="105" spans="1:2" ht="29.25" customHeight="1" x14ac:dyDescent="0.25">
      <c r="A105" s="704" t="s">
        <v>1142</v>
      </c>
      <c r="B105" s="704"/>
    </row>
    <row r="106" spans="1:2" ht="9.75" customHeight="1" x14ac:dyDescent="0.2"/>
    <row r="107" spans="1:2" ht="15.75" x14ac:dyDescent="0.25">
      <c r="A107" s="699" t="s">
        <v>1240</v>
      </c>
      <c r="B107" s="699"/>
    </row>
    <row r="108" spans="1:2" ht="8.25" customHeight="1" x14ac:dyDescent="0.25">
      <c r="A108" s="314"/>
      <c r="B108" s="314"/>
    </row>
    <row r="109" spans="1:2" ht="95.25" customHeight="1" x14ac:dyDescent="0.25">
      <c r="A109" s="702" t="s">
        <v>1143</v>
      </c>
      <c r="B109" s="702"/>
    </row>
    <row r="110" spans="1:2" ht="9.75" customHeight="1" x14ac:dyDescent="0.25">
      <c r="A110" s="314"/>
      <c r="B110" s="314"/>
    </row>
    <row r="111" spans="1:2" ht="161.25" customHeight="1" x14ac:dyDescent="0.25">
      <c r="A111" s="702" t="s">
        <v>1144</v>
      </c>
      <c r="B111" s="702"/>
    </row>
    <row r="112" spans="1:2" ht="6" customHeight="1" x14ac:dyDescent="0.25">
      <c r="A112" s="314"/>
      <c r="B112" s="314"/>
    </row>
    <row r="113" spans="1:2" ht="15.75" x14ac:dyDescent="0.25">
      <c r="A113" s="315" t="s">
        <v>1241</v>
      </c>
      <c r="B113" s="314"/>
    </row>
    <row r="114" spans="1:2" ht="6" customHeight="1" x14ac:dyDescent="0.25">
      <c r="A114" s="314"/>
      <c r="B114" s="314"/>
    </row>
    <row r="115" spans="1:2" ht="141.75" customHeight="1" x14ac:dyDescent="0.25">
      <c r="A115" s="702" t="s">
        <v>1356</v>
      </c>
      <c r="B115" s="702"/>
    </row>
    <row r="116" spans="1:2" ht="8.25" customHeight="1" x14ac:dyDescent="0.25">
      <c r="A116" s="702"/>
      <c r="B116" s="702"/>
    </row>
    <row r="117" spans="1:2" ht="50.25" customHeight="1" x14ac:dyDescent="0.25">
      <c r="A117" s="702" t="s">
        <v>1145</v>
      </c>
      <c r="B117" s="702"/>
    </row>
    <row r="118" spans="1:2" ht="8.25" customHeight="1" x14ac:dyDescent="0.25">
      <c r="A118" s="702"/>
      <c r="B118" s="702"/>
    </row>
    <row r="119" spans="1:2" ht="110.25" customHeight="1" x14ac:dyDescent="0.25">
      <c r="A119" s="702" t="s">
        <v>1146</v>
      </c>
      <c r="B119" s="702"/>
    </row>
    <row r="120" spans="1:2" ht="8.25" customHeight="1" x14ac:dyDescent="0.25">
      <c r="A120" s="702"/>
      <c r="B120" s="702"/>
    </row>
    <row r="121" spans="1:2" ht="31.5" customHeight="1" x14ac:dyDescent="0.25">
      <c r="A121" s="702" t="s">
        <v>1147</v>
      </c>
      <c r="B121" s="702"/>
    </row>
    <row r="122" spans="1:2" ht="12.75" customHeight="1" x14ac:dyDescent="0.25">
      <c r="A122" s="702"/>
      <c r="B122" s="702"/>
    </row>
    <row r="123" spans="1:2" ht="48" customHeight="1" x14ac:dyDescent="0.25">
      <c r="A123" s="702" t="s">
        <v>1148</v>
      </c>
      <c r="B123" s="702"/>
    </row>
    <row r="124" spans="1:2" ht="11.25" customHeight="1" x14ac:dyDescent="0.25">
      <c r="A124" s="314"/>
      <c r="B124" s="314"/>
    </row>
    <row r="125" spans="1:2" ht="15.75" x14ac:dyDescent="0.25">
      <c r="A125" s="315" t="s">
        <v>1242</v>
      </c>
      <c r="B125" s="314"/>
    </row>
    <row r="126" spans="1:2" ht="6.75" customHeight="1" x14ac:dyDescent="0.25">
      <c r="A126" s="314"/>
      <c r="B126" s="314"/>
    </row>
    <row r="127" spans="1:2" ht="81" customHeight="1" x14ac:dyDescent="0.2">
      <c r="A127" s="700" t="s">
        <v>1149</v>
      </c>
      <c r="B127" s="700"/>
    </row>
    <row r="128" spans="1:2" ht="6.75" customHeight="1" x14ac:dyDescent="0.25">
      <c r="A128" s="314"/>
      <c r="B128" s="314"/>
    </row>
    <row r="129" spans="1:2" ht="66.75" customHeight="1" x14ac:dyDescent="0.2">
      <c r="A129" s="700" t="s">
        <v>1150</v>
      </c>
      <c r="B129" s="700"/>
    </row>
    <row r="130" spans="1:2" ht="6.75" customHeight="1" x14ac:dyDescent="0.25">
      <c r="A130" s="314"/>
      <c r="B130" s="314"/>
    </row>
    <row r="131" spans="1:2" ht="117.75" customHeight="1" x14ac:dyDescent="0.2">
      <c r="A131" s="700" t="s">
        <v>1151</v>
      </c>
      <c r="B131" s="700"/>
    </row>
    <row r="132" spans="1:2" ht="8.25" customHeight="1" x14ac:dyDescent="0.25">
      <c r="A132" s="314"/>
      <c r="B132" s="314"/>
    </row>
    <row r="133" spans="1:2" ht="300.75" customHeight="1" x14ac:dyDescent="0.2">
      <c r="A133" s="700" t="s">
        <v>1152</v>
      </c>
      <c r="B133" s="700"/>
    </row>
    <row r="134" spans="1:2" ht="15.75" x14ac:dyDescent="0.25">
      <c r="A134" s="314"/>
      <c r="B134" s="314"/>
    </row>
    <row r="135" spans="1:2" ht="15.75" x14ac:dyDescent="0.25">
      <c r="A135" s="315" t="s">
        <v>1243</v>
      </c>
      <c r="B135" s="314"/>
    </row>
    <row r="136" spans="1:2" ht="9.75" customHeight="1" x14ac:dyDescent="0.25">
      <c r="A136" s="314"/>
      <c r="B136" s="314"/>
    </row>
    <row r="137" spans="1:2" ht="51.75" customHeight="1" x14ac:dyDescent="0.25">
      <c r="A137" s="702" t="s">
        <v>1153</v>
      </c>
      <c r="B137" s="702"/>
    </row>
    <row r="138" spans="1:2" ht="9.75" customHeight="1" x14ac:dyDescent="0.25">
      <c r="A138" s="314"/>
      <c r="B138" s="314"/>
    </row>
    <row r="139" spans="1:2" ht="151.5" customHeight="1" x14ac:dyDescent="0.25">
      <c r="A139" s="702" t="s">
        <v>1154</v>
      </c>
      <c r="B139" s="702"/>
    </row>
    <row r="140" spans="1:2" ht="15.75" x14ac:dyDescent="0.25">
      <c r="A140" s="314"/>
      <c r="B140" s="314"/>
    </row>
    <row r="141" spans="1:2" ht="15.75" x14ac:dyDescent="0.25">
      <c r="A141" s="315" t="s">
        <v>1244</v>
      </c>
      <c r="B141" s="314"/>
    </row>
    <row r="142" spans="1:2" ht="8.25" customHeight="1" x14ac:dyDescent="0.25">
      <c r="A142" s="314"/>
      <c r="B142" s="314"/>
    </row>
    <row r="143" spans="1:2" ht="28.5" customHeight="1" x14ac:dyDescent="0.25">
      <c r="A143" s="702" t="s">
        <v>1245</v>
      </c>
      <c r="B143" s="702"/>
    </row>
    <row r="144" spans="1:2" ht="12" customHeight="1" x14ac:dyDescent="0.25">
      <c r="A144" s="314"/>
      <c r="B144" s="314"/>
    </row>
    <row r="145" spans="1:2" ht="15.75" x14ac:dyDescent="0.25">
      <c r="A145" s="315" t="s">
        <v>1155</v>
      </c>
      <c r="B145" s="314"/>
    </row>
    <row r="146" spans="1:2" ht="7.5" customHeight="1" x14ac:dyDescent="0.25">
      <c r="A146" s="314"/>
      <c r="B146" s="314"/>
    </row>
    <row r="147" spans="1:2" ht="137.25" customHeight="1" x14ac:dyDescent="0.25">
      <c r="A147" s="702" t="s">
        <v>1156</v>
      </c>
      <c r="B147" s="702"/>
    </row>
    <row r="148" spans="1:2" ht="15.75" x14ac:dyDescent="0.25">
      <c r="A148" s="314"/>
      <c r="B148" s="314"/>
    </row>
    <row r="149" spans="1:2" ht="15.75" x14ac:dyDescent="0.25">
      <c r="A149" s="315" t="s">
        <v>1157</v>
      </c>
      <c r="B149" s="314"/>
    </row>
    <row r="150" spans="1:2" ht="9" customHeight="1" x14ac:dyDescent="0.25">
      <c r="A150" s="314"/>
      <c r="B150" s="314"/>
    </row>
    <row r="151" spans="1:2" ht="49.5" customHeight="1" x14ac:dyDescent="0.2">
      <c r="A151" s="700" t="s">
        <v>1158</v>
      </c>
      <c r="B151" s="700"/>
    </row>
    <row r="152" spans="1:2" ht="12.75" customHeight="1" x14ac:dyDescent="0.25">
      <c r="A152" s="314"/>
      <c r="B152" s="314"/>
    </row>
    <row r="153" spans="1:2" ht="84.75" customHeight="1" x14ac:dyDescent="0.2">
      <c r="A153" s="700" t="s">
        <v>1159</v>
      </c>
      <c r="B153" s="700"/>
    </row>
    <row r="154" spans="1:2" ht="9.75" customHeight="1" x14ac:dyDescent="0.25">
      <c r="A154" s="314"/>
      <c r="B154" s="314"/>
    </row>
    <row r="155" spans="1:2" ht="113.25" customHeight="1" x14ac:dyDescent="0.2">
      <c r="A155" s="700" t="s">
        <v>1160</v>
      </c>
      <c r="B155" s="700"/>
    </row>
    <row r="156" spans="1:2" ht="10.5" customHeight="1" x14ac:dyDescent="0.25">
      <c r="A156" s="314"/>
      <c r="B156" s="314"/>
    </row>
    <row r="157" spans="1:2" ht="15.75" x14ac:dyDescent="0.25">
      <c r="A157" s="315" t="s">
        <v>1161</v>
      </c>
      <c r="B157" s="314"/>
    </row>
    <row r="158" spans="1:2" ht="9" customHeight="1" x14ac:dyDescent="0.25">
      <c r="A158" s="314"/>
      <c r="B158" s="314"/>
    </row>
    <row r="159" spans="1:2" ht="93.75" customHeight="1" x14ac:dyDescent="0.25">
      <c r="A159" s="702" t="s">
        <v>1162</v>
      </c>
      <c r="B159" s="702"/>
    </row>
    <row r="160" spans="1:2" ht="15.75" x14ac:dyDescent="0.25">
      <c r="A160" s="314"/>
      <c r="B160" s="314"/>
    </row>
    <row r="161" spans="1:2" ht="15.75" x14ac:dyDescent="0.25">
      <c r="A161" s="699" t="s">
        <v>1357</v>
      </c>
      <c r="B161" s="699"/>
    </row>
    <row r="162" spans="1:2" ht="7.5" customHeight="1" x14ac:dyDescent="0.25">
      <c r="A162" s="314"/>
      <c r="B162" s="314"/>
    </row>
    <row r="163" spans="1:2" ht="69" customHeight="1" x14ac:dyDescent="0.25">
      <c r="A163" s="702" t="s">
        <v>1163</v>
      </c>
      <c r="B163" s="702"/>
    </row>
    <row r="164" spans="1:2" ht="7.5" customHeight="1" x14ac:dyDescent="0.25">
      <c r="A164" s="314"/>
      <c r="B164" s="314"/>
    </row>
    <row r="165" spans="1:2" ht="301.5" customHeight="1" x14ac:dyDescent="0.25">
      <c r="A165" s="702" t="s">
        <v>1164</v>
      </c>
      <c r="B165" s="702"/>
    </row>
    <row r="166" spans="1:2" ht="7.5" customHeight="1" x14ac:dyDescent="0.25">
      <c r="A166" s="314"/>
      <c r="B166" s="314"/>
    </row>
    <row r="167" spans="1:2" ht="111" customHeight="1" x14ac:dyDescent="0.25">
      <c r="A167" s="702" t="s">
        <v>1165</v>
      </c>
      <c r="B167" s="702"/>
    </row>
    <row r="168" spans="1:2" ht="7.5" customHeight="1" x14ac:dyDescent="0.25">
      <c r="A168" s="314"/>
      <c r="B168" s="314"/>
    </row>
    <row r="169" spans="1:2" ht="47.25" customHeight="1" x14ac:dyDescent="0.25">
      <c r="A169" s="702" t="s">
        <v>1166</v>
      </c>
      <c r="B169" s="702"/>
    </row>
    <row r="170" spans="1:2" ht="10.5" customHeight="1" x14ac:dyDescent="0.25">
      <c r="A170" s="314"/>
      <c r="B170" s="314"/>
    </row>
    <row r="171" spans="1:2" ht="33.75" customHeight="1" x14ac:dyDescent="0.2">
      <c r="A171" s="700" t="s">
        <v>1358</v>
      </c>
      <c r="B171" s="700"/>
    </row>
    <row r="172" spans="1:2" ht="15.75" x14ac:dyDescent="0.25">
      <c r="A172" s="314"/>
      <c r="B172" s="314"/>
    </row>
    <row r="173" spans="1:2" ht="15.75" x14ac:dyDescent="0.25">
      <c r="A173" s="315" t="s">
        <v>1167</v>
      </c>
      <c r="B173" s="314"/>
    </row>
    <row r="174" spans="1:2" ht="15.75" x14ac:dyDescent="0.25">
      <c r="A174" s="314"/>
      <c r="B174" s="314"/>
    </row>
    <row r="175" spans="1:2" ht="35.25" customHeight="1" x14ac:dyDescent="0.2">
      <c r="A175" s="700" t="s">
        <v>1168</v>
      </c>
      <c r="B175" s="700"/>
    </row>
    <row r="176" spans="1:2" ht="10.5" customHeight="1" x14ac:dyDescent="0.25">
      <c r="A176" s="314"/>
      <c r="B176" s="314"/>
    </row>
    <row r="177" spans="1:2" ht="50.25" customHeight="1" x14ac:dyDescent="0.2">
      <c r="A177" s="700" t="s">
        <v>1169</v>
      </c>
      <c r="B177" s="700"/>
    </row>
    <row r="178" spans="1:2" ht="10.5" customHeight="1" x14ac:dyDescent="0.25">
      <c r="A178" s="314"/>
      <c r="B178" s="314"/>
    </row>
    <row r="179" spans="1:2" ht="125.25" customHeight="1" x14ac:dyDescent="0.2">
      <c r="A179" s="700" t="s">
        <v>1170</v>
      </c>
      <c r="B179" s="700"/>
    </row>
    <row r="180" spans="1:2" ht="10.5" customHeight="1" x14ac:dyDescent="0.25">
      <c r="A180" s="314"/>
      <c r="B180" s="314"/>
    </row>
    <row r="181" spans="1:2" ht="33.75" customHeight="1" x14ac:dyDescent="0.2">
      <c r="A181" s="700" t="s">
        <v>1171</v>
      </c>
      <c r="B181" s="700"/>
    </row>
    <row r="182" spans="1:2" ht="15.75" x14ac:dyDescent="0.25">
      <c r="A182" s="314"/>
      <c r="B182" s="314"/>
    </row>
    <row r="183" spans="1:2" ht="15.75" x14ac:dyDescent="0.25">
      <c r="A183" s="315" t="s">
        <v>1172</v>
      </c>
      <c r="B183" s="314"/>
    </row>
    <row r="184" spans="1:2" ht="9" customHeight="1" x14ac:dyDescent="0.25">
      <c r="A184" s="314"/>
      <c r="B184" s="314"/>
    </row>
    <row r="185" spans="1:2" ht="79.5" customHeight="1" x14ac:dyDescent="0.25">
      <c r="A185" s="702" t="s">
        <v>1246</v>
      </c>
      <c r="B185" s="702"/>
    </row>
    <row r="186" spans="1:2" ht="9" customHeight="1" x14ac:dyDescent="0.25">
      <c r="A186" s="314"/>
      <c r="B186" s="314"/>
    </row>
    <row r="187" spans="1:2" ht="115.5" customHeight="1" x14ac:dyDescent="0.25">
      <c r="A187" s="702" t="s">
        <v>1359</v>
      </c>
      <c r="B187" s="702"/>
    </row>
    <row r="188" spans="1:2" ht="9" customHeight="1" x14ac:dyDescent="0.25">
      <c r="A188" s="314"/>
      <c r="B188" s="314"/>
    </row>
    <row r="189" spans="1:2" ht="158.25" customHeight="1" x14ac:dyDescent="0.25">
      <c r="A189" s="702" t="s">
        <v>1302</v>
      </c>
      <c r="B189" s="702"/>
    </row>
    <row r="190" spans="1:2" ht="9" customHeight="1" x14ac:dyDescent="0.25">
      <c r="A190" s="314"/>
      <c r="B190" s="314"/>
    </row>
    <row r="191" spans="1:2" ht="33" customHeight="1" x14ac:dyDescent="0.25">
      <c r="A191" s="702" t="s">
        <v>1360</v>
      </c>
      <c r="B191" s="702"/>
    </row>
    <row r="192" spans="1:2" ht="15.75" x14ac:dyDescent="0.25">
      <c r="A192" s="314"/>
      <c r="B192" s="314"/>
    </row>
    <row r="193" spans="1:2" ht="21" customHeight="1" x14ac:dyDescent="0.25">
      <c r="A193" s="315" t="s">
        <v>1173</v>
      </c>
      <c r="B193" s="587"/>
    </row>
    <row r="194" spans="1:2" ht="11.25" customHeight="1" x14ac:dyDescent="0.25">
      <c r="A194" s="315"/>
      <c r="B194" s="587"/>
    </row>
    <row r="195" spans="1:2" ht="158.25" customHeight="1" x14ac:dyDescent="0.25">
      <c r="A195" s="702" t="s">
        <v>1174</v>
      </c>
      <c r="B195" s="702"/>
    </row>
    <row r="196" spans="1:2" ht="7.5" customHeight="1" x14ac:dyDescent="0.25">
      <c r="A196" s="606"/>
      <c r="B196" s="606"/>
    </row>
    <row r="197" spans="1:2" ht="68.25" customHeight="1" x14ac:dyDescent="0.2">
      <c r="A197" s="700" t="s">
        <v>1175</v>
      </c>
      <c r="B197" s="700"/>
    </row>
    <row r="198" spans="1:2" ht="7.5" customHeight="1" x14ac:dyDescent="0.25">
      <c r="A198" s="668"/>
      <c r="B198" s="668"/>
    </row>
    <row r="199" spans="1:2" ht="15.75" x14ac:dyDescent="0.25">
      <c r="A199" s="315" t="s">
        <v>1176</v>
      </c>
      <c r="B199" s="630"/>
    </row>
    <row r="200" spans="1:2" ht="6.75" customHeight="1" x14ac:dyDescent="0.2">
      <c r="A200" s="630"/>
      <c r="B200" s="630"/>
    </row>
    <row r="201" spans="1:2" ht="127.5" customHeight="1" x14ac:dyDescent="0.2">
      <c r="A201" s="700" t="s">
        <v>1177</v>
      </c>
      <c r="B201" s="700"/>
    </row>
    <row r="202" spans="1:2" ht="10.5" customHeight="1" x14ac:dyDescent="0.25">
      <c r="A202" s="314"/>
      <c r="B202" s="314"/>
    </row>
    <row r="203" spans="1:2" ht="15.75" x14ac:dyDescent="0.25">
      <c r="A203" s="315" t="s">
        <v>1178</v>
      </c>
      <c r="B203" s="314"/>
    </row>
    <row r="204" spans="1:2" ht="12" customHeight="1" x14ac:dyDescent="0.25">
      <c r="A204" s="314"/>
      <c r="B204" s="314"/>
    </row>
    <row r="205" spans="1:2" ht="43.5" customHeight="1" x14ac:dyDescent="0.25">
      <c r="A205" s="702" t="s">
        <v>1179</v>
      </c>
      <c r="B205" s="702"/>
    </row>
    <row r="206" spans="1:2" ht="11.25" customHeight="1" x14ac:dyDescent="0.2">
      <c r="A206" s="586"/>
      <c r="B206" s="586"/>
    </row>
    <row r="207" spans="1:2" ht="13.5" customHeight="1" x14ac:dyDescent="0.25">
      <c r="A207" s="315" t="s">
        <v>1180</v>
      </c>
      <c r="B207" s="314"/>
    </row>
    <row r="208" spans="1:2" ht="10.5" customHeight="1" x14ac:dyDescent="0.25">
      <c r="A208" s="314"/>
      <c r="B208" s="314"/>
    </row>
    <row r="209" spans="1:2" ht="82.5" customHeight="1" x14ac:dyDescent="0.2">
      <c r="A209" s="700" t="s">
        <v>1181</v>
      </c>
      <c r="B209" s="700"/>
    </row>
    <row r="210" spans="1:2" ht="9" customHeight="1" x14ac:dyDescent="0.25">
      <c r="A210" s="314"/>
      <c r="B210" s="314"/>
    </row>
    <row r="211" spans="1:2" ht="156.75" customHeight="1" x14ac:dyDescent="0.25">
      <c r="A211" s="711" t="s">
        <v>1182</v>
      </c>
      <c r="B211" s="711"/>
    </row>
    <row r="212" spans="1:2" ht="8.25" customHeight="1" x14ac:dyDescent="0.25">
      <c r="A212" s="713"/>
      <c r="B212" s="713"/>
    </row>
    <row r="213" spans="1:2" ht="204" customHeight="1" x14ac:dyDescent="0.25">
      <c r="A213" s="711" t="s">
        <v>1183</v>
      </c>
      <c r="B213" s="711"/>
    </row>
    <row r="214" spans="1:2" ht="15.75" x14ac:dyDescent="0.25">
      <c r="A214" s="314"/>
      <c r="B214" s="314"/>
    </row>
    <row r="215" spans="1:2" ht="15.75" x14ac:dyDescent="0.25">
      <c r="A215" s="315" t="s">
        <v>1184</v>
      </c>
      <c r="B215" s="314"/>
    </row>
    <row r="216" spans="1:2" ht="15.75" x14ac:dyDescent="0.25">
      <c r="A216" s="314"/>
      <c r="B216" s="314"/>
    </row>
    <row r="217" spans="1:2" ht="20.25" customHeight="1" x14ac:dyDescent="0.2">
      <c r="A217" s="700" t="s">
        <v>1185</v>
      </c>
      <c r="B217" s="700"/>
    </row>
    <row r="218" spans="1:2" ht="137.25" customHeight="1" x14ac:dyDescent="0.2">
      <c r="A218" s="712" t="s">
        <v>1186</v>
      </c>
      <c r="B218" s="712"/>
    </row>
    <row r="219" spans="1:2" ht="65.25" customHeight="1" x14ac:dyDescent="0.25">
      <c r="A219" s="702" t="s">
        <v>1187</v>
      </c>
      <c r="B219" s="702"/>
    </row>
    <row r="220" spans="1:2" ht="14.25" customHeight="1" x14ac:dyDescent="0.2">
      <c r="A220" s="586"/>
      <c r="B220" s="586"/>
    </row>
    <row r="221" spans="1:2" ht="15.75" x14ac:dyDescent="0.25">
      <c r="A221" s="315" t="s">
        <v>1188</v>
      </c>
      <c r="B221" s="314"/>
    </row>
    <row r="222" spans="1:2" ht="10.5" customHeight="1" x14ac:dyDescent="0.25">
      <c r="A222" s="314"/>
      <c r="B222" s="314"/>
    </row>
    <row r="223" spans="1:2" ht="115.5" customHeight="1" x14ac:dyDescent="0.2">
      <c r="A223" s="700" t="s">
        <v>1189</v>
      </c>
      <c r="B223" s="700"/>
    </row>
    <row r="224" spans="1:2" ht="10.5" customHeight="1" x14ac:dyDescent="0.25">
      <c r="A224" s="314"/>
      <c r="B224" s="314"/>
    </row>
    <row r="225" spans="1:2" ht="167.25" customHeight="1" x14ac:dyDescent="0.2">
      <c r="A225" s="700" t="s">
        <v>1190</v>
      </c>
      <c r="B225" s="700"/>
    </row>
    <row r="226" spans="1:2" ht="147" customHeight="1" x14ac:dyDescent="0.2">
      <c r="A226" s="700" t="s">
        <v>1191</v>
      </c>
      <c r="B226" s="700"/>
    </row>
    <row r="227" spans="1:2" ht="10.5" customHeight="1" x14ac:dyDescent="0.25">
      <c r="A227" s="314"/>
      <c r="B227" s="314"/>
    </row>
    <row r="228" spans="1:2" ht="148.5" customHeight="1" x14ac:dyDescent="0.2">
      <c r="A228" s="700" t="s">
        <v>1192</v>
      </c>
      <c r="B228" s="700"/>
    </row>
    <row r="229" spans="1:2" ht="10.5" customHeight="1" x14ac:dyDescent="0.25">
      <c r="A229" s="314"/>
      <c r="B229" s="314"/>
    </row>
    <row r="230" spans="1:2" ht="195" customHeight="1" x14ac:dyDescent="0.2">
      <c r="A230" s="700" t="s">
        <v>1193</v>
      </c>
      <c r="B230" s="700"/>
    </row>
    <row r="231" spans="1:2" ht="6" customHeight="1" x14ac:dyDescent="0.25">
      <c r="A231" s="314"/>
      <c r="B231" s="314"/>
    </row>
    <row r="232" spans="1:2" ht="80.25" customHeight="1" x14ac:dyDescent="0.2">
      <c r="A232" s="700" t="s">
        <v>1248</v>
      </c>
      <c r="B232" s="700"/>
    </row>
    <row r="233" spans="1:2" ht="6.75" customHeight="1" x14ac:dyDescent="0.25">
      <c r="A233" s="314"/>
      <c r="B233" s="314"/>
    </row>
    <row r="234" spans="1:2" ht="114" customHeight="1" x14ac:dyDescent="0.2">
      <c r="A234" s="700" t="s">
        <v>1194</v>
      </c>
      <c r="B234" s="700"/>
    </row>
    <row r="235" spans="1:2" ht="10.5" customHeight="1" x14ac:dyDescent="0.25">
      <c r="A235" s="314"/>
      <c r="B235" s="314"/>
    </row>
    <row r="236" spans="1:2" ht="84" customHeight="1" x14ac:dyDescent="0.2">
      <c r="A236" s="700" t="s">
        <v>1195</v>
      </c>
      <c r="B236" s="700"/>
    </row>
    <row r="237" spans="1:2" ht="9" customHeight="1" x14ac:dyDescent="0.25">
      <c r="A237" s="314"/>
      <c r="B237" s="314"/>
    </row>
    <row r="238" spans="1:2" ht="34.5" customHeight="1" x14ac:dyDescent="0.2">
      <c r="A238" s="700" t="s">
        <v>1196</v>
      </c>
      <c r="B238" s="700"/>
    </row>
    <row r="239" spans="1:2" ht="10.5" customHeight="1" x14ac:dyDescent="0.25">
      <c r="A239" s="314"/>
      <c r="B239" s="314"/>
    </row>
    <row r="240" spans="1:2" ht="194.25" customHeight="1" x14ac:dyDescent="0.2">
      <c r="A240" s="700" t="s">
        <v>1197</v>
      </c>
      <c r="B240" s="700"/>
    </row>
    <row r="241" spans="1:2" ht="10.5" customHeight="1" x14ac:dyDescent="0.25">
      <c r="A241" s="314"/>
      <c r="B241" s="314"/>
    </row>
    <row r="242" spans="1:2" ht="129" customHeight="1" x14ac:dyDescent="0.2">
      <c r="A242" s="700" t="s">
        <v>1198</v>
      </c>
      <c r="B242" s="700"/>
    </row>
    <row r="243" spans="1:2" ht="15.75" x14ac:dyDescent="0.25">
      <c r="A243" s="314"/>
      <c r="B243" s="314"/>
    </row>
    <row r="244" spans="1:2" ht="15.75" x14ac:dyDescent="0.25">
      <c r="A244" s="315" t="s">
        <v>1199</v>
      </c>
      <c r="B244" s="314"/>
    </row>
    <row r="245" spans="1:2" ht="11.25" customHeight="1" x14ac:dyDescent="0.25">
      <c r="A245" s="314"/>
      <c r="B245" s="314"/>
    </row>
    <row r="246" spans="1:2" ht="333.75" customHeight="1" x14ac:dyDescent="0.2">
      <c r="A246" s="700" t="s">
        <v>1200</v>
      </c>
      <c r="B246" s="700"/>
    </row>
    <row r="247" spans="1:2" ht="11.25" customHeight="1" x14ac:dyDescent="0.25">
      <c r="A247" s="314"/>
      <c r="B247" s="314"/>
    </row>
    <row r="248" spans="1:2" ht="72.75" customHeight="1" x14ac:dyDescent="0.2">
      <c r="A248" s="700" t="s">
        <v>1201</v>
      </c>
      <c r="B248" s="700"/>
    </row>
    <row r="249" spans="1:2" ht="11.25" customHeight="1" x14ac:dyDescent="0.25">
      <c r="A249" s="314"/>
      <c r="B249" s="314"/>
    </row>
    <row r="250" spans="1:2" ht="51.75" customHeight="1" x14ac:dyDescent="0.2">
      <c r="A250" s="700" t="s">
        <v>1202</v>
      </c>
      <c r="B250" s="700"/>
    </row>
    <row r="251" spans="1:2" ht="11.25" customHeight="1" x14ac:dyDescent="0.25">
      <c r="A251" s="314"/>
      <c r="B251" s="314"/>
    </row>
    <row r="252" spans="1:2" ht="69" customHeight="1" x14ac:dyDescent="0.2">
      <c r="A252" s="700" t="s">
        <v>1203</v>
      </c>
      <c r="B252" s="700"/>
    </row>
    <row r="253" spans="1:2" ht="11.25" customHeight="1" x14ac:dyDescent="0.25">
      <c r="A253" s="314"/>
      <c r="B253" s="314"/>
    </row>
    <row r="254" spans="1:2" ht="53.25" customHeight="1" x14ac:dyDescent="0.2">
      <c r="A254" s="700" t="s">
        <v>1204</v>
      </c>
      <c r="B254" s="700"/>
    </row>
    <row r="255" spans="1:2" ht="11.25" customHeight="1" x14ac:dyDescent="0.25">
      <c r="A255" s="314"/>
      <c r="B255" s="314"/>
    </row>
    <row r="256" spans="1:2" ht="64.5" customHeight="1" x14ac:dyDescent="0.2">
      <c r="A256" s="700" t="s">
        <v>1205</v>
      </c>
      <c r="B256" s="700"/>
    </row>
    <row r="257" spans="1:2" ht="11.25" customHeight="1" x14ac:dyDescent="0.25">
      <c r="A257" s="314"/>
      <c r="B257" s="314"/>
    </row>
    <row r="258" spans="1:2" ht="34.5" customHeight="1" x14ac:dyDescent="0.2">
      <c r="A258" s="700" t="s">
        <v>1206</v>
      </c>
      <c r="B258" s="700"/>
    </row>
    <row r="259" spans="1:2" ht="11.25" customHeight="1" x14ac:dyDescent="0.25">
      <c r="A259" s="314"/>
      <c r="B259" s="314"/>
    </row>
    <row r="260" spans="1:2" ht="66.75" customHeight="1" x14ac:dyDescent="0.2">
      <c r="A260" s="700" t="s">
        <v>1207</v>
      </c>
      <c r="B260" s="700"/>
    </row>
    <row r="261" spans="1:2" ht="13.5" customHeight="1" x14ac:dyDescent="0.25">
      <c r="A261" s="314"/>
      <c r="B261" s="314"/>
    </row>
    <row r="262" spans="1:2" ht="21" customHeight="1" x14ac:dyDescent="0.25">
      <c r="A262" s="714" t="s">
        <v>1208</v>
      </c>
      <c r="B262" s="714"/>
    </row>
    <row r="263" spans="1:2" ht="11.25" customHeight="1" x14ac:dyDescent="0.25">
      <c r="A263" s="314"/>
      <c r="B263" s="314"/>
    </row>
    <row r="264" spans="1:2" ht="102.75" customHeight="1" x14ac:dyDescent="0.25">
      <c r="A264" s="702" t="s">
        <v>1209</v>
      </c>
      <c r="B264" s="702"/>
    </row>
    <row r="265" spans="1:2" ht="11.25" customHeight="1" x14ac:dyDescent="0.25">
      <c r="A265" s="314"/>
      <c r="B265" s="314"/>
    </row>
    <row r="266" spans="1:2" ht="114" customHeight="1" x14ac:dyDescent="0.2">
      <c r="A266" s="700" t="s">
        <v>1210</v>
      </c>
      <c r="B266" s="700"/>
    </row>
    <row r="267" spans="1:2" ht="8.25" customHeight="1" x14ac:dyDescent="0.25">
      <c r="A267" s="314"/>
      <c r="B267" s="314"/>
    </row>
    <row r="268" spans="1:2" ht="97.5" customHeight="1" x14ac:dyDescent="0.2">
      <c r="A268" s="700" t="s">
        <v>1211</v>
      </c>
      <c r="B268" s="700"/>
    </row>
    <row r="269" spans="1:2" ht="10.5" customHeight="1" x14ac:dyDescent="0.25">
      <c r="A269" s="587"/>
      <c r="B269" s="587"/>
    </row>
    <row r="270" spans="1:2" ht="19.5" customHeight="1" x14ac:dyDescent="0.25">
      <c r="A270" s="588" t="s">
        <v>1212</v>
      </c>
      <c r="B270" s="587"/>
    </row>
    <row r="271" spans="1:2" ht="10.5" customHeight="1" x14ac:dyDescent="0.25">
      <c r="A271" s="588"/>
      <c r="B271" s="587"/>
    </row>
    <row r="272" spans="1:2" ht="69" customHeight="1" x14ac:dyDescent="0.2">
      <c r="A272" s="700" t="s">
        <v>1213</v>
      </c>
      <c r="B272" s="700"/>
    </row>
    <row r="273" spans="1:2" ht="12.75" customHeight="1" x14ac:dyDescent="0.25">
      <c r="A273" s="314"/>
      <c r="B273" s="314"/>
    </row>
    <row r="274" spans="1:2" ht="15.75" x14ac:dyDescent="0.25">
      <c r="A274" s="315" t="s">
        <v>1214</v>
      </c>
      <c r="B274" s="314"/>
    </row>
    <row r="275" spans="1:2" ht="12" customHeight="1" x14ac:dyDescent="0.25">
      <c r="A275" s="314"/>
      <c r="B275" s="314"/>
    </row>
    <row r="276" spans="1:2" ht="95.25" customHeight="1" x14ac:dyDescent="0.25">
      <c r="A276" s="702" t="s">
        <v>1215</v>
      </c>
      <c r="B276" s="702"/>
    </row>
    <row r="277" spans="1:2" ht="15.75" x14ac:dyDescent="0.25">
      <c r="A277" s="314"/>
      <c r="B277" s="314"/>
    </row>
    <row r="278" spans="1:2" ht="15.75" x14ac:dyDescent="0.25">
      <c r="A278" s="315" t="s">
        <v>1216</v>
      </c>
      <c r="B278" s="314"/>
    </row>
    <row r="279" spans="1:2" ht="6" customHeight="1" x14ac:dyDescent="0.25">
      <c r="A279" s="314"/>
      <c r="B279" s="314"/>
    </row>
    <row r="280" spans="1:2" ht="59.25" customHeight="1" x14ac:dyDescent="0.25">
      <c r="A280" s="702" t="s">
        <v>1217</v>
      </c>
      <c r="B280" s="702"/>
    </row>
    <row r="281" spans="1:2" ht="7.5" customHeight="1" x14ac:dyDescent="0.25">
      <c r="A281" s="314"/>
      <c r="B281" s="314"/>
    </row>
    <row r="282" spans="1:2" ht="141" customHeight="1" x14ac:dyDescent="0.2">
      <c r="A282" s="700" t="s">
        <v>1218</v>
      </c>
      <c r="B282" s="700"/>
    </row>
    <row r="283" spans="1:2" ht="7.5" customHeight="1" x14ac:dyDescent="0.25">
      <c r="A283" s="314"/>
      <c r="B283" s="314"/>
    </row>
    <row r="284" spans="1:2" ht="49.5" customHeight="1" x14ac:dyDescent="0.25">
      <c r="A284" s="702" t="s">
        <v>1219</v>
      </c>
      <c r="B284" s="702"/>
    </row>
    <row r="285" spans="1:2" ht="7.5" customHeight="1" x14ac:dyDescent="0.25">
      <c r="A285" s="314"/>
      <c r="B285" s="314"/>
    </row>
    <row r="286" spans="1:2" ht="30.75" customHeight="1" x14ac:dyDescent="0.25">
      <c r="A286" s="702" t="s">
        <v>1220</v>
      </c>
      <c r="B286" s="702"/>
    </row>
    <row r="287" spans="1:2" ht="15.75" x14ac:dyDescent="0.25">
      <c r="A287" s="314"/>
      <c r="B287" s="314"/>
    </row>
    <row r="288" spans="1:2" ht="15.75" x14ac:dyDescent="0.25">
      <c r="A288" s="315" t="s">
        <v>1221</v>
      </c>
      <c r="B288" s="314"/>
    </row>
    <row r="289" spans="1:2" ht="9" customHeight="1" x14ac:dyDescent="0.25">
      <c r="A289" s="314"/>
      <c r="B289" s="314"/>
    </row>
    <row r="290" spans="1:2" ht="237" customHeight="1" x14ac:dyDescent="0.25">
      <c r="A290" s="702" t="s">
        <v>1331</v>
      </c>
      <c r="B290" s="702"/>
    </row>
    <row r="291" spans="1:2" ht="9" customHeight="1" x14ac:dyDescent="0.25">
      <c r="A291" s="314"/>
      <c r="B291" s="314"/>
    </row>
    <row r="292" spans="1:2" ht="63" customHeight="1" x14ac:dyDescent="0.25">
      <c r="A292" s="702" t="s">
        <v>1361</v>
      </c>
      <c r="B292" s="702"/>
    </row>
    <row r="293" spans="1:2" ht="9" customHeight="1" x14ac:dyDescent="0.25">
      <c r="A293" s="314"/>
      <c r="B293" s="314"/>
    </row>
    <row r="294" spans="1:2" ht="33.75" customHeight="1" x14ac:dyDescent="0.25">
      <c r="A294" s="702" t="s">
        <v>1222</v>
      </c>
      <c r="B294" s="702"/>
    </row>
    <row r="295" spans="1:2" ht="10.5" customHeight="1" x14ac:dyDescent="0.25">
      <c r="A295" s="314"/>
      <c r="B295" s="314"/>
    </row>
    <row r="296" spans="1:2" ht="15.75" x14ac:dyDescent="0.25">
      <c r="A296" s="315" t="s">
        <v>1223</v>
      </c>
      <c r="B296" s="314"/>
    </row>
    <row r="297" spans="1:2" ht="9" customHeight="1" x14ac:dyDescent="0.25">
      <c r="A297" s="314"/>
      <c r="B297" s="314"/>
    </row>
    <row r="298" spans="1:2" ht="52.5" customHeight="1" x14ac:dyDescent="0.25">
      <c r="A298" s="702" t="s">
        <v>1224</v>
      </c>
      <c r="B298" s="702"/>
    </row>
    <row r="299" spans="1:2" ht="9.75" customHeight="1" x14ac:dyDescent="0.25">
      <c r="A299" s="314"/>
      <c r="B299" s="314"/>
    </row>
    <row r="300" spans="1:2" ht="51.75" customHeight="1" x14ac:dyDescent="0.25">
      <c r="A300" s="702" t="s">
        <v>1225</v>
      </c>
      <c r="B300" s="702"/>
    </row>
    <row r="301" spans="1:2" ht="12" customHeight="1" x14ac:dyDescent="0.25">
      <c r="A301" s="314"/>
      <c r="B301" s="314"/>
    </row>
    <row r="302" spans="1:2" ht="15.75" x14ac:dyDescent="0.25">
      <c r="A302" s="315" t="s">
        <v>1226</v>
      </c>
      <c r="B302" s="314"/>
    </row>
    <row r="303" spans="1:2" ht="8.25" customHeight="1" x14ac:dyDescent="0.25">
      <c r="A303" s="716"/>
      <c r="B303" s="716"/>
    </row>
    <row r="304" spans="1:2" ht="66.75" customHeight="1" x14ac:dyDescent="0.25">
      <c r="A304" s="702" t="s">
        <v>1227</v>
      </c>
      <c r="B304" s="702"/>
    </row>
    <row r="305" spans="1:2" ht="12" customHeight="1" x14ac:dyDescent="0.25">
      <c r="A305" s="314"/>
      <c r="B305" s="314"/>
    </row>
    <row r="306" spans="1:2" ht="15.75" x14ac:dyDescent="0.25">
      <c r="A306" s="315" t="s">
        <v>1362</v>
      </c>
      <c r="B306" s="314"/>
    </row>
    <row r="307" spans="1:2" ht="8.25" customHeight="1" x14ac:dyDescent="0.25">
      <c r="A307" s="716"/>
      <c r="B307" s="716"/>
    </row>
    <row r="308" spans="1:2" ht="53.25" customHeight="1" x14ac:dyDescent="0.25">
      <c r="A308" s="702" t="s">
        <v>1363</v>
      </c>
      <c r="B308" s="702"/>
    </row>
    <row r="309" spans="1:2" ht="15.75" x14ac:dyDescent="0.25">
      <c r="A309" s="314"/>
      <c r="B309" s="314"/>
    </row>
    <row r="310" spans="1:2" ht="15.75" x14ac:dyDescent="0.25">
      <c r="A310" s="315" t="s">
        <v>1364</v>
      </c>
      <c r="B310" s="314"/>
    </row>
    <row r="311" spans="1:2" ht="8.25" customHeight="1" x14ac:dyDescent="0.25">
      <c r="A311" s="716"/>
      <c r="B311" s="716"/>
    </row>
    <row r="312" spans="1:2" ht="53.25" customHeight="1" x14ac:dyDescent="0.25">
      <c r="A312" s="702" t="s">
        <v>1365</v>
      </c>
      <c r="B312" s="702"/>
    </row>
    <row r="313" spans="1:2" ht="15.75" x14ac:dyDescent="0.25">
      <c r="A313" s="314"/>
      <c r="B313" s="314"/>
    </row>
    <row r="314" spans="1:2" ht="15.75" x14ac:dyDescent="0.25">
      <c r="A314" s="315" t="s">
        <v>1377</v>
      </c>
      <c r="B314" s="314"/>
    </row>
    <row r="315" spans="1:2" ht="8.25" customHeight="1" x14ac:dyDescent="0.25">
      <c r="A315" s="716"/>
      <c r="B315" s="716"/>
    </row>
    <row r="316" spans="1:2" ht="195.75" customHeight="1" x14ac:dyDescent="0.25">
      <c r="A316" s="702" t="s">
        <v>1378</v>
      </c>
      <c r="B316" s="702"/>
    </row>
    <row r="317" spans="1:2" ht="15.75" x14ac:dyDescent="0.25">
      <c r="A317" s="314"/>
      <c r="B317" s="314"/>
    </row>
    <row r="318" spans="1:2" ht="15.75" x14ac:dyDescent="0.25">
      <c r="A318" s="699" t="s">
        <v>1366</v>
      </c>
      <c r="B318" s="699"/>
    </row>
    <row r="319" spans="1:2" ht="15.75" x14ac:dyDescent="0.25">
      <c r="A319" s="314"/>
      <c r="B319" s="671" t="str">
        <f>CONCATENATE(Cover!B1&amp;"-"&amp;Cover!B2)</f>
        <v>22-XXXX-</v>
      </c>
    </row>
    <row r="320" spans="1:2" ht="55.5" customHeight="1" x14ac:dyDescent="0.2">
      <c r="A320" s="700" t="s">
        <v>1367</v>
      </c>
      <c r="B320" s="700"/>
    </row>
    <row r="321" spans="1:2" ht="105" customHeight="1" x14ac:dyDescent="0.2">
      <c r="A321" s="700" t="s">
        <v>1368</v>
      </c>
      <c r="B321" s="700"/>
    </row>
    <row r="322" spans="1:2" ht="5.25" customHeight="1" x14ac:dyDescent="0.25">
      <c r="A322" s="314"/>
      <c r="B322" s="314"/>
    </row>
    <row r="323" spans="1:2" ht="37.5" customHeight="1" x14ac:dyDescent="0.2">
      <c r="A323" s="701" t="s">
        <v>1369</v>
      </c>
      <c r="B323" s="701"/>
    </row>
    <row r="324" spans="1:2" ht="16.5" thickBot="1" x14ac:dyDescent="0.3">
      <c r="A324" s="314"/>
      <c r="B324" s="314"/>
    </row>
    <row r="325" spans="1:2" ht="32.25" thickBot="1" x14ac:dyDescent="0.25">
      <c r="A325" s="672" t="s">
        <v>1255</v>
      </c>
      <c r="B325" s="673"/>
    </row>
    <row r="326" spans="1:2" ht="12.75" customHeight="1" x14ac:dyDescent="0.2">
      <c r="A326" s="695" t="s">
        <v>1256</v>
      </c>
      <c r="B326" s="698"/>
    </row>
    <row r="327" spans="1:2" ht="12.75" customHeight="1" x14ac:dyDescent="0.2">
      <c r="A327" s="696"/>
      <c r="B327" s="698"/>
    </row>
    <row r="328" spans="1:2" ht="12.75" customHeight="1" x14ac:dyDescent="0.2">
      <c r="A328" s="696"/>
      <c r="B328" s="698"/>
    </row>
    <row r="329" spans="1:2" ht="24" customHeight="1" thickBot="1" x14ac:dyDescent="0.25">
      <c r="A329" s="697"/>
      <c r="B329" s="698"/>
    </row>
    <row r="330" spans="1:2" ht="12.75" customHeight="1" x14ac:dyDescent="0.2">
      <c r="A330" s="695" t="s">
        <v>1256</v>
      </c>
      <c r="B330" s="698"/>
    </row>
    <row r="331" spans="1:2" ht="12.75" customHeight="1" x14ac:dyDescent="0.2">
      <c r="A331" s="696"/>
      <c r="B331" s="698"/>
    </row>
    <row r="332" spans="1:2" ht="12.75" customHeight="1" x14ac:dyDescent="0.2">
      <c r="A332" s="696"/>
      <c r="B332" s="698"/>
    </row>
    <row r="333" spans="1:2" ht="31.5" customHeight="1" thickBot="1" x14ac:dyDescent="0.25">
      <c r="A333" s="697"/>
      <c r="B333" s="698"/>
    </row>
    <row r="334" spans="1:2" ht="12.75" customHeight="1" x14ac:dyDescent="0.2">
      <c r="A334" s="695" t="s">
        <v>1256</v>
      </c>
      <c r="B334" s="698"/>
    </row>
    <row r="335" spans="1:2" ht="12.75" customHeight="1" x14ac:dyDescent="0.2">
      <c r="A335" s="696"/>
      <c r="B335" s="698"/>
    </row>
    <row r="336" spans="1:2" ht="12.75" customHeight="1" x14ac:dyDescent="0.2">
      <c r="A336" s="696"/>
      <c r="B336" s="698"/>
    </row>
    <row r="337" spans="1:2" ht="28.5" customHeight="1" thickBot="1" x14ac:dyDescent="0.25">
      <c r="A337" s="697"/>
      <c r="B337" s="698"/>
    </row>
    <row r="338" spans="1:2" ht="12.75" customHeight="1" x14ac:dyDescent="0.2">
      <c r="A338" s="695" t="s">
        <v>1256</v>
      </c>
      <c r="B338" s="698"/>
    </row>
    <row r="339" spans="1:2" ht="12.75" customHeight="1" x14ac:dyDescent="0.2">
      <c r="A339" s="696"/>
      <c r="B339" s="698"/>
    </row>
    <row r="340" spans="1:2" ht="12.75" customHeight="1" x14ac:dyDescent="0.2">
      <c r="A340" s="696"/>
      <c r="B340" s="698"/>
    </row>
    <row r="341" spans="1:2" ht="30.75" customHeight="1" thickBot="1" x14ac:dyDescent="0.25">
      <c r="A341" s="697"/>
      <c r="B341" s="698"/>
    </row>
    <row r="342" spans="1:2" ht="15.75" x14ac:dyDescent="0.25">
      <c r="A342" s="314"/>
      <c r="B342" s="314"/>
    </row>
    <row r="343" spans="1:2" ht="15.75" x14ac:dyDescent="0.25">
      <c r="A343" s="314"/>
      <c r="B343" s="314"/>
    </row>
    <row r="344" spans="1:2" ht="15.75" x14ac:dyDescent="0.25">
      <c r="A344" s="314"/>
      <c r="B344" s="314"/>
    </row>
    <row r="345" spans="1:2" ht="15.75" x14ac:dyDescent="0.25">
      <c r="A345" s="314"/>
      <c r="B345" s="314"/>
    </row>
    <row r="346" spans="1:2" ht="15.75" x14ac:dyDescent="0.25">
      <c r="A346" s="314"/>
      <c r="B346" s="314"/>
    </row>
    <row r="347" spans="1:2" ht="15.75" x14ac:dyDescent="0.25">
      <c r="A347" s="314"/>
      <c r="B347" s="314"/>
    </row>
    <row r="348" spans="1:2" ht="15.75" x14ac:dyDescent="0.25">
      <c r="A348" s="314"/>
      <c r="B348" s="314"/>
    </row>
    <row r="349" spans="1:2" ht="15.75" x14ac:dyDescent="0.25">
      <c r="A349" s="314"/>
      <c r="B349" s="314"/>
    </row>
    <row r="350" spans="1:2" ht="15.75" x14ac:dyDescent="0.25">
      <c r="A350" s="314"/>
      <c r="B350" s="314"/>
    </row>
    <row r="351" spans="1:2" ht="15.75" x14ac:dyDescent="0.25">
      <c r="A351" s="314"/>
      <c r="B351" s="314"/>
    </row>
    <row r="352" spans="1:2" ht="15.75" x14ac:dyDescent="0.25">
      <c r="A352" s="314"/>
      <c r="B352" s="314"/>
    </row>
    <row r="353" spans="1:2" ht="15.75" x14ac:dyDescent="0.25">
      <c r="A353" s="314"/>
      <c r="B353" s="314"/>
    </row>
    <row r="354" spans="1:2" ht="15.75" x14ac:dyDescent="0.25">
      <c r="A354" s="314"/>
      <c r="B354" s="314"/>
    </row>
    <row r="355" spans="1:2" ht="15.75" x14ac:dyDescent="0.25">
      <c r="A355" s="314"/>
      <c r="B355" s="314"/>
    </row>
    <row r="356" spans="1:2" ht="15.75" x14ac:dyDescent="0.25">
      <c r="A356" s="314"/>
      <c r="B356" s="314"/>
    </row>
    <row r="357" spans="1:2" ht="15.75" x14ac:dyDescent="0.25">
      <c r="A357" s="314"/>
      <c r="B357" s="314"/>
    </row>
    <row r="358" spans="1:2" ht="15.75" x14ac:dyDescent="0.25">
      <c r="A358" s="314"/>
      <c r="B358" s="314"/>
    </row>
    <row r="359" spans="1:2" ht="15.75" x14ac:dyDescent="0.25">
      <c r="A359" s="314"/>
      <c r="B359" s="314"/>
    </row>
    <row r="360" spans="1:2" ht="15.75" x14ac:dyDescent="0.25">
      <c r="A360" s="314"/>
      <c r="B360" s="314"/>
    </row>
    <row r="361" spans="1:2" ht="15.75" x14ac:dyDescent="0.25">
      <c r="A361" s="314"/>
      <c r="B361" s="314"/>
    </row>
    <row r="362" spans="1:2" ht="15.75" x14ac:dyDescent="0.25">
      <c r="A362" s="314"/>
      <c r="B362" s="314"/>
    </row>
    <row r="363" spans="1:2" ht="15.75" x14ac:dyDescent="0.25">
      <c r="A363" s="314"/>
      <c r="B363" s="314"/>
    </row>
    <row r="364" spans="1:2" ht="15.75" x14ac:dyDescent="0.25">
      <c r="A364" s="314"/>
      <c r="B364" s="314"/>
    </row>
    <row r="365" spans="1:2" ht="15.75" x14ac:dyDescent="0.25">
      <c r="A365" s="314"/>
      <c r="B365" s="314"/>
    </row>
    <row r="366" spans="1:2" ht="15.75" x14ac:dyDescent="0.25">
      <c r="A366" s="314"/>
      <c r="B366" s="314"/>
    </row>
    <row r="367" spans="1:2" ht="15.75" x14ac:dyDescent="0.25">
      <c r="A367" s="314"/>
      <c r="B367" s="314"/>
    </row>
    <row r="368" spans="1:2" ht="15.75" x14ac:dyDescent="0.25">
      <c r="A368" s="314"/>
      <c r="B368" s="314"/>
    </row>
    <row r="369" spans="1:2" ht="15.75" x14ac:dyDescent="0.25">
      <c r="A369" s="314"/>
      <c r="B369" s="314"/>
    </row>
    <row r="370" spans="1:2" ht="15.75" x14ac:dyDescent="0.25">
      <c r="A370" s="314"/>
      <c r="B370" s="314"/>
    </row>
    <row r="371" spans="1:2" ht="15.75" x14ac:dyDescent="0.25">
      <c r="A371" s="314"/>
      <c r="B371" s="314"/>
    </row>
    <row r="372" spans="1:2" ht="15.75" x14ac:dyDescent="0.25">
      <c r="A372" s="314"/>
      <c r="B372" s="314"/>
    </row>
    <row r="373" spans="1:2" ht="15.75" x14ac:dyDescent="0.25">
      <c r="A373" s="314"/>
      <c r="B373" s="314"/>
    </row>
    <row r="374" spans="1:2" ht="15.75" x14ac:dyDescent="0.25">
      <c r="A374" s="314"/>
      <c r="B374" s="314"/>
    </row>
    <row r="375" spans="1:2" ht="15.75" x14ac:dyDescent="0.25">
      <c r="A375" s="314"/>
      <c r="B375" s="314"/>
    </row>
    <row r="376" spans="1:2" ht="15.75" x14ac:dyDescent="0.25">
      <c r="A376" s="314"/>
      <c r="B376" s="314"/>
    </row>
    <row r="377" spans="1:2" ht="15.75" x14ac:dyDescent="0.25">
      <c r="A377" s="314"/>
      <c r="B377" s="314"/>
    </row>
    <row r="378" spans="1:2" ht="15.75" x14ac:dyDescent="0.25">
      <c r="A378" s="314"/>
      <c r="B378" s="314"/>
    </row>
    <row r="379" spans="1:2" ht="15.75" x14ac:dyDescent="0.25">
      <c r="A379" s="314"/>
      <c r="B379" s="314"/>
    </row>
    <row r="380" spans="1:2" ht="15.75" x14ac:dyDescent="0.25">
      <c r="A380" s="314"/>
      <c r="B380" s="314"/>
    </row>
    <row r="381" spans="1:2" ht="15.75" x14ac:dyDescent="0.25">
      <c r="A381" s="314"/>
      <c r="B381" s="314"/>
    </row>
    <row r="382" spans="1:2" ht="15.75" x14ac:dyDescent="0.25">
      <c r="A382" s="314"/>
      <c r="B382" s="314"/>
    </row>
    <row r="383" spans="1:2" ht="15.75" x14ac:dyDescent="0.25">
      <c r="A383" s="314"/>
      <c r="B383" s="314"/>
    </row>
    <row r="384" spans="1:2" ht="15.75" x14ac:dyDescent="0.25">
      <c r="A384" s="314"/>
      <c r="B384" s="314"/>
    </row>
    <row r="385" spans="1:2" ht="15.75" x14ac:dyDescent="0.25">
      <c r="A385" s="314"/>
      <c r="B385" s="314"/>
    </row>
    <row r="386" spans="1:2" ht="12.75" customHeight="1" x14ac:dyDescent="0.25">
      <c r="A386" s="314"/>
      <c r="B386" s="314"/>
    </row>
    <row r="387" spans="1:2" ht="12.75" customHeight="1" x14ac:dyDescent="0.25">
      <c r="A387" s="314"/>
      <c r="B387" s="314"/>
    </row>
    <row r="388" spans="1:2" ht="12.75" customHeight="1" x14ac:dyDescent="0.25">
      <c r="A388" s="314"/>
      <c r="B388" s="314"/>
    </row>
    <row r="389" spans="1:2" ht="13.5" customHeight="1" x14ac:dyDescent="0.25">
      <c r="A389" s="314"/>
      <c r="B389" s="314"/>
    </row>
    <row r="390" spans="1:2" ht="12.75" customHeight="1" x14ac:dyDescent="0.25">
      <c r="A390" s="314"/>
      <c r="B390" s="314"/>
    </row>
    <row r="391" spans="1:2" ht="12.75" customHeight="1" x14ac:dyDescent="0.25">
      <c r="A391" s="314"/>
      <c r="B391" s="314"/>
    </row>
    <row r="392" spans="1:2" ht="12.75" customHeight="1" x14ac:dyDescent="0.25">
      <c r="A392" s="314"/>
      <c r="B392" s="314"/>
    </row>
    <row r="393" spans="1:2" ht="13.5" customHeight="1" x14ac:dyDescent="0.25">
      <c r="A393" s="314"/>
      <c r="B393" s="314"/>
    </row>
    <row r="394" spans="1:2" ht="12.75" customHeight="1" x14ac:dyDescent="0.25">
      <c r="A394" s="314"/>
      <c r="B394" s="314"/>
    </row>
    <row r="395" spans="1:2" ht="12.75" customHeight="1" x14ac:dyDescent="0.25">
      <c r="A395" s="314"/>
      <c r="B395" s="314"/>
    </row>
    <row r="396" spans="1:2" ht="12.75" customHeight="1" x14ac:dyDescent="0.25">
      <c r="A396" s="314"/>
      <c r="B396" s="314"/>
    </row>
    <row r="397" spans="1:2" ht="13.5" customHeight="1" x14ac:dyDescent="0.25">
      <c r="A397" s="314"/>
      <c r="B397" s="314"/>
    </row>
    <row r="398" spans="1:2" ht="12.75" customHeight="1" x14ac:dyDescent="0.25">
      <c r="A398" s="314"/>
      <c r="B398" s="314"/>
    </row>
    <row r="399" spans="1:2" ht="12.75" customHeight="1" x14ac:dyDescent="0.25">
      <c r="A399" s="314"/>
      <c r="B399" s="314"/>
    </row>
    <row r="400" spans="1:2" ht="12.75" customHeight="1" x14ac:dyDescent="0.25">
      <c r="A400" s="314"/>
      <c r="B400" s="314"/>
    </row>
    <row r="401" spans="1:2" ht="13.5" customHeight="1" x14ac:dyDescent="0.25">
      <c r="A401" s="314"/>
      <c r="B401" s="314"/>
    </row>
    <row r="402" spans="1:2" ht="15.75" x14ac:dyDescent="0.25">
      <c r="A402" s="314"/>
      <c r="B402" s="314"/>
    </row>
    <row r="403" spans="1:2" ht="15.75" x14ac:dyDescent="0.25">
      <c r="A403" s="314"/>
      <c r="B403" s="314"/>
    </row>
    <row r="404" spans="1:2" ht="15.75" x14ac:dyDescent="0.25">
      <c r="A404" s="314"/>
      <c r="B404" s="314"/>
    </row>
    <row r="405" spans="1:2" ht="15.75" x14ac:dyDescent="0.25">
      <c r="A405" s="314"/>
      <c r="B405" s="314"/>
    </row>
    <row r="406" spans="1:2" ht="15.75" x14ac:dyDescent="0.25">
      <c r="A406" s="314"/>
      <c r="B406" s="314"/>
    </row>
    <row r="407" spans="1:2" ht="15.75" x14ac:dyDescent="0.25">
      <c r="A407" s="314"/>
      <c r="B407" s="314"/>
    </row>
    <row r="408" spans="1:2" ht="15.75" x14ac:dyDescent="0.25">
      <c r="A408" s="314"/>
      <c r="B408" s="314"/>
    </row>
    <row r="409" spans="1:2" ht="15.75" x14ac:dyDescent="0.25">
      <c r="A409" s="314"/>
      <c r="B409" s="314"/>
    </row>
    <row r="410" spans="1:2" ht="15.75" x14ac:dyDescent="0.25">
      <c r="A410" s="314"/>
      <c r="B410" s="314"/>
    </row>
    <row r="411" spans="1:2" ht="15.75" x14ac:dyDescent="0.25">
      <c r="A411" s="314"/>
      <c r="B411" s="314"/>
    </row>
    <row r="412" spans="1:2" ht="15.75" x14ac:dyDescent="0.25">
      <c r="A412" s="314"/>
      <c r="B412" s="314"/>
    </row>
    <row r="413" spans="1:2" ht="15.75" x14ac:dyDescent="0.25">
      <c r="A413" s="314"/>
      <c r="B413" s="314"/>
    </row>
    <row r="414" spans="1:2" ht="15.75" x14ac:dyDescent="0.25">
      <c r="A414" s="314"/>
      <c r="B414" s="314"/>
    </row>
    <row r="415" spans="1:2" ht="15.75" x14ac:dyDescent="0.25">
      <c r="A415" s="314"/>
      <c r="B415" s="314"/>
    </row>
    <row r="416" spans="1:2" ht="15.75" x14ac:dyDescent="0.25">
      <c r="A416" s="314"/>
      <c r="B416" s="314"/>
    </row>
    <row r="417" spans="1:2" ht="15.75" x14ac:dyDescent="0.25">
      <c r="A417" s="314"/>
      <c r="B417" s="314"/>
    </row>
    <row r="418" spans="1:2" ht="15.75" x14ac:dyDescent="0.25">
      <c r="A418" s="314"/>
      <c r="B418" s="314"/>
    </row>
    <row r="419" spans="1:2" ht="15.75" x14ac:dyDescent="0.25">
      <c r="A419" s="314"/>
      <c r="B419" s="314"/>
    </row>
    <row r="420" spans="1:2" ht="15.75" x14ac:dyDescent="0.25">
      <c r="A420" s="314"/>
      <c r="B420" s="314"/>
    </row>
    <row r="421" spans="1:2" ht="15.75" x14ac:dyDescent="0.25">
      <c r="A421" s="314"/>
      <c r="B421" s="314"/>
    </row>
    <row r="422" spans="1:2" ht="15.75" x14ac:dyDescent="0.25">
      <c r="A422" s="314"/>
      <c r="B422" s="314"/>
    </row>
    <row r="423" spans="1:2" ht="15.75" x14ac:dyDescent="0.25">
      <c r="A423" s="314"/>
      <c r="B423" s="314"/>
    </row>
    <row r="424" spans="1:2" ht="15.75" x14ac:dyDescent="0.25">
      <c r="A424" s="314"/>
      <c r="B424" s="314"/>
    </row>
    <row r="425" spans="1:2" ht="15.75" x14ac:dyDescent="0.25">
      <c r="A425" s="314"/>
      <c r="B425" s="314"/>
    </row>
    <row r="426" spans="1:2" ht="15.75" x14ac:dyDescent="0.25">
      <c r="A426" s="314"/>
      <c r="B426" s="314"/>
    </row>
    <row r="427" spans="1:2" ht="15.75" x14ac:dyDescent="0.25">
      <c r="A427" s="314"/>
      <c r="B427" s="314"/>
    </row>
    <row r="428" spans="1:2" ht="15.75" x14ac:dyDescent="0.25">
      <c r="A428" s="314"/>
      <c r="B428" s="314"/>
    </row>
    <row r="429" spans="1:2" ht="15.75" x14ac:dyDescent="0.25">
      <c r="A429" s="314"/>
      <c r="B429" s="314"/>
    </row>
    <row r="430" spans="1:2" ht="15.75" x14ac:dyDescent="0.25">
      <c r="A430" s="314"/>
      <c r="B430" s="314"/>
    </row>
    <row r="431" spans="1:2" ht="15.75" x14ac:dyDescent="0.25">
      <c r="A431" s="314"/>
      <c r="B431" s="314"/>
    </row>
    <row r="432" spans="1:2" ht="15.75" x14ac:dyDescent="0.25">
      <c r="A432" s="314"/>
      <c r="B432" s="314"/>
    </row>
    <row r="433" spans="1:2" ht="15.75" x14ac:dyDescent="0.25">
      <c r="A433" s="314"/>
      <c r="B433" s="314"/>
    </row>
    <row r="434" spans="1:2" ht="15.75" x14ac:dyDescent="0.25">
      <c r="A434" s="314"/>
      <c r="B434" s="314"/>
    </row>
    <row r="435" spans="1:2" ht="15.75" x14ac:dyDescent="0.25">
      <c r="A435" s="314"/>
      <c r="B435" s="314"/>
    </row>
    <row r="436" spans="1:2" ht="15.75" x14ac:dyDescent="0.25">
      <c r="A436" s="314"/>
      <c r="B436" s="314"/>
    </row>
    <row r="437" spans="1:2" ht="15.75" x14ac:dyDescent="0.25">
      <c r="A437" s="314"/>
      <c r="B437" s="314"/>
    </row>
    <row r="438" spans="1:2" ht="15.75" x14ac:dyDescent="0.25">
      <c r="A438" s="314"/>
      <c r="B438" s="314"/>
    </row>
    <row r="439" spans="1:2" ht="15.75" x14ac:dyDescent="0.25">
      <c r="A439" s="314"/>
      <c r="B439" s="314"/>
    </row>
    <row r="440" spans="1:2" ht="15.75" x14ac:dyDescent="0.25">
      <c r="A440" s="314"/>
      <c r="B440" s="314"/>
    </row>
    <row r="441" spans="1:2" ht="15.75" x14ac:dyDescent="0.25">
      <c r="A441" s="314"/>
      <c r="B441" s="314"/>
    </row>
    <row r="442" spans="1:2" ht="15.75" x14ac:dyDescent="0.25">
      <c r="A442" s="314"/>
      <c r="B442" s="314"/>
    </row>
    <row r="443" spans="1:2" ht="15.75" x14ac:dyDescent="0.25">
      <c r="A443" s="314"/>
      <c r="B443" s="314"/>
    </row>
    <row r="444" spans="1:2" ht="15.75" x14ac:dyDescent="0.25">
      <c r="A444" s="314"/>
      <c r="B444" s="314"/>
    </row>
    <row r="445" spans="1:2" ht="15.75" x14ac:dyDescent="0.25">
      <c r="A445" s="314"/>
      <c r="B445" s="314"/>
    </row>
    <row r="446" spans="1:2" ht="15.75" x14ac:dyDescent="0.25">
      <c r="A446" s="314"/>
      <c r="B446" s="314"/>
    </row>
    <row r="447" spans="1:2" ht="15.75" x14ac:dyDescent="0.25">
      <c r="A447" s="314"/>
      <c r="B447" s="314"/>
    </row>
    <row r="448" spans="1:2" ht="15.75" x14ac:dyDescent="0.25">
      <c r="A448" s="314"/>
      <c r="B448" s="314"/>
    </row>
    <row r="449" spans="1:2" ht="15.75" x14ac:dyDescent="0.25">
      <c r="A449" s="314"/>
      <c r="B449" s="314"/>
    </row>
    <row r="450" spans="1:2" ht="15.75" x14ac:dyDescent="0.25">
      <c r="A450" s="314"/>
      <c r="B450" s="314"/>
    </row>
    <row r="451" spans="1:2" ht="15.75" x14ac:dyDescent="0.25">
      <c r="A451" s="314"/>
      <c r="B451" s="314"/>
    </row>
    <row r="452" spans="1:2" ht="15.75" x14ac:dyDescent="0.25">
      <c r="A452" s="314"/>
      <c r="B452" s="314"/>
    </row>
    <row r="453" spans="1:2" ht="15.75" x14ac:dyDescent="0.25">
      <c r="A453" s="314"/>
      <c r="B453" s="314"/>
    </row>
    <row r="454" spans="1:2" ht="15.75" x14ac:dyDescent="0.25">
      <c r="A454" s="314"/>
      <c r="B454" s="314"/>
    </row>
    <row r="455" spans="1:2" ht="15.75" x14ac:dyDescent="0.25">
      <c r="A455" s="314"/>
      <c r="B455" s="314"/>
    </row>
    <row r="456" spans="1:2" ht="15.75" x14ac:dyDescent="0.25">
      <c r="A456" s="314"/>
      <c r="B456" s="314"/>
    </row>
    <row r="457" spans="1:2" ht="15.75" x14ac:dyDescent="0.25">
      <c r="A457" s="314"/>
      <c r="B457" s="314"/>
    </row>
    <row r="458" spans="1:2" ht="15.75" x14ac:dyDescent="0.25">
      <c r="A458" s="314"/>
      <c r="B458" s="314"/>
    </row>
    <row r="459" spans="1:2" ht="15.75" x14ac:dyDescent="0.25">
      <c r="A459" s="314"/>
      <c r="B459" s="314"/>
    </row>
    <row r="460" spans="1:2" ht="15.75" x14ac:dyDescent="0.25">
      <c r="A460" s="314"/>
      <c r="B460" s="314"/>
    </row>
    <row r="461" spans="1:2" ht="15.75" x14ac:dyDescent="0.25">
      <c r="A461" s="314"/>
      <c r="B461" s="314"/>
    </row>
    <row r="462" spans="1:2" ht="15.75" x14ac:dyDescent="0.25">
      <c r="A462" s="314"/>
      <c r="B462" s="314"/>
    </row>
    <row r="463" spans="1:2" ht="15.75" x14ac:dyDescent="0.25">
      <c r="A463" s="314"/>
      <c r="B463" s="314"/>
    </row>
    <row r="464" spans="1:2" ht="15.75" x14ac:dyDescent="0.25">
      <c r="A464" s="314"/>
      <c r="B464" s="314"/>
    </row>
    <row r="465" spans="1:2" ht="15.75" x14ac:dyDescent="0.25">
      <c r="A465" s="314"/>
      <c r="B465" s="314"/>
    </row>
    <row r="466" spans="1:2" ht="15.75" x14ac:dyDescent="0.25">
      <c r="A466" s="314"/>
      <c r="B466" s="314"/>
    </row>
    <row r="467" spans="1:2" ht="15.75" x14ac:dyDescent="0.25">
      <c r="A467" s="314"/>
      <c r="B467" s="314"/>
    </row>
    <row r="468" spans="1:2" ht="15.75" x14ac:dyDescent="0.25">
      <c r="A468" s="314"/>
      <c r="B468" s="314"/>
    </row>
    <row r="469" spans="1:2" ht="15.75" x14ac:dyDescent="0.25">
      <c r="A469" s="314"/>
      <c r="B469" s="314"/>
    </row>
    <row r="470" spans="1:2" ht="15.75" x14ac:dyDescent="0.25">
      <c r="A470" s="314"/>
      <c r="B470" s="314"/>
    </row>
    <row r="471" spans="1:2" ht="15.75" x14ac:dyDescent="0.25">
      <c r="A471" s="314"/>
      <c r="B471" s="314"/>
    </row>
    <row r="472" spans="1:2" ht="15.75" x14ac:dyDescent="0.25">
      <c r="A472" s="314"/>
      <c r="B472" s="314"/>
    </row>
    <row r="473" spans="1:2" ht="15.75" x14ac:dyDescent="0.25">
      <c r="A473" s="314"/>
      <c r="B473" s="314"/>
    </row>
    <row r="474" spans="1:2" ht="15.75" x14ac:dyDescent="0.25">
      <c r="A474" s="314"/>
      <c r="B474" s="314"/>
    </row>
    <row r="475" spans="1:2" ht="15.75" x14ac:dyDescent="0.25">
      <c r="A475" s="314"/>
      <c r="B475" s="314"/>
    </row>
    <row r="476" spans="1:2" ht="15.75" x14ac:dyDescent="0.25">
      <c r="A476" s="314"/>
      <c r="B476" s="314"/>
    </row>
    <row r="477" spans="1:2" ht="15.75" x14ac:dyDescent="0.25">
      <c r="A477" s="314"/>
      <c r="B477" s="314"/>
    </row>
    <row r="478" spans="1:2" ht="15.75" x14ac:dyDescent="0.25">
      <c r="A478" s="314"/>
      <c r="B478" s="314"/>
    </row>
    <row r="479" spans="1:2" ht="15.75" x14ac:dyDescent="0.25">
      <c r="A479" s="314"/>
      <c r="B479" s="314"/>
    </row>
    <row r="480" spans="1:2" ht="15.75" x14ac:dyDescent="0.25">
      <c r="A480" s="314"/>
      <c r="B480" s="314"/>
    </row>
    <row r="481" spans="1:2" ht="15.75" x14ac:dyDescent="0.25">
      <c r="A481" s="314"/>
      <c r="B481" s="314"/>
    </row>
    <row r="482" spans="1:2" ht="15.75" x14ac:dyDescent="0.25">
      <c r="A482" s="314"/>
      <c r="B482" s="314"/>
    </row>
    <row r="483" spans="1:2" ht="15.75" x14ac:dyDescent="0.25">
      <c r="A483" s="314"/>
      <c r="B483" s="314"/>
    </row>
    <row r="484" spans="1:2" ht="15.75" x14ac:dyDescent="0.25">
      <c r="A484" s="314"/>
      <c r="B484" s="314"/>
    </row>
    <row r="485" spans="1:2" ht="15.75" x14ac:dyDescent="0.25">
      <c r="A485" s="314"/>
      <c r="B485" s="314"/>
    </row>
    <row r="486" spans="1:2" ht="15.75" x14ac:dyDescent="0.25">
      <c r="A486" s="314"/>
      <c r="B486" s="314"/>
    </row>
    <row r="487" spans="1:2" ht="15.75" x14ac:dyDescent="0.25">
      <c r="A487" s="314"/>
      <c r="B487" s="314"/>
    </row>
    <row r="488" spans="1:2" ht="15.75" x14ac:dyDescent="0.25">
      <c r="A488" s="314"/>
      <c r="B488" s="314"/>
    </row>
    <row r="489" spans="1:2" ht="15.75" x14ac:dyDescent="0.25">
      <c r="A489" s="314"/>
      <c r="B489" s="314"/>
    </row>
    <row r="490" spans="1:2" ht="15.75" x14ac:dyDescent="0.25">
      <c r="A490" s="314"/>
      <c r="B490" s="314"/>
    </row>
    <row r="491" spans="1:2" ht="15.75" x14ac:dyDescent="0.25">
      <c r="A491" s="314"/>
      <c r="B491" s="314"/>
    </row>
    <row r="492" spans="1:2" ht="15.75" x14ac:dyDescent="0.25">
      <c r="A492" s="314"/>
      <c r="B492" s="314"/>
    </row>
    <row r="493" spans="1:2" ht="15.75" x14ac:dyDescent="0.25">
      <c r="A493" s="314"/>
      <c r="B493" s="314"/>
    </row>
    <row r="494" spans="1:2" ht="15.75" x14ac:dyDescent="0.25">
      <c r="A494" s="314"/>
      <c r="B494" s="314"/>
    </row>
    <row r="495" spans="1:2" ht="15.75" x14ac:dyDescent="0.25">
      <c r="A495" s="314"/>
      <c r="B495" s="314"/>
    </row>
    <row r="496" spans="1:2" ht="15.75" x14ac:dyDescent="0.25">
      <c r="A496" s="314"/>
      <c r="B496" s="314"/>
    </row>
    <row r="497" spans="1:2" ht="15.75" x14ac:dyDescent="0.25">
      <c r="A497" s="314"/>
      <c r="B497" s="314"/>
    </row>
    <row r="498" spans="1:2" ht="15.75" x14ac:dyDescent="0.25">
      <c r="A498" s="314"/>
      <c r="B498" s="314"/>
    </row>
    <row r="499" spans="1:2" ht="15.75" x14ac:dyDescent="0.25">
      <c r="A499" s="314"/>
      <c r="B499" s="314"/>
    </row>
    <row r="500" spans="1:2" ht="15.75" x14ac:dyDescent="0.25">
      <c r="A500" s="314"/>
      <c r="B500" s="314"/>
    </row>
    <row r="501" spans="1:2" ht="15.75" x14ac:dyDescent="0.25">
      <c r="A501" s="314"/>
      <c r="B501" s="314"/>
    </row>
    <row r="502" spans="1:2" ht="15.75" x14ac:dyDescent="0.25">
      <c r="A502" s="314"/>
      <c r="B502" s="314"/>
    </row>
    <row r="503" spans="1:2" ht="15.75" x14ac:dyDescent="0.25">
      <c r="A503" s="314"/>
      <c r="B503" s="314"/>
    </row>
    <row r="504" spans="1:2" ht="15.75" x14ac:dyDescent="0.25">
      <c r="A504" s="314"/>
      <c r="B504" s="314"/>
    </row>
    <row r="505" spans="1:2" ht="15.75" x14ac:dyDescent="0.25">
      <c r="A505" s="314"/>
      <c r="B505" s="314"/>
    </row>
    <row r="506" spans="1:2" ht="15.75" x14ac:dyDescent="0.25">
      <c r="A506" s="314"/>
      <c r="B506" s="314"/>
    </row>
    <row r="507" spans="1:2" ht="15.75" x14ac:dyDescent="0.25">
      <c r="A507" s="314"/>
      <c r="B507" s="314"/>
    </row>
    <row r="508" spans="1:2" ht="15.75" x14ac:dyDescent="0.25">
      <c r="A508" s="314"/>
      <c r="B508" s="314"/>
    </row>
    <row r="509" spans="1:2" ht="15.75" x14ac:dyDescent="0.25">
      <c r="A509" s="314"/>
      <c r="B509" s="314"/>
    </row>
    <row r="510" spans="1:2" ht="15.75" x14ac:dyDescent="0.25">
      <c r="A510" s="314"/>
      <c r="B510" s="314"/>
    </row>
    <row r="511" spans="1:2" ht="15.75" x14ac:dyDescent="0.25">
      <c r="A511" s="314"/>
      <c r="B511" s="314"/>
    </row>
    <row r="512" spans="1:2" ht="15.75" x14ac:dyDescent="0.25">
      <c r="A512" s="314"/>
      <c r="B512" s="314"/>
    </row>
    <row r="513" spans="1:2" ht="15.75" x14ac:dyDescent="0.25">
      <c r="A513" s="314"/>
      <c r="B513" s="314"/>
    </row>
    <row r="514" spans="1:2" ht="15.75" x14ac:dyDescent="0.25">
      <c r="A514" s="314"/>
      <c r="B514" s="314"/>
    </row>
    <row r="515" spans="1:2" ht="15.75" x14ac:dyDescent="0.25">
      <c r="A515" s="314"/>
      <c r="B515" s="314"/>
    </row>
    <row r="516" spans="1:2" ht="15.75" x14ac:dyDescent="0.25">
      <c r="A516" s="314"/>
      <c r="B516" s="314"/>
    </row>
    <row r="517" spans="1:2" ht="15.75" x14ac:dyDescent="0.25">
      <c r="A517" s="314"/>
      <c r="B517" s="314"/>
    </row>
    <row r="518" spans="1:2" ht="15.75" x14ac:dyDescent="0.25">
      <c r="A518" s="314"/>
      <c r="B518" s="314"/>
    </row>
    <row r="519" spans="1:2" ht="15.75" x14ac:dyDescent="0.25">
      <c r="A519" s="314"/>
      <c r="B519" s="314"/>
    </row>
    <row r="520" spans="1:2" ht="15.75" x14ac:dyDescent="0.25">
      <c r="A520" s="314"/>
      <c r="B520" s="314"/>
    </row>
    <row r="521" spans="1:2" ht="15.75" x14ac:dyDescent="0.25">
      <c r="A521" s="314"/>
      <c r="B521" s="314"/>
    </row>
    <row r="522" spans="1:2" ht="15.75" x14ac:dyDescent="0.25">
      <c r="A522" s="314"/>
      <c r="B522" s="314"/>
    </row>
    <row r="523" spans="1:2" ht="15.75" x14ac:dyDescent="0.25">
      <c r="A523" s="314"/>
      <c r="B523" s="314"/>
    </row>
    <row r="524" spans="1:2" ht="15.75" x14ac:dyDescent="0.25">
      <c r="A524" s="314"/>
      <c r="B524" s="314"/>
    </row>
    <row r="525" spans="1:2" ht="15.75" x14ac:dyDescent="0.25">
      <c r="A525" s="314"/>
      <c r="B525" s="314"/>
    </row>
    <row r="526" spans="1:2" ht="15.75" x14ac:dyDescent="0.25">
      <c r="A526" s="314"/>
      <c r="B526" s="314"/>
    </row>
    <row r="527" spans="1:2" ht="15.75" x14ac:dyDescent="0.25">
      <c r="A527" s="314"/>
      <c r="B527" s="314"/>
    </row>
    <row r="528" spans="1:2" ht="15.75" x14ac:dyDescent="0.25">
      <c r="A528" s="314"/>
      <c r="B528" s="314"/>
    </row>
    <row r="529" spans="1:2" ht="15.75" x14ac:dyDescent="0.25">
      <c r="A529" s="314"/>
      <c r="B529" s="314"/>
    </row>
    <row r="530" spans="1:2" ht="15.75" x14ac:dyDescent="0.25">
      <c r="A530" s="314"/>
      <c r="B530" s="314"/>
    </row>
    <row r="531" spans="1:2" ht="15.75" x14ac:dyDescent="0.25">
      <c r="A531" s="314"/>
      <c r="B531" s="314"/>
    </row>
    <row r="532" spans="1:2" ht="15.75" x14ac:dyDescent="0.25">
      <c r="A532" s="314"/>
      <c r="B532" s="314"/>
    </row>
    <row r="533" spans="1:2" ht="15.75" x14ac:dyDescent="0.25">
      <c r="A533" s="314"/>
      <c r="B533" s="314"/>
    </row>
    <row r="534" spans="1:2" ht="15.75" x14ac:dyDescent="0.25">
      <c r="A534" s="314"/>
      <c r="B534" s="314"/>
    </row>
    <row r="535" spans="1:2" ht="15.75" x14ac:dyDescent="0.25">
      <c r="A535" s="314"/>
      <c r="B535" s="314"/>
    </row>
    <row r="536" spans="1:2" ht="15.75" x14ac:dyDescent="0.25">
      <c r="A536" s="314"/>
      <c r="B536" s="314"/>
    </row>
    <row r="537" spans="1:2" ht="15.75" x14ac:dyDescent="0.25">
      <c r="A537" s="314"/>
      <c r="B537" s="314"/>
    </row>
    <row r="538" spans="1:2" ht="15.75" x14ac:dyDescent="0.25">
      <c r="A538" s="314"/>
      <c r="B538" s="314"/>
    </row>
    <row r="539" spans="1:2" ht="15.75" x14ac:dyDescent="0.25">
      <c r="A539" s="314"/>
      <c r="B539" s="314"/>
    </row>
    <row r="540" spans="1:2" ht="15.75" x14ac:dyDescent="0.25">
      <c r="A540" s="314"/>
      <c r="B540" s="314"/>
    </row>
    <row r="541" spans="1:2" ht="15.75" x14ac:dyDescent="0.25">
      <c r="A541" s="314"/>
      <c r="B541" s="314"/>
    </row>
    <row r="542" spans="1:2" ht="15.75" x14ac:dyDescent="0.25">
      <c r="A542" s="314"/>
      <c r="B542" s="314"/>
    </row>
    <row r="543" spans="1:2" ht="15.75" x14ac:dyDescent="0.25">
      <c r="A543" s="314"/>
      <c r="B543" s="314"/>
    </row>
    <row r="544" spans="1:2" ht="15.75" x14ac:dyDescent="0.25">
      <c r="A544" s="314"/>
      <c r="B544" s="314"/>
    </row>
    <row r="545" spans="1:2" ht="15.75" x14ac:dyDescent="0.25">
      <c r="A545" s="314"/>
      <c r="B545" s="314"/>
    </row>
    <row r="546" spans="1:2" ht="15.75" x14ac:dyDescent="0.25">
      <c r="A546" s="314"/>
      <c r="B546" s="314"/>
    </row>
    <row r="547" spans="1:2" ht="15.75" x14ac:dyDescent="0.25">
      <c r="A547" s="314"/>
      <c r="B547" s="314"/>
    </row>
    <row r="548" spans="1:2" ht="15.75" x14ac:dyDescent="0.25">
      <c r="A548" s="314"/>
      <c r="B548" s="314"/>
    </row>
    <row r="549" spans="1:2" ht="15.75" x14ac:dyDescent="0.25">
      <c r="A549" s="314"/>
      <c r="B549" s="314"/>
    </row>
    <row r="550" spans="1:2" ht="15.75" x14ac:dyDescent="0.25">
      <c r="A550" s="314"/>
      <c r="B550" s="314"/>
    </row>
    <row r="551" spans="1:2" ht="15.75" x14ac:dyDescent="0.25">
      <c r="A551" s="314"/>
      <c r="B551" s="314"/>
    </row>
    <row r="552" spans="1:2" ht="15.75" x14ac:dyDescent="0.25">
      <c r="A552" s="314"/>
      <c r="B552" s="314"/>
    </row>
    <row r="553" spans="1:2" ht="15.75" x14ac:dyDescent="0.25">
      <c r="A553" s="314"/>
      <c r="B553" s="314"/>
    </row>
    <row r="554" spans="1:2" ht="15.75" x14ac:dyDescent="0.25">
      <c r="A554" s="314"/>
      <c r="B554" s="314"/>
    </row>
    <row r="555" spans="1:2" ht="15.75" x14ac:dyDescent="0.25">
      <c r="A555" s="314"/>
      <c r="B555" s="314"/>
    </row>
    <row r="556" spans="1:2" ht="15.75" x14ac:dyDescent="0.25">
      <c r="A556" s="314"/>
      <c r="B556" s="314"/>
    </row>
    <row r="557" spans="1:2" ht="15.75" x14ac:dyDescent="0.25">
      <c r="A557" s="314"/>
      <c r="B557" s="314"/>
    </row>
    <row r="558" spans="1:2" ht="15.75" x14ac:dyDescent="0.25">
      <c r="A558" s="314"/>
      <c r="B558" s="314"/>
    </row>
    <row r="559" spans="1:2" ht="15.75" x14ac:dyDescent="0.25">
      <c r="A559" s="314"/>
      <c r="B559" s="314"/>
    </row>
    <row r="560" spans="1:2" ht="15.75" x14ac:dyDescent="0.25">
      <c r="A560" s="314"/>
      <c r="B560" s="314"/>
    </row>
    <row r="561" spans="1:2" ht="15.75" x14ac:dyDescent="0.25">
      <c r="A561" s="314"/>
      <c r="B561" s="314"/>
    </row>
    <row r="562" spans="1:2" ht="15.75" x14ac:dyDescent="0.25">
      <c r="A562" s="314"/>
      <c r="B562" s="314"/>
    </row>
    <row r="563" spans="1:2" ht="15.75" x14ac:dyDescent="0.25">
      <c r="A563" s="314"/>
      <c r="B563" s="314"/>
    </row>
    <row r="564" spans="1:2" ht="15.75" x14ac:dyDescent="0.25">
      <c r="A564" s="314"/>
      <c r="B564" s="314"/>
    </row>
    <row r="565" spans="1:2" ht="15.75" x14ac:dyDescent="0.25">
      <c r="A565" s="314"/>
      <c r="B565" s="314"/>
    </row>
    <row r="566" spans="1:2" ht="15.75" x14ac:dyDescent="0.25">
      <c r="A566" s="314"/>
      <c r="B566" s="314"/>
    </row>
    <row r="567" spans="1:2" ht="15.75" x14ac:dyDescent="0.25">
      <c r="A567" s="314"/>
      <c r="B567" s="314"/>
    </row>
    <row r="568" spans="1:2" ht="15.75" x14ac:dyDescent="0.25">
      <c r="A568" s="314"/>
      <c r="B568" s="314"/>
    </row>
    <row r="569" spans="1:2" ht="15.75" x14ac:dyDescent="0.25">
      <c r="A569" s="314"/>
      <c r="B569" s="314"/>
    </row>
    <row r="570" spans="1:2" ht="15.75" x14ac:dyDescent="0.25">
      <c r="A570" s="314"/>
      <c r="B570" s="314"/>
    </row>
    <row r="571" spans="1:2" ht="15.75" x14ac:dyDescent="0.25">
      <c r="A571" s="314"/>
      <c r="B571" s="314"/>
    </row>
    <row r="572" spans="1:2" ht="15.75" x14ac:dyDescent="0.25">
      <c r="A572" s="314"/>
      <c r="B572" s="314"/>
    </row>
    <row r="573" spans="1:2" ht="15.75" x14ac:dyDescent="0.25">
      <c r="A573" s="314"/>
      <c r="B573" s="314"/>
    </row>
    <row r="574" spans="1:2" ht="15.75" x14ac:dyDescent="0.25">
      <c r="A574" s="314"/>
      <c r="B574" s="314"/>
    </row>
    <row r="575" spans="1:2" ht="15.75" x14ac:dyDescent="0.25">
      <c r="A575" s="314"/>
      <c r="B575" s="314"/>
    </row>
    <row r="576" spans="1:2" ht="15.75" x14ac:dyDescent="0.25">
      <c r="A576" s="314"/>
      <c r="B576" s="314"/>
    </row>
    <row r="577" spans="1:2" ht="15.75" x14ac:dyDescent="0.25">
      <c r="A577" s="314"/>
      <c r="B577" s="314"/>
    </row>
    <row r="578" spans="1:2" ht="15.75" x14ac:dyDescent="0.25">
      <c r="A578" s="314"/>
      <c r="B578" s="314"/>
    </row>
    <row r="579" spans="1:2" ht="15.75" x14ac:dyDescent="0.25">
      <c r="A579" s="314"/>
      <c r="B579" s="314"/>
    </row>
    <row r="580" spans="1:2" ht="15.75" x14ac:dyDescent="0.25">
      <c r="A580" s="314"/>
      <c r="B580" s="314"/>
    </row>
    <row r="581" spans="1:2" ht="15.75" x14ac:dyDescent="0.25">
      <c r="A581" s="314"/>
      <c r="B581" s="314"/>
    </row>
    <row r="582" spans="1:2" ht="15.75" x14ac:dyDescent="0.25">
      <c r="A582" s="314"/>
      <c r="B582" s="314"/>
    </row>
    <row r="583" spans="1:2" ht="15.75" x14ac:dyDescent="0.25">
      <c r="A583" s="314"/>
      <c r="B583" s="314"/>
    </row>
    <row r="584" spans="1:2" ht="15.75" x14ac:dyDescent="0.25">
      <c r="A584" s="314"/>
      <c r="B584" s="314"/>
    </row>
    <row r="585" spans="1:2" ht="15.75" x14ac:dyDescent="0.25">
      <c r="A585" s="314"/>
      <c r="B585" s="314"/>
    </row>
    <row r="586" spans="1:2" ht="15.75" x14ac:dyDescent="0.25">
      <c r="A586" s="314"/>
      <c r="B586" s="314"/>
    </row>
    <row r="587" spans="1:2" ht="15.75" x14ac:dyDescent="0.25">
      <c r="A587" s="314"/>
      <c r="B587" s="314"/>
    </row>
    <row r="588" spans="1:2" ht="15.75" x14ac:dyDescent="0.25">
      <c r="A588" s="314"/>
      <c r="B588" s="314"/>
    </row>
    <row r="589" spans="1:2" ht="15.75" x14ac:dyDescent="0.25">
      <c r="A589" s="314"/>
      <c r="B589" s="314"/>
    </row>
    <row r="590" spans="1:2" ht="15.75" x14ac:dyDescent="0.25">
      <c r="A590" s="314"/>
      <c r="B590" s="314"/>
    </row>
    <row r="591" spans="1:2" ht="15.75" x14ac:dyDescent="0.25">
      <c r="A591" s="314"/>
      <c r="B591" s="314"/>
    </row>
    <row r="592" spans="1:2" ht="15.75" x14ac:dyDescent="0.25">
      <c r="A592" s="314"/>
      <c r="B592" s="314"/>
    </row>
    <row r="593" spans="1:2" ht="15.75" x14ac:dyDescent="0.25">
      <c r="A593" s="314"/>
      <c r="B593" s="314"/>
    </row>
    <row r="594" spans="1:2" ht="15.75" x14ac:dyDescent="0.25">
      <c r="A594" s="314"/>
      <c r="B594" s="314"/>
    </row>
    <row r="595" spans="1:2" ht="15.75" x14ac:dyDescent="0.25">
      <c r="A595" s="314"/>
      <c r="B595" s="314"/>
    </row>
    <row r="596" spans="1:2" ht="15.75" x14ac:dyDescent="0.25">
      <c r="A596" s="314"/>
      <c r="B596" s="314"/>
    </row>
    <row r="597" spans="1:2" ht="15.75" x14ac:dyDescent="0.25">
      <c r="A597" s="314"/>
      <c r="B597" s="314"/>
    </row>
    <row r="598" spans="1:2" ht="15.75" x14ac:dyDescent="0.25">
      <c r="A598" s="314"/>
      <c r="B598" s="314"/>
    </row>
    <row r="599" spans="1:2" ht="15.75" x14ac:dyDescent="0.25">
      <c r="A599" s="314"/>
      <c r="B599" s="314"/>
    </row>
    <row r="600" spans="1:2" ht="15.75" x14ac:dyDescent="0.25">
      <c r="A600" s="314"/>
      <c r="B600" s="314"/>
    </row>
    <row r="601" spans="1:2" ht="15.75" x14ac:dyDescent="0.25">
      <c r="A601" s="314"/>
      <c r="B601" s="314"/>
    </row>
    <row r="602" spans="1:2" ht="15.75" x14ac:dyDescent="0.25">
      <c r="A602" s="314"/>
      <c r="B602" s="314"/>
    </row>
  </sheetData>
  <sheetProtection formatCells="0" formatColumns="0" formatRows="0" insertColumns="0" insertRows="0" deleteColumns="0" deleteRows="0" sort="0" autoFilter="0"/>
  <protectedRanges>
    <protectedRange algorithmName="SHA-512" hashValue="rCqEn6ORNjRUzXezBJGjJ1AxRYUiDeqI6wE+WxuGqE2NZFxT7oZrHY2hmaGX9G2cBMir/w9Og4NdLFBIErAILQ==" saltValue="KQf2It1QCo3Dev+L3NpFvA==" spinCount="100000" sqref="A40:B52" name="Range1"/>
  </protectedRanges>
  <mergeCells count="129">
    <mergeCell ref="A201:B201"/>
    <mergeCell ref="A252:B252"/>
    <mergeCell ref="A254:B254"/>
    <mergeCell ref="A256:B256"/>
    <mergeCell ref="A195:B195"/>
    <mergeCell ref="A197:B197"/>
    <mergeCell ref="A139:B139"/>
    <mergeCell ref="A101:B101"/>
    <mergeCell ref="A105:B105"/>
    <mergeCell ref="A155:B155"/>
    <mergeCell ref="A143:B143"/>
    <mergeCell ref="A111:B111"/>
    <mergeCell ref="A315:B315"/>
    <mergeCell ref="A316:B316"/>
    <mergeCell ref="A181:B181"/>
    <mergeCell ref="A191:B191"/>
    <mergeCell ref="A292:B292"/>
    <mergeCell ref="A307:B307"/>
    <mergeCell ref="A308:B308"/>
    <mergeCell ref="A311:B311"/>
    <mergeCell ref="A312:B312"/>
    <mergeCell ref="A303:B303"/>
    <mergeCell ref="A300:B300"/>
    <mergeCell ref="A284:B284"/>
    <mergeCell ref="A290:B290"/>
    <mergeCell ref="A298:B298"/>
    <mergeCell ref="A282:B282"/>
    <mergeCell ref="A187:B187"/>
    <mergeCell ref="A189:B189"/>
    <mergeCell ref="A225:B225"/>
    <mergeCell ref="A304:B304"/>
    <mergeCell ref="A211:B211"/>
    <mergeCell ref="A205:B205"/>
    <mergeCell ref="A219:B219"/>
    <mergeCell ref="A223:B223"/>
    <mergeCell ref="A218:B218"/>
    <mergeCell ref="A212:B212"/>
    <mergeCell ref="A209:B209"/>
    <mergeCell ref="A272:B272"/>
    <mergeCell ref="A276:B276"/>
    <mergeCell ref="A262:B262"/>
    <mergeCell ref="A226:B226"/>
    <mergeCell ref="A246:B246"/>
    <mergeCell ref="A213:B213"/>
    <mergeCell ref="A217:B217"/>
    <mergeCell ref="A54:B54"/>
    <mergeCell ref="A109:B109"/>
    <mergeCell ref="A115:B115"/>
    <mergeCell ref="A27:B27"/>
    <mergeCell ref="A165:B165"/>
    <mergeCell ref="A167:B167"/>
    <mergeCell ref="A169:B169"/>
    <mergeCell ref="A50:B50"/>
    <mergeCell ref="A88:B88"/>
    <mergeCell ref="A99:B99"/>
    <mergeCell ref="A103:B103"/>
    <mergeCell ref="A127:B127"/>
    <mergeCell ref="A161:B161"/>
    <mergeCell ref="A163:B163"/>
    <mergeCell ref="A151:B151"/>
    <mergeCell ref="A118:B118"/>
    <mergeCell ref="A119:B119"/>
    <mergeCell ref="A121:B121"/>
    <mergeCell ref="A129:B129"/>
    <mergeCell ref="A131:B131"/>
    <mergeCell ref="A153:B153"/>
    <mergeCell ref="A133:B133"/>
    <mergeCell ref="A122:B122"/>
    <mergeCell ref="A62:B62"/>
    <mergeCell ref="A1:B1"/>
    <mergeCell ref="A3:B3"/>
    <mergeCell ref="A5:B5"/>
    <mergeCell ref="A7:B7"/>
    <mergeCell ref="A9:B9"/>
    <mergeCell ref="A23:B23"/>
    <mergeCell ref="A40:B40"/>
    <mergeCell ref="A159:B159"/>
    <mergeCell ref="A137:B137"/>
    <mergeCell ref="A147:B147"/>
    <mergeCell ref="A25:B25"/>
    <mergeCell ref="A60:B60"/>
    <mergeCell ref="A48:B48"/>
    <mergeCell ref="A107:B107"/>
    <mergeCell ref="A120:B120"/>
    <mergeCell ref="A52:B52"/>
    <mergeCell ref="A116:B116"/>
    <mergeCell ref="A123:B123"/>
    <mergeCell ref="A56:B56"/>
    <mergeCell ref="A58:B58"/>
    <mergeCell ref="A86:B86"/>
    <mergeCell ref="A90:B90"/>
    <mergeCell ref="A95:B95"/>
    <mergeCell ref="A97:B97"/>
    <mergeCell ref="A175:B175"/>
    <mergeCell ref="A185:B185"/>
    <mergeCell ref="A117:B117"/>
    <mergeCell ref="A258:B258"/>
    <mergeCell ref="A260:B260"/>
    <mergeCell ref="A286:B286"/>
    <mergeCell ref="A294:B294"/>
    <mergeCell ref="A228:B228"/>
    <mergeCell ref="A230:B230"/>
    <mergeCell ref="A234:B234"/>
    <mergeCell ref="A236:B236"/>
    <mergeCell ref="A238:B238"/>
    <mergeCell ref="A240:B240"/>
    <mergeCell ref="A242:B242"/>
    <mergeCell ref="A248:B248"/>
    <mergeCell ref="A250:B250"/>
    <mergeCell ref="A280:B280"/>
    <mergeCell ref="A232:B232"/>
    <mergeCell ref="A264:B264"/>
    <mergeCell ref="A266:B266"/>
    <mergeCell ref="A268:B268"/>
    <mergeCell ref="A171:B171"/>
    <mergeCell ref="A177:B177"/>
    <mergeCell ref="A179:B179"/>
    <mergeCell ref="A338:A341"/>
    <mergeCell ref="B338:B341"/>
    <mergeCell ref="A318:B318"/>
    <mergeCell ref="A320:B320"/>
    <mergeCell ref="A321:B321"/>
    <mergeCell ref="A326:A329"/>
    <mergeCell ref="B326:B329"/>
    <mergeCell ref="A330:A333"/>
    <mergeCell ref="B330:B333"/>
    <mergeCell ref="A334:A337"/>
    <mergeCell ref="B334:B337"/>
    <mergeCell ref="A323:B323"/>
  </mergeCells>
  <phoneticPr fontId="11" type="noConversion"/>
  <pageMargins left="0.25" right="0.25" top="0.25" bottom="0.25" header="0.5" footer="0.5"/>
  <pageSetup scale="86" orientation="portrait" r:id="rId1"/>
  <headerFooter alignWithMargins="0"/>
  <rowBreaks count="8" manualBreakCount="8">
    <brk id="39" max="16383" man="1"/>
    <brk id="83" max="16383" man="1"/>
    <brk id="106" max="16383" man="1"/>
    <brk id="111" max="16383" man="1"/>
    <brk id="144" max="16383" man="1"/>
    <brk id="182" max="16383" man="1"/>
    <brk id="261" max="16383" man="1"/>
    <brk id="277" max="16383" man="1"/>
  </rowBreak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pageSetUpPr fitToPage="1"/>
  </sheetPr>
  <dimension ref="A1:I63"/>
  <sheetViews>
    <sheetView showGridLines="0" tabSelected="1" zoomScale="75" zoomScaleNormal="75" zoomScaleSheetLayoutView="75" workbookViewId="0">
      <selection activeCell="B7" sqref="B7:D7"/>
    </sheetView>
  </sheetViews>
  <sheetFormatPr defaultColWidth="9.140625" defaultRowHeight="12.75" x14ac:dyDescent="0.2"/>
  <cols>
    <col min="1" max="1" width="64.5703125" style="397" customWidth="1"/>
    <col min="2" max="2" width="12.5703125" style="441" customWidth="1"/>
    <col min="3" max="3" width="71.5703125" style="397" customWidth="1"/>
    <col min="4" max="4" width="5.28515625" style="397" customWidth="1"/>
    <col min="5" max="5" width="11" style="397" hidden="1" customWidth="1"/>
    <col min="6" max="6" width="4.42578125" style="397" customWidth="1"/>
    <col min="7" max="8" width="9.140625" style="397"/>
    <col min="9" max="9" width="5.28515625" style="397" customWidth="1"/>
    <col min="10" max="16384" width="9.140625" style="397"/>
  </cols>
  <sheetData>
    <row r="1" spans="1:9" ht="18" customHeight="1" thickBot="1" x14ac:dyDescent="0.25">
      <c r="A1" s="396" t="s">
        <v>515</v>
      </c>
      <c r="B1" s="741" t="s">
        <v>1352</v>
      </c>
      <c r="C1" s="727"/>
      <c r="D1" s="728"/>
      <c r="F1" s="398"/>
      <c r="G1" s="399"/>
      <c r="H1" s="399"/>
      <c r="I1" s="399"/>
    </row>
    <row r="2" spans="1:9" ht="18" customHeight="1" thickBot="1" x14ac:dyDescent="0.25">
      <c r="A2" s="396" t="s">
        <v>516</v>
      </c>
      <c r="B2" s="742"/>
      <c r="C2" s="743"/>
      <c r="D2" s="744"/>
      <c r="G2" s="399"/>
      <c r="H2" s="399"/>
      <c r="I2" s="399"/>
    </row>
    <row r="3" spans="1:9" ht="18" customHeight="1" thickBot="1" x14ac:dyDescent="0.25">
      <c r="A3" s="396" t="s">
        <v>517</v>
      </c>
      <c r="B3" s="745"/>
      <c r="C3" s="746"/>
      <c r="D3" s="747"/>
      <c r="G3" s="399"/>
      <c r="H3" s="399"/>
      <c r="I3" s="399"/>
    </row>
    <row r="4" spans="1:9" ht="13.5" thickBot="1" x14ac:dyDescent="0.25">
      <c r="A4" s="400" t="s">
        <v>1232</v>
      </c>
      <c r="B4" s="401">
        <f>MQC!E8</f>
        <v>0</v>
      </c>
      <c r="C4" s="748" t="s">
        <v>599</v>
      </c>
      <c r="D4" s="749"/>
      <c r="G4" s="399"/>
      <c r="H4" s="399"/>
      <c r="I4" s="399"/>
    </row>
    <row r="5" spans="1:9" ht="15.75" customHeight="1" thickBot="1" x14ac:dyDescent="0.25">
      <c r="A5" s="400" t="s">
        <v>1233</v>
      </c>
      <c r="B5" s="745"/>
      <c r="C5" s="746"/>
      <c r="D5" s="747"/>
      <c r="G5" s="399"/>
      <c r="H5" s="399"/>
      <c r="I5" s="399"/>
    </row>
    <row r="6" spans="1:9" ht="18" customHeight="1" thickBot="1" x14ac:dyDescent="0.25">
      <c r="A6" s="402" t="s">
        <v>1234</v>
      </c>
      <c r="B6" s="745"/>
      <c r="C6" s="746"/>
      <c r="D6" s="747"/>
      <c r="G6" s="399"/>
      <c r="H6" s="399"/>
      <c r="I6" s="399"/>
    </row>
    <row r="7" spans="1:9" ht="20.100000000000001" customHeight="1" thickBot="1" x14ac:dyDescent="0.25">
      <c r="A7" s="400" t="s">
        <v>1235</v>
      </c>
      <c r="B7" s="752"/>
      <c r="C7" s="753"/>
      <c r="D7" s="754"/>
    </row>
    <row r="8" spans="1:9" ht="20.100000000000001" customHeight="1" thickBot="1" x14ac:dyDescent="0.25">
      <c r="A8" s="403" t="s">
        <v>158</v>
      </c>
      <c r="B8" s="741"/>
      <c r="C8" s="750"/>
      <c r="D8" s="751"/>
    </row>
    <row r="9" spans="1:9" ht="18" customHeight="1" thickBot="1" x14ac:dyDescent="0.25">
      <c r="A9" s="404" t="s">
        <v>1370</v>
      </c>
      <c r="B9" s="723"/>
      <c r="C9" s="724"/>
      <c r="D9" s="725"/>
    </row>
    <row r="10" spans="1:9" ht="18" customHeight="1" thickBot="1" x14ac:dyDescent="0.25">
      <c r="A10" s="405" t="s">
        <v>538</v>
      </c>
      <c r="B10" s="723"/>
      <c r="C10" s="724"/>
      <c r="D10" s="725"/>
    </row>
    <row r="11" spans="1:9" ht="18" customHeight="1" thickBot="1" x14ac:dyDescent="0.25">
      <c r="A11" s="406" t="s">
        <v>518</v>
      </c>
      <c r="B11" s="723"/>
      <c r="C11" s="724"/>
      <c r="D11" s="725"/>
      <c r="E11" s="407"/>
    </row>
    <row r="12" spans="1:9" ht="18" customHeight="1" x14ac:dyDescent="0.2">
      <c r="A12" s="406"/>
      <c r="B12" s="717"/>
      <c r="C12" s="718"/>
      <c r="D12" s="719"/>
      <c r="E12" s="407"/>
    </row>
    <row r="13" spans="1:9" ht="18" customHeight="1" thickBot="1" x14ac:dyDescent="0.25">
      <c r="A13" s="408"/>
      <c r="B13" s="720"/>
      <c r="C13" s="721"/>
      <c r="D13" s="722"/>
      <c r="E13" s="407"/>
    </row>
    <row r="14" spans="1:9" ht="18" customHeight="1" thickBot="1" x14ac:dyDescent="0.25">
      <c r="A14" s="409" t="s">
        <v>519</v>
      </c>
      <c r="B14" s="729"/>
      <c r="C14" s="730"/>
      <c r="D14" s="731"/>
    </row>
    <row r="15" spans="1:9" ht="18" customHeight="1" thickBot="1" x14ac:dyDescent="0.25">
      <c r="A15" s="410" t="s">
        <v>520</v>
      </c>
      <c r="B15" s="723"/>
      <c r="C15" s="724"/>
      <c r="D15" s="725"/>
    </row>
    <row r="16" spans="1:9" ht="18" customHeight="1" thickBot="1" x14ac:dyDescent="0.25">
      <c r="A16" s="396" t="s">
        <v>521</v>
      </c>
      <c r="B16" s="732"/>
      <c r="C16" s="724"/>
      <c r="D16" s="725"/>
    </row>
    <row r="17" spans="1:6" ht="18" hidden="1" customHeight="1" thickBot="1" x14ac:dyDescent="0.25">
      <c r="A17" s="411" t="s">
        <v>641</v>
      </c>
      <c r="B17" s="736"/>
      <c r="C17" s="737"/>
      <c r="D17" s="738"/>
    </row>
    <row r="18" spans="1:6" ht="13.7" customHeight="1" thickBot="1" x14ac:dyDescent="0.25">
      <c r="A18" s="412" t="s">
        <v>1228</v>
      </c>
      <c r="B18" s="733" t="s">
        <v>534</v>
      </c>
      <c r="C18" s="734"/>
      <c r="D18" s="735"/>
    </row>
    <row r="19" spans="1:6" ht="18" customHeight="1" thickBot="1" x14ac:dyDescent="0.25">
      <c r="A19" s="413" t="s">
        <v>545</v>
      </c>
      <c r="B19" s="723"/>
      <c r="C19" s="724"/>
      <c r="D19" s="725"/>
    </row>
    <row r="20" spans="1:6" ht="18" customHeight="1" thickBot="1" x14ac:dyDescent="0.25">
      <c r="A20" s="413" t="s">
        <v>561</v>
      </c>
      <c r="B20" s="723"/>
      <c r="C20" s="724"/>
      <c r="D20" s="725"/>
    </row>
    <row r="21" spans="1:6" ht="18" customHeight="1" thickBot="1" x14ac:dyDescent="0.25">
      <c r="A21" s="414" t="s">
        <v>533</v>
      </c>
      <c r="B21" s="723"/>
      <c r="C21" s="724"/>
      <c r="D21" s="725"/>
    </row>
    <row r="22" spans="1:6" ht="14.25" customHeight="1" thickBot="1" x14ac:dyDescent="0.25">
      <c r="A22" s="415" t="s">
        <v>544</v>
      </c>
      <c r="B22" s="726"/>
      <c r="C22" s="727"/>
      <c r="D22" s="728"/>
    </row>
    <row r="23" spans="1:6" s="418" customFormat="1" ht="18.95" customHeight="1" thickBot="1" x14ac:dyDescent="0.25">
      <c r="A23" s="416" t="s">
        <v>600</v>
      </c>
      <c r="B23" s="745"/>
      <c r="C23" s="746"/>
      <c r="D23" s="747"/>
      <c r="E23" s="417"/>
      <c r="F23" s="397"/>
    </row>
    <row r="24" spans="1:6" s="418" customFormat="1" ht="13.7" customHeight="1" thickBot="1" x14ac:dyDescent="0.25">
      <c r="A24" s="419" t="s">
        <v>601</v>
      </c>
      <c r="B24" s="755"/>
      <c r="C24" s="756"/>
      <c r="D24" s="725"/>
      <c r="E24" s="417"/>
      <c r="F24" s="417"/>
    </row>
    <row r="25" spans="1:6" ht="50.25" customHeight="1" thickBot="1" x14ac:dyDescent="0.25">
      <c r="A25" s="420" t="s">
        <v>984</v>
      </c>
      <c r="B25" s="726"/>
      <c r="C25" s="727"/>
      <c r="D25" s="728"/>
    </row>
    <row r="26" spans="1:6" ht="49.7" customHeight="1" thickBot="1" x14ac:dyDescent="0.25">
      <c r="A26" s="421" t="s">
        <v>536</v>
      </c>
      <c r="B26" s="758"/>
      <c r="C26" s="759"/>
      <c r="D26" s="760"/>
    </row>
    <row r="27" spans="1:6" ht="17.25" customHeight="1" thickBot="1" x14ac:dyDescent="0.25">
      <c r="A27" s="422" t="s">
        <v>885</v>
      </c>
      <c r="B27" s="757" t="s">
        <v>994</v>
      </c>
      <c r="C27" s="724"/>
      <c r="D27" s="725"/>
    </row>
    <row r="28" spans="1:6" ht="5.25" customHeight="1" thickBot="1" x14ac:dyDescent="0.25">
      <c r="A28" s="423"/>
      <c r="B28" s="773"/>
      <c r="C28" s="774"/>
      <c r="D28" s="775"/>
    </row>
    <row r="29" spans="1:6" x14ac:dyDescent="0.2">
      <c r="A29" s="424" t="s">
        <v>164</v>
      </c>
      <c r="B29" s="761"/>
      <c r="C29" s="762"/>
      <c r="D29" s="763"/>
    </row>
    <row r="30" spans="1:6" ht="13.5" thickBot="1" x14ac:dyDescent="0.25">
      <c r="A30" s="425" t="s">
        <v>165</v>
      </c>
      <c r="B30" s="770" t="s">
        <v>166</v>
      </c>
      <c r="C30" s="771"/>
      <c r="D30" s="772"/>
    </row>
    <row r="31" spans="1:6" ht="13.5" thickBot="1" x14ac:dyDescent="0.25">
      <c r="A31" s="415" t="s">
        <v>602</v>
      </c>
      <c r="B31" s="764"/>
      <c r="C31" s="765"/>
      <c r="D31" s="766"/>
    </row>
    <row r="32" spans="1:6" ht="13.5" thickBot="1" x14ac:dyDescent="0.25">
      <c r="A32" s="426"/>
      <c r="B32" s="764"/>
      <c r="C32" s="765"/>
      <c r="D32" s="766"/>
    </row>
    <row r="33" spans="1:5" ht="13.5" thickBot="1" x14ac:dyDescent="0.25">
      <c r="A33" s="767" t="s">
        <v>524</v>
      </c>
      <c r="B33" s="768"/>
      <c r="C33" s="768"/>
      <c r="D33" s="769"/>
    </row>
    <row r="34" spans="1:5" s="398" customFormat="1" x14ac:dyDescent="0.2">
      <c r="A34" s="427" t="s">
        <v>120</v>
      </c>
      <c r="B34" s="428" t="s">
        <v>364</v>
      </c>
      <c r="C34" s="776" t="s">
        <v>539</v>
      </c>
      <c r="D34" s="777"/>
      <c r="E34" s="398" t="str">
        <f>A34</f>
        <v>CMDU#044</v>
      </c>
    </row>
    <row r="35" spans="1:5" s="398" customFormat="1" ht="13.5" customHeight="1" x14ac:dyDescent="0.2">
      <c r="A35" s="429" t="s">
        <v>120</v>
      </c>
      <c r="B35" s="430" t="s">
        <v>540</v>
      </c>
      <c r="C35" s="739" t="s">
        <v>583</v>
      </c>
      <c r="D35" s="740"/>
      <c r="E35" s="398" t="str">
        <f t="shared" ref="E35:E56" si="0">A35</f>
        <v>CMDU#044</v>
      </c>
    </row>
    <row r="36" spans="1:5" s="398" customFormat="1" x14ac:dyDescent="0.2">
      <c r="A36" s="431" t="s">
        <v>182</v>
      </c>
      <c r="B36" s="430" t="s">
        <v>529</v>
      </c>
      <c r="C36" s="739" t="s">
        <v>530</v>
      </c>
      <c r="D36" s="740"/>
      <c r="E36" s="398" t="str">
        <f t="shared" si="0"/>
        <v>CMDU#043 B1</v>
      </c>
    </row>
    <row r="37" spans="1:5" s="398" customFormat="1" x14ac:dyDescent="0.2">
      <c r="A37" s="431" t="s">
        <v>183</v>
      </c>
      <c r="B37" s="430" t="s">
        <v>531</v>
      </c>
      <c r="C37" s="739" t="s">
        <v>569</v>
      </c>
      <c r="D37" s="740"/>
      <c r="E37" s="398" t="str">
        <f t="shared" si="0"/>
        <v>CMDU#043 B2</v>
      </c>
    </row>
    <row r="38" spans="1:5" s="398" customFormat="1" x14ac:dyDescent="0.2">
      <c r="A38" s="431" t="s">
        <v>121</v>
      </c>
      <c r="B38" s="430" t="s">
        <v>543</v>
      </c>
      <c r="C38" s="739" t="s">
        <v>587</v>
      </c>
      <c r="D38" s="740"/>
      <c r="E38" s="398" t="str">
        <f t="shared" si="0"/>
        <v>CMDU#028</v>
      </c>
    </row>
    <row r="39" spans="1:5" s="398" customFormat="1" x14ac:dyDescent="0.2">
      <c r="A39" s="431" t="s">
        <v>121</v>
      </c>
      <c r="B39" s="430" t="s">
        <v>542</v>
      </c>
      <c r="C39" s="739" t="s">
        <v>588</v>
      </c>
      <c r="D39" s="740"/>
      <c r="E39" s="398" t="str">
        <f t="shared" si="0"/>
        <v>CMDU#028</v>
      </c>
    </row>
    <row r="40" spans="1:5" s="398" customFormat="1" x14ac:dyDescent="0.2">
      <c r="A40" s="431" t="s">
        <v>121</v>
      </c>
      <c r="B40" s="430" t="s">
        <v>589</v>
      </c>
      <c r="C40" s="739" t="s">
        <v>590</v>
      </c>
      <c r="D40" s="740"/>
      <c r="E40" s="398" t="str">
        <f t="shared" si="0"/>
        <v>CMDU#028</v>
      </c>
    </row>
    <row r="41" spans="1:5" s="398" customFormat="1" x14ac:dyDescent="0.2">
      <c r="A41" s="431" t="s">
        <v>121</v>
      </c>
      <c r="B41" s="430" t="s">
        <v>365</v>
      </c>
      <c r="C41" s="778" t="s">
        <v>366</v>
      </c>
      <c r="D41" s="779"/>
      <c r="E41" s="398" t="str">
        <f>A41</f>
        <v>CMDU#028</v>
      </c>
    </row>
    <row r="42" spans="1:5" s="398" customFormat="1" x14ac:dyDescent="0.2">
      <c r="A42" s="431" t="s">
        <v>184</v>
      </c>
      <c r="B42" s="430" t="s">
        <v>563</v>
      </c>
      <c r="C42" s="739" t="s">
        <v>570</v>
      </c>
      <c r="D42" s="740"/>
      <c r="E42" s="398" t="str">
        <f t="shared" si="0"/>
        <v>CMDU#029 D1</v>
      </c>
    </row>
    <row r="43" spans="1:5" s="398" customFormat="1" x14ac:dyDescent="0.2">
      <c r="A43" s="431" t="s">
        <v>185</v>
      </c>
      <c r="B43" s="430" t="s">
        <v>564</v>
      </c>
      <c r="C43" s="739" t="s">
        <v>571</v>
      </c>
      <c r="D43" s="740"/>
      <c r="E43" s="398" t="str">
        <f t="shared" si="0"/>
        <v>CMDU#029 D2</v>
      </c>
    </row>
    <row r="44" spans="1:5" s="398" customFormat="1" x14ac:dyDescent="0.2">
      <c r="A44" s="431" t="s">
        <v>902</v>
      </c>
      <c r="B44" s="430" t="s">
        <v>904</v>
      </c>
      <c r="C44" s="604" t="s">
        <v>903</v>
      </c>
      <c r="D44" s="605"/>
    </row>
    <row r="45" spans="1:5" s="398" customFormat="1" x14ac:dyDescent="0.2">
      <c r="A45" s="431" t="s">
        <v>121</v>
      </c>
      <c r="B45" s="430" t="s">
        <v>594</v>
      </c>
      <c r="C45" s="739" t="s">
        <v>598</v>
      </c>
      <c r="D45" s="740"/>
      <c r="E45" s="398" t="str">
        <f t="shared" si="0"/>
        <v>CMDU#028</v>
      </c>
    </row>
    <row r="46" spans="1:5" s="398" customFormat="1" x14ac:dyDescent="0.2">
      <c r="A46" s="431" t="s">
        <v>121</v>
      </c>
      <c r="B46" s="430" t="s">
        <v>334</v>
      </c>
      <c r="C46" s="432" t="s">
        <v>335</v>
      </c>
      <c r="D46" s="433"/>
      <c r="E46" s="398" t="str">
        <f t="shared" si="0"/>
        <v>CMDU#028</v>
      </c>
    </row>
    <row r="47" spans="1:5" s="398" customFormat="1" x14ac:dyDescent="0.2">
      <c r="A47" s="431" t="s">
        <v>186</v>
      </c>
      <c r="B47" s="430" t="s">
        <v>567</v>
      </c>
      <c r="C47" s="739" t="s">
        <v>565</v>
      </c>
      <c r="D47" s="740"/>
      <c r="E47" s="398" t="str">
        <f t="shared" si="0"/>
        <v>CMDU#029 F1</v>
      </c>
    </row>
    <row r="48" spans="1:5" s="398" customFormat="1" x14ac:dyDescent="0.2">
      <c r="A48" s="431" t="s">
        <v>187</v>
      </c>
      <c r="B48" s="430" t="s">
        <v>568</v>
      </c>
      <c r="C48" s="739" t="s">
        <v>566</v>
      </c>
      <c r="D48" s="740"/>
      <c r="E48" s="398" t="str">
        <f t="shared" si="0"/>
        <v>CMDU#029 F2</v>
      </c>
    </row>
    <row r="49" spans="1:7" s="398" customFormat="1" x14ac:dyDescent="0.2">
      <c r="A49" s="431" t="s">
        <v>459</v>
      </c>
      <c r="B49" s="430" t="s">
        <v>193</v>
      </c>
      <c r="C49" s="739" t="s">
        <v>192</v>
      </c>
      <c r="D49" s="740"/>
      <c r="E49" s="398" t="str">
        <f>A49</f>
        <v>CMDU#029 F3</v>
      </c>
    </row>
    <row r="50" spans="1:7" s="398" customFormat="1" x14ac:dyDescent="0.2">
      <c r="A50" s="431" t="s">
        <v>593</v>
      </c>
      <c r="B50" s="430" t="s">
        <v>541</v>
      </c>
      <c r="C50" s="739" t="s">
        <v>595</v>
      </c>
      <c r="D50" s="740"/>
      <c r="E50" s="398" t="str">
        <f t="shared" si="0"/>
        <v>CMDU#091</v>
      </c>
    </row>
    <row r="51" spans="1:7" s="398" customFormat="1" x14ac:dyDescent="0.2">
      <c r="A51" s="431" t="s">
        <v>188</v>
      </c>
      <c r="B51" s="430" t="s">
        <v>573</v>
      </c>
      <c r="C51" s="739" t="s">
        <v>584</v>
      </c>
      <c r="D51" s="740"/>
      <c r="E51" s="398" t="str">
        <f t="shared" si="0"/>
        <v>CMDU#090 H1</v>
      </c>
    </row>
    <row r="52" spans="1:7" s="398" customFormat="1" x14ac:dyDescent="0.2">
      <c r="A52" s="431" t="s">
        <v>189</v>
      </c>
      <c r="B52" s="430" t="s">
        <v>574</v>
      </c>
      <c r="C52" s="739" t="s">
        <v>585</v>
      </c>
      <c r="D52" s="740"/>
      <c r="E52" s="398" t="str">
        <f t="shared" si="0"/>
        <v>CMDU#090 H2</v>
      </c>
    </row>
    <row r="53" spans="1:7" s="398" customFormat="1" x14ac:dyDescent="0.2">
      <c r="A53" s="431" t="s">
        <v>120</v>
      </c>
      <c r="B53" s="430" t="s">
        <v>526</v>
      </c>
      <c r="C53" s="739" t="s">
        <v>586</v>
      </c>
      <c r="D53" s="740"/>
      <c r="E53" s="398" t="str">
        <f t="shared" si="0"/>
        <v>CMDU#044</v>
      </c>
    </row>
    <row r="54" spans="1:7" s="398" customFormat="1" x14ac:dyDescent="0.2">
      <c r="A54" s="431" t="s">
        <v>122</v>
      </c>
      <c r="B54" s="430" t="s">
        <v>527</v>
      </c>
      <c r="C54" s="739" t="s">
        <v>591</v>
      </c>
      <c r="D54" s="740"/>
      <c r="E54" s="398" t="str">
        <f t="shared" si="0"/>
        <v>CMDU#101</v>
      </c>
    </row>
    <row r="55" spans="1:7" s="436" customFormat="1" ht="25.5" customHeight="1" x14ac:dyDescent="0.2">
      <c r="A55" s="434" t="s">
        <v>190</v>
      </c>
      <c r="B55" s="435" t="s">
        <v>562</v>
      </c>
      <c r="C55" s="784" t="s">
        <v>572</v>
      </c>
      <c r="D55" s="785"/>
      <c r="E55" s="398" t="str">
        <f t="shared" si="0"/>
        <v>CMDU#043 J1</v>
      </c>
    </row>
    <row r="56" spans="1:7" s="398" customFormat="1" x14ac:dyDescent="0.2">
      <c r="A56" s="431" t="s">
        <v>191</v>
      </c>
      <c r="B56" s="430" t="s">
        <v>592</v>
      </c>
      <c r="C56" s="782" t="s">
        <v>157</v>
      </c>
      <c r="D56" s="783"/>
      <c r="E56" s="398" t="str">
        <f t="shared" si="0"/>
        <v>CMDU#043 N1</v>
      </c>
    </row>
    <row r="57" spans="1:7" s="398" customFormat="1" x14ac:dyDescent="0.2">
      <c r="A57" s="431" t="s">
        <v>843</v>
      </c>
      <c r="B57" s="430" t="s">
        <v>841</v>
      </c>
      <c r="C57" s="782" t="s">
        <v>842</v>
      </c>
      <c r="D57" s="783"/>
      <c r="F57" s="437"/>
      <c r="G57" s="437"/>
    </row>
    <row r="58" spans="1:7" s="398" customFormat="1" x14ac:dyDescent="0.2">
      <c r="A58" s="431" t="s">
        <v>846</v>
      </c>
      <c r="B58" s="430" t="s">
        <v>844</v>
      </c>
      <c r="C58" s="782" t="s">
        <v>845</v>
      </c>
      <c r="D58" s="783"/>
    </row>
    <row r="59" spans="1:7" s="398" customFormat="1" x14ac:dyDescent="0.2">
      <c r="A59" s="431" t="s">
        <v>848</v>
      </c>
      <c r="B59" s="430" t="s">
        <v>847</v>
      </c>
      <c r="C59" s="782" t="s">
        <v>849</v>
      </c>
      <c r="D59" s="783"/>
    </row>
    <row r="60" spans="1:7" x14ac:dyDescent="0.2">
      <c r="A60" s="431" t="s">
        <v>851</v>
      </c>
      <c r="B60" s="430" t="s">
        <v>850</v>
      </c>
      <c r="C60" s="782" t="s">
        <v>852</v>
      </c>
      <c r="D60" s="783"/>
    </row>
    <row r="61" spans="1:7" x14ac:dyDescent="0.2">
      <c r="A61" s="431"/>
      <c r="B61" s="430" t="s">
        <v>336</v>
      </c>
      <c r="C61" s="782" t="s">
        <v>337</v>
      </c>
      <c r="D61" s="783"/>
    </row>
    <row r="62" spans="1:7" ht="13.5" thickBot="1" x14ac:dyDescent="0.25">
      <c r="A62" s="438"/>
      <c r="B62" s="439" t="s">
        <v>532</v>
      </c>
      <c r="C62" s="780" t="s">
        <v>532</v>
      </c>
      <c r="D62" s="781"/>
    </row>
    <row r="63" spans="1:7" x14ac:dyDescent="0.2">
      <c r="A63" s="398"/>
      <c r="B63" s="440"/>
      <c r="C63" s="398"/>
      <c r="D63" s="398"/>
    </row>
  </sheetData>
  <sheetProtection formatCells="0" formatColumns="0" formatRows="0" insertColumns="0" insertRows="0" deleteColumns="0" deleteRows="0" sort="0" autoFilter="0"/>
  <mergeCells count="59">
    <mergeCell ref="C62:D62"/>
    <mergeCell ref="C56:D56"/>
    <mergeCell ref="C61:D61"/>
    <mergeCell ref="C53:D53"/>
    <mergeCell ref="C54:D54"/>
    <mergeCell ref="C57:D57"/>
    <mergeCell ref="C58:D58"/>
    <mergeCell ref="C55:D55"/>
    <mergeCell ref="C59:D59"/>
    <mergeCell ref="C60:D60"/>
    <mergeCell ref="C39:D39"/>
    <mergeCell ref="C51:D51"/>
    <mergeCell ref="C49:D49"/>
    <mergeCell ref="C50:D50"/>
    <mergeCell ref="C41:D41"/>
    <mergeCell ref="C48:D48"/>
    <mergeCell ref="C47:D47"/>
    <mergeCell ref="C42:D42"/>
    <mergeCell ref="C52:D52"/>
    <mergeCell ref="C43:D43"/>
    <mergeCell ref="C45:D45"/>
    <mergeCell ref="B24:D24"/>
    <mergeCell ref="B25:D25"/>
    <mergeCell ref="B27:D27"/>
    <mergeCell ref="B26:D26"/>
    <mergeCell ref="C40:D40"/>
    <mergeCell ref="B29:D29"/>
    <mergeCell ref="B32:D32"/>
    <mergeCell ref="A33:D33"/>
    <mergeCell ref="C38:D38"/>
    <mergeCell ref="B30:D30"/>
    <mergeCell ref="B28:D28"/>
    <mergeCell ref="C34:D34"/>
    <mergeCell ref="B31:D31"/>
    <mergeCell ref="C35:D35"/>
    <mergeCell ref="C37:D37"/>
    <mergeCell ref="C36:D36"/>
    <mergeCell ref="B1:D1"/>
    <mergeCell ref="B2:D2"/>
    <mergeCell ref="B3:D3"/>
    <mergeCell ref="C4:D4"/>
    <mergeCell ref="B8:D8"/>
    <mergeCell ref="B5:D5"/>
    <mergeCell ref="B6:D6"/>
    <mergeCell ref="B23:D23"/>
    <mergeCell ref="B9:D9"/>
    <mergeCell ref="B20:D20"/>
    <mergeCell ref="B19:D19"/>
    <mergeCell ref="B7:D7"/>
    <mergeCell ref="B10:D10"/>
    <mergeCell ref="B12:D13"/>
    <mergeCell ref="B11:D11"/>
    <mergeCell ref="B22:D22"/>
    <mergeCell ref="B14:D14"/>
    <mergeCell ref="B15:D15"/>
    <mergeCell ref="B16:D16"/>
    <mergeCell ref="B18:D18"/>
    <mergeCell ref="B17:D17"/>
    <mergeCell ref="B21:D21"/>
  </mergeCells>
  <phoneticPr fontId="0" type="noConversion"/>
  <dataValidations count="4">
    <dataValidation type="whole" allowBlank="1" showInputMessage="1" showErrorMessage="1" sqref="B2:D2" xr:uid="{00000000-0002-0000-0100-000000000000}">
      <formula1>0</formula1>
      <formula2>9999999</formula2>
    </dataValidation>
    <dataValidation type="date" allowBlank="1" showInputMessage="1" showErrorMessage="1" sqref="B3:D3" xr:uid="{00000000-0002-0000-0100-000001000000}">
      <formula1>10100</formula1>
      <formula2>401768</formula2>
    </dataValidation>
    <dataValidation type="date" allowBlank="1" showInputMessage="1" showErrorMessage="1" sqref="B5:D6" xr:uid="{00000000-0002-0000-0100-000002000000}">
      <formula1>36526</formula1>
      <formula2>401768</formula2>
    </dataValidation>
    <dataValidation type="date" allowBlank="1" showInputMessage="1" showErrorMessage="1" sqref="B23:D23" xr:uid="{00000000-0002-0000-0100-000003000000}">
      <formula1>32874</formula1>
      <formula2>401768</formula2>
    </dataValidation>
  </dataValidations>
  <printOptions horizontalCentered="1" verticalCentered="1"/>
  <pageMargins left="0.25" right="0.25" top="0.25" bottom="0.25" header="0.23622047244094491" footer="0.23622047244094491"/>
  <pageSetup scale="67" fitToHeight="3"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1"/>
  <dimension ref="A1:E9"/>
  <sheetViews>
    <sheetView zoomScale="75" zoomScaleNormal="85" workbookViewId="0">
      <selection activeCell="C3" sqref="C3"/>
    </sheetView>
  </sheetViews>
  <sheetFormatPr defaultColWidth="11.42578125" defaultRowHeight="12.75" x14ac:dyDescent="0.2"/>
  <cols>
    <col min="1" max="1" width="11.42578125" style="230"/>
    <col min="2" max="2" width="7.5703125" style="230" bestFit="1" customWidth="1"/>
    <col min="3" max="3" width="12.85546875" style="230" bestFit="1" customWidth="1"/>
    <col min="4" max="4" width="6.140625" style="230" customWidth="1"/>
    <col min="5" max="5" width="10.28515625" style="230" bestFit="1" customWidth="1"/>
    <col min="6" max="16384" width="11.42578125" style="230"/>
  </cols>
  <sheetData>
    <row r="1" spans="1:5" ht="13.5" thickBot="1" x14ac:dyDescent="0.25">
      <c r="A1" s="229"/>
    </row>
    <row r="2" spans="1:5" ht="18.75" thickBot="1" x14ac:dyDescent="0.25">
      <c r="B2" s="231" t="s">
        <v>606</v>
      </c>
      <c r="C2" s="232" t="s">
        <v>525</v>
      </c>
      <c r="D2" s="233"/>
      <c r="E2" s="234" t="s">
        <v>607</v>
      </c>
    </row>
    <row r="3" spans="1:5" ht="18" x14ac:dyDescent="0.2">
      <c r="B3" s="235"/>
      <c r="C3" s="236"/>
      <c r="D3" s="237"/>
      <c r="E3" s="238"/>
    </row>
    <row r="4" spans="1:5" ht="18" x14ac:dyDescent="0.2">
      <c r="B4" s="235"/>
      <c r="C4" s="239"/>
      <c r="D4" s="240"/>
      <c r="E4" s="241"/>
    </row>
    <row r="5" spans="1:5" ht="18" x14ac:dyDescent="0.2">
      <c r="B5" s="235"/>
      <c r="C5" s="239"/>
      <c r="D5" s="240"/>
      <c r="E5" s="241"/>
    </row>
    <row r="6" spans="1:5" ht="18.75" thickBot="1" x14ac:dyDescent="0.25">
      <c r="B6" s="235"/>
      <c r="C6" s="242"/>
      <c r="D6" s="243"/>
      <c r="E6" s="244"/>
    </row>
    <row r="7" spans="1:5" ht="18.75" thickBot="1" x14ac:dyDescent="0.25">
      <c r="B7" s="235"/>
      <c r="C7" s="235"/>
      <c r="D7" s="235"/>
      <c r="E7" s="235"/>
    </row>
    <row r="8" spans="1:5" ht="18.75" thickBot="1" x14ac:dyDescent="0.25">
      <c r="B8" s="235"/>
      <c r="C8" s="245" t="s">
        <v>608</v>
      </c>
      <c r="D8" s="246"/>
      <c r="E8" s="247">
        <f>SUM(E3:E6)</f>
        <v>0</v>
      </c>
    </row>
    <row r="9" spans="1:5" x14ac:dyDescent="0.2">
      <c r="A9" s="229">
        <v>39</v>
      </c>
    </row>
  </sheetData>
  <sheetProtection formatCells="0" formatColumns="0" formatRows="0" insertColumns="0" insertRows="0" deleteColumns="0" deleteRows="0" sort="0" autoFilter="0"/>
  <phoneticPr fontId="11" type="noConversion"/>
  <dataValidations count="1">
    <dataValidation type="list" showInputMessage="1" showErrorMessage="1" sqref="D3:D6" xr:uid="{00000000-0002-0000-0200-000000000000}">
      <formula1>MQCType</formula1>
    </dataValidation>
  </dataValidations>
  <pageMargins left="0.75" right="0.75" top="1" bottom="1" header="0.4921259845" footer="0.4921259845"/>
  <pageSetup paperSize="9" orientation="portrait" r:id="rId1"/>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6">
    <tabColor indexed="12"/>
    <pageSetUpPr fitToPage="1"/>
  </sheetPr>
  <dimension ref="A1:BB214"/>
  <sheetViews>
    <sheetView showGridLines="0" topLeftCell="A178" zoomScale="75" zoomScaleNormal="75" zoomScaleSheetLayoutView="75" workbookViewId="0">
      <selection activeCell="G194" sqref="A194:XFD201"/>
    </sheetView>
  </sheetViews>
  <sheetFormatPr defaultColWidth="9.140625" defaultRowHeight="15.75" x14ac:dyDescent="0.2"/>
  <cols>
    <col min="1" max="1" width="25.140625" style="69" customWidth="1"/>
    <col min="2" max="2" width="18.5703125" style="69" customWidth="1"/>
    <col min="3" max="3" width="18.28515625" style="69" customWidth="1"/>
    <col min="4" max="4" width="17.42578125" style="69" customWidth="1"/>
    <col min="5" max="5" width="19.28515625" style="69" customWidth="1"/>
    <col min="6" max="6" width="12.140625" style="211" customWidth="1"/>
    <col min="7" max="8" width="17.42578125" style="211" customWidth="1"/>
    <col min="9" max="9" width="17.7109375" style="211" customWidth="1"/>
    <col min="10" max="10" width="23.42578125" style="69" bestFit="1" customWidth="1"/>
    <col min="11" max="11" width="18.42578125" style="69" bestFit="1" customWidth="1"/>
    <col min="12" max="12" width="18.5703125" style="69" customWidth="1"/>
    <col min="13" max="13" width="17.28515625" style="69" customWidth="1"/>
    <col min="14" max="14" width="17.7109375" style="69" customWidth="1"/>
    <col min="15" max="16" width="16.5703125" style="69" customWidth="1"/>
    <col min="17" max="17" width="17.5703125" style="69" customWidth="1"/>
    <col min="18" max="18" width="15.85546875" style="69" customWidth="1"/>
    <col min="19" max="19" width="16.7109375" style="69" customWidth="1"/>
    <col min="20" max="20" width="16.5703125" style="69" customWidth="1"/>
    <col min="21" max="21" width="16.7109375" style="69" customWidth="1"/>
    <col min="22" max="22" width="17.5703125" style="69" customWidth="1"/>
    <col min="23" max="23" width="18" style="69" customWidth="1"/>
    <col min="24" max="24" width="12.7109375" style="69" customWidth="1"/>
    <col min="25" max="25" width="16.85546875" style="69" customWidth="1"/>
    <col min="26" max="26" width="9.7109375" style="69" customWidth="1"/>
    <col min="27" max="27" width="14.140625" style="69" customWidth="1"/>
    <col min="28" max="28" width="9.7109375" style="69" customWidth="1"/>
    <col min="29" max="29" width="14.140625" style="69" customWidth="1"/>
    <col min="30" max="16384" width="9.140625" style="69"/>
  </cols>
  <sheetData>
    <row r="1" spans="1:54" x14ac:dyDescent="0.2">
      <c r="A1" s="835" t="s">
        <v>511</v>
      </c>
      <c r="B1" s="837"/>
      <c r="C1" s="902" t="str">
        <f>Cover!B1</f>
        <v>22-XXXX</v>
      </c>
      <c r="D1" s="903"/>
      <c r="E1" s="903"/>
      <c r="F1" s="904"/>
      <c r="G1" s="69"/>
      <c r="H1" s="69"/>
      <c r="I1" s="69"/>
    </row>
    <row r="2" spans="1:54" x14ac:dyDescent="0.2">
      <c r="A2" s="885" t="s">
        <v>1236</v>
      </c>
      <c r="B2" s="886"/>
      <c r="C2" s="887"/>
      <c r="D2" s="888"/>
      <c r="E2" s="888"/>
      <c r="F2" s="889"/>
      <c r="G2" s="69"/>
      <c r="H2" s="69"/>
      <c r="I2" s="69"/>
    </row>
    <row r="3" spans="1:54" x14ac:dyDescent="0.2">
      <c r="A3" s="885" t="s">
        <v>522</v>
      </c>
      <c r="B3" s="886"/>
      <c r="C3" s="905">
        <f>Cover!B2</f>
        <v>0</v>
      </c>
      <c r="D3" s="906"/>
      <c r="E3" s="906"/>
      <c r="F3" s="907"/>
      <c r="G3" s="69"/>
      <c r="H3" s="69"/>
      <c r="I3" s="69"/>
    </row>
    <row r="4" spans="1:54" x14ac:dyDescent="0.2">
      <c r="A4" s="885" t="s">
        <v>1229</v>
      </c>
      <c r="B4" s="886"/>
      <c r="C4" s="884">
        <f>Cover!B7</f>
        <v>0</v>
      </c>
      <c r="D4" s="817"/>
      <c r="E4" s="817"/>
      <c r="F4" s="818"/>
      <c r="G4" s="69"/>
      <c r="H4" s="69"/>
      <c r="I4" s="69"/>
    </row>
    <row r="5" spans="1:54" x14ac:dyDescent="0.2">
      <c r="A5" s="885" t="s">
        <v>528</v>
      </c>
      <c r="B5" s="886"/>
      <c r="C5" s="887" t="s">
        <v>364</v>
      </c>
      <c r="D5" s="888"/>
      <c r="E5" s="888"/>
      <c r="F5" s="889"/>
      <c r="G5" s="69"/>
      <c r="H5" s="69"/>
      <c r="I5" s="69"/>
    </row>
    <row r="6" spans="1:54" ht="15.75" customHeight="1" x14ac:dyDescent="0.2">
      <c r="A6" s="885" t="s">
        <v>512</v>
      </c>
      <c r="B6" s="886"/>
      <c r="C6" s="887" t="s">
        <v>539</v>
      </c>
      <c r="D6" s="888"/>
      <c r="E6" s="888"/>
      <c r="F6" s="889"/>
      <c r="G6" s="69"/>
      <c r="H6" s="69"/>
      <c r="I6" s="69"/>
    </row>
    <row r="7" spans="1:54" ht="15.75" customHeight="1" x14ac:dyDescent="0.2">
      <c r="A7" s="885" t="s">
        <v>612</v>
      </c>
      <c r="B7" s="886"/>
      <c r="C7" s="887" t="s">
        <v>120</v>
      </c>
      <c r="D7" s="888"/>
      <c r="E7" s="888"/>
      <c r="F7" s="889"/>
      <c r="G7" s="69"/>
      <c r="H7" s="69"/>
      <c r="I7" s="69"/>
    </row>
    <row r="8" spans="1:54" ht="2.25" customHeight="1" thickBot="1" x14ac:dyDescent="0.25">
      <c r="A8" s="900"/>
      <c r="B8" s="901"/>
      <c r="C8" s="894"/>
      <c r="D8" s="895"/>
      <c r="E8" s="895"/>
      <c r="F8" s="896"/>
      <c r="G8" s="69"/>
      <c r="H8" s="69"/>
      <c r="I8" s="69"/>
    </row>
    <row r="9" spans="1:54" s="73" customFormat="1" x14ac:dyDescent="0.2">
      <c r="A9" s="442">
        <v>39</v>
      </c>
      <c r="B9" s="443" t="s">
        <v>615</v>
      </c>
      <c r="D9" s="444"/>
      <c r="E9" s="444"/>
      <c r="F9" s="445"/>
    </row>
    <row r="10" spans="1:54" s="73" customFormat="1" ht="16.5" thickBot="1" x14ac:dyDescent="0.25">
      <c r="A10" s="446"/>
      <c r="D10" s="444"/>
      <c r="E10" s="444"/>
      <c r="F10" s="445"/>
      <c r="G10" s="447"/>
      <c r="H10" s="444"/>
      <c r="I10" s="444"/>
      <c r="J10" s="444"/>
    </row>
    <row r="11" spans="1:54" ht="19.5" thickBot="1" x14ac:dyDescent="0.25">
      <c r="A11" s="448" t="s">
        <v>613</v>
      </c>
      <c r="B11" s="449"/>
      <c r="C11" s="73"/>
      <c r="D11" s="444"/>
      <c r="E11" s="444"/>
      <c r="F11" s="445"/>
      <c r="G11" s="447"/>
      <c r="H11" s="444"/>
      <c r="I11" s="444"/>
      <c r="J11" s="444"/>
    </row>
    <row r="12" spans="1:54" s="78" customFormat="1" ht="16.5" thickBot="1" x14ac:dyDescent="0.25">
      <c r="A12" s="897" t="s">
        <v>616</v>
      </c>
      <c r="B12" s="898"/>
      <c r="C12" s="898"/>
      <c r="D12" s="898"/>
      <c r="E12" s="898"/>
      <c r="F12" s="898"/>
      <c r="G12" s="898"/>
      <c r="H12" s="898"/>
      <c r="I12" s="898"/>
      <c r="J12" s="899"/>
    </row>
    <row r="13" spans="1:54" ht="17.25" customHeight="1" x14ac:dyDescent="0.2">
      <c r="A13" s="450" t="s">
        <v>617</v>
      </c>
      <c r="B13" s="881" t="s">
        <v>618</v>
      </c>
      <c r="C13" s="881"/>
      <c r="D13" s="881"/>
      <c r="E13" s="881"/>
      <c r="F13" s="881"/>
      <c r="G13" s="881"/>
      <c r="H13" s="881"/>
      <c r="I13" s="881"/>
      <c r="J13" s="882" t="s">
        <v>622</v>
      </c>
      <c r="K13" s="883"/>
      <c r="L13" s="890" t="s">
        <v>623</v>
      </c>
      <c r="M13" s="891"/>
      <c r="N13" s="350" t="s">
        <v>4</v>
      </c>
    </row>
    <row r="14" spans="1:54" s="81" customFormat="1" x14ac:dyDescent="0.2">
      <c r="A14" s="451"/>
      <c r="B14" s="862"/>
      <c r="C14" s="892"/>
      <c r="D14" s="892"/>
      <c r="E14" s="892"/>
      <c r="F14" s="892"/>
      <c r="G14" s="892"/>
      <c r="H14" s="892"/>
      <c r="I14" s="892"/>
      <c r="J14" s="870"/>
      <c r="K14" s="855"/>
      <c r="L14" s="893"/>
      <c r="M14" s="871"/>
      <c r="N14" s="349" t="str">
        <f>IF($A14&gt;0,$A14,"")</f>
        <v/>
      </c>
    </row>
    <row r="15" spans="1:54" s="453" customFormat="1" x14ac:dyDescent="0.2">
      <c r="A15" s="452"/>
      <c r="B15" s="879"/>
      <c r="C15" s="880"/>
      <c r="D15" s="880"/>
      <c r="E15" s="880"/>
      <c r="F15" s="880"/>
      <c r="G15" s="880"/>
      <c r="H15" s="880"/>
      <c r="I15" s="880"/>
      <c r="J15" s="870"/>
      <c r="K15" s="855"/>
      <c r="L15" s="870"/>
      <c r="M15" s="871"/>
      <c r="N15" s="349" t="str">
        <f>IF($A15&gt;0,$A15,"")</f>
        <v/>
      </c>
      <c r="BB15" s="81"/>
    </row>
    <row r="16" spans="1:54" s="453" customFormat="1" x14ac:dyDescent="0.2">
      <c r="A16" s="452"/>
      <c r="B16" s="879"/>
      <c r="C16" s="880"/>
      <c r="D16" s="880"/>
      <c r="E16" s="880"/>
      <c r="F16" s="880"/>
      <c r="G16" s="880"/>
      <c r="H16" s="880"/>
      <c r="I16" s="880"/>
      <c r="J16" s="870"/>
      <c r="K16" s="855"/>
      <c r="L16" s="870"/>
      <c r="M16" s="871"/>
      <c r="N16" s="349" t="str">
        <f>IF($A16&gt;0,$A16,"")</f>
        <v/>
      </c>
      <c r="BB16" s="81"/>
    </row>
    <row r="17" spans="1:54" s="453" customFormat="1" ht="16.5" thickBot="1" x14ac:dyDescent="0.25">
      <c r="A17" s="454"/>
      <c r="B17" s="864"/>
      <c r="C17" s="865"/>
      <c r="D17" s="865"/>
      <c r="E17" s="865"/>
      <c r="F17" s="865"/>
      <c r="G17" s="865"/>
      <c r="H17" s="865"/>
      <c r="I17" s="865"/>
      <c r="J17" s="866"/>
      <c r="K17" s="867"/>
      <c r="L17" s="857"/>
      <c r="M17" s="858"/>
      <c r="N17" s="349" t="str">
        <f>IF($A17&gt;0,$A17,"")</f>
        <v/>
      </c>
      <c r="BB17" s="81"/>
    </row>
    <row r="18" spans="1:54" s="462" customFormat="1" ht="16.5" thickBot="1" x14ac:dyDescent="0.25">
      <c r="A18" s="455"/>
      <c r="B18" s="456"/>
      <c r="C18" s="457"/>
      <c r="D18" s="458"/>
      <c r="E18" s="458"/>
      <c r="F18" s="459"/>
      <c r="G18" s="459"/>
      <c r="H18" s="460"/>
      <c r="I18" s="461"/>
      <c r="J18" s="461"/>
      <c r="K18" s="457"/>
      <c r="L18" s="457"/>
      <c r="M18" s="457"/>
      <c r="N18" s="349" t="str">
        <f>IF($A18&gt;0,$A18,"")</f>
        <v/>
      </c>
      <c r="O18" s="457"/>
      <c r="P18" s="457"/>
      <c r="Q18" s="457"/>
      <c r="BB18" s="81"/>
    </row>
    <row r="19" spans="1:54" s="462" customFormat="1" ht="19.5" thickBot="1" x14ac:dyDescent="0.25">
      <c r="A19" s="448" t="s">
        <v>419</v>
      </c>
      <c r="B19" s="463"/>
      <c r="I19" s="461"/>
      <c r="J19" s="461"/>
      <c r="K19" s="457"/>
      <c r="L19" s="457"/>
      <c r="M19" s="457"/>
      <c r="N19" s="457"/>
      <c r="O19" s="457"/>
      <c r="P19" s="457"/>
      <c r="Q19" s="457"/>
    </row>
    <row r="20" spans="1:54" s="462" customFormat="1" x14ac:dyDescent="0.2">
      <c r="A20" s="464" t="s">
        <v>419</v>
      </c>
      <c r="B20" s="859" t="s">
        <v>618</v>
      </c>
      <c r="C20" s="860"/>
      <c r="D20" s="860"/>
      <c r="E20" s="860"/>
      <c r="F20" s="860"/>
      <c r="G20" s="860"/>
      <c r="H20" s="861"/>
      <c r="I20" s="461"/>
      <c r="J20" s="461"/>
      <c r="K20" s="457"/>
      <c r="L20" s="457"/>
      <c r="M20" s="457"/>
      <c r="N20" s="457"/>
      <c r="O20" s="457"/>
      <c r="P20" s="457"/>
      <c r="Q20" s="457"/>
    </row>
    <row r="21" spans="1:54" s="467" customFormat="1" x14ac:dyDescent="0.2">
      <c r="A21" s="451" t="s">
        <v>549</v>
      </c>
      <c r="B21" s="862" t="s">
        <v>476</v>
      </c>
      <c r="C21" s="862"/>
      <c r="D21" s="862"/>
      <c r="E21" s="862"/>
      <c r="F21" s="862"/>
      <c r="G21" s="862"/>
      <c r="H21" s="863"/>
      <c r="I21" s="220"/>
      <c r="J21" s="465"/>
      <c r="K21" s="466"/>
      <c r="L21" s="466"/>
      <c r="M21" s="466"/>
      <c r="N21" s="466"/>
      <c r="O21" s="466"/>
      <c r="P21" s="466"/>
      <c r="Q21" s="466"/>
    </row>
    <row r="22" spans="1:54" s="467" customFormat="1" x14ac:dyDescent="0.2">
      <c r="A22" s="468"/>
      <c r="B22" s="862"/>
      <c r="C22" s="862"/>
      <c r="D22" s="862"/>
      <c r="E22" s="862"/>
      <c r="F22" s="862"/>
      <c r="G22" s="862"/>
      <c r="H22" s="863"/>
      <c r="I22" s="465"/>
      <c r="J22" s="465"/>
      <c r="K22" s="466"/>
      <c r="L22" s="466"/>
      <c r="M22" s="466"/>
      <c r="N22" s="466"/>
      <c r="O22" s="466"/>
      <c r="P22" s="466"/>
      <c r="Q22" s="466"/>
    </row>
    <row r="23" spans="1:54" s="467" customFormat="1" x14ac:dyDescent="0.2">
      <c r="A23" s="468"/>
      <c r="B23" s="854"/>
      <c r="C23" s="855"/>
      <c r="D23" s="855"/>
      <c r="E23" s="855"/>
      <c r="F23" s="855"/>
      <c r="G23" s="855"/>
      <c r="H23" s="856"/>
      <c r="I23" s="465"/>
      <c r="J23" s="465"/>
      <c r="K23" s="466"/>
      <c r="L23" s="466"/>
      <c r="M23" s="466"/>
      <c r="N23" s="466"/>
      <c r="O23" s="466"/>
      <c r="P23" s="466"/>
      <c r="Q23" s="466"/>
    </row>
    <row r="24" spans="1:54" s="467" customFormat="1" ht="16.5" thickBot="1" x14ac:dyDescent="0.25">
      <c r="A24" s="469"/>
      <c r="B24" s="877"/>
      <c r="C24" s="867"/>
      <c r="D24" s="867"/>
      <c r="E24" s="867"/>
      <c r="F24" s="867"/>
      <c r="G24" s="867"/>
      <c r="H24" s="878"/>
      <c r="I24" s="465"/>
      <c r="J24" s="465"/>
      <c r="K24" s="466"/>
      <c r="L24" s="466"/>
      <c r="M24" s="466"/>
      <c r="N24" s="466"/>
      <c r="O24" s="466"/>
      <c r="P24" s="466"/>
      <c r="Q24" s="466"/>
    </row>
    <row r="25" spans="1:54" s="462" customFormat="1" ht="16.5" thickBot="1" x14ac:dyDescent="0.25">
      <c r="A25" s="456"/>
      <c r="B25" s="95"/>
      <c r="C25" s="95"/>
      <c r="D25" s="95"/>
      <c r="E25" s="95"/>
      <c r="F25" s="95"/>
      <c r="G25" s="95"/>
      <c r="H25" s="95"/>
      <c r="I25" s="461"/>
      <c r="J25" s="461"/>
      <c r="K25" s="457"/>
      <c r="L25" s="457"/>
      <c r="M25" s="457"/>
      <c r="N25" s="457"/>
      <c r="O25" s="457"/>
      <c r="P25" s="457"/>
      <c r="Q25" s="457"/>
      <c r="R25" s="457"/>
      <c r="S25" s="457"/>
      <c r="T25" s="457"/>
      <c r="U25" s="457"/>
    </row>
    <row r="26" spans="1:54" s="462" customFormat="1" ht="19.5" thickBot="1" x14ac:dyDescent="0.25">
      <c r="A26" s="448" t="s">
        <v>624</v>
      </c>
      <c r="B26" s="449"/>
      <c r="I26" s="461"/>
      <c r="J26" s="461"/>
      <c r="K26" s="457"/>
      <c r="L26" s="457"/>
      <c r="M26" s="457"/>
      <c r="N26" s="457"/>
      <c r="O26" s="457"/>
      <c r="P26" s="457"/>
      <c r="Q26" s="457"/>
      <c r="R26" s="457"/>
      <c r="S26" s="457"/>
      <c r="T26" s="457"/>
      <c r="U26" s="457"/>
    </row>
    <row r="27" spans="1:54" s="462" customFormat="1" x14ac:dyDescent="0.2">
      <c r="A27" s="223" t="s">
        <v>886</v>
      </c>
      <c r="B27" s="470"/>
      <c r="C27" s="471"/>
      <c r="D27" s="472"/>
      <c r="E27" s="472"/>
      <c r="F27" s="473"/>
      <c r="G27" s="473"/>
      <c r="H27" s="473"/>
      <c r="I27" s="474"/>
      <c r="J27" s="475"/>
      <c r="K27" s="476"/>
      <c r="L27" s="457"/>
      <c r="M27" s="457"/>
      <c r="N27" s="457"/>
      <c r="O27" s="457"/>
      <c r="P27" s="457"/>
      <c r="Q27" s="457"/>
      <c r="R27" s="457"/>
      <c r="S27" s="457"/>
      <c r="T27" s="457"/>
      <c r="U27" s="457"/>
      <c r="V27" s="457"/>
    </row>
    <row r="28" spans="1:54" s="462" customFormat="1" x14ac:dyDescent="0.2">
      <c r="A28" s="96" t="s">
        <v>626</v>
      </c>
      <c r="B28" s="214"/>
      <c r="C28" s="477"/>
      <c r="D28" s="478"/>
      <c r="E28" s="478"/>
      <c r="F28" s="479"/>
      <c r="G28" s="479"/>
      <c r="H28" s="479"/>
      <c r="I28" s="480"/>
      <c r="J28" s="481"/>
      <c r="K28" s="482"/>
      <c r="L28" s="457"/>
      <c r="M28" s="457"/>
      <c r="N28" s="457"/>
      <c r="O28" s="457"/>
      <c r="P28" s="457"/>
      <c r="Q28" s="457"/>
      <c r="R28" s="457"/>
    </row>
    <row r="29" spans="1:54" s="462" customFormat="1" ht="16.5" thickBot="1" x14ac:dyDescent="0.25">
      <c r="A29" s="110" t="s">
        <v>172</v>
      </c>
      <c r="B29" s="483"/>
      <c r="C29" s="484"/>
      <c r="D29" s="485"/>
      <c r="E29" s="485"/>
      <c r="F29" s="486"/>
      <c r="G29" s="486"/>
      <c r="H29" s="486"/>
      <c r="I29" s="487"/>
      <c r="J29" s="488"/>
      <c r="K29" s="489"/>
      <c r="L29" s="457"/>
      <c r="M29" s="457"/>
      <c r="N29" s="457"/>
      <c r="O29" s="457"/>
      <c r="P29" s="457"/>
      <c r="Q29" s="457"/>
      <c r="R29" s="457"/>
      <c r="S29" s="118"/>
      <c r="T29" s="118"/>
      <c r="U29" s="118"/>
      <c r="V29" s="457"/>
      <c r="W29" s="457"/>
      <c r="X29" s="457"/>
    </row>
    <row r="30" spans="1:54" s="491" customFormat="1" ht="32.25" customHeight="1" x14ac:dyDescent="0.2">
      <c r="A30" s="875" t="s">
        <v>627</v>
      </c>
      <c r="B30" s="868" t="s">
        <v>628</v>
      </c>
      <c r="C30" s="868" t="s">
        <v>11</v>
      </c>
      <c r="D30" s="868" t="s">
        <v>12</v>
      </c>
      <c r="E30" s="868" t="s">
        <v>13</v>
      </c>
      <c r="F30" s="868" t="s">
        <v>14</v>
      </c>
      <c r="G30" s="868" t="s">
        <v>15</v>
      </c>
      <c r="H30" s="868" t="s">
        <v>16</v>
      </c>
      <c r="I30" s="868" t="s">
        <v>17</v>
      </c>
      <c r="J30" s="868" t="s">
        <v>18</v>
      </c>
      <c r="K30" s="868" t="s">
        <v>19</v>
      </c>
      <c r="L30" s="868" t="s">
        <v>20</v>
      </c>
      <c r="M30" s="490" t="s">
        <v>230</v>
      </c>
      <c r="N30" s="490"/>
      <c r="O30" s="490"/>
      <c r="P30" s="490"/>
      <c r="Q30" s="490"/>
      <c r="R30" s="490"/>
      <c r="S30" s="490"/>
      <c r="T30" s="490"/>
      <c r="U30" s="490"/>
      <c r="V30" s="490"/>
      <c r="W30" s="490"/>
      <c r="X30" s="868" t="s">
        <v>22</v>
      </c>
      <c r="Y30" s="868" t="s">
        <v>23</v>
      </c>
      <c r="Z30" s="868" t="s">
        <v>24</v>
      </c>
      <c r="AA30" s="922" t="s">
        <v>352</v>
      </c>
    </row>
    <row r="31" spans="1:54" s="491" customFormat="1" ht="16.5" thickBot="1" x14ac:dyDescent="0.25">
      <c r="A31" s="876"/>
      <c r="B31" s="869"/>
      <c r="C31" s="869"/>
      <c r="D31" s="869"/>
      <c r="E31" s="869"/>
      <c r="F31" s="869"/>
      <c r="G31" s="872"/>
      <c r="H31" s="869"/>
      <c r="I31" s="869"/>
      <c r="J31" s="869"/>
      <c r="K31" s="869"/>
      <c r="L31" s="869"/>
      <c r="M31" s="492" t="s">
        <v>84</v>
      </c>
      <c r="N31" s="492"/>
      <c r="O31" s="492"/>
      <c r="P31" s="492"/>
      <c r="Q31" s="492"/>
      <c r="R31" s="492"/>
      <c r="S31" s="492"/>
      <c r="T31" s="492"/>
      <c r="U31" s="492"/>
      <c r="V31" s="492"/>
      <c r="W31" s="492"/>
      <c r="X31" s="869"/>
      <c r="Y31" s="869"/>
      <c r="Z31" s="869"/>
      <c r="AA31" s="923"/>
    </row>
    <row r="32" spans="1:54" s="136" customFormat="1" x14ac:dyDescent="0.2">
      <c r="A32" s="493"/>
      <c r="B32" s="49"/>
      <c r="C32" s="225"/>
      <c r="D32" s="225"/>
      <c r="E32" s="225"/>
      <c r="F32" s="225"/>
      <c r="G32" s="120"/>
      <c r="H32" s="225"/>
      <c r="I32" s="263"/>
      <c r="J32" s="263"/>
      <c r="K32" s="263"/>
      <c r="L32" s="263"/>
      <c r="M32" s="120"/>
      <c r="N32" s="120"/>
      <c r="O32" s="120"/>
      <c r="P32" s="226"/>
      <c r="Q32" s="226"/>
      <c r="R32" s="226"/>
      <c r="S32" s="120"/>
      <c r="T32" s="120"/>
      <c r="U32" s="120"/>
      <c r="V32" s="120"/>
      <c r="W32" s="120"/>
      <c r="X32" s="227"/>
      <c r="Y32" s="227"/>
      <c r="Z32" s="120"/>
      <c r="AA32" s="121"/>
    </row>
    <row r="33" spans="1:29" s="136" customFormat="1" x14ac:dyDescent="0.2">
      <c r="A33" s="494"/>
      <c r="B33" s="123"/>
      <c r="C33" s="123"/>
      <c r="D33" s="123"/>
      <c r="E33" s="123"/>
      <c r="F33" s="123"/>
      <c r="G33" s="124"/>
      <c r="H33" s="123"/>
      <c r="I33" s="255"/>
      <c r="J33" s="255"/>
      <c r="K33" s="255"/>
      <c r="L33" s="255"/>
      <c r="M33" s="125"/>
      <c r="N33" s="124"/>
      <c r="O33" s="124"/>
      <c r="P33" s="125"/>
      <c r="Q33" s="125"/>
      <c r="R33" s="125"/>
      <c r="S33" s="124"/>
      <c r="T33" s="124"/>
      <c r="U33" s="124"/>
      <c r="V33" s="124"/>
      <c r="W33" s="124"/>
      <c r="X33" s="126"/>
      <c r="Y33" s="126"/>
      <c r="Z33" s="124"/>
      <c r="AA33" s="127"/>
    </row>
    <row r="34" spans="1:29" s="136" customFormat="1" x14ac:dyDescent="0.2">
      <c r="A34" s="494"/>
      <c r="B34" s="123"/>
      <c r="C34" s="123"/>
      <c r="D34" s="123"/>
      <c r="E34" s="123"/>
      <c r="F34" s="123"/>
      <c r="G34" s="124"/>
      <c r="H34" s="123"/>
      <c r="I34" s="255"/>
      <c r="J34" s="255"/>
      <c r="K34" s="255"/>
      <c r="L34" s="255"/>
      <c r="M34" s="125"/>
      <c r="N34" s="124"/>
      <c r="O34" s="124"/>
      <c r="P34" s="125"/>
      <c r="Q34" s="125"/>
      <c r="R34" s="125"/>
      <c r="S34" s="124"/>
      <c r="T34" s="124"/>
      <c r="U34" s="124"/>
      <c r="V34" s="124"/>
      <c r="W34" s="124"/>
      <c r="X34" s="126"/>
      <c r="Y34" s="126"/>
      <c r="Z34" s="124"/>
      <c r="AA34" s="127"/>
    </row>
    <row r="35" spans="1:29" s="136" customFormat="1" ht="16.5" thickBot="1" x14ac:dyDescent="0.25">
      <c r="A35" s="495"/>
      <c r="B35" s="128"/>
      <c r="C35" s="128"/>
      <c r="D35" s="128"/>
      <c r="E35" s="128"/>
      <c r="F35" s="128"/>
      <c r="G35" s="129"/>
      <c r="H35" s="128"/>
      <c r="I35" s="256"/>
      <c r="J35" s="256"/>
      <c r="K35" s="256"/>
      <c r="L35" s="256"/>
      <c r="M35" s="129"/>
      <c r="N35" s="129"/>
      <c r="O35" s="129"/>
      <c r="P35" s="130"/>
      <c r="Q35" s="130"/>
      <c r="R35" s="130"/>
      <c r="S35" s="129"/>
      <c r="T35" s="129"/>
      <c r="U35" s="129"/>
      <c r="V35" s="129"/>
      <c r="W35" s="129"/>
      <c r="X35" s="131"/>
      <c r="Y35" s="131"/>
      <c r="Z35" s="129"/>
      <c r="AA35" s="132"/>
    </row>
    <row r="36" spans="1:29" s="73" customFormat="1" x14ac:dyDescent="0.2">
      <c r="A36" s="133"/>
      <c r="B36" s="133"/>
      <c r="C36" s="133"/>
      <c r="D36" s="133"/>
      <c r="E36" s="133"/>
      <c r="F36" s="133"/>
      <c r="G36" s="118"/>
      <c r="H36" s="118"/>
      <c r="I36" s="118"/>
      <c r="J36" s="118"/>
      <c r="K36" s="118"/>
      <c r="L36" s="118"/>
      <c r="M36" s="134"/>
      <c r="N36" s="118"/>
      <c r="O36" s="159"/>
      <c r="P36" s="159"/>
      <c r="Q36" s="159"/>
      <c r="R36" s="159"/>
      <c r="S36" s="159"/>
      <c r="T36" s="159"/>
      <c r="U36" s="159"/>
      <c r="V36" s="159"/>
      <c r="W36" s="466"/>
    </row>
    <row r="37" spans="1:29" s="73" customFormat="1" ht="16.5" thickBot="1" x14ac:dyDescent="0.25">
      <c r="A37" s="133"/>
      <c r="B37" s="133"/>
      <c r="C37" s="133"/>
      <c r="D37" s="133"/>
      <c r="E37" s="133"/>
      <c r="F37" s="133"/>
      <c r="G37" s="118"/>
      <c r="H37" s="118"/>
      <c r="I37" s="118"/>
      <c r="J37" s="118"/>
      <c r="K37" s="118"/>
      <c r="N37" s="118"/>
      <c r="O37" s="159"/>
      <c r="P37" s="159"/>
      <c r="Q37" s="159"/>
      <c r="R37" s="159"/>
      <c r="S37" s="159"/>
      <c r="T37" s="159"/>
      <c r="U37" s="159"/>
      <c r="V37" s="159"/>
      <c r="W37" s="467"/>
    </row>
    <row r="38" spans="1:29" s="73" customFormat="1" ht="16.5" thickBot="1" x14ac:dyDescent="0.25">
      <c r="A38" s="496" t="s">
        <v>25</v>
      </c>
      <c r="B38" s="133"/>
      <c r="C38" s="133"/>
      <c r="D38" s="133"/>
      <c r="E38" s="133"/>
      <c r="F38" s="133"/>
      <c r="G38" s="118"/>
      <c r="H38" s="118"/>
      <c r="I38" s="118"/>
      <c r="J38" s="118"/>
      <c r="K38" s="118"/>
      <c r="M38" s="118"/>
      <c r="N38" s="118"/>
      <c r="O38" s="159"/>
      <c r="P38" s="136"/>
      <c r="Q38" s="136"/>
      <c r="R38" s="136"/>
      <c r="S38" s="466"/>
      <c r="T38" s="466"/>
      <c r="U38" s="466"/>
      <c r="V38" s="466"/>
      <c r="W38" s="159"/>
    </row>
    <row r="39" spans="1:29" s="73" customFormat="1" ht="15.75" customHeight="1" x14ac:dyDescent="0.2">
      <c r="A39" s="875" t="s">
        <v>627</v>
      </c>
      <c r="B39" s="868" t="s">
        <v>628</v>
      </c>
      <c r="C39" s="868" t="s">
        <v>11</v>
      </c>
      <c r="D39" s="868" t="s">
        <v>12</v>
      </c>
      <c r="E39" s="868" t="s">
        <v>13</v>
      </c>
      <c r="F39" s="868" t="s">
        <v>14</v>
      </c>
      <c r="G39" s="868" t="s">
        <v>15</v>
      </c>
      <c r="H39" s="868" t="s">
        <v>16</v>
      </c>
      <c r="I39" s="868" t="s">
        <v>26</v>
      </c>
      <c r="J39" s="868" t="s">
        <v>27</v>
      </c>
      <c r="K39" s="945" t="s">
        <v>295</v>
      </c>
      <c r="L39" s="497" t="s">
        <v>63</v>
      </c>
      <c r="M39" s="498" t="s">
        <v>64</v>
      </c>
      <c r="N39" s="499" t="s">
        <v>65</v>
      </c>
      <c r="O39" s="490"/>
      <c r="P39" s="490"/>
      <c r="Q39" s="490"/>
      <c r="R39" s="490"/>
      <c r="S39" s="490"/>
      <c r="T39" s="490"/>
      <c r="U39" s="490"/>
      <c r="V39" s="490"/>
      <c r="W39" s="490"/>
      <c r="X39" s="868" t="s">
        <v>22</v>
      </c>
      <c r="Y39" s="868" t="s">
        <v>23</v>
      </c>
      <c r="Z39" s="868" t="s">
        <v>24</v>
      </c>
      <c r="AA39" s="922" t="s">
        <v>352</v>
      </c>
    </row>
    <row r="40" spans="1:29" s="73" customFormat="1" ht="31.7" customHeight="1" thickBot="1" x14ac:dyDescent="0.25">
      <c r="A40" s="876"/>
      <c r="B40" s="869"/>
      <c r="C40" s="869"/>
      <c r="D40" s="869"/>
      <c r="E40" s="869"/>
      <c r="F40" s="869"/>
      <c r="G40" s="872"/>
      <c r="H40" s="869"/>
      <c r="I40" s="869"/>
      <c r="J40" s="869"/>
      <c r="K40" s="946"/>
      <c r="L40" s="500" t="s">
        <v>66</v>
      </c>
      <c r="M40" s="501" t="s">
        <v>67</v>
      </c>
      <c r="N40" s="502" t="s">
        <v>68</v>
      </c>
      <c r="O40" s="503"/>
      <c r="P40" s="492"/>
      <c r="Q40" s="492"/>
      <c r="R40" s="492"/>
      <c r="S40" s="492"/>
      <c r="T40" s="492"/>
      <c r="U40" s="492"/>
      <c r="V40" s="492"/>
      <c r="W40" s="492"/>
      <c r="X40" s="869"/>
      <c r="Y40" s="869"/>
      <c r="Z40" s="869"/>
      <c r="AA40" s="923"/>
    </row>
    <row r="41" spans="1:29" s="136" customFormat="1" x14ac:dyDescent="0.2">
      <c r="A41" s="493"/>
      <c r="B41" s="225"/>
      <c r="C41" s="225"/>
      <c r="D41" s="225"/>
      <c r="E41" s="225"/>
      <c r="F41" s="225"/>
      <c r="G41" s="120"/>
      <c r="H41" s="225"/>
      <c r="I41" s="263"/>
      <c r="J41" s="263"/>
      <c r="K41" s="265"/>
      <c r="L41" s="268"/>
      <c r="M41" s="120"/>
      <c r="N41" s="121"/>
      <c r="O41" s="269"/>
      <c r="P41" s="226"/>
      <c r="Q41" s="226"/>
      <c r="R41" s="226"/>
      <c r="S41" s="120"/>
      <c r="T41" s="120"/>
      <c r="U41" s="120"/>
      <c r="V41" s="120"/>
      <c r="W41" s="120"/>
      <c r="X41" s="227"/>
      <c r="Y41" s="227"/>
      <c r="Z41" s="120"/>
      <c r="AA41" s="121"/>
    </row>
    <row r="42" spans="1:29" s="136" customFormat="1" x14ac:dyDescent="0.2">
      <c r="A42" s="494"/>
      <c r="B42" s="123"/>
      <c r="C42" s="123"/>
      <c r="D42" s="123"/>
      <c r="E42" s="123"/>
      <c r="F42" s="123"/>
      <c r="G42" s="124"/>
      <c r="H42" s="123"/>
      <c r="I42" s="255"/>
      <c r="J42" s="255"/>
      <c r="K42" s="266"/>
      <c r="L42" s="259"/>
      <c r="M42" s="124"/>
      <c r="N42" s="127"/>
      <c r="O42" s="248"/>
      <c r="P42" s="125"/>
      <c r="Q42" s="125"/>
      <c r="R42" s="125"/>
      <c r="S42" s="124"/>
      <c r="T42" s="124"/>
      <c r="U42" s="124"/>
      <c r="V42" s="124"/>
      <c r="W42" s="124"/>
      <c r="X42" s="126"/>
      <c r="Y42" s="126"/>
      <c r="Z42" s="124"/>
      <c r="AA42" s="127"/>
    </row>
    <row r="43" spans="1:29" s="136" customFormat="1" x14ac:dyDescent="0.2">
      <c r="A43" s="494"/>
      <c r="B43" s="123"/>
      <c r="C43" s="123"/>
      <c r="D43" s="123"/>
      <c r="E43" s="123"/>
      <c r="F43" s="123"/>
      <c r="G43" s="124"/>
      <c r="H43" s="123"/>
      <c r="I43" s="255"/>
      <c r="J43" s="255"/>
      <c r="K43" s="266"/>
      <c r="L43" s="259"/>
      <c r="M43" s="124"/>
      <c r="N43" s="127"/>
      <c r="O43" s="248"/>
      <c r="P43" s="125"/>
      <c r="Q43" s="125"/>
      <c r="R43" s="125"/>
      <c r="S43" s="124"/>
      <c r="T43" s="124"/>
      <c r="U43" s="124"/>
      <c r="V43" s="124"/>
      <c r="W43" s="124"/>
      <c r="X43" s="126"/>
      <c r="Y43" s="126"/>
      <c r="Z43" s="124"/>
      <c r="AA43" s="127"/>
    </row>
    <row r="44" spans="1:29" s="136" customFormat="1" ht="16.5" thickBot="1" x14ac:dyDescent="0.25">
      <c r="A44" s="495"/>
      <c r="B44" s="128"/>
      <c r="C44" s="128"/>
      <c r="D44" s="128"/>
      <c r="E44" s="128"/>
      <c r="F44" s="128"/>
      <c r="G44" s="129"/>
      <c r="H44" s="128"/>
      <c r="I44" s="256"/>
      <c r="J44" s="256"/>
      <c r="K44" s="267"/>
      <c r="L44" s="137"/>
      <c r="M44" s="129"/>
      <c r="N44" s="132"/>
      <c r="O44" s="137"/>
      <c r="P44" s="129"/>
      <c r="Q44" s="129"/>
      <c r="R44" s="129"/>
      <c r="S44" s="129"/>
      <c r="T44" s="129"/>
      <c r="U44" s="129"/>
      <c r="V44" s="129"/>
      <c r="W44" s="129"/>
      <c r="X44" s="131"/>
      <c r="Y44" s="131"/>
      <c r="Z44" s="129"/>
      <c r="AA44" s="132"/>
    </row>
    <row r="45" spans="1:29" s="73" customFormat="1" x14ac:dyDescent="0.2">
      <c r="A45" s="133"/>
      <c r="B45" s="133"/>
      <c r="C45" s="133"/>
      <c r="D45" s="133"/>
      <c r="E45" s="133"/>
      <c r="F45" s="133"/>
      <c r="G45" s="118"/>
      <c r="H45" s="118"/>
      <c r="I45" s="118"/>
      <c r="J45" s="118"/>
      <c r="K45" s="118"/>
      <c r="L45" s="118"/>
      <c r="M45" s="118"/>
      <c r="N45" s="118"/>
      <c r="O45" s="160"/>
      <c r="P45" s="159"/>
      <c r="Q45" s="159"/>
      <c r="R45" s="159"/>
      <c r="S45" s="136"/>
      <c r="T45" s="136"/>
      <c r="U45" s="136"/>
      <c r="V45" s="136"/>
      <c r="W45" s="136"/>
      <c r="X45" s="118"/>
    </row>
    <row r="46" spans="1:29" s="73" customFormat="1" ht="16.5" thickBot="1" x14ac:dyDescent="0.25">
      <c r="A46" s="133"/>
      <c r="B46" s="133"/>
      <c r="C46" s="133"/>
      <c r="D46" s="133"/>
      <c r="E46" s="133"/>
      <c r="F46" s="133"/>
      <c r="G46" s="118"/>
      <c r="H46" s="118"/>
      <c r="I46" s="118"/>
      <c r="J46" s="118"/>
      <c r="K46" s="118"/>
      <c r="L46" s="118"/>
      <c r="M46" s="118"/>
      <c r="N46" s="118"/>
      <c r="O46" s="160"/>
      <c r="P46" s="159"/>
      <c r="Q46" s="159"/>
      <c r="R46" s="159"/>
      <c r="S46" s="136"/>
      <c r="T46" s="136"/>
      <c r="U46" s="136"/>
      <c r="V46" s="136"/>
      <c r="W46" s="136"/>
      <c r="X46" s="118"/>
    </row>
    <row r="47" spans="1:29" s="73" customFormat="1" ht="16.5" thickBot="1" x14ac:dyDescent="0.25">
      <c r="A47" s="822" t="s">
        <v>307</v>
      </c>
      <c r="B47" s="873"/>
      <c r="C47" s="873"/>
      <c r="D47" s="874"/>
      <c r="E47" s="133"/>
      <c r="F47" s="133"/>
      <c r="G47" s="118"/>
      <c r="H47" s="118"/>
      <c r="I47" s="118"/>
      <c r="J47" s="118"/>
      <c r="K47" s="118"/>
      <c r="L47" s="118"/>
      <c r="M47" s="118"/>
      <c r="N47" s="118"/>
      <c r="O47" s="136"/>
      <c r="P47" s="159"/>
      <c r="Q47" s="159"/>
      <c r="R47" s="159"/>
      <c r="S47" s="466"/>
      <c r="T47" s="466"/>
      <c r="U47" s="466"/>
      <c r="V47" s="466"/>
      <c r="W47" s="159"/>
      <c r="X47" s="118"/>
      <c r="Y47" s="118"/>
    </row>
    <row r="48" spans="1:29" s="73" customFormat="1" ht="15.75" customHeight="1" x14ac:dyDescent="0.2">
      <c r="A48" s="875" t="s">
        <v>627</v>
      </c>
      <c r="B48" s="868" t="s">
        <v>628</v>
      </c>
      <c r="C48" s="868" t="s">
        <v>11</v>
      </c>
      <c r="D48" s="868" t="s">
        <v>12</v>
      </c>
      <c r="E48" s="868" t="s">
        <v>13</v>
      </c>
      <c r="F48" s="868" t="s">
        <v>14</v>
      </c>
      <c r="G48" s="868" t="s">
        <v>15</v>
      </c>
      <c r="H48" s="868" t="s">
        <v>16</v>
      </c>
      <c r="I48" s="868">
        <v>20</v>
      </c>
      <c r="J48" s="868">
        <v>40</v>
      </c>
      <c r="K48" s="868" t="s">
        <v>19</v>
      </c>
      <c r="L48" s="922" t="s">
        <v>20</v>
      </c>
      <c r="M48" s="943" t="s">
        <v>28</v>
      </c>
      <c r="N48" s="504" t="s">
        <v>69</v>
      </c>
      <c r="O48" s="498" t="s">
        <v>64</v>
      </c>
      <c r="P48" s="499" t="s">
        <v>65</v>
      </c>
      <c r="Q48" s="490" t="s">
        <v>147</v>
      </c>
      <c r="R48" s="490" t="s">
        <v>71</v>
      </c>
      <c r="S48" s="490"/>
      <c r="T48" s="490"/>
      <c r="U48" s="490"/>
      <c r="V48" s="490"/>
      <c r="W48" s="490"/>
      <c r="X48" s="490"/>
      <c r="Y48" s="490"/>
      <c r="Z48" s="868" t="s">
        <v>22</v>
      </c>
      <c r="AA48" s="868" t="s">
        <v>23</v>
      </c>
      <c r="AB48" s="868" t="s">
        <v>24</v>
      </c>
      <c r="AC48" s="922" t="s">
        <v>352</v>
      </c>
    </row>
    <row r="49" spans="1:29" s="73" customFormat="1" ht="48" thickBot="1" x14ac:dyDescent="0.25">
      <c r="A49" s="876"/>
      <c r="B49" s="869"/>
      <c r="C49" s="869"/>
      <c r="D49" s="869"/>
      <c r="E49" s="869"/>
      <c r="F49" s="869"/>
      <c r="G49" s="872"/>
      <c r="H49" s="869"/>
      <c r="I49" s="869"/>
      <c r="J49" s="869"/>
      <c r="K49" s="869"/>
      <c r="L49" s="923"/>
      <c r="M49" s="944"/>
      <c r="N49" s="505" t="s">
        <v>70</v>
      </c>
      <c r="O49" s="501" t="s">
        <v>67</v>
      </c>
      <c r="P49" s="502" t="s">
        <v>68</v>
      </c>
      <c r="Q49" s="503" t="s">
        <v>84</v>
      </c>
      <c r="R49" s="492" t="s">
        <v>84</v>
      </c>
      <c r="S49" s="492"/>
      <c r="T49" s="492"/>
      <c r="U49" s="492"/>
      <c r="V49" s="492"/>
      <c r="W49" s="492"/>
      <c r="X49" s="492"/>
      <c r="Y49" s="492"/>
      <c r="Z49" s="924"/>
      <c r="AA49" s="924"/>
      <c r="AB49" s="924"/>
      <c r="AC49" s="923"/>
    </row>
    <row r="50" spans="1:29" s="136" customFormat="1" x14ac:dyDescent="0.2">
      <c r="A50" s="493"/>
      <c r="B50" s="225"/>
      <c r="C50" s="225"/>
      <c r="D50" s="225"/>
      <c r="E50" s="225"/>
      <c r="F50" s="225"/>
      <c r="G50" s="120"/>
      <c r="H50" s="225"/>
      <c r="I50" s="263"/>
      <c r="J50" s="263"/>
      <c r="K50" s="263"/>
      <c r="L50" s="265"/>
      <c r="M50" s="270"/>
      <c r="N50" s="268"/>
      <c r="O50" s="120"/>
      <c r="P50" s="121"/>
      <c r="Q50" s="269"/>
      <c r="R50" s="226"/>
      <c r="S50" s="226"/>
      <c r="T50" s="226"/>
      <c r="U50" s="226"/>
      <c r="V50" s="226"/>
      <c r="W50" s="120"/>
      <c r="X50" s="120"/>
      <c r="Y50" s="120"/>
      <c r="Z50" s="227"/>
      <c r="AA50" s="227"/>
      <c r="AB50" s="120"/>
      <c r="AC50" s="121"/>
    </row>
    <row r="51" spans="1:29" s="136" customFormat="1" x14ac:dyDescent="0.2">
      <c r="A51" s="494"/>
      <c r="B51" s="123"/>
      <c r="C51" s="123"/>
      <c r="D51" s="123"/>
      <c r="E51" s="123"/>
      <c r="F51" s="123"/>
      <c r="G51" s="124"/>
      <c r="H51" s="123"/>
      <c r="I51" s="255"/>
      <c r="J51" s="255"/>
      <c r="K51" s="255"/>
      <c r="L51" s="266"/>
      <c r="M51" s="271"/>
      <c r="N51" s="259"/>
      <c r="O51" s="124"/>
      <c r="P51" s="127"/>
      <c r="Q51" s="248"/>
      <c r="R51" s="125"/>
      <c r="S51" s="125"/>
      <c r="T51" s="125"/>
      <c r="U51" s="125"/>
      <c r="V51" s="125"/>
      <c r="W51" s="124"/>
      <c r="X51" s="124"/>
      <c r="Y51" s="124"/>
      <c r="Z51" s="126"/>
      <c r="AA51" s="126"/>
      <c r="AB51" s="124"/>
      <c r="AC51" s="127"/>
    </row>
    <row r="52" spans="1:29" s="136" customFormat="1" x14ac:dyDescent="0.2">
      <c r="A52" s="494"/>
      <c r="B52" s="123"/>
      <c r="C52" s="123"/>
      <c r="D52" s="123"/>
      <c r="E52" s="123"/>
      <c r="F52" s="123"/>
      <c r="G52" s="124"/>
      <c r="H52" s="123"/>
      <c r="I52" s="255"/>
      <c r="J52" s="255"/>
      <c r="K52" s="255"/>
      <c r="L52" s="266"/>
      <c r="M52" s="271"/>
      <c r="N52" s="259"/>
      <c r="O52" s="124"/>
      <c r="P52" s="127"/>
      <c r="Q52" s="248"/>
      <c r="R52" s="125"/>
      <c r="S52" s="125"/>
      <c r="T52" s="125"/>
      <c r="U52" s="125"/>
      <c r="V52" s="125"/>
      <c r="W52" s="124"/>
      <c r="X52" s="124"/>
      <c r="Y52" s="124"/>
      <c r="Z52" s="126"/>
      <c r="AA52" s="126"/>
      <c r="AB52" s="124"/>
      <c r="AC52" s="127"/>
    </row>
    <row r="53" spans="1:29" s="136" customFormat="1" ht="16.5" thickBot="1" x14ac:dyDescent="0.25">
      <c r="A53" s="495"/>
      <c r="B53" s="128"/>
      <c r="C53" s="128"/>
      <c r="D53" s="128"/>
      <c r="E53" s="128"/>
      <c r="F53" s="128"/>
      <c r="G53" s="129"/>
      <c r="H53" s="128"/>
      <c r="I53" s="256"/>
      <c r="J53" s="256"/>
      <c r="K53" s="256"/>
      <c r="L53" s="267"/>
      <c r="M53" s="161"/>
      <c r="N53" s="137"/>
      <c r="O53" s="129"/>
      <c r="P53" s="132"/>
      <c r="Q53" s="137"/>
      <c r="R53" s="129"/>
      <c r="S53" s="129"/>
      <c r="T53" s="129"/>
      <c r="U53" s="129"/>
      <c r="V53" s="129"/>
      <c r="W53" s="129"/>
      <c r="X53" s="129"/>
      <c r="Y53" s="129"/>
      <c r="Z53" s="131"/>
      <c r="AA53" s="131"/>
      <c r="AB53" s="129"/>
      <c r="AC53" s="132"/>
    </row>
    <row r="54" spans="1:29" s="73" customFormat="1" x14ac:dyDescent="0.2">
      <c r="A54" s="133"/>
      <c r="B54" s="133"/>
      <c r="C54" s="133"/>
      <c r="D54" s="133"/>
      <c r="E54" s="133"/>
      <c r="F54" s="133"/>
      <c r="G54" s="118"/>
      <c r="H54" s="118"/>
      <c r="I54" s="118"/>
      <c r="J54" s="118"/>
      <c r="K54" s="118"/>
      <c r="M54" s="118"/>
      <c r="V54" s="118"/>
      <c r="W54" s="118"/>
    </row>
    <row r="55" spans="1:29" s="73" customFormat="1" x14ac:dyDescent="0.2">
      <c r="A55" s="133"/>
      <c r="B55" s="133"/>
      <c r="C55" s="133"/>
      <c r="D55" s="133"/>
      <c r="E55" s="133"/>
      <c r="F55" s="118"/>
      <c r="G55" s="118"/>
      <c r="H55" s="118"/>
      <c r="I55" s="118"/>
      <c r="J55" s="118"/>
      <c r="K55" s="134"/>
      <c r="L55" s="118"/>
      <c r="M55" s="118"/>
      <c r="N55" s="118"/>
      <c r="S55" s="118"/>
      <c r="T55" s="118"/>
      <c r="U55" s="118"/>
    </row>
    <row r="56" spans="1:29" s="456" customFormat="1" ht="16.5" thickBot="1" x14ac:dyDescent="0.25">
      <c r="A56" s="133"/>
      <c r="B56" s="133"/>
      <c r="C56" s="133"/>
      <c r="D56" s="133"/>
      <c r="E56" s="118"/>
      <c r="F56" s="118"/>
      <c r="G56" s="118"/>
      <c r="H56" s="118"/>
      <c r="I56" s="118"/>
      <c r="J56" s="134"/>
      <c r="K56" s="134"/>
      <c r="L56" s="134"/>
      <c r="M56" s="134"/>
      <c r="R56" s="134"/>
    </row>
    <row r="57" spans="1:29" s="456" customFormat="1" ht="19.5" thickBot="1" x14ac:dyDescent="0.25">
      <c r="A57" s="938" t="s">
        <v>29</v>
      </c>
      <c r="B57" s="939"/>
      <c r="C57" s="940"/>
      <c r="D57" s="133"/>
      <c r="E57" s="133"/>
      <c r="F57" s="118"/>
      <c r="G57" s="118"/>
      <c r="H57" s="118"/>
      <c r="I57" s="118"/>
      <c r="J57" s="118"/>
      <c r="K57" s="134"/>
      <c r="L57" s="134"/>
      <c r="M57" s="134"/>
      <c r="N57" s="134"/>
      <c r="S57" s="134"/>
      <c r="T57" s="134"/>
      <c r="U57" s="134"/>
    </row>
    <row r="58" spans="1:29" s="456" customFormat="1" ht="16.5" thickBot="1" x14ac:dyDescent="0.25">
      <c r="A58" s="800" t="s">
        <v>625</v>
      </c>
      <c r="B58" s="801"/>
      <c r="C58" s="802"/>
      <c r="D58" s="133"/>
      <c r="E58" s="133"/>
      <c r="F58" s="133"/>
      <c r="G58" s="118"/>
      <c r="H58" s="118"/>
      <c r="I58" s="118"/>
      <c r="J58" s="118"/>
      <c r="K58" s="118"/>
      <c r="L58" s="134"/>
      <c r="N58" s="134"/>
      <c r="O58" s="134"/>
      <c r="V58" s="134"/>
    </row>
    <row r="59" spans="1:29" s="456" customFormat="1" x14ac:dyDescent="0.2">
      <c r="A59" s="506" t="s">
        <v>30</v>
      </c>
      <c r="B59" s="507"/>
      <c r="C59" s="508" t="s">
        <v>155</v>
      </c>
      <c r="D59" s="509"/>
      <c r="E59" s="509"/>
      <c r="F59" s="510"/>
      <c r="G59" s="510"/>
      <c r="H59" s="509"/>
      <c r="I59" s="510"/>
      <c r="J59" s="509"/>
      <c r="K59" s="143"/>
      <c r="L59" s="144"/>
      <c r="N59" s="134"/>
      <c r="O59" s="134"/>
      <c r="P59" s="134"/>
    </row>
    <row r="60" spans="1:29" s="456" customFormat="1" x14ac:dyDescent="0.2">
      <c r="A60" s="96" t="s">
        <v>626</v>
      </c>
      <c r="B60" s="511"/>
      <c r="C60" s="511"/>
      <c r="D60" s="512"/>
      <c r="E60" s="512"/>
      <c r="F60" s="215"/>
      <c r="G60" s="215"/>
      <c r="H60" s="512"/>
      <c r="I60" s="215"/>
      <c r="J60" s="512"/>
      <c r="K60" s="149"/>
      <c r="L60" s="150"/>
      <c r="N60" s="134"/>
      <c r="O60" s="134"/>
      <c r="P60" s="134"/>
    </row>
    <row r="61" spans="1:29" s="456" customFormat="1" x14ac:dyDescent="0.2">
      <c r="A61" s="96" t="s">
        <v>173</v>
      </c>
      <c r="B61" s="511"/>
      <c r="C61" s="511"/>
      <c r="D61" s="512"/>
      <c r="E61" s="512"/>
      <c r="F61" s="215"/>
      <c r="G61" s="215"/>
      <c r="H61" s="512"/>
      <c r="I61" s="215"/>
      <c r="J61" s="512"/>
      <c r="K61" s="149"/>
      <c r="L61" s="150"/>
      <c r="N61" s="134"/>
      <c r="O61" s="134"/>
      <c r="P61" s="134"/>
    </row>
    <row r="62" spans="1:29" s="456" customFormat="1" x14ac:dyDescent="0.2">
      <c r="A62" s="96" t="s">
        <v>987</v>
      </c>
      <c r="B62" s="511"/>
      <c r="C62" s="511"/>
      <c r="D62" s="512"/>
      <c r="E62" s="512"/>
      <c r="F62" s="215"/>
      <c r="G62" s="215"/>
      <c r="H62" s="512"/>
      <c r="I62" s="215"/>
      <c r="J62" s="512"/>
      <c r="K62" s="149"/>
      <c r="L62" s="150"/>
      <c r="N62" s="134"/>
      <c r="O62" s="134"/>
      <c r="P62" s="134"/>
    </row>
    <row r="63" spans="1:29" s="456" customFormat="1" ht="16.5" thickBot="1" x14ac:dyDescent="0.25">
      <c r="A63" s="110" t="s">
        <v>988</v>
      </c>
      <c r="B63" s="513"/>
      <c r="C63" s="513"/>
      <c r="D63" s="514"/>
      <c r="E63" s="514"/>
      <c r="F63" s="515"/>
      <c r="G63" s="515"/>
      <c r="H63" s="514"/>
      <c r="I63" s="515"/>
      <c r="J63" s="514"/>
      <c r="K63" s="154"/>
      <c r="L63" s="155"/>
      <c r="N63" s="134"/>
      <c r="O63" s="134"/>
      <c r="P63" s="134"/>
    </row>
    <row r="64" spans="1:29" s="456" customFormat="1" ht="16.5" thickBot="1" x14ac:dyDescent="0.25">
      <c r="A64" s="516"/>
      <c r="B64" s="517"/>
      <c r="C64" s="134"/>
      <c r="D64" s="133"/>
      <c r="E64" s="133"/>
      <c r="F64" s="133"/>
      <c r="G64" s="133"/>
      <c r="H64" s="118"/>
      <c r="I64" s="118"/>
      <c r="J64" s="118"/>
      <c r="K64" s="118"/>
      <c r="L64" s="118"/>
      <c r="M64" s="134"/>
      <c r="O64" s="134"/>
      <c r="P64" s="134"/>
      <c r="Q64" s="118"/>
    </row>
    <row r="65" spans="1:24" s="14" customFormat="1" ht="48" thickBot="1" x14ac:dyDescent="0.25">
      <c r="A65" s="518" t="s">
        <v>31</v>
      </c>
      <c r="B65" s="932" t="s">
        <v>628</v>
      </c>
      <c r="C65" s="933"/>
      <c r="D65" s="934"/>
      <c r="E65" s="519" t="s">
        <v>11</v>
      </c>
      <c r="F65" s="519" t="s">
        <v>14</v>
      </c>
      <c r="G65" s="519" t="s">
        <v>287</v>
      </c>
      <c r="H65" s="519" t="s">
        <v>32</v>
      </c>
      <c r="I65" s="519" t="s">
        <v>16</v>
      </c>
      <c r="J65" s="519" t="s">
        <v>17</v>
      </c>
      <c r="K65" s="519" t="s">
        <v>18</v>
      </c>
      <c r="L65" s="519" t="s">
        <v>19</v>
      </c>
      <c r="M65" s="519" t="s">
        <v>20</v>
      </c>
      <c r="N65" s="520" t="s">
        <v>123</v>
      </c>
      <c r="O65" s="519" t="s">
        <v>96</v>
      </c>
      <c r="P65" s="521" t="s">
        <v>809</v>
      </c>
    </row>
    <row r="66" spans="1:24" s="303" customFormat="1" x14ac:dyDescent="0.2">
      <c r="A66" s="269"/>
      <c r="B66" s="925"/>
      <c r="C66" s="926"/>
      <c r="D66" s="926"/>
      <c r="E66" s="226"/>
      <c r="F66" s="226"/>
      <c r="G66" s="226"/>
      <c r="H66" s="226"/>
      <c r="I66" s="226"/>
      <c r="J66" s="273"/>
      <c r="K66" s="263"/>
      <c r="L66" s="263"/>
      <c r="M66" s="306"/>
      <c r="N66" s="49"/>
      <c r="O66" s="226"/>
      <c r="P66" s="274"/>
      <c r="Q66" s="159"/>
      <c r="R66" s="159"/>
      <c r="S66" s="159"/>
      <c r="T66" s="159"/>
      <c r="U66" s="159"/>
      <c r="V66" s="160"/>
      <c r="W66" s="160"/>
      <c r="X66" s="160"/>
    </row>
    <row r="67" spans="1:24" s="303" customFormat="1" x14ac:dyDescent="0.2">
      <c r="A67" s="248"/>
      <c r="B67" s="927"/>
      <c r="C67" s="928"/>
      <c r="D67" s="928"/>
      <c r="E67" s="125"/>
      <c r="F67" s="125"/>
      <c r="G67" s="125"/>
      <c r="H67" s="125"/>
      <c r="I67" s="125"/>
      <c r="J67" s="275"/>
      <c r="K67" s="255"/>
      <c r="L67" s="255"/>
      <c r="M67" s="307"/>
      <c r="N67" s="21"/>
      <c r="O67" s="125"/>
      <c r="P67" s="276"/>
      <c r="Q67" s="159"/>
      <c r="R67" s="159"/>
      <c r="S67" s="159"/>
      <c r="T67" s="159"/>
      <c r="U67" s="159"/>
      <c r="V67" s="160"/>
      <c r="W67" s="160"/>
      <c r="X67" s="160"/>
    </row>
    <row r="68" spans="1:24" s="303" customFormat="1" x14ac:dyDescent="0.2">
      <c r="A68" s="248"/>
      <c r="B68" s="927"/>
      <c r="C68" s="928"/>
      <c r="D68" s="928"/>
      <c r="E68" s="125"/>
      <c r="F68" s="125"/>
      <c r="G68" s="125"/>
      <c r="H68" s="125"/>
      <c r="I68" s="125"/>
      <c r="J68" s="275"/>
      <c r="K68" s="255"/>
      <c r="L68" s="255"/>
      <c r="M68" s="307"/>
      <c r="N68" s="21"/>
      <c r="O68" s="125"/>
      <c r="P68" s="276"/>
      <c r="Q68" s="159"/>
      <c r="R68" s="159"/>
      <c r="S68" s="159"/>
      <c r="T68" s="159"/>
      <c r="U68" s="159"/>
      <c r="V68" s="160"/>
      <c r="W68" s="160"/>
      <c r="X68" s="160"/>
    </row>
    <row r="69" spans="1:24" s="303" customFormat="1" ht="16.5" thickBot="1" x14ac:dyDescent="0.25">
      <c r="A69" s="304"/>
      <c r="B69" s="912"/>
      <c r="C69" s="913"/>
      <c r="D69" s="913"/>
      <c r="E69" s="130"/>
      <c r="F69" s="130"/>
      <c r="G69" s="130"/>
      <c r="H69" s="130"/>
      <c r="I69" s="130"/>
      <c r="J69" s="258"/>
      <c r="K69" s="256"/>
      <c r="L69" s="256"/>
      <c r="M69" s="305"/>
      <c r="N69" s="29"/>
      <c r="O69" s="129"/>
      <c r="P69" s="132"/>
      <c r="Q69" s="159"/>
      <c r="R69" s="159"/>
      <c r="S69" s="159"/>
      <c r="T69" s="159"/>
      <c r="U69" s="159"/>
      <c r="V69" s="160"/>
      <c r="W69" s="160"/>
      <c r="X69" s="160"/>
    </row>
    <row r="70" spans="1:24" s="456" customFormat="1" x14ac:dyDescent="0.2">
      <c r="A70" s="134"/>
      <c r="B70" s="134"/>
      <c r="C70" s="522"/>
      <c r="D70" s="522"/>
      <c r="E70" s="134"/>
      <c r="F70" s="134"/>
      <c r="G70" s="134"/>
      <c r="H70" s="134"/>
      <c r="I70" s="134"/>
      <c r="J70" s="134"/>
      <c r="K70" s="134"/>
      <c r="L70" s="134"/>
      <c r="M70" s="134"/>
      <c r="O70" s="118"/>
      <c r="P70" s="118"/>
      <c r="Q70" s="118"/>
      <c r="R70" s="118"/>
      <c r="S70" s="118"/>
      <c r="T70" s="118"/>
      <c r="U70" s="118"/>
      <c r="V70" s="134"/>
      <c r="W70" s="134"/>
      <c r="X70" s="134"/>
    </row>
    <row r="71" spans="1:24" s="456" customFormat="1" ht="16.5" thickBot="1" x14ac:dyDescent="0.25">
      <c r="A71" s="133"/>
      <c r="B71" s="133"/>
      <c r="C71" s="133"/>
      <c r="D71" s="133"/>
      <c r="E71" s="133"/>
      <c r="F71" s="133"/>
      <c r="G71" s="133"/>
      <c r="H71" s="133"/>
      <c r="I71" s="118"/>
      <c r="J71" s="118"/>
      <c r="K71" s="118"/>
      <c r="L71" s="118"/>
      <c r="M71" s="118"/>
      <c r="N71" s="134"/>
      <c r="O71" s="134"/>
      <c r="P71" s="134"/>
      <c r="Q71" s="134"/>
      <c r="R71" s="134"/>
      <c r="S71" s="134"/>
      <c r="T71" s="134"/>
      <c r="U71" s="134"/>
      <c r="V71" s="134"/>
      <c r="W71" s="118"/>
    </row>
    <row r="72" spans="1:24" s="456" customFormat="1" ht="19.5" thickBot="1" x14ac:dyDescent="0.25">
      <c r="A72" s="938" t="s">
        <v>34</v>
      </c>
      <c r="B72" s="939"/>
      <c r="C72" s="940"/>
      <c r="D72" s="523"/>
      <c r="E72" s="133"/>
      <c r="F72" s="133"/>
      <c r="G72" s="133"/>
      <c r="H72" s="133"/>
      <c r="I72" s="118"/>
      <c r="J72" s="118"/>
      <c r="K72" s="118"/>
      <c r="L72" s="118"/>
      <c r="M72" s="118"/>
      <c r="N72" s="134"/>
      <c r="O72" s="134"/>
      <c r="P72" s="134"/>
      <c r="Q72" s="134"/>
      <c r="R72" s="134"/>
      <c r="S72" s="134"/>
      <c r="T72" s="134"/>
      <c r="U72" s="134"/>
      <c r="V72" s="134"/>
      <c r="W72" s="118"/>
    </row>
    <row r="73" spans="1:24" s="456" customFormat="1" ht="16.5" thickBot="1" x14ac:dyDescent="0.25">
      <c r="A73" s="800" t="s">
        <v>625</v>
      </c>
      <c r="B73" s="801"/>
      <c r="C73" s="802"/>
      <c r="D73" s="200"/>
      <c r="E73" s="200"/>
      <c r="F73" s="200"/>
      <c r="G73" s="200"/>
      <c r="H73" s="194"/>
      <c r="I73" s="194"/>
      <c r="J73" s="200"/>
      <c r="K73" s="194"/>
      <c r="L73" s="200"/>
      <c r="M73" s="118"/>
      <c r="N73" s="134"/>
      <c r="O73" s="134"/>
      <c r="P73" s="134"/>
      <c r="Q73" s="134"/>
      <c r="R73" s="134"/>
      <c r="S73" s="134"/>
      <c r="T73" s="134"/>
      <c r="U73" s="134"/>
      <c r="V73" s="134"/>
      <c r="W73" s="118"/>
    </row>
    <row r="74" spans="1:24" s="456" customFormat="1" x14ac:dyDescent="0.2">
      <c r="A74" s="506" t="s">
        <v>30</v>
      </c>
      <c r="B74" s="470"/>
      <c r="C74" s="508" t="s">
        <v>155</v>
      </c>
      <c r="D74" s="508"/>
      <c r="E74" s="509"/>
      <c r="F74" s="509"/>
      <c r="G74" s="509"/>
      <c r="H74" s="510"/>
      <c r="I74" s="510"/>
      <c r="J74" s="509"/>
      <c r="K74" s="510"/>
      <c r="L74" s="524"/>
      <c r="M74" s="118"/>
      <c r="N74" s="134"/>
      <c r="O74" s="134"/>
      <c r="P74" s="134"/>
      <c r="Q74" s="134"/>
      <c r="R74" s="134"/>
      <c r="S74" s="134"/>
      <c r="T74" s="134"/>
      <c r="U74" s="134"/>
      <c r="V74" s="134"/>
      <c r="W74" s="118"/>
    </row>
    <row r="75" spans="1:24" s="456" customFormat="1" x14ac:dyDescent="0.2">
      <c r="A75" s="96" t="s">
        <v>35</v>
      </c>
      <c r="B75" s="512"/>
      <c r="C75" s="512"/>
      <c r="D75" s="512"/>
      <c r="E75" s="512"/>
      <c r="F75" s="512"/>
      <c r="G75" s="512"/>
      <c r="H75" s="215"/>
      <c r="I75" s="215"/>
      <c r="J75" s="512"/>
      <c r="K75" s="215"/>
      <c r="L75" s="525"/>
      <c r="M75" s="118"/>
      <c r="N75" s="134"/>
      <c r="O75" s="134"/>
      <c r="P75" s="134"/>
      <c r="Q75" s="134"/>
      <c r="R75" s="134"/>
      <c r="S75" s="134"/>
      <c r="T75" s="134"/>
      <c r="U75" s="134"/>
      <c r="V75" s="134"/>
      <c r="W75" s="118"/>
    </row>
    <row r="76" spans="1:24" s="456" customFormat="1" x14ac:dyDescent="0.2">
      <c r="A76" s="96" t="s">
        <v>174</v>
      </c>
      <c r="B76" s="512"/>
      <c r="C76" s="512"/>
      <c r="D76" s="512"/>
      <c r="E76" s="512"/>
      <c r="F76" s="512"/>
      <c r="G76" s="512"/>
      <c r="H76" s="215"/>
      <c r="I76" s="215"/>
      <c r="J76" s="512"/>
      <c r="K76" s="215"/>
      <c r="L76" s="525"/>
      <c r="M76" s="118"/>
      <c r="N76" s="134"/>
      <c r="O76" s="134"/>
      <c r="P76" s="134"/>
      <c r="Q76" s="134"/>
      <c r="R76" s="134"/>
      <c r="S76" s="134"/>
      <c r="T76" s="134"/>
      <c r="U76" s="134"/>
      <c r="V76" s="134"/>
      <c r="W76" s="118"/>
    </row>
    <row r="77" spans="1:24" s="456" customFormat="1" x14ac:dyDescent="0.2">
      <c r="A77" s="96" t="s">
        <v>987</v>
      </c>
      <c r="B77" s="512"/>
      <c r="C77" s="512"/>
      <c r="D77" s="512"/>
      <c r="E77" s="512"/>
      <c r="F77" s="512"/>
      <c r="G77" s="512"/>
      <c r="H77" s="215"/>
      <c r="I77" s="215"/>
      <c r="J77" s="512"/>
      <c r="K77" s="215"/>
      <c r="L77" s="525"/>
      <c r="M77" s="118"/>
      <c r="N77" s="134"/>
      <c r="O77" s="134"/>
      <c r="P77" s="134"/>
      <c r="Q77" s="134"/>
      <c r="R77" s="134"/>
      <c r="S77" s="134"/>
      <c r="T77" s="134"/>
      <c r="U77" s="134"/>
      <c r="V77" s="134"/>
      <c r="W77" s="118"/>
    </row>
    <row r="78" spans="1:24" s="456" customFormat="1" ht="16.5" thickBot="1" x14ac:dyDescent="0.25">
      <c r="A78" s="110" t="s">
        <v>988</v>
      </c>
      <c r="B78" s="514"/>
      <c r="C78" s="514"/>
      <c r="D78" s="514"/>
      <c r="E78" s="514"/>
      <c r="F78" s="514"/>
      <c r="G78" s="514"/>
      <c r="H78" s="515"/>
      <c r="I78" s="515"/>
      <c r="J78" s="514"/>
      <c r="K78" s="515"/>
      <c r="L78" s="526"/>
      <c r="M78" s="118"/>
      <c r="N78" s="134"/>
      <c r="O78" s="134"/>
      <c r="P78" s="134"/>
      <c r="Q78" s="134"/>
      <c r="R78" s="134"/>
      <c r="S78" s="134"/>
      <c r="T78" s="134"/>
      <c r="U78" s="134"/>
      <c r="V78" s="134"/>
      <c r="W78" s="118"/>
    </row>
    <row r="79" spans="1:24" s="456" customFormat="1" ht="16.5" thickBot="1" x14ac:dyDescent="0.25">
      <c r="A79" s="527"/>
      <c r="E79" s="200"/>
      <c r="F79" s="200"/>
      <c r="G79" s="200"/>
      <c r="H79" s="194"/>
      <c r="I79" s="517"/>
      <c r="J79" s="200"/>
      <c r="K79" s="194"/>
      <c r="L79" s="200"/>
      <c r="M79" s="118"/>
      <c r="N79" s="134"/>
      <c r="O79" s="134"/>
      <c r="P79" s="134"/>
      <c r="Q79" s="134"/>
      <c r="R79" s="118"/>
      <c r="V79" s="528"/>
      <c r="W79" s="528"/>
    </row>
    <row r="80" spans="1:24" s="14" customFormat="1" ht="32.25" thickBot="1" x14ac:dyDescent="0.25">
      <c r="A80" s="518" t="s">
        <v>31</v>
      </c>
      <c r="B80" s="932" t="s">
        <v>13</v>
      </c>
      <c r="C80" s="933"/>
      <c r="D80" s="934"/>
      <c r="E80" s="519" t="s">
        <v>12</v>
      </c>
      <c r="F80" s="519" t="s">
        <v>14</v>
      </c>
      <c r="G80" s="519" t="s">
        <v>276</v>
      </c>
      <c r="H80" s="519" t="s">
        <v>32</v>
      </c>
      <c r="I80" s="519" t="s">
        <v>16</v>
      </c>
      <c r="J80" s="519" t="s">
        <v>17</v>
      </c>
      <c r="K80" s="519" t="s">
        <v>18</v>
      </c>
      <c r="L80" s="519" t="s">
        <v>19</v>
      </c>
      <c r="M80" s="519" t="s">
        <v>20</v>
      </c>
      <c r="N80" s="520" t="s">
        <v>123</v>
      </c>
      <c r="O80" s="519" t="s">
        <v>94</v>
      </c>
      <c r="P80" s="521" t="s">
        <v>807</v>
      </c>
      <c r="W80" s="13"/>
    </row>
    <row r="81" spans="1:23" s="303" customFormat="1" x14ac:dyDescent="0.2">
      <c r="A81" s="269"/>
      <c r="B81" s="925"/>
      <c r="C81" s="926"/>
      <c r="D81" s="926"/>
      <c r="E81" s="226"/>
      <c r="F81" s="226"/>
      <c r="G81" s="226"/>
      <c r="H81" s="226"/>
      <c r="I81" s="226"/>
      <c r="J81" s="263"/>
      <c r="K81" s="263"/>
      <c r="L81" s="263"/>
      <c r="M81" s="263"/>
      <c r="N81" s="49"/>
      <c r="O81" s="226"/>
      <c r="P81" s="274"/>
      <c r="Q81" s="160"/>
      <c r="R81" s="160"/>
      <c r="S81" s="160"/>
      <c r="T81" s="160"/>
      <c r="U81" s="160"/>
      <c r="V81" s="160"/>
      <c r="W81" s="159"/>
    </row>
    <row r="82" spans="1:23" s="303" customFormat="1" x14ac:dyDescent="0.2">
      <c r="A82" s="248"/>
      <c r="B82" s="927"/>
      <c r="C82" s="928"/>
      <c r="D82" s="928"/>
      <c r="E82" s="125"/>
      <c r="F82" s="125"/>
      <c r="G82" s="125"/>
      <c r="H82" s="125"/>
      <c r="I82" s="125"/>
      <c r="J82" s="255"/>
      <c r="K82" s="255"/>
      <c r="L82" s="255"/>
      <c r="M82" s="255"/>
      <c r="N82" s="21"/>
      <c r="O82" s="125"/>
      <c r="P82" s="276"/>
      <c r="Q82" s="160"/>
      <c r="R82" s="160"/>
      <c r="S82" s="160"/>
      <c r="T82" s="160"/>
      <c r="U82" s="160"/>
      <c r="V82" s="160"/>
      <c r="W82" s="159"/>
    </row>
    <row r="83" spans="1:23" s="303" customFormat="1" x14ac:dyDescent="0.2">
      <c r="A83" s="248"/>
      <c r="B83" s="927"/>
      <c r="C83" s="928"/>
      <c r="D83" s="928"/>
      <c r="E83" s="125"/>
      <c r="F83" s="125"/>
      <c r="G83" s="125"/>
      <c r="H83" s="125"/>
      <c r="I83" s="125"/>
      <c r="J83" s="255"/>
      <c r="K83" s="255"/>
      <c r="L83" s="255"/>
      <c r="M83" s="255"/>
      <c r="N83" s="21"/>
      <c r="O83" s="125"/>
      <c r="P83" s="276"/>
      <c r="Q83" s="160"/>
      <c r="R83" s="160"/>
      <c r="S83" s="160"/>
      <c r="T83" s="160"/>
      <c r="U83" s="160"/>
      <c r="V83" s="160"/>
      <c r="W83" s="159"/>
    </row>
    <row r="84" spans="1:23" s="303" customFormat="1" ht="16.5" thickBot="1" x14ac:dyDescent="0.25">
      <c r="A84" s="304"/>
      <c r="B84" s="912"/>
      <c r="C84" s="913"/>
      <c r="D84" s="913"/>
      <c r="E84" s="130"/>
      <c r="F84" s="130"/>
      <c r="G84" s="130"/>
      <c r="H84" s="130"/>
      <c r="I84" s="130"/>
      <c r="J84" s="256"/>
      <c r="K84" s="256"/>
      <c r="L84" s="256"/>
      <c r="M84" s="256"/>
      <c r="N84" s="29"/>
      <c r="O84" s="129"/>
      <c r="P84" s="132"/>
      <c r="Q84" s="160"/>
      <c r="R84" s="160"/>
      <c r="S84" s="160"/>
      <c r="T84" s="160"/>
      <c r="U84" s="160"/>
      <c r="V84" s="160"/>
      <c r="W84" s="159"/>
    </row>
    <row r="85" spans="1:23" s="456" customFormat="1" ht="16.5" thickBot="1" x14ac:dyDescent="0.25">
      <c r="A85" s="133"/>
      <c r="B85" s="133"/>
      <c r="C85" s="133"/>
      <c r="D85" s="133"/>
      <c r="E85" s="133"/>
      <c r="F85" s="133"/>
      <c r="G85" s="133"/>
      <c r="H85" s="118"/>
      <c r="I85" s="118"/>
      <c r="J85" s="118"/>
      <c r="K85" s="118"/>
      <c r="L85" s="118"/>
      <c r="M85" s="134"/>
      <c r="N85" s="134"/>
      <c r="O85" s="134"/>
      <c r="P85" s="134"/>
      <c r="Q85" s="134"/>
      <c r="R85" s="134"/>
      <c r="S85" s="134"/>
      <c r="T85" s="134"/>
      <c r="U85" s="134"/>
      <c r="V85" s="118"/>
    </row>
    <row r="86" spans="1:23" s="73" customFormat="1" ht="16.5" thickBot="1" x14ac:dyDescent="0.25">
      <c r="A86" s="822" t="s">
        <v>36</v>
      </c>
      <c r="B86" s="823"/>
      <c r="C86" s="823"/>
      <c r="D86" s="823"/>
      <c r="E86" s="823"/>
      <c r="F86" s="823"/>
      <c r="G86" s="823"/>
      <c r="H86" s="823"/>
      <c r="I86" s="824"/>
      <c r="J86" s="169"/>
      <c r="K86" s="118"/>
      <c r="L86" s="134"/>
      <c r="M86" s="134"/>
      <c r="N86" s="134"/>
      <c r="O86" s="134"/>
      <c r="P86" s="134"/>
      <c r="Q86" s="134"/>
      <c r="R86" s="134"/>
      <c r="S86" s="118"/>
      <c r="T86" s="118"/>
      <c r="U86" s="118"/>
    </row>
    <row r="87" spans="1:23" s="73" customFormat="1" ht="16.5" thickBot="1" x14ac:dyDescent="0.25">
      <c r="A87" s="935" t="s">
        <v>37</v>
      </c>
      <c r="B87" s="936"/>
      <c r="C87" s="936"/>
      <c r="D87" s="936"/>
      <c r="E87" s="936"/>
      <c r="F87" s="936"/>
      <c r="G87" s="936"/>
      <c r="H87" s="936"/>
      <c r="I87" s="937"/>
      <c r="J87" s="170"/>
      <c r="K87" s="118"/>
      <c r="L87" s="134"/>
      <c r="M87" s="134"/>
      <c r="N87" s="134"/>
      <c r="O87" s="134"/>
      <c r="P87" s="134"/>
      <c r="Q87" s="134"/>
      <c r="R87" s="134"/>
      <c r="S87" s="118"/>
      <c r="T87" s="118"/>
      <c r="U87" s="118"/>
    </row>
    <row r="88" spans="1:23" s="308" customFormat="1" ht="15.75" customHeight="1" thickBot="1" x14ac:dyDescent="0.25">
      <c r="A88" s="665" t="s">
        <v>296</v>
      </c>
      <c r="B88" s="909" t="s">
        <v>1129</v>
      </c>
      <c r="C88" s="910"/>
      <c r="D88" s="910"/>
      <c r="E88" s="910"/>
      <c r="F88" s="910"/>
      <c r="G88" s="910"/>
      <c r="H88" s="910"/>
      <c r="I88" s="911"/>
      <c r="J88" s="171"/>
      <c r="K88" s="172"/>
      <c r="L88" s="173"/>
      <c r="M88" s="173"/>
      <c r="N88" s="173"/>
      <c r="O88" s="173"/>
      <c r="P88" s="173"/>
      <c r="Q88" s="173"/>
      <c r="R88" s="173"/>
      <c r="S88" s="172"/>
      <c r="T88" s="172"/>
      <c r="U88" s="172"/>
    </row>
    <row r="89" spans="1:23" s="73" customFormat="1" ht="16.5" thickBot="1" x14ac:dyDescent="0.25">
      <c r="A89" s="196"/>
      <c r="B89" s="169"/>
      <c r="C89" s="169"/>
      <c r="D89" s="169"/>
      <c r="E89" s="169"/>
      <c r="F89" s="176"/>
      <c r="G89" s="176"/>
      <c r="H89" s="176"/>
      <c r="I89" s="176"/>
      <c r="J89" s="176"/>
      <c r="K89" s="118"/>
      <c r="L89" s="134"/>
      <c r="M89" s="134"/>
      <c r="N89" s="134"/>
      <c r="O89" s="134"/>
      <c r="P89" s="134"/>
      <c r="Q89" s="118"/>
    </row>
    <row r="90" spans="1:23" s="73" customFormat="1" ht="16.5" customHeight="1" thickBot="1" x14ac:dyDescent="0.25">
      <c r="A90" s="917" t="s">
        <v>214</v>
      </c>
      <c r="B90" s="918"/>
      <c r="C90" s="918"/>
      <c r="D90" s="918"/>
      <c r="E90" s="918"/>
      <c r="F90" s="918"/>
      <c r="G90" s="918"/>
      <c r="H90" s="930" t="s">
        <v>226</v>
      </c>
      <c r="I90" s="786" t="s">
        <v>627</v>
      </c>
      <c r="J90" s="786" t="s">
        <v>215</v>
      </c>
      <c r="K90" s="786" t="s">
        <v>23</v>
      </c>
      <c r="L90" s="786" t="s">
        <v>302</v>
      </c>
      <c r="M90" s="788" t="s">
        <v>83</v>
      </c>
      <c r="N90" s="134"/>
      <c r="O90" s="118"/>
      <c r="P90" s="456"/>
      <c r="Q90" s="528"/>
      <c r="R90" s="528"/>
    </row>
    <row r="91" spans="1:23" s="446" customFormat="1" ht="16.5" thickBot="1" x14ac:dyDescent="0.25">
      <c r="A91" s="919" t="s">
        <v>887</v>
      </c>
      <c r="B91" s="920"/>
      <c r="C91" s="920"/>
      <c r="D91" s="920"/>
      <c r="E91" s="920"/>
      <c r="F91" s="920"/>
      <c r="G91" s="921"/>
      <c r="H91" s="931"/>
      <c r="I91" s="908"/>
      <c r="J91" s="908"/>
      <c r="K91" s="908"/>
      <c r="L91" s="908"/>
      <c r="M91" s="929"/>
      <c r="N91" s="177"/>
      <c r="O91" s="177"/>
      <c r="P91" s="177"/>
      <c r="Q91" s="177"/>
      <c r="R91" s="177"/>
    </row>
    <row r="92" spans="1:23" s="446" customFormat="1" ht="15.75" customHeight="1" thickBot="1" x14ac:dyDescent="0.25">
      <c r="A92" s="914" t="s">
        <v>353</v>
      </c>
      <c r="B92" s="915"/>
      <c r="C92" s="915"/>
      <c r="D92" s="915"/>
      <c r="E92" s="915"/>
      <c r="F92" s="915"/>
      <c r="G92" s="916"/>
      <c r="H92" s="931"/>
      <c r="I92" s="908"/>
      <c r="J92" s="908"/>
      <c r="K92" s="908"/>
      <c r="L92" s="908"/>
      <c r="M92" s="929"/>
      <c r="N92" s="177"/>
      <c r="O92" s="177"/>
      <c r="P92" s="177"/>
      <c r="Q92" s="177"/>
      <c r="R92" s="177"/>
    </row>
    <row r="93" spans="1:23" s="136" customFormat="1" x14ac:dyDescent="0.2">
      <c r="A93" s="178" t="s">
        <v>103</v>
      </c>
      <c r="B93" s="942" t="str">
        <f>IF($A93="","",VLOOKUP($A93,Listes!$A$3:$C$193,2,FALSE))</f>
        <v>Alameda Corridor Surcharge export</v>
      </c>
      <c r="C93" s="942"/>
      <c r="D93" s="942"/>
      <c r="E93" s="941" t="s">
        <v>51</v>
      </c>
      <c r="F93" s="941"/>
      <c r="G93" s="941"/>
      <c r="H93" s="658"/>
      <c r="I93" s="529"/>
      <c r="J93" s="529"/>
      <c r="K93" s="529"/>
      <c r="L93" s="529"/>
      <c r="M93" s="530"/>
      <c r="N93" s="160"/>
      <c r="O93" s="160"/>
      <c r="P93" s="160"/>
      <c r="Q93" s="160"/>
      <c r="R93" s="159"/>
    </row>
    <row r="94" spans="1:23" s="136" customFormat="1" ht="15.75" customHeight="1" x14ac:dyDescent="0.2">
      <c r="A94" s="182" t="s">
        <v>234</v>
      </c>
      <c r="B94" s="813" t="str">
        <f>IF($A94="","",VLOOKUP($A94,Listes!$A$3:$C$193,2,FALSE))</f>
        <v>Bunker Adjustment Factor</v>
      </c>
      <c r="C94" s="813"/>
      <c r="D94" s="813"/>
      <c r="E94" s="814" t="s">
        <v>51</v>
      </c>
      <c r="F94" s="814"/>
      <c r="G94" s="814"/>
      <c r="H94" s="657"/>
      <c r="I94" s="531"/>
      <c r="J94" s="531"/>
      <c r="K94" s="531"/>
      <c r="L94" s="531"/>
      <c r="M94" s="532"/>
      <c r="N94" s="160"/>
      <c r="O94" s="160"/>
      <c r="P94" s="160"/>
      <c r="Q94" s="160"/>
      <c r="R94" s="159"/>
    </row>
    <row r="95" spans="1:23" s="136" customFormat="1" ht="15.75" customHeight="1" x14ac:dyDescent="0.2">
      <c r="A95" s="182" t="s">
        <v>86</v>
      </c>
      <c r="B95" s="813" t="str">
        <f>IF($A95="","",VLOOKUP($A95,Listes!$A$3:$C$193,2,FALSE))</f>
        <v>Currency Adjustment Factor</v>
      </c>
      <c r="C95" s="813"/>
      <c r="D95" s="813"/>
      <c r="E95" s="814" t="s">
        <v>53</v>
      </c>
      <c r="F95" s="814"/>
      <c r="G95" s="814"/>
      <c r="H95" s="657"/>
      <c r="I95" s="531"/>
      <c r="J95" s="531"/>
      <c r="K95" s="531"/>
      <c r="L95" s="531"/>
      <c r="M95" s="532"/>
      <c r="N95" s="160"/>
      <c r="O95" s="160"/>
      <c r="P95" s="160"/>
      <c r="Q95" s="160"/>
      <c r="R95" s="159"/>
    </row>
    <row r="96" spans="1:23" s="136" customFormat="1" ht="15.75" customHeight="1" x14ac:dyDescent="0.2">
      <c r="A96" s="182" t="s">
        <v>1103</v>
      </c>
      <c r="B96" s="813" t="str">
        <f>IF($A96="","",VLOOKUP($A96,Listes!$A$3:$C$193,2,FALSE))</f>
        <v>Chassis Administration Fee Pre-Carriage</v>
      </c>
      <c r="C96" s="813"/>
      <c r="D96" s="813"/>
      <c r="E96" s="814" t="s">
        <v>51</v>
      </c>
      <c r="F96" s="814"/>
      <c r="G96" s="814"/>
      <c r="H96" s="657"/>
      <c r="I96" s="531"/>
      <c r="J96" s="531"/>
      <c r="K96" s="531"/>
      <c r="L96" s="531"/>
      <c r="M96" s="532"/>
      <c r="N96" s="160"/>
      <c r="O96" s="160"/>
      <c r="P96" s="160"/>
      <c r="Q96" s="160"/>
      <c r="R96" s="159"/>
    </row>
    <row r="97" spans="1:18" s="136" customFormat="1" ht="15.75" customHeight="1" x14ac:dyDescent="0.2">
      <c r="A97" s="182" t="s">
        <v>1335</v>
      </c>
      <c r="B97" s="813" t="str">
        <f>IF($A97="","",VLOOKUP($A97,Listes!$A$3:$C$193,2,FALSE))</f>
        <v>Container Cleaning Surcharge Destination</v>
      </c>
      <c r="C97" s="813"/>
      <c r="D97" s="813"/>
      <c r="E97" s="814" t="s">
        <v>51</v>
      </c>
      <c r="F97" s="814"/>
      <c r="G97" s="814"/>
      <c r="H97" s="657"/>
      <c r="I97" s="531"/>
      <c r="J97" s="531"/>
      <c r="K97" s="531"/>
      <c r="L97" s="531"/>
      <c r="M97" s="532"/>
      <c r="N97" s="160"/>
      <c r="O97" s="160"/>
      <c r="P97" s="160"/>
      <c r="Q97" s="160"/>
      <c r="R97" s="159"/>
    </row>
    <row r="98" spans="1:18" s="136" customFormat="1" ht="15.75" customHeight="1" x14ac:dyDescent="0.2">
      <c r="A98" s="182" t="s">
        <v>202</v>
      </c>
      <c r="B98" s="813" t="str">
        <f>IF($A98="","",VLOOKUP($A98,Listes!$A$3:$C$193,2,FALSE))</f>
        <v>Container Inspection Fee/Survey Fee</v>
      </c>
      <c r="C98" s="813"/>
      <c r="D98" s="813"/>
      <c r="E98" s="814" t="s">
        <v>51</v>
      </c>
      <c r="F98" s="814"/>
      <c r="G98" s="814"/>
      <c r="H98" s="657"/>
      <c r="I98" s="531"/>
      <c r="J98" s="531"/>
      <c r="K98" s="531"/>
      <c r="L98" s="531"/>
      <c r="M98" s="532"/>
      <c r="N98" s="160"/>
      <c r="O98" s="160"/>
      <c r="P98" s="160"/>
      <c r="Q98" s="160"/>
      <c r="R98" s="159"/>
    </row>
    <row r="99" spans="1:18" s="136" customFormat="1" ht="15.75" customHeight="1" x14ac:dyDescent="0.2">
      <c r="A99" s="182" t="s">
        <v>9</v>
      </c>
      <c r="B99" s="813" t="str">
        <f>IF($A99="","",VLOOKUP($A99,Listes!$A$3:$C$193,2,FALSE))</f>
        <v>Container Management Fee</v>
      </c>
      <c r="C99" s="813"/>
      <c r="D99" s="813"/>
      <c r="E99" s="814" t="s">
        <v>51</v>
      </c>
      <c r="F99" s="814"/>
      <c r="G99" s="814"/>
      <c r="H99" s="657"/>
      <c r="I99" s="531"/>
      <c r="J99" s="531"/>
      <c r="K99" s="531"/>
      <c r="L99" s="531"/>
      <c r="M99" s="532"/>
      <c r="N99" s="160"/>
      <c r="O99" s="160"/>
      <c r="P99" s="160"/>
      <c r="Q99" s="160"/>
      <c r="R99" s="159"/>
    </row>
    <row r="100" spans="1:18" s="136" customFormat="1" ht="15.75" customHeight="1" x14ac:dyDescent="0.2">
      <c r="A100" s="182" t="s">
        <v>551</v>
      </c>
      <c r="B100" s="813" t="str">
        <f>IF($A100="","",VLOOKUP($A100,Listes!$A$3:$C$193,2,FALSE))</f>
        <v>Chassis Provision Charge</v>
      </c>
      <c r="C100" s="813"/>
      <c r="D100" s="813"/>
      <c r="E100" s="814" t="s">
        <v>51</v>
      </c>
      <c r="F100" s="814"/>
      <c r="G100" s="814"/>
      <c r="H100" s="657"/>
      <c r="I100" s="531"/>
      <c r="J100" s="531"/>
      <c r="K100" s="531"/>
      <c r="L100" s="531"/>
      <c r="M100" s="532"/>
      <c r="N100" s="160"/>
      <c r="O100" s="160"/>
      <c r="P100" s="160"/>
      <c r="Q100" s="160"/>
      <c r="R100" s="159"/>
    </row>
    <row r="101" spans="1:18" s="136" customFormat="1" ht="15.75" customHeight="1" x14ac:dyDescent="0.2">
      <c r="A101" s="182" t="s">
        <v>263</v>
      </c>
      <c r="B101" s="813" t="str">
        <f>IF($A101="","",VLOOKUP($A101,Listes!$A$3:$C$193,2,FALSE))</f>
        <v>Carrier Security Charge</v>
      </c>
      <c r="C101" s="813"/>
      <c r="D101" s="813"/>
      <c r="E101" s="814" t="s">
        <v>51</v>
      </c>
      <c r="F101" s="814"/>
      <c r="G101" s="814"/>
      <c r="H101" s="657"/>
      <c r="I101" s="531"/>
      <c r="J101" s="531"/>
      <c r="K101" s="531"/>
      <c r="L101" s="531"/>
      <c r="M101" s="532"/>
      <c r="N101" s="160"/>
      <c r="O101" s="160"/>
      <c r="P101" s="160"/>
      <c r="Q101" s="160"/>
      <c r="R101" s="159"/>
    </row>
    <row r="102" spans="1:18" s="136" customFormat="1" ht="15.75" customHeight="1" x14ac:dyDescent="0.2">
      <c r="A102" s="182" t="s">
        <v>1262</v>
      </c>
      <c r="B102" s="813" t="str">
        <f>IF($A102="","",VLOOKUP($A102,Listes!$A$3:$C$193,2,FALSE))</f>
        <v>Container Maintenance Charge Destination</v>
      </c>
      <c r="C102" s="813"/>
      <c r="D102" s="813"/>
      <c r="E102" s="814" t="s">
        <v>51</v>
      </c>
      <c r="F102" s="814"/>
      <c r="G102" s="814"/>
      <c r="H102" s="657"/>
      <c r="I102" s="531"/>
      <c r="J102" s="531"/>
      <c r="K102" s="531"/>
      <c r="L102" s="531"/>
      <c r="M102" s="532"/>
      <c r="N102" s="160"/>
      <c r="O102" s="160"/>
      <c r="P102" s="160"/>
      <c r="Q102" s="160"/>
      <c r="R102" s="159"/>
    </row>
    <row r="103" spans="1:18" s="136" customFormat="1" ht="15.75" customHeight="1" x14ac:dyDescent="0.2">
      <c r="A103" s="182" t="s">
        <v>213</v>
      </c>
      <c r="B103" s="813" t="str">
        <f>IF($A103="","",VLOOKUP($A103,Listes!$A$3:$C$193,2,FALSE))</f>
        <v>Delivery Order Fee - Special Requirement, Carrier</v>
      </c>
      <c r="C103" s="813"/>
      <c r="D103" s="813"/>
      <c r="E103" s="814" t="s">
        <v>51</v>
      </c>
      <c r="F103" s="814"/>
      <c r="G103" s="814"/>
      <c r="H103" s="657"/>
      <c r="I103" s="531"/>
      <c r="J103" s="531"/>
      <c r="K103" s="531"/>
      <c r="L103" s="531"/>
      <c r="M103" s="532"/>
      <c r="N103" s="160"/>
      <c r="O103" s="160"/>
      <c r="P103" s="160"/>
      <c r="Q103" s="160"/>
      <c r="R103" s="159"/>
    </row>
    <row r="104" spans="1:18" s="136" customFormat="1" ht="15.75" customHeight="1" x14ac:dyDescent="0.2">
      <c r="A104" s="182" t="s">
        <v>230</v>
      </c>
      <c r="B104" s="813" t="str">
        <f>IF($A104="","",VLOOKUP($A104,Listes!$A$3:$C$193,2,FALSE))</f>
        <v>Destination THC / Destination Receiving Charge</v>
      </c>
      <c r="C104" s="813"/>
      <c r="D104" s="813"/>
      <c r="E104" s="814" t="s">
        <v>51</v>
      </c>
      <c r="F104" s="814"/>
      <c r="G104" s="814"/>
      <c r="H104" s="657"/>
      <c r="I104" s="531"/>
      <c r="J104" s="531"/>
      <c r="K104" s="531"/>
      <c r="L104" s="531"/>
      <c r="M104" s="532"/>
      <c r="N104" s="160"/>
      <c r="O104" s="160"/>
      <c r="P104" s="160"/>
      <c r="Q104" s="160"/>
      <c r="R104" s="159"/>
    </row>
    <row r="105" spans="1:18" s="136" customFormat="1" ht="15.75" customHeight="1" x14ac:dyDescent="0.2">
      <c r="A105" s="182" t="s">
        <v>1081</v>
      </c>
      <c r="B105" s="813" t="str">
        <f>IF($A105="","",VLOOKUP($A105,Listes!$A$3:$C$193,2,FALSE))</f>
        <v>Equipment Imbalance Surcharge at Origin</v>
      </c>
      <c r="C105" s="813"/>
      <c r="D105" s="813"/>
      <c r="E105" s="814" t="s">
        <v>51</v>
      </c>
      <c r="F105" s="814"/>
      <c r="G105" s="814"/>
      <c r="H105" s="657"/>
      <c r="I105" s="531"/>
      <c r="J105" s="531"/>
      <c r="K105" s="531"/>
      <c r="L105" s="531"/>
      <c r="M105" s="532"/>
      <c r="N105" s="160"/>
      <c r="O105" s="160"/>
      <c r="P105" s="160"/>
      <c r="Q105" s="160"/>
      <c r="R105" s="159"/>
    </row>
    <row r="106" spans="1:18" s="136" customFormat="1" ht="15.75" customHeight="1" x14ac:dyDescent="0.2">
      <c r="A106" s="182" t="s">
        <v>1082</v>
      </c>
      <c r="B106" s="813" t="str">
        <f>IF($A106="","",VLOOKUP($A106,Listes!$A$3:$C$193,2,FALSE))</f>
        <v>Equipment Imbalance Surcharge at Destination</v>
      </c>
      <c r="C106" s="813"/>
      <c r="D106" s="813"/>
      <c r="E106" s="814" t="s">
        <v>51</v>
      </c>
      <c r="F106" s="814"/>
      <c r="G106" s="814"/>
      <c r="H106" s="657"/>
      <c r="I106" s="531"/>
      <c r="J106" s="531"/>
      <c r="K106" s="531"/>
      <c r="L106" s="531"/>
      <c r="M106" s="532"/>
      <c r="N106" s="160"/>
      <c r="O106" s="160"/>
      <c r="P106" s="160"/>
      <c r="Q106" s="160"/>
      <c r="R106" s="159"/>
    </row>
    <row r="107" spans="1:18" s="136" customFormat="1" ht="15.75" customHeight="1" x14ac:dyDescent="0.2">
      <c r="A107" s="182" t="s">
        <v>874</v>
      </c>
      <c r="B107" s="813" t="str">
        <f>IF($A107="","",VLOOKUP($A107,Listes!$A$3:$C$193,2,FALSE))</f>
        <v>Export Documentation Fees - Carrier</v>
      </c>
      <c r="C107" s="813"/>
      <c r="D107" s="813"/>
      <c r="E107" s="814" t="s">
        <v>51</v>
      </c>
      <c r="F107" s="814"/>
      <c r="G107" s="814"/>
      <c r="H107" s="657"/>
      <c r="I107" s="531"/>
      <c r="J107" s="531"/>
      <c r="K107" s="531"/>
      <c r="L107" s="531"/>
      <c r="M107" s="532"/>
      <c r="N107" s="160"/>
      <c r="O107" s="160"/>
      <c r="P107" s="160"/>
      <c r="Q107" s="160"/>
      <c r="R107" s="159"/>
    </row>
    <row r="108" spans="1:18" s="136" customFormat="1" ht="15.75" customHeight="1" x14ac:dyDescent="0.2">
      <c r="A108" s="182" t="s">
        <v>854</v>
      </c>
      <c r="B108" s="813" t="str">
        <f>IF($A108="","",VLOOKUP($A108,Listes!$A$3:$C$193,2,FALSE))</f>
        <v>Export Declaration Surcharge</v>
      </c>
      <c r="C108" s="813"/>
      <c r="D108" s="813"/>
      <c r="E108" s="814" t="s">
        <v>51</v>
      </c>
      <c r="F108" s="814"/>
      <c r="G108" s="814"/>
      <c r="H108" s="657"/>
      <c r="I108" s="531"/>
      <c r="J108" s="531"/>
      <c r="K108" s="531"/>
      <c r="L108" s="531"/>
      <c r="M108" s="532"/>
      <c r="N108" s="160"/>
      <c r="O108" s="160"/>
      <c r="P108" s="160"/>
      <c r="Q108" s="160"/>
      <c r="R108" s="159"/>
    </row>
    <row r="109" spans="1:18" s="136" customFormat="1" ht="15.75" customHeight="1" x14ac:dyDescent="0.2">
      <c r="A109" s="182" t="s">
        <v>82</v>
      </c>
      <c r="B109" s="813" t="str">
        <f>IF($A109="","",VLOOKUP($A109,Listes!$A$3:$C$193,2,FALSE))</f>
        <v>General Rate Increase</v>
      </c>
      <c r="C109" s="813"/>
      <c r="D109" s="813"/>
      <c r="E109" s="814" t="s">
        <v>51</v>
      </c>
      <c r="F109" s="814"/>
      <c r="G109" s="814"/>
      <c r="H109" s="657"/>
      <c r="I109" s="531"/>
      <c r="J109" s="531"/>
      <c r="K109" s="531"/>
      <c r="L109" s="531"/>
      <c r="M109" s="532"/>
      <c r="N109" s="160"/>
      <c r="O109" s="160"/>
      <c r="P109" s="160"/>
      <c r="Q109" s="160"/>
      <c r="R109" s="159"/>
    </row>
    <row r="110" spans="1:18" s="136" customFormat="1" ht="15.75" customHeight="1" x14ac:dyDescent="0.2">
      <c r="A110" s="182" t="s">
        <v>260</v>
      </c>
      <c r="B110" s="813" t="str">
        <f>IF($A110="","",VLOOKUP($A110,Listes!$A$3:$C$193,2,FALSE))</f>
        <v>Hazardous Fees (Ocean)</v>
      </c>
      <c r="C110" s="813"/>
      <c r="D110" s="813"/>
      <c r="E110" s="814" t="s">
        <v>51</v>
      </c>
      <c r="F110" s="814"/>
      <c r="G110" s="814"/>
      <c r="H110" s="657"/>
      <c r="I110" s="531"/>
      <c r="J110" s="531"/>
      <c r="K110" s="531"/>
      <c r="L110" s="531"/>
      <c r="M110" s="532"/>
      <c r="N110" s="160"/>
      <c r="O110" s="160"/>
      <c r="P110" s="160"/>
      <c r="Q110" s="160"/>
      <c r="R110" s="159"/>
    </row>
    <row r="111" spans="1:18" s="136" customFormat="1" ht="15.75" customHeight="1" x14ac:dyDescent="0.2">
      <c r="A111" s="182" t="s">
        <v>897</v>
      </c>
      <c r="B111" s="813" t="str">
        <f>IF($A111="","",VLOOKUP($A111,Listes!$A$3:$C$193,2,FALSE))</f>
        <v xml:space="preserve">Intermodal Door Precarriage Additional for </v>
      </c>
      <c r="C111" s="813"/>
      <c r="D111" s="813"/>
      <c r="E111" s="814" t="s">
        <v>51</v>
      </c>
      <c r="F111" s="814"/>
      <c r="G111" s="814"/>
      <c r="H111" s="657"/>
      <c r="I111" s="531"/>
      <c r="J111" s="531"/>
      <c r="K111" s="531"/>
      <c r="L111" s="531"/>
      <c r="M111" s="532"/>
      <c r="N111" s="160"/>
      <c r="O111" s="160"/>
      <c r="P111" s="160"/>
      <c r="Q111" s="160"/>
      <c r="R111" s="159"/>
    </row>
    <row r="112" spans="1:18" s="136" customFormat="1" ht="15.75" customHeight="1" x14ac:dyDescent="0.2">
      <c r="A112" s="182" t="s">
        <v>877</v>
      </c>
      <c r="B112" s="813" t="str">
        <f>IF($A112="","",VLOOKUP($A112,Listes!$A$3:$C$193,2,FALSE))</f>
        <v>Import Documentation / BL fee - Carrier</v>
      </c>
      <c r="C112" s="813"/>
      <c r="D112" s="813"/>
      <c r="E112" s="814" t="s">
        <v>51</v>
      </c>
      <c r="F112" s="814"/>
      <c r="G112" s="814"/>
      <c r="H112" s="657"/>
      <c r="I112" s="531"/>
      <c r="J112" s="531"/>
      <c r="K112" s="531"/>
      <c r="L112" s="531"/>
      <c r="M112" s="532"/>
      <c r="N112" s="160"/>
      <c r="O112" s="160"/>
      <c r="P112" s="160"/>
      <c r="Q112" s="160"/>
      <c r="R112" s="159"/>
    </row>
    <row r="113" spans="1:18" s="136" customFormat="1" ht="15.75" customHeight="1" x14ac:dyDescent="0.2">
      <c r="A113" s="182" t="s">
        <v>96</v>
      </c>
      <c r="B113" s="813" t="str">
        <f>IF($A113="","",VLOOKUP($A113,Listes!$A$3:$C$193,2,FALSE))</f>
        <v xml:space="preserve">Precarriage Inland Fuel Charge </v>
      </c>
      <c r="C113" s="813"/>
      <c r="D113" s="813"/>
      <c r="E113" s="814" t="s">
        <v>51</v>
      </c>
      <c r="F113" s="814"/>
      <c r="G113" s="814"/>
      <c r="H113" s="657"/>
      <c r="I113" s="531"/>
      <c r="J113" s="531"/>
      <c r="K113" s="531"/>
      <c r="L113" s="531"/>
      <c r="M113" s="532"/>
      <c r="N113" s="160"/>
      <c r="O113" s="160"/>
      <c r="P113" s="160"/>
      <c r="Q113" s="160"/>
      <c r="R113" s="159"/>
    </row>
    <row r="114" spans="1:18" s="136" customFormat="1" ht="15.75" customHeight="1" x14ac:dyDescent="0.2">
      <c r="A114" s="182" t="s">
        <v>1290</v>
      </c>
      <c r="B114" s="813" t="str">
        <f>IF($A114="","",VLOOKUP($A114,Listes!$A$3:$C$193,2,FALSE))</f>
        <v>Local Port Charge Destination Sanitary Fee</v>
      </c>
      <c r="C114" s="813"/>
      <c r="D114" s="813"/>
      <c r="E114" s="814" t="s">
        <v>51</v>
      </c>
      <c r="F114" s="814"/>
      <c r="G114" s="814"/>
      <c r="H114" s="675"/>
      <c r="I114" s="531"/>
      <c r="J114" s="531"/>
      <c r="K114" s="531"/>
      <c r="L114" s="531"/>
      <c r="M114" s="532"/>
      <c r="N114" s="160"/>
      <c r="O114" s="160"/>
      <c r="P114" s="160"/>
      <c r="Q114" s="160"/>
      <c r="R114" s="159"/>
    </row>
    <row r="115" spans="1:18" s="136" customFormat="1" ht="15.75" customHeight="1" x14ac:dyDescent="0.2">
      <c r="A115" s="182" t="s">
        <v>1292</v>
      </c>
      <c r="B115" s="813" t="str">
        <f>IF($A115="","",VLOOKUP($A115,Listes!$A$3:$C$193,2,FALSE))</f>
        <v>Local Port Charge Origin Sanitary Fee</v>
      </c>
      <c r="C115" s="813"/>
      <c r="D115" s="813"/>
      <c r="E115" s="814" t="s">
        <v>51</v>
      </c>
      <c r="F115" s="814"/>
      <c r="G115" s="814"/>
      <c r="H115" s="675"/>
      <c r="I115" s="531"/>
      <c r="J115" s="531"/>
      <c r="K115" s="531"/>
      <c r="L115" s="531"/>
      <c r="M115" s="532"/>
      <c r="N115" s="160"/>
      <c r="O115" s="160"/>
      <c r="P115" s="160"/>
      <c r="Q115" s="160"/>
      <c r="R115" s="159"/>
    </row>
    <row r="116" spans="1:18" s="136" customFormat="1" ht="15.75" customHeight="1" x14ac:dyDescent="0.2">
      <c r="A116" s="182" t="s">
        <v>199</v>
      </c>
      <c r="B116" s="813" t="str">
        <f>IF($A116="","",VLOOKUP($A116,Listes!$A$3:$C$193,2,FALSE))</f>
        <v>Low Sulfur Surcharge</v>
      </c>
      <c r="C116" s="813"/>
      <c r="D116" s="813"/>
      <c r="E116" s="814" t="s">
        <v>53</v>
      </c>
      <c r="F116" s="814"/>
      <c r="G116" s="814"/>
      <c r="H116" s="657"/>
      <c r="I116" s="531"/>
      <c r="J116" s="531"/>
      <c r="K116" s="531"/>
      <c r="L116" s="531"/>
      <c r="M116" s="532"/>
      <c r="N116" s="160"/>
      <c r="O116" s="160"/>
      <c r="P116" s="160"/>
      <c r="Q116" s="160"/>
      <c r="R116" s="159"/>
    </row>
    <row r="117" spans="1:18" s="136" customFormat="1" ht="15.75" customHeight="1" x14ac:dyDescent="0.2">
      <c r="A117" s="182" t="s">
        <v>1124</v>
      </c>
      <c r="B117" s="813" t="str">
        <f>IF($A117="","",VLOOKUP($A117,Listes!$A$3:$C$193,2,FALSE))</f>
        <v>Low Sulfur Surcharge IMO2020</v>
      </c>
      <c r="C117" s="813"/>
      <c r="D117" s="813"/>
      <c r="E117" s="814" t="s">
        <v>53</v>
      </c>
      <c r="F117" s="814"/>
      <c r="G117" s="814"/>
      <c r="H117" s="667"/>
      <c r="I117" s="531"/>
      <c r="J117" s="531"/>
      <c r="K117" s="531"/>
      <c r="L117" s="531"/>
      <c r="M117" s="532"/>
      <c r="N117" s="160"/>
      <c r="O117" s="160"/>
      <c r="P117" s="160"/>
      <c r="Q117" s="160"/>
      <c r="R117" s="159"/>
    </row>
    <row r="118" spans="1:18" s="136" customFormat="1" ht="15.75" customHeight="1" x14ac:dyDescent="0.2">
      <c r="A118" s="182" t="s">
        <v>497</v>
      </c>
      <c r="B118" s="813" t="str">
        <f>IF($A118="","",VLOOKUP($A118,Listes!$A$3:$C$193,2,FALSE))</f>
        <v>Inland Hazardous Charge Oncarriage</v>
      </c>
      <c r="C118" s="813"/>
      <c r="D118" s="813"/>
      <c r="E118" s="814" t="s">
        <v>51</v>
      </c>
      <c r="F118" s="814"/>
      <c r="G118" s="814"/>
      <c r="H118" s="657"/>
      <c r="I118" s="531"/>
      <c r="J118" s="531"/>
      <c r="K118" s="531"/>
      <c r="L118" s="531"/>
      <c r="M118" s="532"/>
      <c r="N118" s="160"/>
      <c r="O118" s="160"/>
      <c r="P118" s="160"/>
      <c r="Q118" s="160"/>
      <c r="R118" s="159"/>
    </row>
    <row r="119" spans="1:18" s="136" customFormat="1" ht="15.75" customHeight="1" x14ac:dyDescent="0.2">
      <c r="A119" s="182" t="s">
        <v>815</v>
      </c>
      <c r="B119" s="813" t="str">
        <f>IF($A119="","",VLOOKUP($A119,Listes!$A$3:$C$193,2,FALSE))</f>
        <v>Operation Cost Recovery</v>
      </c>
      <c r="C119" s="813"/>
      <c r="D119" s="813"/>
      <c r="E119" s="814" t="s">
        <v>51</v>
      </c>
      <c r="F119" s="814"/>
      <c r="G119" s="814"/>
      <c r="H119" s="657"/>
      <c r="I119" s="531"/>
      <c r="J119" s="531"/>
      <c r="K119" s="531"/>
      <c r="L119" s="531"/>
      <c r="M119" s="532"/>
      <c r="N119" s="160"/>
      <c r="O119" s="160"/>
      <c r="P119" s="160"/>
      <c r="Q119" s="160"/>
      <c r="R119" s="159"/>
    </row>
    <row r="120" spans="1:18" s="136" customFormat="1" ht="15.75" customHeight="1" x14ac:dyDescent="0.2">
      <c r="A120" s="182" t="s">
        <v>89</v>
      </c>
      <c r="B120" s="813" t="str">
        <f>IF($A120="","",VLOOKUP($A120,Listes!$A$3:$C$193,2,FALSE))</f>
        <v>Origin THC / Origin Receiving Charge</v>
      </c>
      <c r="C120" s="813"/>
      <c r="D120" s="813"/>
      <c r="E120" s="814" t="s">
        <v>53</v>
      </c>
      <c r="F120" s="814"/>
      <c r="G120" s="814"/>
      <c r="H120" s="657"/>
      <c r="I120" s="531"/>
      <c r="J120" s="531"/>
      <c r="K120" s="531"/>
      <c r="L120" s="531"/>
      <c r="M120" s="532"/>
      <c r="N120" s="160"/>
      <c r="O120" s="160"/>
      <c r="P120" s="160"/>
      <c r="Q120" s="160"/>
      <c r="R120" s="159"/>
    </row>
    <row r="121" spans="1:18" s="136" customFormat="1" ht="15.75" customHeight="1" x14ac:dyDescent="0.2">
      <c r="A121" s="182" t="s">
        <v>832</v>
      </c>
      <c r="B121" s="813" t="str">
        <f>IF($A121="","",VLOOKUP($A121,Listes!$A$3:$C$193,2,FALSE))</f>
        <v>Port Congestion Surcharge Destination</v>
      </c>
      <c r="C121" s="813"/>
      <c r="D121" s="813"/>
      <c r="E121" s="814" t="s">
        <v>51</v>
      </c>
      <c r="F121" s="814"/>
      <c r="G121" s="814"/>
      <c r="H121" s="657"/>
      <c r="I121" s="531"/>
      <c r="J121" s="531"/>
      <c r="K121" s="531"/>
      <c r="L121" s="531"/>
      <c r="M121" s="532"/>
      <c r="N121" s="160"/>
      <c r="O121" s="160"/>
      <c r="P121" s="160"/>
      <c r="Q121" s="160"/>
      <c r="R121" s="159"/>
    </row>
    <row r="122" spans="1:18" s="136" customFormat="1" ht="15.75" customHeight="1" x14ac:dyDescent="0.2">
      <c r="A122" s="182" t="s">
        <v>829</v>
      </c>
      <c r="B122" s="813" t="str">
        <f>IF($A122="","",VLOOKUP($A122,Listes!$A$3:$C$193,2,FALSE))</f>
        <v>Port Congestion Surcharge Origin</v>
      </c>
      <c r="C122" s="813"/>
      <c r="D122" s="813"/>
      <c r="E122" s="814" t="s">
        <v>51</v>
      </c>
      <c r="F122" s="814"/>
      <c r="G122" s="814"/>
      <c r="H122" s="657"/>
      <c r="I122" s="531"/>
      <c r="J122" s="531"/>
      <c r="K122" s="531"/>
      <c r="L122" s="531"/>
      <c r="M122" s="532"/>
      <c r="N122" s="160"/>
      <c r="O122" s="160"/>
      <c r="P122" s="160"/>
      <c r="Q122" s="160"/>
      <c r="R122" s="159"/>
    </row>
    <row r="123" spans="1:18" s="136" customFormat="1" x14ac:dyDescent="0.2">
      <c r="A123" s="182" t="s">
        <v>1060</v>
      </c>
      <c r="B123" s="813" t="str">
        <f>IF($A123="","",VLOOKUP($A123,Listes!$A$3:$C$193,2,FALSE))</f>
        <v>Pre-Carriage Emergency Inland Fuel Surcharge</v>
      </c>
      <c r="C123" s="813"/>
      <c r="D123" s="813"/>
      <c r="E123" s="814" t="s">
        <v>51</v>
      </c>
      <c r="F123" s="814"/>
      <c r="G123" s="814"/>
      <c r="H123" s="657"/>
      <c r="I123" s="531"/>
      <c r="J123" s="531"/>
      <c r="K123" s="531"/>
      <c r="L123" s="531"/>
      <c r="M123" s="532"/>
      <c r="N123" s="160"/>
      <c r="O123" s="160"/>
      <c r="P123" s="160"/>
      <c r="Q123" s="160"/>
      <c r="R123" s="159"/>
    </row>
    <row r="124" spans="1:18" s="136" customFormat="1" ht="31.5" x14ac:dyDescent="0.2">
      <c r="A124" s="182" t="s">
        <v>1046</v>
      </c>
      <c r="B124" s="813" t="str">
        <f>IF($A124="","",VLOOKUP($A124,Listes!$A$3:$C$193,2,FALSE))</f>
        <v>Pre-Carriage Emergency Intermodal Surcharge</v>
      </c>
      <c r="C124" s="813"/>
      <c r="D124" s="813"/>
      <c r="E124" s="814" t="s">
        <v>51</v>
      </c>
      <c r="F124" s="814"/>
      <c r="G124" s="814"/>
      <c r="H124" s="657"/>
      <c r="I124" s="531"/>
      <c r="J124" s="531"/>
      <c r="K124" s="531"/>
      <c r="L124" s="531"/>
      <c r="M124" s="532"/>
      <c r="N124" s="160"/>
      <c r="O124" s="160"/>
      <c r="P124" s="160"/>
      <c r="Q124" s="160"/>
      <c r="R124" s="159"/>
    </row>
    <row r="125" spans="1:18" s="136" customFormat="1" ht="15.75" customHeight="1" x14ac:dyDescent="0.2">
      <c r="A125" s="182" t="s">
        <v>500</v>
      </c>
      <c r="B125" s="813" t="str">
        <f>IF($A125="","",VLOOKUP($A125,Listes!$A$3:$C$193,2,FALSE))</f>
        <v>Inland Hazardous Charge Precarriage</v>
      </c>
      <c r="C125" s="813"/>
      <c r="D125" s="813"/>
      <c r="E125" s="814" t="s">
        <v>51</v>
      </c>
      <c r="F125" s="814"/>
      <c r="G125" s="814"/>
      <c r="H125" s="657"/>
      <c r="I125" s="531"/>
      <c r="J125" s="531"/>
      <c r="K125" s="531"/>
      <c r="L125" s="531"/>
      <c r="M125" s="532"/>
      <c r="N125" s="160"/>
      <c r="O125" s="160"/>
      <c r="P125" s="160"/>
      <c r="Q125" s="160"/>
      <c r="R125" s="159"/>
    </row>
    <row r="126" spans="1:18" s="136" customFormat="1" x14ac:dyDescent="0.2">
      <c r="A126" s="182" t="s">
        <v>489</v>
      </c>
      <c r="B126" s="813" t="str">
        <f>IF($A126="","",VLOOKUP($A126,Listes!$A$3:$C$193,2,FALSE))</f>
        <v>Shipper Owned Container Surcharge</v>
      </c>
      <c r="C126" s="813"/>
      <c r="D126" s="813"/>
      <c r="E126" s="814" t="s">
        <v>51</v>
      </c>
      <c r="F126" s="814"/>
      <c r="G126" s="814"/>
      <c r="H126" s="657"/>
      <c r="I126" s="531"/>
      <c r="J126" s="531"/>
      <c r="K126" s="531"/>
      <c r="L126" s="531"/>
      <c r="M126" s="532"/>
      <c r="N126" s="160"/>
      <c r="O126" s="160"/>
      <c r="P126" s="160"/>
      <c r="Q126" s="160"/>
      <c r="R126" s="159"/>
    </row>
    <row r="127" spans="1:18" s="136" customFormat="1" ht="38.25" customHeight="1" thickBot="1" x14ac:dyDescent="0.25">
      <c r="A127" s="185" t="s">
        <v>368</v>
      </c>
      <c r="B127" s="812" t="str">
        <f>IF($A127="","",VLOOKUP($A127,Listes!$A$3:$C$193,2,FALSE))</f>
        <v>Tri-Axle / Super Chassis Precarriage Surcharge</v>
      </c>
      <c r="C127" s="812"/>
      <c r="D127" s="812"/>
      <c r="E127" s="815" t="s">
        <v>51</v>
      </c>
      <c r="F127" s="815"/>
      <c r="G127" s="815"/>
      <c r="H127" s="659"/>
      <c r="I127" s="533"/>
      <c r="J127" s="533"/>
      <c r="K127" s="533"/>
      <c r="L127" s="533"/>
      <c r="M127" s="534"/>
      <c r="N127" s="160"/>
      <c r="O127" s="160"/>
      <c r="P127" s="160"/>
      <c r="Q127" s="160"/>
      <c r="R127" s="159"/>
    </row>
    <row r="128" spans="1:18" s="73" customFormat="1" ht="16.5" thickBot="1" x14ac:dyDescent="0.25">
      <c r="A128" s="850" t="s">
        <v>216</v>
      </c>
      <c r="B128" s="851"/>
      <c r="C128" s="851"/>
      <c r="D128" s="851"/>
      <c r="E128" s="852"/>
      <c r="F128" s="852"/>
      <c r="G128" s="852"/>
      <c r="H128" s="852"/>
      <c r="I128" s="853"/>
      <c r="J128" s="169"/>
      <c r="K128" s="118"/>
      <c r="L128" s="134"/>
      <c r="M128" s="134"/>
      <c r="N128" s="134"/>
      <c r="O128" s="134"/>
      <c r="P128" s="134"/>
      <c r="Q128" s="118"/>
    </row>
    <row r="129" spans="1:23" s="73" customFormat="1" ht="16.5" thickBot="1" x14ac:dyDescent="0.25">
      <c r="A129" s="849" t="s">
        <v>597</v>
      </c>
      <c r="B129" s="833"/>
      <c r="C129" s="833"/>
      <c r="D129" s="833"/>
      <c r="E129" s="833"/>
      <c r="F129" s="833"/>
      <c r="G129" s="833"/>
      <c r="H129" s="833"/>
      <c r="I129" s="834"/>
      <c r="J129" s="169"/>
      <c r="K129" s="134"/>
      <c r="L129" s="134"/>
      <c r="M129" s="134"/>
      <c r="N129" s="134"/>
      <c r="O129" s="118"/>
    </row>
    <row r="130" spans="1:23" s="73" customFormat="1" ht="16.5" thickBot="1" x14ac:dyDescent="0.25">
      <c r="A130" s="187"/>
      <c r="B130" s="187"/>
      <c r="C130" s="188"/>
      <c r="D130" s="189"/>
      <c r="E130" s="170"/>
      <c r="F130" s="170"/>
      <c r="G130" s="170"/>
      <c r="H130" s="170"/>
      <c r="I130" s="170"/>
      <c r="J130" s="189"/>
      <c r="K130" s="169"/>
      <c r="L130" s="118"/>
      <c r="M130" s="134"/>
      <c r="N130" s="134"/>
      <c r="O130" s="134"/>
      <c r="P130" s="134"/>
      <c r="Q130" s="134"/>
      <c r="R130" s="118"/>
    </row>
    <row r="131" spans="1:23" s="73" customFormat="1" ht="15.6" customHeight="1" x14ac:dyDescent="0.2">
      <c r="A131" s="830" t="s">
        <v>523</v>
      </c>
      <c r="B131" s="831"/>
      <c r="C131" s="831"/>
      <c r="D131" s="831"/>
      <c r="E131" s="842" t="s">
        <v>288</v>
      </c>
      <c r="F131" s="842">
        <v>20</v>
      </c>
      <c r="G131" s="842">
        <v>40</v>
      </c>
      <c r="H131" s="842" t="s">
        <v>19</v>
      </c>
      <c r="I131" s="842" t="s">
        <v>20</v>
      </c>
      <c r="J131" s="848" t="s">
        <v>297</v>
      </c>
      <c r="K131" s="848" t="s">
        <v>33</v>
      </c>
      <c r="L131" s="846" t="s">
        <v>217</v>
      </c>
      <c r="M131" s="189"/>
      <c r="N131" s="134"/>
      <c r="O131" s="134"/>
      <c r="P131" s="134"/>
      <c r="Q131" s="134"/>
      <c r="R131" s="134"/>
      <c r="S131" s="134"/>
      <c r="T131" s="134"/>
      <c r="U131" s="134"/>
    </row>
    <row r="132" spans="1:23" s="73" customFormat="1" x14ac:dyDescent="0.2">
      <c r="A132" s="537" t="s">
        <v>218</v>
      </c>
      <c r="B132" s="538" t="s">
        <v>11</v>
      </c>
      <c r="C132" s="538" t="s">
        <v>12</v>
      </c>
      <c r="D132" s="538" t="s">
        <v>219</v>
      </c>
      <c r="E132" s="843"/>
      <c r="F132" s="843"/>
      <c r="G132" s="843"/>
      <c r="H132" s="843"/>
      <c r="I132" s="843"/>
      <c r="J132" s="843"/>
      <c r="K132" s="843"/>
      <c r="L132" s="847"/>
      <c r="M132" s="189"/>
      <c r="N132" s="134"/>
      <c r="O132" s="134"/>
      <c r="P132" s="134"/>
      <c r="Q132" s="134"/>
      <c r="R132" s="134"/>
      <c r="S132" s="134"/>
      <c r="T132" s="134"/>
      <c r="U132" s="134"/>
    </row>
    <row r="133" spans="1:23" s="136" customFormat="1" x14ac:dyDescent="0.2">
      <c r="A133" s="539"/>
      <c r="B133" s="540"/>
      <c r="C133" s="540"/>
      <c r="D133" s="540"/>
      <c r="E133" s="540"/>
      <c r="F133" s="255"/>
      <c r="G133" s="255"/>
      <c r="H133" s="255"/>
      <c r="I133" s="255"/>
      <c r="J133" s="540"/>
      <c r="K133" s="21"/>
      <c r="L133" s="541"/>
      <c r="M133" s="190"/>
      <c r="N133" s="160"/>
      <c r="O133" s="160"/>
      <c r="P133" s="160"/>
      <c r="Q133" s="160"/>
      <c r="R133" s="160"/>
      <c r="S133" s="160"/>
      <c r="T133" s="160"/>
      <c r="U133" s="160"/>
    </row>
    <row r="134" spans="1:23" s="136" customFormat="1" x14ac:dyDescent="0.2">
      <c r="A134" s="542"/>
      <c r="B134" s="540"/>
      <c r="C134" s="540"/>
      <c r="D134" s="540"/>
      <c r="E134" s="540"/>
      <c r="F134" s="255"/>
      <c r="G134" s="255"/>
      <c r="H134" s="255"/>
      <c r="I134" s="255"/>
      <c r="J134" s="24"/>
      <c r="K134" s="21"/>
      <c r="L134" s="25"/>
      <c r="M134" s="191"/>
      <c r="N134" s="160"/>
      <c r="O134" s="160"/>
      <c r="P134" s="160"/>
      <c r="Q134" s="160"/>
      <c r="R134" s="160"/>
      <c r="S134" s="160"/>
      <c r="T134" s="160"/>
      <c r="U134" s="160"/>
    </row>
    <row r="135" spans="1:23" s="136" customFormat="1" x14ac:dyDescent="0.2">
      <c r="A135" s="542"/>
      <c r="B135" s="540"/>
      <c r="C135" s="540"/>
      <c r="D135" s="540"/>
      <c r="E135" s="540"/>
      <c r="F135" s="255"/>
      <c r="G135" s="255"/>
      <c r="H135" s="255"/>
      <c r="I135" s="255"/>
      <c r="J135" s="24"/>
      <c r="K135" s="21"/>
      <c r="L135" s="25"/>
      <c r="M135" s="191"/>
      <c r="N135" s="160"/>
      <c r="O135" s="160"/>
      <c r="P135" s="160"/>
      <c r="Q135" s="160"/>
      <c r="R135" s="160"/>
      <c r="S135" s="160"/>
      <c r="T135" s="160"/>
      <c r="U135" s="160"/>
    </row>
    <row r="136" spans="1:23" s="136" customFormat="1" ht="16.5" thickBot="1" x14ac:dyDescent="0.25">
      <c r="A136" s="543"/>
      <c r="B136" s="544"/>
      <c r="C136" s="544"/>
      <c r="D136" s="544"/>
      <c r="E136" s="544"/>
      <c r="F136" s="256"/>
      <c r="G136" s="256"/>
      <c r="H136" s="256"/>
      <c r="I136" s="256"/>
      <c r="J136" s="28"/>
      <c r="K136" s="29"/>
      <c r="L136" s="30"/>
      <c r="M136" s="191"/>
      <c r="N136" s="160"/>
      <c r="O136" s="160"/>
      <c r="P136" s="160"/>
      <c r="Q136" s="160"/>
      <c r="R136" s="160"/>
      <c r="S136" s="160"/>
      <c r="T136" s="160"/>
      <c r="U136" s="160"/>
    </row>
    <row r="137" spans="1:23" s="136" customFormat="1" x14ac:dyDescent="0.2">
      <c r="A137" s="173"/>
      <c r="B137" s="545"/>
      <c r="C137" s="545"/>
      <c r="D137" s="545"/>
      <c r="E137" s="545"/>
      <c r="F137" s="545"/>
      <c r="G137" s="545"/>
      <c r="H137" s="545"/>
      <c r="I137" s="545"/>
      <c r="J137" s="33"/>
      <c r="K137" s="33"/>
      <c r="L137" s="34"/>
      <c r="M137" s="191"/>
      <c r="N137" s="160"/>
      <c r="O137" s="160"/>
      <c r="P137" s="160"/>
      <c r="Q137" s="160"/>
      <c r="R137" s="160"/>
      <c r="S137" s="160"/>
      <c r="T137" s="160"/>
      <c r="U137" s="160"/>
    </row>
    <row r="138" spans="1:23" s="73" customFormat="1" ht="15.6" customHeight="1" x14ac:dyDescent="0.2">
      <c r="A138" s="841" t="s">
        <v>596</v>
      </c>
      <c r="B138" s="840"/>
      <c r="C138" s="840"/>
      <c r="D138" s="840"/>
      <c r="E138" s="840" t="s">
        <v>288</v>
      </c>
      <c r="F138" s="840">
        <v>20</v>
      </c>
      <c r="G138" s="840">
        <v>40</v>
      </c>
      <c r="H138" s="840" t="s">
        <v>19</v>
      </c>
      <c r="I138" s="840" t="s">
        <v>20</v>
      </c>
      <c r="J138" s="845" t="s">
        <v>297</v>
      </c>
      <c r="K138" s="845" t="s">
        <v>33</v>
      </c>
      <c r="L138" s="844" t="s">
        <v>217</v>
      </c>
      <c r="M138" s="844" t="s">
        <v>23</v>
      </c>
      <c r="N138" s="169"/>
      <c r="O138" s="118"/>
      <c r="P138" s="134"/>
      <c r="Q138" s="134"/>
      <c r="R138" s="134"/>
      <c r="S138" s="134"/>
      <c r="T138" s="134"/>
      <c r="U138" s="134"/>
      <c r="V138" s="134"/>
      <c r="W138" s="134"/>
    </row>
    <row r="139" spans="1:23" s="73" customFormat="1" x14ac:dyDescent="0.2">
      <c r="A139" s="546" t="s">
        <v>218</v>
      </c>
      <c r="B139" s="546" t="s">
        <v>11</v>
      </c>
      <c r="C139" s="546" t="s">
        <v>12</v>
      </c>
      <c r="D139" s="546" t="s">
        <v>219</v>
      </c>
      <c r="E139" s="840"/>
      <c r="F139" s="840"/>
      <c r="G139" s="840"/>
      <c r="H139" s="840"/>
      <c r="I139" s="840"/>
      <c r="J139" s="840"/>
      <c r="K139" s="840"/>
      <c r="L139" s="844"/>
      <c r="M139" s="844"/>
      <c r="N139" s="169"/>
      <c r="O139" s="118"/>
      <c r="P139" s="134"/>
      <c r="Q139" s="134"/>
      <c r="R139" s="134"/>
      <c r="S139" s="134"/>
      <c r="T139" s="134"/>
      <c r="U139" s="134"/>
      <c r="V139" s="134"/>
      <c r="W139" s="134"/>
    </row>
    <row r="140" spans="1:23" s="136" customFormat="1" x14ac:dyDescent="0.2">
      <c r="A140" s="372"/>
      <c r="B140" s="547"/>
      <c r="C140" s="547"/>
      <c r="D140" s="547"/>
      <c r="E140" s="547"/>
      <c r="F140" s="368"/>
      <c r="G140" s="368"/>
      <c r="H140" s="368"/>
      <c r="I140" s="368"/>
      <c r="J140" s="369"/>
      <c r="K140" s="370"/>
      <c r="L140" s="548"/>
      <c r="M140" s="548"/>
      <c r="N140" s="192"/>
      <c r="O140" s="159"/>
      <c r="P140" s="160"/>
      <c r="Q140" s="160"/>
      <c r="R140" s="160"/>
      <c r="S140" s="160"/>
      <c r="T140" s="160"/>
      <c r="U140" s="160"/>
      <c r="V140" s="160"/>
      <c r="W140" s="160"/>
    </row>
    <row r="141" spans="1:23" s="136" customFormat="1" x14ac:dyDescent="0.2">
      <c r="A141" s="372"/>
      <c r="B141" s="547"/>
      <c r="C141" s="547"/>
      <c r="D141" s="547"/>
      <c r="E141" s="547"/>
      <c r="F141" s="368"/>
      <c r="G141" s="368"/>
      <c r="H141" s="368"/>
      <c r="I141" s="368"/>
      <c r="J141" s="369"/>
      <c r="K141" s="370"/>
      <c r="L141" s="548"/>
      <c r="M141" s="548"/>
      <c r="N141" s="192"/>
      <c r="O141" s="159"/>
      <c r="P141" s="160"/>
      <c r="Q141" s="160"/>
      <c r="R141" s="160"/>
      <c r="S141" s="160"/>
      <c r="T141" s="160"/>
      <c r="U141" s="160"/>
      <c r="V141" s="160"/>
      <c r="W141" s="160"/>
    </row>
    <row r="142" spans="1:23" s="136" customFormat="1" x14ac:dyDescent="0.2">
      <c r="A142" s="372"/>
      <c r="B142" s="547"/>
      <c r="C142" s="547"/>
      <c r="D142" s="547"/>
      <c r="E142" s="547"/>
      <c r="F142" s="368"/>
      <c r="G142" s="368"/>
      <c r="H142" s="368"/>
      <c r="I142" s="368"/>
      <c r="J142" s="369"/>
      <c r="K142" s="370"/>
      <c r="L142" s="548"/>
      <c r="M142" s="548"/>
      <c r="N142" s="192"/>
      <c r="O142" s="159"/>
      <c r="P142" s="160"/>
      <c r="Q142" s="160"/>
      <c r="R142" s="160"/>
      <c r="S142" s="160"/>
      <c r="T142" s="160"/>
      <c r="U142" s="160"/>
      <c r="V142" s="160"/>
      <c r="W142" s="160"/>
    </row>
    <row r="143" spans="1:23" s="136" customFormat="1" x14ac:dyDescent="0.2">
      <c r="A143" s="372"/>
      <c r="B143" s="547"/>
      <c r="C143" s="547"/>
      <c r="D143" s="547"/>
      <c r="E143" s="547"/>
      <c r="F143" s="368"/>
      <c r="G143" s="368"/>
      <c r="H143" s="368"/>
      <c r="I143" s="368"/>
      <c r="J143" s="369"/>
      <c r="K143" s="370"/>
      <c r="L143" s="373"/>
      <c r="M143" s="373"/>
      <c r="N143" s="191"/>
      <c r="O143" s="159"/>
      <c r="P143" s="160"/>
      <c r="Q143" s="160"/>
      <c r="R143" s="160"/>
      <c r="S143" s="160"/>
      <c r="T143" s="160"/>
      <c r="U143" s="160"/>
      <c r="V143" s="160"/>
      <c r="W143" s="160"/>
    </row>
    <row r="144" spans="1:23" s="73" customFormat="1" x14ac:dyDescent="0.2">
      <c r="A144" s="456"/>
      <c r="B144" s="549"/>
      <c r="C144" s="549"/>
      <c r="D144" s="549"/>
      <c r="E144" s="549"/>
      <c r="F144" s="194"/>
      <c r="G144" s="522"/>
      <c r="H144" s="195"/>
      <c r="I144" s="195"/>
      <c r="J144" s="176"/>
      <c r="K144" s="118"/>
      <c r="L144" s="134"/>
      <c r="M144" s="134"/>
      <c r="N144" s="134"/>
      <c r="O144" s="134"/>
      <c r="P144" s="134"/>
      <c r="Q144" s="134"/>
    </row>
    <row r="145" spans="1:21" s="456" customFormat="1" ht="16.5" thickBot="1" x14ac:dyDescent="0.25">
      <c r="A145" s="196"/>
      <c r="B145" s="197"/>
      <c r="C145" s="198"/>
      <c r="D145" s="198"/>
      <c r="E145" s="169"/>
      <c r="F145" s="176"/>
      <c r="G145" s="176"/>
      <c r="H145" s="176"/>
      <c r="I145" s="176"/>
      <c r="J145" s="170"/>
      <c r="K145" s="118"/>
      <c r="L145" s="134"/>
      <c r="M145" s="134"/>
      <c r="N145" s="134"/>
      <c r="O145" s="134"/>
      <c r="P145" s="134"/>
      <c r="Q145" s="134"/>
      <c r="R145" s="134"/>
      <c r="S145" s="118"/>
      <c r="T145" s="118"/>
      <c r="U145" s="118"/>
    </row>
    <row r="146" spans="1:21" s="456" customFormat="1" ht="16.5" thickBot="1" x14ac:dyDescent="0.25">
      <c r="A146" s="822" t="s">
        <v>220</v>
      </c>
      <c r="B146" s="823"/>
      <c r="C146" s="823"/>
      <c r="D146" s="823"/>
      <c r="E146" s="824"/>
      <c r="F146" s="176"/>
      <c r="G146" s="176"/>
      <c r="H146" s="176"/>
      <c r="I146" s="176"/>
      <c r="J146" s="170"/>
      <c r="K146" s="118"/>
      <c r="L146" s="134"/>
      <c r="M146" s="134"/>
      <c r="N146" s="134"/>
      <c r="O146" s="134"/>
      <c r="P146" s="134"/>
      <c r="Q146" s="134"/>
      <c r="R146" s="134"/>
      <c r="S146" s="118"/>
      <c r="T146" s="118"/>
      <c r="U146" s="118"/>
    </row>
    <row r="147" spans="1:21" s="73" customFormat="1" ht="16.5" thickBot="1" x14ac:dyDescent="0.25">
      <c r="A147" s="550"/>
      <c r="B147" s="456"/>
      <c r="C147" s="456"/>
      <c r="D147" s="456"/>
      <c r="E147" s="456"/>
      <c r="F147" s="194"/>
      <c r="G147" s="456"/>
      <c r="H147" s="200"/>
      <c r="I147" s="194"/>
      <c r="J147" s="194"/>
      <c r="K147" s="118"/>
      <c r="L147" s="134"/>
      <c r="M147" s="134"/>
      <c r="N147" s="134"/>
      <c r="O147" s="134"/>
      <c r="P147" s="134"/>
      <c r="Q147" s="134"/>
      <c r="R147" s="134"/>
      <c r="S147" s="118"/>
      <c r="T147" s="118"/>
      <c r="U147" s="118"/>
    </row>
    <row r="148" spans="1:21" s="73" customFormat="1" ht="16.5" thickBot="1" x14ac:dyDescent="0.25">
      <c r="A148" s="825" t="s">
        <v>221</v>
      </c>
      <c r="B148" s="838"/>
      <c r="C148" s="838"/>
      <c r="D148" s="838"/>
      <c r="E148" s="838"/>
      <c r="F148" s="839"/>
      <c r="G148" s="456"/>
      <c r="H148" s="200"/>
      <c r="I148" s="194"/>
      <c r="J148" s="194"/>
      <c r="K148" s="118"/>
      <c r="L148" s="134"/>
      <c r="M148" s="134"/>
      <c r="N148" s="134"/>
      <c r="O148" s="134"/>
      <c r="P148" s="134"/>
      <c r="Q148" s="134"/>
      <c r="R148" s="134"/>
      <c r="S148" s="118"/>
      <c r="T148" s="118"/>
      <c r="U148" s="118"/>
    </row>
    <row r="149" spans="1:21" s="73" customFormat="1" ht="16.5" customHeight="1" x14ac:dyDescent="0.2">
      <c r="A149" s="835" t="s">
        <v>222</v>
      </c>
      <c r="B149" s="836"/>
      <c r="C149" s="836"/>
      <c r="D149" s="836"/>
      <c r="E149" s="836"/>
      <c r="F149" s="837"/>
      <c r="G149" s="456"/>
      <c r="H149" s="201"/>
      <c r="I149" s="170"/>
      <c r="J149" s="170"/>
      <c r="K149" s="118"/>
      <c r="L149" s="134"/>
      <c r="M149" s="134"/>
      <c r="N149" s="134"/>
      <c r="O149" s="134"/>
      <c r="P149" s="134"/>
      <c r="Q149" s="134"/>
      <c r="R149" s="134"/>
      <c r="S149" s="118"/>
      <c r="T149" s="118"/>
      <c r="U149" s="118"/>
    </row>
    <row r="150" spans="1:21" ht="16.5" thickBot="1" x14ac:dyDescent="0.25">
      <c r="A150" s="832" t="s">
        <v>223</v>
      </c>
      <c r="B150" s="833"/>
      <c r="C150" s="833"/>
      <c r="D150" s="833"/>
      <c r="E150" s="833"/>
      <c r="F150" s="834"/>
      <c r="G150" s="176"/>
      <c r="H150" s="176"/>
      <c r="I150" s="176"/>
      <c r="J150" s="169"/>
      <c r="K150" s="169"/>
      <c r="L150" s="169"/>
      <c r="M150" s="169"/>
      <c r="N150" s="169"/>
      <c r="O150" s="169"/>
      <c r="P150" s="169"/>
      <c r="Q150" s="169"/>
      <c r="R150" s="169"/>
      <c r="S150" s="169"/>
      <c r="T150" s="169"/>
      <c r="U150" s="169"/>
    </row>
    <row r="151" spans="1:21" x14ac:dyDescent="0.2">
      <c r="A151" s="551" t="s">
        <v>224</v>
      </c>
      <c r="B151" s="450" t="s">
        <v>225</v>
      </c>
      <c r="C151" s="552" t="s">
        <v>226</v>
      </c>
      <c r="D151" s="553" t="s">
        <v>227</v>
      </c>
      <c r="E151" s="176"/>
      <c r="F151" s="176"/>
      <c r="G151" s="176"/>
      <c r="H151" s="169"/>
      <c r="I151" s="169"/>
      <c r="J151" s="169"/>
      <c r="K151" s="169"/>
      <c r="L151" s="169"/>
      <c r="M151" s="169"/>
      <c r="N151" s="169"/>
      <c r="O151" s="169"/>
      <c r="P151" s="169"/>
      <c r="Q151" s="169"/>
      <c r="R151" s="169"/>
    </row>
    <row r="152" spans="1:21" s="192" customFormat="1" x14ac:dyDescent="0.2">
      <c r="A152" s="203"/>
      <c r="B152" s="204"/>
      <c r="C152" s="205"/>
      <c r="D152" s="206"/>
      <c r="E152" s="191"/>
      <c r="F152" s="191"/>
      <c r="G152" s="191"/>
    </row>
    <row r="153" spans="1:21" s="192" customFormat="1" x14ac:dyDescent="0.2">
      <c r="A153" s="203"/>
      <c r="B153" s="204"/>
      <c r="C153" s="205"/>
      <c r="D153" s="206"/>
      <c r="E153" s="191"/>
      <c r="F153" s="191"/>
      <c r="G153" s="191"/>
    </row>
    <row r="154" spans="1:21" s="192" customFormat="1" ht="16.5" thickBot="1" x14ac:dyDescent="0.25">
      <c r="A154" s="207"/>
      <c r="B154" s="208"/>
      <c r="C154" s="209"/>
      <c r="D154" s="210"/>
      <c r="E154" s="191"/>
      <c r="F154" s="191"/>
      <c r="G154" s="191"/>
    </row>
    <row r="155" spans="1:21" ht="16.5" thickBot="1" x14ac:dyDescent="0.25"/>
    <row r="156" spans="1:21" s="73" customFormat="1" ht="16.5" thickBot="1" x14ac:dyDescent="0.25">
      <c r="A156" s="822" t="s">
        <v>228</v>
      </c>
      <c r="B156" s="823"/>
      <c r="C156" s="823"/>
      <c r="D156" s="823"/>
      <c r="E156" s="823"/>
      <c r="F156" s="823"/>
      <c r="G156" s="823"/>
      <c r="H156" s="823"/>
      <c r="I156" s="824"/>
      <c r="J156" s="169"/>
      <c r="K156" s="118"/>
      <c r="L156" s="134"/>
      <c r="M156" s="134"/>
      <c r="N156" s="134"/>
      <c r="O156" s="134"/>
      <c r="P156" s="134"/>
      <c r="Q156" s="134"/>
      <c r="R156" s="134"/>
      <c r="S156" s="118"/>
      <c r="T156" s="118"/>
      <c r="U156" s="118"/>
    </row>
    <row r="157" spans="1:21" s="73" customFormat="1" ht="16.5" thickBot="1" x14ac:dyDescent="0.25">
      <c r="A157" s="554" t="s">
        <v>229</v>
      </c>
      <c r="B157" s="213"/>
      <c r="C157" s="214"/>
      <c r="D157" s="214"/>
      <c r="E157" s="214"/>
      <c r="F157" s="214"/>
      <c r="G157" s="215"/>
      <c r="H157" s="216"/>
      <c r="I157" s="217"/>
      <c r="J157" s="170"/>
      <c r="K157" s="118"/>
      <c r="L157" s="134"/>
      <c r="M157" s="134"/>
      <c r="N157" s="134"/>
      <c r="O157" s="134"/>
      <c r="P157" s="134"/>
      <c r="Q157" s="134"/>
      <c r="R157" s="134"/>
      <c r="S157" s="118"/>
      <c r="T157" s="118"/>
      <c r="U157" s="118"/>
    </row>
    <row r="158" spans="1:21" s="308" customFormat="1" ht="167.25" customHeight="1" x14ac:dyDescent="0.2">
      <c r="A158" s="228" t="s">
        <v>504</v>
      </c>
      <c r="B158" s="827" t="s">
        <v>1063</v>
      </c>
      <c r="C158" s="828"/>
      <c r="D158" s="828"/>
      <c r="E158" s="828"/>
      <c r="F158" s="828"/>
      <c r="G158" s="828"/>
      <c r="H158" s="828"/>
      <c r="I158" s="829"/>
      <c r="J158" s="171"/>
      <c r="K158" s="172"/>
      <c r="L158" s="173"/>
      <c r="M158" s="173"/>
      <c r="N158" s="173"/>
      <c r="O158" s="173"/>
      <c r="P158" s="173"/>
      <c r="Q158" s="173"/>
      <c r="R158" s="173"/>
      <c r="S158" s="172"/>
      <c r="T158" s="172"/>
      <c r="U158" s="172"/>
    </row>
    <row r="159" spans="1:21" s="218" customFormat="1" x14ac:dyDescent="0.2">
      <c r="A159" s="281"/>
      <c r="B159" s="816"/>
      <c r="C159" s="817"/>
      <c r="D159" s="817"/>
      <c r="E159" s="817"/>
      <c r="F159" s="817"/>
      <c r="G159" s="817"/>
      <c r="H159" s="817"/>
      <c r="I159" s="818"/>
    </row>
    <row r="160" spans="1:21" s="218" customFormat="1" x14ac:dyDescent="0.2">
      <c r="A160" s="281"/>
      <c r="B160" s="816"/>
      <c r="C160" s="817"/>
      <c r="D160" s="817"/>
      <c r="E160" s="817"/>
      <c r="F160" s="817"/>
      <c r="G160" s="817"/>
      <c r="H160" s="817"/>
      <c r="I160" s="818"/>
    </row>
    <row r="161" spans="1:9" s="218" customFormat="1" x14ac:dyDescent="0.2">
      <c r="A161" s="281"/>
      <c r="B161" s="816"/>
      <c r="C161" s="817"/>
      <c r="D161" s="817"/>
      <c r="E161" s="817"/>
      <c r="F161" s="817"/>
      <c r="G161" s="817"/>
      <c r="H161" s="817"/>
      <c r="I161" s="818"/>
    </row>
    <row r="162" spans="1:9" s="218" customFormat="1" x14ac:dyDescent="0.2">
      <c r="A162" s="281"/>
      <c r="B162" s="816"/>
      <c r="C162" s="817"/>
      <c r="D162" s="817"/>
      <c r="E162" s="817"/>
      <c r="F162" s="817"/>
      <c r="G162" s="817"/>
      <c r="H162" s="817"/>
      <c r="I162" s="818"/>
    </row>
    <row r="163" spans="1:9" s="218" customFormat="1" x14ac:dyDescent="0.2">
      <c r="A163" s="281"/>
      <c r="B163" s="816"/>
      <c r="C163" s="817"/>
      <c r="D163" s="817"/>
      <c r="E163" s="817"/>
      <c r="F163" s="817"/>
      <c r="G163" s="817"/>
      <c r="H163" s="817"/>
      <c r="I163" s="818"/>
    </row>
    <row r="164" spans="1:9" s="218" customFormat="1" x14ac:dyDescent="0.2">
      <c r="A164" s="281"/>
      <c r="B164" s="816"/>
      <c r="C164" s="817"/>
      <c r="D164" s="817"/>
      <c r="E164" s="817"/>
      <c r="F164" s="817"/>
      <c r="G164" s="817"/>
      <c r="H164" s="817"/>
      <c r="I164" s="818"/>
    </row>
    <row r="165" spans="1:9" s="218" customFormat="1" x14ac:dyDescent="0.2">
      <c r="A165" s="281"/>
      <c r="B165" s="816"/>
      <c r="C165" s="817"/>
      <c r="D165" s="817"/>
      <c r="E165" s="817"/>
      <c r="F165" s="817"/>
      <c r="G165" s="817"/>
      <c r="H165" s="817"/>
      <c r="I165" s="818"/>
    </row>
    <row r="166" spans="1:9" s="218" customFormat="1" x14ac:dyDescent="0.2">
      <c r="A166" s="281"/>
      <c r="B166" s="816"/>
      <c r="C166" s="817"/>
      <c r="D166" s="817"/>
      <c r="E166" s="817"/>
      <c r="F166" s="817"/>
      <c r="G166" s="817"/>
      <c r="H166" s="817"/>
      <c r="I166" s="818"/>
    </row>
    <row r="167" spans="1:9" s="218" customFormat="1" x14ac:dyDescent="0.2">
      <c r="A167" s="281"/>
      <c r="B167" s="816"/>
      <c r="C167" s="817"/>
      <c r="D167" s="817"/>
      <c r="E167" s="817"/>
      <c r="F167" s="817"/>
      <c r="G167" s="817"/>
      <c r="H167" s="817"/>
      <c r="I167" s="818"/>
    </row>
    <row r="168" spans="1:9" s="218" customFormat="1" x14ac:dyDescent="0.2">
      <c r="A168" s="281"/>
      <c r="B168" s="816"/>
      <c r="C168" s="817"/>
      <c r="D168" s="817"/>
      <c r="E168" s="817"/>
      <c r="F168" s="817"/>
      <c r="G168" s="817"/>
      <c r="H168" s="817"/>
      <c r="I168" s="818"/>
    </row>
    <row r="169" spans="1:9" s="218" customFormat="1" x14ac:dyDescent="0.2">
      <c r="A169" s="281"/>
      <c r="B169" s="816"/>
      <c r="C169" s="817"/>
      <c r="D169" s="817"/>
      <c r="E169" s="817"/>
      <c r="F169" s="817"/>
      <c r="G169" s="817"/>
      <c r="H169" s="817"/>
      <c r="I169" s="818"/>
    </row>
    <row r="170" spans="1:9" s="218" customFormat="1" x14ac:dyDescent="0.2">
      <c r="A170" s="281"/>
      <c r="B170" s="816"/>
      <c r="C170" s="817"/>
      <c r="D170" s="817"/>
      <c r="E170" s="817"/>
      <c r="F170" s="817"/>
      <c r="G170" s="817"/>
      <c r="H170" s="817"/>
      <c r="I170" s="818"/>
    </row>
    <row r="171" spans="1:9" s="218" customFormat="1" x14ac:dyDescent="0.2">
      <c r="A171" s="281"/>
      <c r="B171" s="816"/>
      <c r="C171" s="817"/>
      <c r="D171" s="817"/>
      <c r="E171" s="817"/>
      <c r="F171" s="817"/>
      <c r="G171" s="817"/>
      <c r="H171" s="817"/>
      <c r="I171" s="818"/>
    </row>
    <row r="172" spans="1:9" s="218" customFormat="1" ht="16.5" thickBot="1" x14ac:dyDescent="0.25">
      <c r="A172" s="282"/>
      <c r="B172" s="819"/>
      <c r="C172" s="820"/>
      <c r="D172" s="820"/>
      <c r="E172" s="820"/>
      <c r="F172" s="820"/>
      <c r="G172" s="820"/>
      <c r="H172" s="820"/>
      <c r="I172" s="821"/>
    </row>
    <row r="174" spans="1:9" s="218" customFormat="1" x14ac:dyDescent="0.2">
      <c r="F174" s="337"/>
      <c r="G174" s="337"/>
      <c r="H174" s="337"/>
      <c r="I174" s="337"/>
    </row>
    <row r="175" spans="1:9" s="218" customFormat="1" ht="16.5" thickBot="1" x14ac:dyDescent="0.25">
      <c r="F175" s="337"/>
      <c r="G175" s="337"/>
      <c r="H175" s="337"/>
      <c r="I175" s="337"/>
    </row>
    <row r="176" spans="1:9" s="218" customFormat="1" ht="16.5" thickBot="1" x14ac:dyDescent="0.25">
      <c r="A176" s="825" t="s">
        <v>3</v>
      </c>
      <c r="B176" s="826"/>
      <c r="F176" s="337"/>
      <c r="G176" s="337"/>
      <c r="H176" s="337"/>
      <c r="I176" s="337"/>
    </row>
    <row r="177" spans="1:14" s="347" customFormat="1" ht="16.5" thickBot="1" x14ac:dyDescent="0.25">
      <c r="A177" s="338"/>
      <c r="B177" s="338"/>
      <c r="F177" s="348"/>
      <c r="G177" s="348"/>
      <c r="H177" s="348"/>
      <c r="I177" s="348"/>
    </row>
    <row r="178" spans="1:14" s="218" customFormat="1" ht="15.75" customHeight="1" thickBot="1" x14ac:dyDescent="0.25">
      <c r="A178" s="800" t="s">
        <v>2</v>
      </c>
      <c r="B178" s="801"/>
      <c r="C178" s="801"/>
      <c r="D178" s="801"/>
      <c r="E178" s="801"/>
      <c r="F178" s="801"/>
      <c r="G178" s="802"/>
      <c r="H178" s="337"/>
      <c r="I178" s="337"/>
    </row>
    <row r="179" spans="1:14" s="347" customFormat="1" ht="15.75" customHeight="1" thickBot="1" x14ac:dyDescent="0.25">
      <c r="A179" s="338"/>
      <c r="B179" s="338"/>
      <c r="C179" s="338"/>
      <c r="D179" s="338"/>
      <c r="E179" s="338"/>
      <c r="F179" s="338"/>
      <c r="G179" s="338"/>
      <c r="H179" s="348"/>
      <c r="I179" s="348"/>
    </row>
    <row r="180" spans="1:14" s="218" customFormat="1" ht="15.75" customHeight="1" thickBot="1" x14ac:dyDescent="0.25">
      <c r="A180" s="807" t="s">
        <v>1</v>
      </c>
      <c r="B180" s="808"/>
      <c r="C180" s="808"/>
      <c r="D180" s="808"/>
      <c r="E180" s="809"/>
      <c r="F180" s="339"/>
      <c r="G180" s="339"/>
      <c r="H180" s="337"/>
      <c r="I180" s="337"/>
    </row>
    <row r="181" spans="1:14" s="218" customFormat="1" x14ac:dyDescent="0.2">
      <c r="A181" s="803" t="s">
        <v>627</v>
      </c>
      <c r="B181" s="805" t="s">
        <v>888</v>
      </c>
      <c r="C181" s="786" t="s">
        <v>0</v>
      </c>
      <c r="D181" s="786" t="s">
        <v>609</v>
      </c>
      <c r="E181" s="805" t="s">
        <v>889</v>
      </c>
      <c r="F181" s="786" t="s">
        <v>436</v>
      </c>
      <c r="G181" s="786" t="s">
        <v>421</v>
      </c>
      <c r="H181" s="786" t="s">
        <v>628</v>
      </c>
      <c r="I181" s="786" t="s">
        <v>11</v>
      </c>
      <c r="J181" s="786" t="s">
        <v>12</v>
      </c>
      <c r="K181" s="786" t="s">
        <v>13</v>
      </c>
      <c r="L181" s="786" t="s">
        <v>449</v>
      </c>
      <c r="M181" s="786" t="s">
        <v>610</v>
      </c>
      <c r="N181" s="788"/>
    </row>
    <row r="182" spans="1:14" s="218" customFormat="1" ht="32.25" customHeight="1" thickBot="1" x14ac:dyDescent="0.25">
      <c r="A182" s="804"/>
      <c r="B182" s="806"/>
      <c r="C182" s="787"/>
      <c r="D182" s="787"/>
      <c r="E182" s="806"/>
      <c r="F182" s="787"/>
      <c r="G182" s="787"/>
      <c r="H182" s="787"/>
      <c r="I182" s="787"/>
      <c r="J182" s="787"/>
      <c r="K182" s="787"/>
      <c r="L182" s="787"/>
      <c r="M182" s="787"/>
      <c r="N182" s="789"/>
    </row>
    <row r="183" spans="1:14" s="218" customFormat="1" x14ac:dyDescent="0.2">
      <c r="A183" s="344"/>
      <c r="B183" s="340"/>
      <c r="C183" s="394"/>
      <c r="D183" s="340"/>
      <c r="E183" s="340"/>
      <c r="F183" s="340"/>
      <c r="G183" s="340"/>
      <c r="H183" s="340"/>
      <c r="I183" s="340"/>
      <c r="J183" s="340"/>
      <c r="K183" s="340"/>
      <c r="L183" s="661"/>
      <c r="M183" s="810"/>
      <c r="N183" s="811"/>
    </row>
    <row r="184" spans="1:14" s="218" customFormat="1" x14ac:dyDescent="0.2">
      <c r="A184" s="345"/>
      <c r="B184" s="341"/>
      <c r="C184" s="392"/>
      <c r="D184" s="341"/>
      <c r="E184" s="341"/>
      <c r="F184" s="341"/>
      <c r="G184" s="341"/>
      <c r="H184" s="341"/>
      <c r="I184" s="341"/>
      <c r="J184" s="341"/>
      <c r="K184" s="341"/>
      <c r="L184" s="662"/>
      <c r="M184" s="790"/>
      <c r="N184" s="791"/>
    </row>
    <row r="185" spans="1:14" s="218" customFormat="1" x14ac:dyDescent="0.2">
      <c r="A185" s="345"/>
      <c r="B185" s="341"/>
      <c r="C185" s="392"/>
      <c r="D185" s="341"/>
      <c r="E185" s="341"/>
      <c r="F185" s="341"/>
      <c r="G185" s="341"/>
      <c r="H185" s="341"/>
      <c r="I185" s="341"/>
      <c r="J185" s="341"/>
      <c r="K185" s="341"/>
      <c r="L185" s="662"/>
      <c r="M185" s="790"/>
      <c r="N185" s="791"/>
    </row>
    <row r="186" spans="1:14" s="218" customFormat="1" x14ac:dyDescent="0.2">
      <c r="A186" s="345"/>
      <c r="B186" s="341"/>
      <c r="C186" s="392"/>
      <c r="D186" s="341"/>
      <c r="E186" s="341"/>
      <c r="F186" s="341"/>
      <c r="G186" s="341"/>
      <c r="H186" s="341"/>
      <c r="I186" s="341"/>
      <c r="J186" s="341"/>
      <c r="K186" s="341"/>
      <c r="L186" s="662"/>
      <c r="M186" s="790"/>
      <c r="N186" s="791"/>
    </row>
    <row r="187" spans="1:14" s="218" customFormat="1" x14ac:dyDescent="0.2">
      <c r="A187" s="345"/>
      <c r="B187" s="341"/>
      <c r="C187" s="392"/>
      <c r="D187" s="341"/>
      <c r="E187" s="341"/>
      <c r="F187" s="341"/>
      <c r="G187" s="341"/>
      <c r="H187" s="341"/>
      <c r="I187" s="341"/>
      <c r="J187" s="341"/>
      <c r="K187" s="341"/>
      <c r="L187" s="662"/>
      <c r="M187" s="790"/>
      <c r="N187" s="791"/>
    </row>
    <row r="188" spans="1:14" s="218" customFormat="1" ht="16.5" thickBot="1" x14ac:dyDescent="0.25">
      <c r="A188" s="346"/>
      <c r="B188" s="342"/>
      <c r="C188" s="336"/>
      <c r="D188" s="342"/>
      <c r="E188" s="342"/>
      <c r="F188" s="342"/>
      <c r="G188" s="342"/>
      <c r="H188" s="342"/>
      <c r="I188" s="342"/>
      <c r="J188" s="342"/>
      <c r="K188" s="342"/>
      <c r="L188" s="663"/>
      <c r="M188" s="794"/>
      <c r="N188" s="795"/>
    </row>
    <row r="189" spans="1:14" s="218" customFormat="1" x14ac:dyDescent="0.2">
      <c r="F189" s="337"/>
      <c r="G189" s="337"/>
      <c r="H189" s="337"/>
      <c r="I189" s="337"/>
    </row>
    <row r="190" spans="1:14" s="218" customFormat="1" ht="16.5" thickBot="1" x14ac:dyDescent="0.25">
      <c r="F190" s="337"/>
      <c r="G190" s="337"/>
      <c r="H190" s="337"/>
      <c r="I190" s="337"/>
    </row>
    <row r="191" spans="1:14" s="218" customFormat="1" ht="16.5" thickBot="1" x14ac:dyDescent="0.25">
      <c r="A191" s="800" t="s">
        <v>790</v>
      </c>
      <c r="B191" s="801"/>
      <c r="C191" s="801"/>
      <c r="D191" s="801"/>
      <c r="E191" s="801"/>
      <c r="F191" s="801"/>
      <c r="G191" s="802"/>
      <c r="H191" s="337"/>
      <c r="I191" s="337"/>
    </row>
    <row r="192" spans="1:14" s="192" customFormat="1" ht="16.5" thickBot="1" x14ac:dyDescent="0.25">
      <c r="F192" s="191"/>
      <c r="G192" s="191"/>
      <c r="H192" s="191"/>
      <c r="I192" s="191"/>
    </row>
    <row r="193" spans="1:31" s="218" customFormat="1" ht="16.5" thickBot="1" x14ac:dyDescent="0.25">
      <c r="A193" s="807" t="s">
        <v>1</v>
      </c>
      <c r="B193" s="808"/>
      <c r="C193" s="808"/>
      <c r="D193" s="808"/>
      <c r="E193" s="808"/>
      <c r="F193" s="808"/>
      <c r="G193" s="808"/>
      <c r="H193" s="809"/>
      <c r="I193" s="337"/>
    </row>
    <row r="194" spans="1:31" s="218" customFormat="1" ht="36.75" customHeight="1" thickBot="1" x14ac:dyDescent="0.25">
      <c r="A194" s="803" t="s">
        <v>627</v>
      </c>
      <c r="B194" s="805" t="s">
        <v>888</v>
      </c>
      <c r="C194" s="786" t="s">
        <v>0</v>
      </c>
      <c r="D194" s="786" t="s">
        <v>609</v>
      </c>
      <c r="E194" s="805" t="s">
        <v>889</v>
      </c>
      <c r="F194" s="971" t="s">
        <v>42</v>
      </c>
      <c r="G194" s="1165" t="s">
        <v>789</v>
      </c>
      <c r="H194" s="1163"/>
      <c r="I194" s="1163"/>
      <c r="J194" s="1163"/>
      <c r="K194" s="1163"/>
      <c r="L194" s="1163"/>
      <c r="M194" s="1163"/>
      <c r="N194" s="1163"/>
      <c r="O194" s="1163"/>
      <c r="P194" s="1163"/>
      <c r="Q194" s="1163"/>
      <c r="R194" s="1163"/>
      <c r="S194" s="1163"/>
      <c r="T194" s="1163"/>
      <c r="U194" s="1163"/>
      <c r="V194" s="1164"/>
      <c r="W194" s="930" t="s">
        <v>436</v>
      </c>
      <c r="X194" s="786" t="s">
        <v>421</v>
      </c>
      <c r="Y194" s="786" t="s">
        <v>628</v>
      </c>
      <c r="Z194" s="786" t="s">
        <v>11</v>
      </c>
      <c r="AA194" s="786" t="s">
        <v>12</v>
      </c>
      <c r="AB194" s="786" t="s">
        <v>13</v>
      </c>
      <c r="AC194" s="786" t="s">
        <v>449</v>
      </c>
      <c r="AD194" s="971" t="s">
        <v>610</v>
      </c>
      <c r="AE194" s="1161"/>
    </row>
    <row r="195" spans="1:31" s="218" customFormat="1" ht="45.75" customHeight="1" thickBot="1" x14ac:dyDescent="0.25">
      <c r="A195" s="804"/>
      <c r="B195" s="806"/>
      <c r="C195" s="787"/>
      <c r="D195" s="787"/>
      <c r="E195" s="806"/>
      <c r="F195" s="787"/>
      <c r="G195" s="1166" t="s">
        <v>432</v>
      </c>
      <c r="H195" s="1166" t="s">
        <v>1380</v>
      </c>
      <c r="I195" s="1166" t="s">
        <v>1381</v>
      </c>
      <c r="J195" s="1166" t="s">
        <v>1382</v>
      </c>
      <c r="K195" s="1166" t="s">
        <v>433</v>
      </c>
      <c r="L195" s="1166" t="s">
        <v>1383</v>
      </c>
      <c r="M195" s="1167" t="s">
        <v>1386</v>
      </c>
      <c r="N195" s="1167" t="s">
        <v>1387</v>
      </c>
      <c r="O195" s="1166" t="s">
        <v>434</v>
      </c>
      <c r="P195" s="1166" t="s">
        <v>1384</v>
      </c>
      <c r="Q195" s="1168" t="s">
        <v>1388</v>
      </c>
      <c r="R195" s="1168" t="s">
        <v>1389</v>
      </c>
      <c r="S195" s="1166" t="s">
        <v>435</v>
      </c>
      <c r="T195" s="1166" t="s">
        <v>1385</v>
      </c>
      <c r="U195" s="1182" t="s">
        <v>1390</v>
      </c>
      <c r="V195" s="1182" t="s">
        <v>1391</v>
      </c>
      <c r="W195" s="959"/>
      <c r="X195" s="787"/>
      <c r="Y195" s="787"/>
      <c r="Z195" s="787"/>
      <c r="AA195" s="787"/>
      <c r="AB195" s="787"/>
      <c r="AC195" s="787"/>
      <c r="AD195" s="972"/>
      <c r="AE195" s="1162"/>
    </row>
    <row r="196" spans="1:31" s="218" customFormat="1" x14ac:dyDescent="0.2">
      <c r="A196" s="344"/>
      <c r="B196" s="340"/>
      <c r="C196" s="394"/>
      <c r="D196" s="340"/>
      <c r="E196" s="340"/>
      <c r="F196" s="362"/>
      <c r="G196" s="340"/>
      <c r="H196" s="340"/>
      <c r="I196" s="340"/>
      <c r="J196" s="340"/>
      <c r="K196" s="340"/>
      <c r="L196" s="340"/>
      <c r="M196" s="340"/>
      <c r="N196" s="340"/>
      <c r="O196" s="340"/>
      <c r="P196" s="340"/>
      <c r="Q196" s="340"/>
      <c r="R196" s="340"/>
      <c r="S196" s="340"/>
      <c r="T196" s="340"/>
      <c r="U196" s="340"/>
      <c r="V196" s="340"/>
      <c r="W196" s="340"/>
      <c r="X196" s="340"/>
      <c r="Y196" s="340"/>
      <c r="Z196" s="340"/>
      <c r="AA196" s="340"/>
      <c r="AB196" s="340"/>
      <c r="AC196" s="661"/>
      <c r="AD196" s="796"/>
      <c r="AE196" s="797"/>
    </row>
    <row r="197" spans="1:31" s="218" customFormat="1" x14ac:dyDescent="0.2">
      <c r="A197" s="345"/>
      <c r="B197" s="341"/>
      <c r="C197" s="392"/>
      <c r="D197" s="341"/>
      <c r="E197" s="341"/>
      <c r="F197" s="363"/>
      <c r="G197" s="341"/>
      <c r="H197" s="341"/>
      <c r="I197" s="341"/>
      <c r="J197" s="341"/>
      <c r="K197" s="341"/>
      <c r="L197" s="341"/>
      <c r="M197" s="341"/>
      <c r="N197" s="341"/>
      <c r="O197" s="341"/>
      <c r="P197" s="341"/>
      <c r="Q197" s="341"/>
      <c r="R197" s="341"/>
      <c r="S197" s="341"/>
      <c r="T197" s="341"/>
      <c r="U197" s="341"/>
      <c r="V197" s="341"/>
      <c r="W197" s="341"/>
      <c r="X197" s="341"/>
      <c r="Y197" s="341"/>
      <c r="Z197" s="341"/>
      <c r="AA197" s="341"/>
      <c r="AB197" s="341"/>
      <c r="AC197" s="662"/>
      <c r="AD197" s="798"/>
      <c r="AE197" s="799"/>
    </row>
    <row r="198" spans="1:31" s="218" customFormat="1" x14ac:dyDescent="0.2">
      <c r="A198" s="345"/>
      <c r="B198" s="341"/>
      <c r="C198" s="392"/>
      <c r="D198" s="341"/>
      <c r="E198" s="341"/>
      <c r="F198" s="363"/>
      <c r="G198" s="341"/>
      <c r="H198" s="341"/>
      <c r="I198" s="341"/>
      <c r="J198" s="341"/>
      <c r="K198" s="341"/>
      <c r="L198" s="341"/>
      <c r="M198" s="341"/>
      <c r="N198" s="341"/>
      <c r="O198" s="341"/>
      <c r="P198" s="341"/>
      <c r="Q198" s="341"/>
      <c r="R198" s="341"/>
      <c r="S198" s="341"/>
      <c r="T198" s="341"/>
      <c r="U198" s="341"/>
      <c r="V198" s="341"/>
      <c r="W198" s="341"/>
      <c r="X198" s="341"/>
      <c r="Y198" s="341"/>
      <c r="Z198" s="341"/>
      <c r="AA198" s="341"/>
      <c r="AB198" s="341"/>
      <c r="AC198" s="662"/>
      <c r="AD198" s="798"/>
      <c r="AE198" s="799"/>
    </row>
    <row r="199" spans="1:31" s="218" customFormat="1" x14ac:dyDescent="0.2">
      <c r="A199" s="345"/>
      <c r="B199" s="341"/>
      <c r="C199" s="392"/>
      <c r="D199" s="341"/>
      <c r="E199" s="341"/>
      <c r="F199" s="363"/>
      <c r="G199" s="341"/>
      <c r="H199" s="341"/>
      <c r="I199" s="341"/>
      <c r="J199" s="341"/>
      <c r="K199" s="341"/>
      <c r="L199" s="341"/>
      <c r="M199" s="341"/>
      <c r="N199" s="341"/>
      <c r="O199" s="341"/>
      <c r="P199" s="341"/>
      <c r="Q199" s="341"/>
      <c r="R199" s="341"/>
      <c r="S199" s="341"/>
      <c r="T199" s="341"/>
      <c r="U199" s="341"/>
      <c r="V199" s="341"/>
      <c r="W199" s="341"/>
      <c r="X199" s="341"/>
      <c r="Y199" s="341"/>
      <c r="Z199" s="341"/>
      <c r="AA199" s="341"/>
      <c r="AB199" s="341"/>
      <c r="AC199" s="662"/>
      <c r="AD199" s="798"/>
      <c r="AE199" s="799"/>
    </row>
    <row r="200" spans="1:31" s="218" customFormat="1" x14ac:dyDescent="0.2">
      <c r="A200" s="345"/>
      <c r="B200" s="341"/>
      <c r="C200" s="392"/>
      <c r="D200" s="341"/>
      <c r="E200" s="341"/>
      <c r="F200" s="363"/>
      <c r="G200" s="341"/>
      <c r="H200" s="341"/>
      <c r="I200" s="341"/>
      <c r="J200" s="341"/>
      <c r="K200" s="341"/>
      <c r="L200" s="341"/>
      <c r="M200" s="341"/>
      <c r="N200" s="341"/>
      <c r="O200" s="341"/>
      <c r="P200" s="341"/>
      <c r="Q200" s="341"/>
      <c r="R200" s="341"/>
      <c r="S200" s="341"/>
      <c r="T200" s="341"/>
      <c r="U200" s="341"/>
      <c r="V200" s="341"/>
      <c r="W200" s="341"/>
      <c r="X200" s="341"/>
      <c r="Y200" s="341"/>
      <c r="Z200" s="341"/>
      <c r="AA200" s="341"/>
      <c r="AB200" s="341"/>
      <c r="AC200" s="662"/>
      <c r="AD200" s="798"/>
      <c r="AE200" s="799"/>
    </row>
    <row r="201" spans="1:31" s="218" customFormat="1" ht="16.5" thickBot="1" x14ac:dyDescent="0.25">
      <c r="A201" s="346"/>
      <c r="B201" s="342"/>
      <c r="C201" s="336"/>
      <c r="D201" s="342"/>
      <c r="E201" s="342"/>
      <c r="F201" s="364"/>
      <c r="G201" s="342"/>
      <c r="H201" s="342"/>
      <c r="I201" s="342"/>
      <c r="J201" s="342"/>
      <c r="K201" s="342"/>
      <c r="L201" s="342"/>
      <c r="M201" s="342"/>
      <c r="N201" s="342"/>
      <c r="O201" s="342"/>
      <c r="P201" s="342"/>
      <c r="Q201" s="342"/>
      <c r="R201" s="342"/>
      <c r="S201" s="342"/>
      <c r="T201" s="342"/>
      <c r="U201" s="342"/>
      <c r="V201" s="342"/>
      <c r="W201" s="342"/>
      <c r="X201" s="342"/>
      <c r="Y201" s="342"/>
      <c r="Z201" s="342"/>
      <c r="AA201" s="342"/>
      <c r="AB201" s="342"/>
      <c r="AC201" s="663"/>
      <c r="AD201" s="792"/>
      <c r="AE201" s="793"/>
    </row>
    <row r="202" spans="1:31" s="218" customFormat="1" x14ac:dyDescent="0.2">
      <c r="F202" s="337"/>
      <c r="G202" s="337"/>
      <c r="H202" s="337"/>
      <c r="I202" s="337"/>
    </row>
    <row r="203" spans="1:31" s="218" customFormat="1" x14ac:dyDescent="0.2">
      <c r="F203" s="337"/>
      <c r="G203" s="337"/>
      <c r="H203" s="337"/>
      <c r="I203" s="337"/>
    </row>
    <row r="204" spans="1:31" s="218" customFormat="1" ht="16.5" thickBot="1" x14ac:dyDescent="0.25">
      <c r="F204" s="337"/>
      <c r="G204" s="337"/>
      <c r="H204" s="337"/>
      <c r="I204" s="337"/>
    </row>
    <row r="205" spans="1:31" ht="16.5" thickBot="1" x14ac:dyDescent="0.25">
      <c r="A205" s="555" t="s">
        <v>454</v>
      </c>
      <c r="B205" s="556" t="s">
        <v>455</v>
      </c>
    </row>
    <row r="206" spans="1:31" x14ac:dyDescent="0.2">
      <c r="A206" s="450" t="s">
        <v>456</v>
      </c>
      <c r="B206" s="557" t="s">
        <v>51</v>
      </c>
    </row>
    <row r="207" spans="1:31" x14ac:dyDescent="0.2">
      <c r="A207" s="558" t="s">
        <v>65</v>
      </c>
      <c r="B207" s="559" t="s">
        <v>51</v>
      </c>
    </row>
    <row r="208" spans="1:31" x14ac:dyDescent="0.2">
      <c r="A208" s="558" t="s">
        <v>257</v>
      </c>
      <c r="B208" s="559" t="s">
        <v>51</v>
      </c>
    </row>
    <row r="209" spans="1:9" x14ac:dyDescent="0.2">
      <c r="A209" s="558" t="s">
        <v>258</v>
      </c>
      <c r="B209" s="559" t="s">
        <v>51</v>
      </c>
    </row>
    <row r="210" spans="1:9" x14ac:dyDescent="0.2">
      <c r="A210" s="558" t="s">
        <v>259</v>
      </c>
      <c r="B210" s="559" t="s">
        <v>53</v>
      </c>
    </row>
    <row r="211" spans="1:9" x14ac:dyDescent="0.2">
      <c r="A211" s="558" t="s">
        <v>281</v>
      </c>
      <c r="B211" s="559" t="s">
        <v>53</v>
      </c>
    </row>
    <row r="212" spans="1:9" x14ac:dyDescent="0.2">
      <c r="A212" s="560" t="s">
        <v>279</v>
      </c>
      <c r="B212" s="559" t="s">
        <v>53</v>
      </c>
      <c r="F212" s="69"/>
      <c r="G212" s="69"/>
      <c r="H212" s="69"/>
      <c r="I212" s="69"/>
    </row>
    <row r="213" spans="1:9" x14ac:dyDescent="0.2">
      <c r="A213" s="560" t="s">
        <v>457</v>
      </c>
      <c r="B213" s="559" t="s">
        <v>53</v>
      </c>
      <c r="F213" s="69"/>
      <c r="G213" s="69"/>
      <c r="H213" s="69"/>
      <c r="I213" s="69"/>
    </row>
    <row r="214" spans="1:9" ht="16.5" thickBot="1" x14ac:dyDescent="0.25">
      <c r="A214" s="561" t="s">
        <v>460</v>
      </c>
      <c r="B214" s="562" t="s">
        <v>51</v>
      </c>
      <c r="F214" s="69"/>
      <c r="G214" s="69"/>
      <c r="H214" s="69"/>
      <c r="I214" s="69"/>
    </row>
  </sheetData>
  <sheetProtection formatCells="0" formatColumns="0" formatRows="0" insertColumns="0" insertRows="0" deleteColumns="0" deleteRows="0" sort="0" autoFilter="0"/>
  <autoFilter ref="A30:AB30" xr:uid="{00000000-0009-0000-0000-000003000000}"/>
  <sortState xmlns:xlrd2="http://schemas.microsoft.com/office/spreadsheetml/2017/richdata2" ref="A89:A122">
    <sortCondition ref="A122"/>
  </sortState>
  <dataConsolidate>
    <dataRefs count="2">
      <dataRef ref="B9" sheet="APPENDIX B-1  (FE - USWC)"/>
      <dataRef ref="A14:A18" sheet="APPENDIX B-1  (FE - USWC)"/>
    </dataRefs>
  </dataConsolidate>
  <mergeCells count="268">
    <mergeCell ref="W194:W195"/>
    <mergeCell ref="X194:X195"/>
    <mergeCell ref="Y194:Y195"/>
    <mergeCell ref="Z194:Z195"/>
    <mergeCell ref="AA194:AA195"/>
    <mergeCell ref="AB194:AB195"/>
    <mergeCell ref="AC194:AC195"/>
    <mergeCell ref="AD194:AE195"/>
    <mergeCell ref="B102:D102"/>
    <mergeCell ref="E102:G102"/>
    <mergeCell ref="E123:G123"/>
    <mergeCell ref="E101:G101"/>
    <mergeCell ref="E97:G97"/>
    <mergeCell ref="E106:G106"/>
    <mergeCell ref="B103:D103"/>
    <mergeCell ref="E103:G103"/>
    <mergeCell ref="B107:D107"/>
    <mergeCell ref="E107:G107"/>
    <mergeCell ref="B104:D104"/>
    <mergeCell ref="E104:G104"/>
    <mergeCell ref="B105:D105"/>
    <mergeCell ref="E105:G105"/>
    <mergeCell ref="B101:D101"/>
    <mergeCell ref="B106:D106"/>
    <mergeCell ref="B111:D111"/>
    <mergeCell ref="B108:D108"/>
    <mergeCell ref="E108:G108"/>
    <mergeCell ref="E111:G111"/>
    <mergeCell ref="B109:D109"/>
    <mergeCell ref="E110:G110"/>
    <mergeCell ref="B120:D120"/>
    <mergeCell ref="B110:D110"/>
    <mergeCell ref="AA30:AA31"/>
    <mergeCell ref="AA39:AA40"/>
    <mergeCell ref="X39:X40"/>
    <mergeCell ref="H39:H40"/>
    <mergeCell ref="I39:I40"/>
    <mergeCell ref="K39:K40"/>
    <mergeCell ref="Z39:Z40"/>
    <mergeCell ref="Y30:Y31"/>
    <mergeCell ref="X30:X31"/>
    <mergeCell ref="Z30:Z31"/>
    <mergeCell ref="Y39:Y40"/>
    <mergeCell ref="J30:J31"/>
    <mergeCell ref="K30:K31"/>
    <mergeCell ref="B94:D94"/>
    <mergeCell ref="E94:G94"/>
    <mergeCell ref="E93:G93"/>
    <mergeCell ref="E100:G100"/>
    <mergeCell ref="B98:D98"/>
    <mergeCell ref="B93:D93"/>
    <mergeCell ref="B100:D100"/>
    <mergeCell ref="M48:M49"/>
    <mergeCell ref="B67:D67"/>
    <mergeCell ref="K48:K49"/>
    <mergeCell ref="L48:L49"/>
    <mergeCell ref="B66:D66"/>
    <mergeCell ref="B65:D65"/>
    <mergeCell ref="H48:H49"/>
    <mergeCell ref="A57:C57"/>
    <mergeCell ref="E98:G98"/>
    <mergeCell ref="B95:D95"/>
    <mergeCell ref="E95:G95"/>
    <mergeCell ref="B99:D99"/>
    <mergeCell ref="E99:G99"/>
    <mergeCell ref="B97:D97"/>
    <mergeCell ref="B96:D96"/>
    <mergeCell ref="E96:G96"/>
    <mergeCell ref="AC48:AC49"/>
    <mergeCell ref="AA48:AA49"/>
    <mergeCell ref="B81:D81"/>
    <mergeCell ref="B68:D68"/>
    <mergeCell ref="Z48:Z49"/>
    <mergeCell ref="M90:M92"/>
    <mergeCell ref="AB48:AB49"/>
    <mergeCell ref="B48:B49"/>
    <mergeCell ref="I90:I92"/>
    <mergeCell ref="H90:H92"/>
    <mergeCell ref="B80:D80"/>
    <mergeCell ref="B84:D84"/>
    <mergeCell ref="A87:I87"/>
    <mergeCell ref="B83:D83"/>
    <mergeCell ref="B82:D82"/>
    <mergeCell ref="F48:F49"/>
    <mergeCell ref="A72:C72"/>
    <mergeCell ref="I48:I49"/>
    <mergeCell ref="K90:K92"/>
    <mergeCell ref="D39:D40"/>
    <mergeCell ref="I30:I31"/>
    <mergeCell ref="J39:J40"/>
    <mergeCell ref="L90:L92"/>
    <mergeCell ref="J48:J49"/>
    <mergeCell ref="G48:G49"/>
    <mergeCell ref="C48:C49"/>
    <mergeCell ref="B88:I88"/>
    <mergeCell ref="B69:D69"/>
    <mergeCell ref="A92:G92"/>
    <mergeCell ref="A73:C73"/>
    <mergeCell ref="A90:G90"/>
    <mergeCell ref="J90:J92"/>
    <mergeCell ref="A86:I86"/>
    <mergeCell ref="A58:C58"/>
    <mergeCell ref="A91:G91"/>
    <mergeCell ref="A48:A49"/>
    <mergeCell ref="F39:F40"/>
    <mergeCell ref="G39:G40"/>
    <mergeCell ref="B39:B40"/>
    <mergeCell ref="A1:B1"/>
    <mergeCell ref="C1:F1"/>
    <mergeCell ref="A2:B2"/>
    <mergeCell ref="C2:F2"/>
    <mergeCell ref="A3:B3"/>
    <mergeCell ref="A7:B7"/>
    <mergeCell ref="C7:F7"/>
    <mergeCell ref="C3:F3"/>
    <mergeCell ref="C5:F5"/>
    <mergeCell ref="A4:B4"/>
    <mergeCell ref="B15:I15"/>
    <mergeCell ref="J15:K15"/>
    <mergeCell ref="B13:I13"/>
    <mergeCell ref="J13:K13"/>
    <mergeCell ref="L15:M15"/>
    <mergeCell ref="B16:I16"/>
    <mergeCell ref="J16:K16"/>
    <mergeCell ref="C4:F4"/>
    <mergeCell ref="A5:B5"/>
    <mergeCell ref="A6:B6"/>
    <mergeCell ref="C6:F6"/>
    <mergeCell ref="L13:M13"/>
    <mergeCell ref="B14:I14"/>
    <mergeCell ref="J14:K14"/>
    <mergeCell ref="L14:M14"/>
    <mergeCell ref="C8:F8"/>
    <mergeCell ref="A12:J12"/>
    <mergeCell ref="A8:B8"/>
    <mergeCell ref="B23:H23"/>
    <mergeCell ref="L17:M17"/>
    <mergeCell ref="B20:H20"/>
    <mergeCell ref="B22:H22"/>
    <mergeCell ref="B17:I17"/>
    <mergeCell ref="J17:K17"/>
    <mergeCell ref="B21:H21"/>
    <mergeCell ref="E48:E49"/>
    <mergeCell ref="L16:M16"/>
    <mergeCell ref="B30:B31"/>
    <mergeCell ref="C30:C31"/>
    <mergeCell ref="H30:H31"/>
    <mergeCell ref="D48:D49"/>
    <mergeCell ref="L30:L31"/>
    <mergeCell ref="F30:F31"/>
    <mergeCell ref="G30:G31"/>
    <mergeCell ref="A47:D47"/>
    <mergeCell ref="A39:A40"/>
    <mergeCell ref="C39:C40"/>
    <mergeCell ref="A30:A31"/>
    <mergeCell ref="B24:H24"/>
    <mergeCell ref="E30:E31"/>
    <mergeCell ref="E39:E40"/>
    <mergeCell ref="D30:D31"/>
    <mergeCell ref="B126:D126"/>
    <mergeCell ref="E121:G121"/>
    <mergeCell ref="B118:D118"/>
    <mergeCell ref="B122:D122"/>
    <mergeCell ref="E118:G118"/>
    <mergeCell ref="E122:G122"/>
    <mergeCell ref="B112:D112"/>
    <mergeCell ref="B121:D121"/>
    <mergeCell ref="B119:D119"/>
    <mergeCell ref="E119:G119"/>
    <mergeCell ref="B125:D125"/>
    <mergeCell ref="E125:G125"/>
    <mergeCell ref="B116:D116"/>
    <mergeCell ref="E116:G116"/>
    <mergeCell ref="B123:D123"/>
    <mergeCell ref="B117:D117"/>
    <mergeCell ref="E109:G109"/>
    <mergeCell ref="E117:G117"/>
    <mergeCell ref="E124:G124"/>
    <mergeCell ref="M138:M139"/>
    <mergeCell ref="I138:I139"/>
    <mergeCell ref="J138:J139"/>
    <mergeCell ref="L138:L139"/>
    <mergeCell ref="K138:K139"/>
    <mergeCell ref="H138:H139"/>
    <mergeCell ref="E112:G112"/>
    <mergeCell ref="E126:G126"/>
    <mergeCell ref="L131:L132"/>
    <mergeCell ref="J131:J132"/>
    <mergeCell ref="E120:G120"/>
    <mergeCell ref="K131:K132"/>
    <mergeCell ref="I131:I132"/>
    <mergeCell ref="A129:I129"/>
    <mergeCell ref="H131:H132"/>
    <mergeCell ref="A128:I128"/>
    <mergeCell ref="B124:D124"/>
    <mergeCell ref="B114:D114"/>
    <mergeCell ref="E114:G114"/>
    <mergeCell ref="B115:D115"/>
    <mergeCell ref="E115:G115"/>
    <mergeCell ref="A150:F150"/>
    <mergeCell ref="A149:F149"/>
    <mergeCell ref="A148:F148"/>
    <mergeCell ref="E138:E139"/>
    <mergeCell ref="F138:F139"/>
    <mergeCell ref="A146:E146"/>
    <mergeCell ref="G138:G139"/>
    <mergeCell ref="A138:D138"/>
    <mergeCell ref="F131:F132"/>
    <mergeCell ref="E131:E132"/>
    <mergeCell ref="G131:G132"/>
    <mergeCell ref="B127:D127"/>
    <mergeCell ref="B113:D113"/>
    <mergeCell ref="E113:G113"/>
    <mergeCell ref="E127:G127"/>
    <mergeCell ref="A180:E180"/>
    <mergeCell ref="B169:I169"/>
    <mergeCell ref="A178:G178"/>
    <mergeCell ref="B170:I170"/>
    <mergeCell ref="B171:I171"/>
    <mergeCell ref="B172:I172"/>
    <mergeCell ref="A156:I156"/>
    <mergeCell ref="B166:I166"/>
    <mergeCell ref="A176:B176"/>
    <mergeCell ref="B158:I158"/>
    <mergeCell ref="B164:I164"/>
    <mergeCell ref="B165:I165"/>
    <mergeCell ref="B160:I160"/>
    <mergeCell ref="B159:I159"/>
    <mergeCell ref="B162:I162"/>
    <mergeCell ref="B161:I161"/>
    <mergeCell ref="B163:I163"/>
    <mergeCell ref="B168:I168"/>
    <mergeCell ref="B167:I167"/>
    <mergeCell ref="A131:D131"/>
    <mergeCell ref="M186:N186"/>
    <mergeCell ref="M181:N182"/>
    <mergeCell ref="M185:N185"/>
    <mergeCell ref="J181:J182"/>
    <mergeCell ref="A193:H193"/>
    <mergeCell ref="H181:H182"/>
    <mergeCell ref="B181:B182"/>
    <mergeCell ref="C181:C182"/>
    <mergeCell ref="D181:D182"/>
    <mergeCell ref="I181:I182"/>
    <mergeCell ref="E181:E182"/>
    <mergeCell ref="G181:G182"/>
    <mergeCell ref="F181:F182"/>
    <mergeCell ref="K181:K182"/>
    <mergeCell ref="M183:N183"/>
    <mergeCell ref="A181:A182"/>
    <mergeCell ref="L181:L182"/>
    <mergeCell ref="G194:V194"/>
    <mergeCell ref="M187:N187"/>
    <mergeCell ref="M184:N184"/>
    <mergeCell ref="AD201:AE201"/>
    <mergeCell ref="M188:N188"/>
    <mergeCell ref="AD196:AE196"/>
    <mergeCell ref="AD197:AE197"/>
    <mergeCell ref="AD198:AE198"/>
    <mergeCell ref="AD200:AE200"/>
    <mergeCell ref="A191:G191"/>
    <mergeCell ref="A194:A195"/>
    <mergeCell ref="AD199:AE199"/>
    <mergeCell ref="E194:E195"/>
    <mergeCell ref="B194:B195"/>
    <mergeCell ref="C194:C195"/>
    <mergeCell ref="D194:D195"/>
    <mergeCell ref="F194:F195"/>
  </mergeCells>
  <phoneticPr fontId="11" type="noConversion"/>
  <dataValidations count="33">
    <dataValidation type="list" allowBlank="1" showInputMessage="1" showErrorMessage="1" sqref="B206:B214" xr:uid="{00000000-0002-0000-0300-000000000000}">
      <formula1>Autom</formula1>
    </dataValidation>
    <dataValidation type="list" showInputMessage="1" showErrorMessage="1" sqref="C196:C201 C183:C188" xr:uid="{00000000-0002-0000-0300-000001000000}">
      <formula1>IF($B183="I",DDTARIFF,DDTARIFFUSE)</formula1>
    </dataValidation>
    <dataValidation type="list" allowBlank="1" showInputMessage="1" showErrorMessage="1" sqref="B196:B201 B183:B188" xr:uid="{00000000-0002-0000-0300-000002000000}">
      <formula1>EXPIMP</formula1>
    </dataValidation>
    <dataValidation type="list" allowBlank="1" showInputMessage="1" showErrorMessage="1" sqref="W196:W201 F183:F188" xr:uid="{00000000-0002-0000-0300-000003000000}">
      <formula1>EQTYPE</formula1>
    </dataValidation>
    <dataValidation type="list" allowBlank="1" showInputMessage="1" showErrorMessage="1" sqref="X196:X201 G183:G188" xr:uid="{00000000-0002-0000-0300-000004000000}">
      <formula1>OPREEFER</formula1>
    </dataValidation>
    <dataValidation type="list" allowBlank="1" showInputMessage="1" showErrorMessage="1" sqref="F196:F201" xr:uid="{00000000-0002-0000-0300-000005000000}">
      <formula1>CURRENCY</formula1>
    </dataValidation>
    <dataValidation type="whole" allowBlank="1" showInputMessage="1" showErrorMessage="1" error="Only whole numbers can be entered into this field" sqref="D196:D201 D183:D188" xr:uid="{00000000-0002-0000-0300-000006000000}">
      <formula1>1</formula1>
      <formula2>99</formula2>
    </dataValidation>
    <dataValidation type="list" showInputMessage="1" showErrorMessage="1" sqref="E196:E201 E183:E188" xr:uid="{00000000-0002-0000-0300-000007000000}">
      <formula1>DAYS</formula1>
    </dataValidation>
    <dataValidation type="whole" allowBlank="1" showInputMessage="1" showErrorMessage="1" error="Only whole numbers may be entered into this field_x000a_" sqref="G196:G201 S196:S201 O196:O201 K196:K201" xr:uid="{00000000-0002-0000-0300-000008000000}">
      <formula1>1</formula1>
      <formula2>99</formula2>
    </dataValidation>
    <dataValidation type="decimal" allowBlank="1" showInputMessage="1" showErrorMessage="1" error="Only numbers may be entered into this field" sqref="H196:J201 L196:N201 P196:R201 T196:V201" xr:uid="{00000000-0002-0000-0300-000009000000}">
      <formula1>1</formula1>
      <formula2>1000000000</formula2>
    </dataValidation>
    <dataValidation type="list" showInputMessage="1" showErrorMessage="1" sqref="K133:K136 K140:K143 N81:N84 A32:A35 A50:A53 A41:A44 N66:N69" xr:uid="{00000000-0002-0000-0300-00000A000000}">
      <formula1>$A$14:$A$18</formula1>
    </dataValidation>
    <dataValidation type="list" allowBlank="1" showInputMessage="1" showErrorMessage="1" sqref="J133:J136 J140:J143" xr:uid="{00000000-0002-0000-0300-00000B000000}">
      <formula1>GRIPSS</formula1>
    </dataValidation>
    <dataValidation type="decimal" allowBlank="1" showInputMessage="1" showErrorMessage="1" sqref="F140:I143 F133:I136 I50:L53 J81:M84 I41:K44 I32:L35" xr:uid="{00000000-0002-0000-0300-00000C000000}">
      <formula1>0</formula1>
      <formula2>999999999999999</formula2>
    </dataValidation>
    <dataValidation type="list" allowBlank="1" showInputMessage="1" showErrorMessage="1" sqref="E133:E136 E140:E143" xr:uid="{00000000-0002-0000-0300-00000D000000}">
      <formula1>GRIPSS_EQ</formula1>
    </dataValidation>
    <dataValidation type="list" showInputMessage="1" showErrorMessage="1" sqref="A183:A188 A196:A201" xr:uid="{00000000-0002-0000-0300-00000E000000}">
      <formula1>BULLET</formula1>
    </dataValidation>
    <dataValidation type="date" allowBlank="1" showInputMessage="1" showErrorMessage="1" sqref="X32:Y35 J93:K127" xr:uid="{00000000-0002-0000-0300-00000F000000}">
      <formula1>10101</formula1>
      <formula2>311299</formula2>
    </dataValidation>
    <dataValidation type="list" showDropDown="1" showErrorMessage="1" sqref="O65:P65 O80:P80" xr:uid="{00000000-0002-0000-0300-000010000000}">
      <formula1>Charges</formula1>
    </dataValidation>
    <dataValidation type="list" allowBlank="1" showInputMessage="1" showErrorMessage="1" sqref="O66:P69 O81:P84" xr:uid="{00000000-0002-0000-0300-000011000000}">
      <formula1 xml:space="preserve"> droppull</formula1>
    </dataValidation>
    <dataValidation type="list" allowBlank="1" showInputMessage="1" showErrorMessage="1" sqref="L41:L44 G81:G84 N41:N44 P50:P53 G66:G69" xr:uid="{00000000-0002-0000-0300-000012000000}">
      <formula1>YesNo</formula1>
    </dataValidation>
    <dataValidation type="list" allowBlank="1" showInputMessage="1" showErrorMessage="1" sqref="M50:M53" xr:uid="{00000000-0002-0000-0300-000013000000}">
      <formula1>Equip</formula1>
    </dataValidation>
    <dataValidation type="list" allowBlank="1" showInputMessage="1" showErrorMessage="1" sqref="F66:F69 F81:F84" xr:uid="{00000000-0002-0000-0300-000014000000}">
      <formula1>ArbMode</formula1>
    </dataValidation>
    <dataValidation type="list" allowBlank="1" showInputMessage="1" showErrorMessage="1" sqref="G41:G44 G32:G35 G50:G53" xr:uid="{00000000-0002-0000-0300-000015000000}">
      <formula1>SDD</formula1>
    </dataValidation>
    <dataValidation type="list" allowBlank="1" showInputMessage="1" showErrorMessage="1" sqref="M31:W31 Q49:Y49" xr:uid="{00000000-0002-0000-0300-000016000000}">
      <formula1>Container</formula1>
    </dataValidation>
    <dataValidation type="list" allowBlank="1" showInputMessage="1" showErrorMessage="1" sqref="O40:W40" xr:uid="{00000000-0002-0000-0300-000017000000}">
      <formula1>Reefer</formula1>
    </dataValidation>
    <dataValidation type="list" allowBlank="1" showInputMessage="1" showErrorMessage="1" sqref="F32:F35 F41:F44 F50:F53" xr:uid="{00000000-0002-0000-0300-000018000000}">
      <formula1>Mode</formula1>
    </dataValidation>
    <dataValidation type="list" allowBlank="1" showInputMessage="1" showErrorMessage="1" sqref="M41:M44 O50:O53" xr:uid="{00000000-0002-0000-0300-000019000000}">
      <formula1>ShipperOwn</formula1>
    </dataValidation>
    <dataValidation type="list" allowBlank="1" showInputMessage="1" showErrorMessage="1" sqref="N50:N53" xr:uid="{00000000-0002-0000-0300-00001A000000}">
      <formula1>OOG</formula1>
    </dataValidation>
    <dataValidation type="list" allowBlank="1" showErrorMessage="1" sqref="M30:W30 O39:W39 Q48:Y48" xr:uid="{00000000-0002-0000-0300-00001B000000}">
      <formula1>Exceptions</formula1>
    </dataValidation>
    <dataValidation type="list" allowBlank="1" showInputMessage="1" showErrorMessage="1" sqref="AA32:AA35 AA41:AA44 AC50:AC53" xr:uid="{00000000-0002-0000-0300-00001C000000}">
      <formula1>CST</formula1>
    </dataValidation>
    <dataValidation type="list" allowBlank="1" showInputMessage="1" showErrorMessage="1" sqref="I93:I127" xr:uid="{00000000-0002-0000-0300-00001D000000}">
      <formula1>$A$14:$A$18</formula1>
    </dataValidation>
    <dataValidation type="list" allowBlank="1" showErrorMessage="1" sqref="A93:A127" xr:uid="{00000000-0002-0000-0300-00001E000000}">
      <formula1>Charges</formula1>
    </dataValidation>
    <dataValidation allowBlank="1" showInputMessage="1" showErrorMessage="1" promptTitle="Acceptable Values:" prompt="- Applicable _x000a_- Not applicable _x000a_- Included_x000a_- Amount and OSPF for cases of fixed per D40 OSPF_x000a_    (example-  &quot;375 OSPF&quot;)" sqref="E93:G127" xr:uid="{00000000-0002-0000-0300-00001F000000}"/>
    <dataValidation type="list" allowBlank="1" showInputMessage="1" showErrorMessage="1" errorTitle="Pick up the list" promptTitle="Blank = ALL" sqref="H93:H127" xr:uid="{00000000-0002-0000-0300-000020000000}">
      <formula1>Type_note2</formula1>
    </dataValidation>
  </dataValidations>
  <pageMargins left="0.25" right="0.25" top="0.25" bottom="0.25" header="0.5" footer="0"/>
  <pageSetup scale="28" fitToHeight="0" orientation="landscape" r:id="rId1"/>
  <headerFooter alignWithMargins="0"/>
  <rowBreaks count="1" manualBreakCount="1">
    <brk id="88" max="16383" man="1"/>
  </rowBreaks>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1">
    <tabColor indexed="12"/>
    <pageSetUpPr fitToPage="1"/>
  </sheetPr>
  <dimension ref="A1:BB214"/>
  <sheetViews>
    <sheetView showGridLines="0" topLeftCell="K166" zoomScale="75" zoomScaleNormal="75" zoomScaleSheetLayoutView="75" workbookViewId="0">
      <selection activeCell="B196" sqref="B196"/>
    </sheetView>
  </sheetViews>
  <sheetFormatPr defaultColWidth="9.140625" defaultRowHeight="15.75" x14ac:dyDescent="0.2"/>
  <cols>
    <col min="1" max="1" width="25.140625" style="69" customWidth="1"/>
    <col min="2" max="2" width="18.5703125" style="69" customWidth="1"/>
    <col min="3" max="3" width="18.28515625" style="69" customWidth="1"/>
    <col min="4" max="4" width="17.42578125" style="69" customWidth="1"/>
    <col min="5" max="5" width="19.28515625" style="69" customWidth="1"/>
    <col min="6" max="6" width="12.140625" style="211" customWidth="1"/>
    <col min="7" max="8" width="17.42578125" style="211" customWidth="1"/>
    <col min="9" max="9" width="17.7109375" style="211" customWidth="1"/>
    <col min="10" max="10" width="23.42578125" style="69" bestFit="1" customWidth="1"/>
    <col min="11" max="11" width="18.42578125" style="69" bestFit="1" customWidth="1"/>
    <col min="12" max="12" width="18.5703125" style="69" customWidth="1"/>
    <col min="13" max="13" width="17.28515625" style="69" customWidth="1"/>
    <col min="14" max="14" width="17.7109375" style="69" customWidth="1"/>
    <col min="15" max="16" width="16.5703125" style="69" customWidth="1"/>
    <col min="17" max="17" width="17.5703125" style="69" customWidth="1"/>
    <col min="18" max="18" width="15.85546875" style="69" customWidth="1"/>
    <col min="19" max="19" width="16.7109375" style="69" customWidth="1"/>
    <col min="20" max="20" width="16.5703125" style="69" customWidth="1"/>
    <col min="21" max="21" width="16.7109375" style="69" customWidth="1"/>
    <col min="22" max="22" width="17.5703125" style="69" customWidth="1"/>
    <col min="23" max="23" width="18" style="69" customWidth="1"/>
    <col min="24" max="24" width="12.7109375" style="69" customWidth="1"/>
    <col min="25" max="25" width="16.85546875" style="69" customWidth="1"/>
    <col min="26" max="26" width="9.7109375" style="69" customWidth="1"/>
    <col min="27" max="27" width="14.140625" style="69" customWidth="1"/>
    <col min="28" max="28" width="9.7109375" style="69" customWidth="1"/>
    <col min="29" max="29" width="14.140625" style="69" customWidth="1"/>
    <col min="30" max="16384" width="9.140625" style="69"/>
  </cols>
  <sheetData>
    <row r="1" spans="1:54" x14ac:dyDescent="0.2">
      <c r="A1" s="835" t="s">
        <v>511</v>
      </c>
      <c r="B1" s="837"/>
      <c r="C1" s="902" t="str">
        <f>Cover!B1</f>
        <v>22-XXXX</v>
      </c>
      <c r="D1" s="903"/>
      <c r="E1" s="903"/>
      <c r="F1" s="904"/>
      <c r="G1" s="69"/>
      <c r="H1" s="69"/>
      <c r="I1" s="69"/>
    </row>
    <row r="2" spans="1:54" x14ac:dyDescent="0.2">
      <c r="A2" s="885" t="s">
        <v>1236</v>
      </c>
      <c r="B2" s="886"/>
      <c r="C2" s="887"/>
      <c r="D2" s="888"/>
      <c r="E2" s="888"/>
      <c r="F2" s="889"/>
      <c r="G2" s="69"/>
      <c r="H2" s="69"/>
      <c r="I2" s="69"/>
    </row>
    <row r="3" spans="1:54" x14ac:dyDescent="0.2">
      <c r="A3" s="885" t="s">
        <v>522</v>
      </c>
      <c r="B3" s="886"/>
      <c r="C3" s="905">
        <f>Cover!B2</f>
        <v>0</v>
      </c>
      <c r="D3" s="906"/>
      <c r="E3" s="906"/>
      <c r="F3" s="907"/>
      <c r="G3" s="69"/>
      <c r="H3" s="69"/>
      <c r="I3" s="69"/>
    </row>
    <row r="4" spans="1:54" x14ac:dyDescent="0.2">
      <c r="A4" s="885" t="s">
        <v>1229</v>
      </c>
      <c r="B4" s="886"/>
      <c r="C4" s="884">
        <f>Cover!B7</f>
        <v>0</v>
      </c>
      <c r="D4" s="817"/>
      <c r="E4" s="817"/>
      <c r="F4" s="818"/>
      <c r="G4" s="69"/>
      <c r="H4" s="69"/>
      <c r="I4" s="69"/>
    </row>
    <row r="5" spans="1:54" x14ac:dyDescent="0.2">
      <c r="A5" s="885" t="s">
        <v>528</v>
      </c>
      <c r="B5" s="886"/>
      <c r="C5" s="887" t="s">
        <v>540</v>
      </c>
      <c r="D5" s="888"/>
      <c r="E5" s="888"/>
      <c r="F5" s="889"/>
      <c r="G5" s="69"/>
      <c r="H5" s="69"/>
      <c r="I5" s="69"/>
    </row>
    <row r="6" spans="1:54" ht="15.75" customHeight="1" x14ac:dyDescent="0.2">
      <c r="A6" s="885" t="s">
        <v>512</v>
      </c>
      <c r="B6" s="886"/>
      <c r="C6" s="887" t="s">
        <v>583</v>
      </c>
      <c r="D6" s="888"/>
      <c r="E6" s="888"/>
      <c r="F6" s="889"/>
      <c r="G6" s="69"/>
      <c r="H6" s="69"/>
      <c r="I6" s="69"/>
    </row>
    <row r="7" spans="1:54" ht="15.75" customHeight="1" x14ac:dyDescent="0.2">
      <c r="A7" s="885" t="s">
        <v>612</v>
      </c>
      <c r="B7" s="886"/>
      <c r="C7" s="887" t="s">
        <v>120</v>
      </c>
      <c r="D7" s="888"/>
      <c r="E7" s="888"/>
      <c r="F7" s="889"/>
      <c r="G7" s="69"/>
      <c r="H7" s="69"/>
      <c r="I7" s="69"/>
    </row>
    <row r="8" spans="1:54" ht="2.25" customHeight="1" thickBot="1" x14ac:dyDescent="0.25">
      <c r="A8" s="900"/>
      <c r="B8" s="901"/>
      <c r="C8" s="894"/>
      <c r="D8" s="895"/>
      <c r="E8" s="895"/>
      <c r="F8" s="896"/>
      <c r="G8" s="69"/>
      <c r="H8" s="69"/>
      <c r="I8" s="69"/>
    </row>
    <row r="9" spans="1:54" s="73" customFormat="1" x14ac:dyDescent="0.2">
      <c r="A9" s="442">
        <v>39</v>
      </c>
      <c r="B9" s="443" t="s">
        <v>615</v>
      </c>
      <c r="D9" s="444"/>
      <c r="E9" s="444"/>
      <c r="F9" s="445"/>
    </row>
    <row r="10" spans="1:54" s="73" customFormat="1" ht="16.5" thickBot="1" x14ac:dyDescent="0.25">
      <c r="A10" s="446"/>
      <c r="D10" s="444"/>
      <c r="E10" s="444"/>
      <c r="F10" s="445"/>
      <c r="G10" s="447"/>
      <c r="H10" s="444"/>
      <c r="I10" s="444"/>
      <c r="J10" s="444"/>
    </row>
    <row r="11" spans="1:54" ht="19.5" thickBot="1" x14ac:dyDescent="0.25">
      <c r="A11" s="448" t="s">
        <v>613</v>
      </c>
      <c r="B11" s="449"/>
      <c r="C11" s="73"/>
      <c r="D11" s="444"/>
      <c r="E11" s="444"/>
      <c r="F11" s="445"/>
      <c r="G11" s="447"/>
      <c r="H11" s="444"/>
      <c r="I11" s="444"/>
      <c r="J11" s="444"/>
    </row>
    <row r="12" spans="1:54" s="78" customFormat="1" ht="16.5" thickBot="1" x14ac:dyDescent="0.25">
      <c r="A12" s="897" t="s">
        <v>616</v>
      </c>
      <c r="B12" s="898"/>
      <c r="C12" s="898"/>
      <c r="D12" s="898"/>
      <c r="E12" s="898"/>
      <c r="F12" s="898"/>
      <c r="G12" s="898"/>
      <c r="H12" s="898"/>
      <c r="I12" s="898"/>
      <c r="J12" s="899"/>
    </row>
    <row r="13" spans="1:54" ht="17.25" customHeight="1" x14ac:dyDescent="0.2">
      <c r="A13" s="450" t="s">
        <v>617</v>
      </c>
      <c r="B13" s="881" t="s">
        <v>618</v>
      </c>
      <c r="C13" s="881"/>
      <c r="D13" s="881"/>
      <c r="E13" s="881"/>
      <c r="F13" s="881"/>
      <c r="G13" s="881"/>
      <c r="H13" s="881"/>
      <c r="I13" s="881"/>
      <c r="J13" s="882" t="s">
        <v>622</v>
      </c>
      <c r="K13" s="883"/>
      <c r="L13" s="890" t="s">
        <v>623</v>
      </c>
      <c r="M13" s="891"/>
      <c r="N13" s="350" t="s">
        <v>4</v>
      </c>
    </row>
    <row r="14" spans="1:54" s="81" customFormat="1" x14ac:dyDescent="0.2">
      <c r="A14" s="451"/>
      <c r="B14" s="862"/>
      <c r="C14" s="892"/>
      <c r="D14" s="892"/>
      <c r="E14" s="892"/>
      <c r="F14" s="892"/>
      <c r="G14" s="892"/>
      <c r="H14" s="892"/>
      <c r="I14" s="892"/>
      <c r="J14" s="870"/>
      <c r="K14" s="855"/>
      <c r="L14" s="893"/>
      <c r="M14" s="871"/>
      <c r="N14" s="349" t="str">
        <f>IF($A14&gt;0,$A14,"")</f>
        <v/>
      </c>
    </row>
    <row r="15" spans="1:54" s="453" customFormat="1" x14ac:dyDescent="0.2">
      <c r="A15" s="452"/>
      <c r="B15" s="879"/>
      <c r="C15" s="880"/>
      <c r="D15" s="880"/>
      <c r="E15" s="880"/>
      <c r="F15" s="880"/>
      <c r="G15" s="880"/>
      <c r="H15" s="880"/>
      <c r="I15" s="880"/>
      <c r="J15" s="870"/>
      <c r="K15" s="855"/>
      <c r="L15" s="870"/>
      <c r="M15" s="871"/>
      <c r="N15" s="349" t="str">
        <f>IF($A15&gt;0,$A15,"")</f>
        <v/>
      </c>
      <c r="BB15" s="81"/>
    </row>
    <row r="16" spans="1:54" s="453" customFormat="1" x14ac:dyDescent="0.2">
      <c r="A16" s="452"/>
      <c r="B16" s="879"/>
      <c r="C16" s="880"/>
      <c r="D16" s="880"/>
      <c r="E16" s="880"/>
      <c r="F16" s="880"/>
      <c r="G16" s="880"/>
      <c r="H16" s="880"/>
      <c r="I16" s="880"/>
      <c r="J16" s="870"/>
      <c r="K16" s="855"/>
      <c r="L16" s="870"/>
      <c r="M16" s="871"/>
      <c r="N16" s="349" t="str">
        <f>IF($A16&gt;0,$A16,"")</f>
        <v/>
      </c>
      <c r="BB16" s="81"/>
    </row>
    <row r="17" spans="1:54" s="453" customFormat="1" ht="16.5" thickBot="1" x14ac:dyDescent="0.25">
      <c r="A17" s="454"/>
      <c r="B17" s="864"/>
      <c r="C17" s="865"/>
      <c r="D17" s="865"/>
      <c r="E17" s="865"/>
      <c r="F17" s="865"/>
      <c r="G17" s="865"/>
      <c r="H17" s="865"/>
      <c r="I17" s="865"/>
      <c r="J17" s="866"/>
      <c r="K17" s="867"/>
      <c r="L17" s="857"/>
      <c r="M17" s="858"/>
      <c r="N17" s="349" t="str">
        <f>IF($A17&gt;0,$A17,"")</f>
        <v/>
      </c>
      <c r="BB17" s="81"/>
    </row>
    <row r="18" spans="1:54" s="462" customFormat="1" ht="16.5" thickBot="1" x14ac:dyDescent="0.25">
      <c r="A18" s="455"/>
      <c r="B18" s="456"/>
      <c r="C18" s="457"/>
      <c r="D18" s="458"/>
      <c r="E18" s="458"/>
      <c r="F18" s="459"/>
      <c r="G18" s="459"/>
      <c r="H18" s="460"/>
      <c r="I18" s="461"/>
      <c r="J18" s="461"/>
      <c r="K18" s="457"/>
      <c r="L18" s="457"/>
      <c r="M18" s="457"/>
      <c r="N18" s="349" t="str">
        <f>IF($A18&gt;0,$A18,"")</f>
        <v/>
      </c>
      <c r="O18" s="457"/>
      <c r="P18" s="457"/>
      <c r="Q18" s="457"/>
      <c r="BB18" s="81"/>
    </row>
    <row r="19" spans="1:54" s="462" customFormat="1" ht="19.5" thickBot="1" x14ac:dyDescent="0.25">
      <c r="A19" s="448" t="s">
        <v>419</v>
      </c>
      <c r="B19" s="463"/>
      <c r="I19" s="461"/>
      <c r="J19" s="461"/>
      <c r="K19" s="457"/>
      <c r="L19" s="457"/>
      <c r="M19" s="457"/>
      <c r="N19" s="457"/>
      <c r="O19" s="457"/>
      <c r="P19" s="457"/>
      <c r="Q19" s="457"/>
    </row>
    <row r="20" spans="1:54" s="462" customFormat="1" x14ac:dyDescent="0.2">
      <c r="A20" s="464" t="s">
        <v>419</v>
      </c>
      <c r="B20" s="859" t="s">
        <v>618</v>
      </c>
      <c r="C20" s="860"/>
      <c r="D20" s="860"/>
      <c r="E20" s="860"/>
      <c r="F20" s="860"/>
      <c r="G20" s="860"/>
      <c r="H20" s="861"/>
      <c r="I20" s="461"/>
      <c r="J20" s="461"/>
      <c r="K20" s="457"/>
      <c r="L20" s="457"/>
      <c r="M20" s="457"/>
      <c r="N20" s="457"/>
      <c r="O20" s="457"/>
      <c r="P20" s="457"/>
      <c r="Q20" s="457"/>
    </row>
    <row r="21" spans="1:54" s="467" customFormat="1" ht="15.75" customHeight="1" x14ac:dyDescent="0.2">
      <c r="A21" s="451" t="s">
        <v>634</v>
      </c>
      <c r="B21" s="862" t="s">
        <v>550</v>
      </c>
      <c r="C21" s="862"/>
      <c r="D21" s="862"/>
      <c r="E21" s="862"/>
      <c r="F21" s="862"/>
      <c r="G21" s="862"/>
      <c r="H21" s="863"/>
      <c r="I21" s="220"/>
      <c r="J21" s="465"/>
      <c r="K21" s="466"/>
      <c r="L21" s="466"/>
      <c r="M21" s="466"/>
      <c r="N21" s="466"/>
      <c r="O21" s="466"/>
      <c r="P21" s="466"/>
      <c r="Q21" s="466"/>
    </row>
    <row r="22" spans="1:54" s="467" customFormat="1" x14ac:dyDescent="0.2">
      <c r="A22" s="468" t="s">
        <v>635</v>
      </c>
      <c r="B22" s="862" t="s">
        <v>1131</v>
      </c>
      <c r="C22" s="862"/>
      <c r="D22" s="862"/>
      <c r="E22" s="862"/>
      <c r="F22" s="862"/>
      <c r="G22" s="862"/>
      <c r="H22" s="863"/>
      <c r="I22" s="465"/>
      <c r="J22" s="465"/>
      <c r="K22" s="466"/>
      <c r="L22" s="466"/>
      <c r="M22" s="466"/>
      <c r="N22" s="466"/>
      <c r="O22" s="466"/>
      <c r="P22" s="466"/>
      <c r="Q22" s="466"/>
    </row>
    <row r="23" spans="1:54" s="467" customFormat="1" x14ac:dyDescent="0.2">
      <c r="A23" s="468" t="s">
        <v>637</v>
      </c>
      <c r="B23" s="854" t="s">
        <v>636</v>
      </c>
      <c r="C23" s="855"/>
      <c r="D23" s="855"/>
      <c r="E23" s="855"/>
      <c r="F23" s="855"/>
      <c r="G23" s="855"/>
      <c r="H23" s="856"/>
      <c r="I23" s="465"/>
      <c r="J23" s="465"/>
      <c r="K23" s="466"/>
      <c r="L23" s="466"/>
      <c r="M23" s="466"/>
      <c r="N23" s="466"/>
      <c r="O23" s="466"/>
      <c r="P23" s="466"/>
      <c r="Q23" s="466"/>
    </row>
    <row r="24" spans="1:54" s="467" customFormat="1" ht="16.5" thickBot="1" x14ac:dyDescent="0.25">
      <c r="A24" s="469"/>
      <c r="B24" s="877"/>
      <c r="C24" s="867"/>
      <c r="D24" s="867"/>
      <c r="E24" s="867"/>
      <c r="F24" s="867"/>
      <c r="G24" s="867"/>
      <c r="H24" s="878"/>
      <c r="I24" s="465"/>
      <c r="J24" s="465"/>
      <c r="K24" s="466"/>
      <c r="L24" s="466"/>
      <c r="M24" s="466"/>
      <c r="N24" s="466"/>
      <c r="O24" s="466"/>
      <c r="P24" s="466"/>
      <c r="Q24" s="466"/>
    </row>
    <row r="25" spans="1:54" s="462" customFormat="1" ht="16.5" thickBot="1" x14ac:dyDescent="0.25">
      <c r="A25" s="456"/>
      <c r="B25" s="95"/>
      <c r="C25" s="95"/>
      <c r="D25" s="95"/>
      <c r="E25" s="95"/>
      <c r="F25" s="95"/>
      <c r="G25" s="95"/>
      <c r="H25" s="95"/>
      <c r="I25" s="461"/>
      <c r="J25" s="461"/>
      <c r="K25" s="457"/>
      <c r="L25" s="457"/>
      <c r="M25" s="457"/>
      <c r="N25" s="457"/>
      <c r="O25" s="457"/>
      <c r="P25" s="457"/>
      <c r="Q25" s="457"/>
      <c r="R25" s="457"/>
      <c r="S25" s="457"/>
      <c r="T25" s="457"/>
      <c r="U25" s="457"/>
    </row>
    <row r="26" spans="1:54" s="462" customFormat="1" ht="19.5" thickBot="1" x14ac:dyDescent="0.25">
      <c r="A26" s="448" t="s">
        <v>624</v>
      </c>
      <c r="B26" s="449"/>
      <c r="I26" s="461"/>
      <c r="J26" s="461"/>
      <c r="K26" s="457"/>
      <c r="L26" s="457"/>
      <c r="M26" s="457"/>
      <c r="N26" s="457"/>
      <c r="O26" s="457"/>
      <c r="P26" s="457"/>
      <c r="Q26" s="457"/>
      <c r="R26" s="457"/>
      <c r="S26" s="457"/>
      <c r="T26" s="457"/>
      <c r="U26" s="457"/>
    </row>
    <row r="27" spans="1:54" s="462" customFormat="1" x14ac:dyDescent="0.2">
      <c r="A27" s="223" t="s">
        <v>886</v>
      </c>
      <c r="B27" s="470"/>
      <c r="C27" s="471"/>
      <c r="D27" s="472"/>
      <c r="E27" s="472"/>
      <c r="F27" s="473"/>
      <c r="G27" s="473"/>
      <c r="H27" s="473"/>
      <c r="I27" s="474"/>
      <c r="J27" s="475"/>
      <c r="K27" s="476"/>
      <c r="L27" s="457"/>
      <c r="M27" s="457"/>
      <c r="N27" s="457"/>
      <c r="O27" s="457"/>
      <c r="P27" s="457"/>
      <c r="Q27" s="457"/>
      <c r="R27" s="457"/>
      <c r="S27" s="457"/>
      <c r="T27" s="457"/>
      <c r="U27" s="457"/>
      <c r="V27" s="457"/>
    </row>
    <row r="28" spans="1:54" s="462" customFormat="1" x14ac:dyDescent="0.2">
      <c r="A28" s="96" t="s">
        <v>626</v>
      </c>
      <c r="B28" s="214"/>
      <c r="C28" s="477"/>
      <c r="D28" s="478"/>
      <c r="E28" s="478"/>
      <c r="F28" s="479"/>
      <c r="G28" s="479"/>
      <c r="H28" s="479"/>
      <c r="I28" s="480"/>
      <c r="J28" s="481"/>
      <c r="K28" s="482"/>
      <c r="L28" s="457"/>
      <c r="M28" s="457"/>
      <c r="N28" s="457"/>
      <c r="O28" s="457"/>
      <c r="P28" s="457"/>
      <c r="Q28" s="457"/>
      <c r="R28" s="457"/>
    </row>
    <row r="29" spans="1:54" s="462" customFormat="1" ht="16.5" thickBot="1" x14ac:dyDescent="0.25">
      <c r="A29" s="110" t="s">
        <v>172</v>
      </c>
      <c r="B29" s="483"/>
      <c r="C29" s="484"/>
      <c r="D29" s="485"/>
      <c r="E29" s="485"/>
      <c r="F29" s="486"/>
      <c r="G29" s="486"/>
      <c r="H29" s="486"/>
      <c r="I29" s="487"/>
      <c r="J29" s="488"/>
      <c r="K29" s="489"/>
      <c r="L29" s="457"/>
      <c r="M29" s="457"/>
      <c r="N29" s="457"/>
      <c r="O29" s="457"/>
      <c r="P29" s="457"/>
      <c r="Q29" s="457"/>
      <c r="R29" s="457"/>
      <c r="S29" s="118"/>
      <c r="T29" s="118"/>
      <c r="U29" s="118"/>
      <c r="V29" s="457"/>
      <c r="W29" s="457"/>
      <c r="X29" s="457"/>
    </row>
    <row r="30" spans="1:54" s="491" customFormat="1" ht="32.25" customHeight="1" x14ac:dyDescent="0.2">
      <c r="A30" s="875" t="s">
        <v>627</v>
      </c>
      <c r="B30" s="868" t="s">
        <v>628</v>
      </c>
      <c r="C30" s="868" t="s">
        <v>11</v>
      </c>
      <c r="D30" s="868" t="s">
        <v>12</v>
      </c>
      <c r="E30" s="868" t="s">
        <v>13</v>
      </c>
      <c r="F30" s="868" t="s">
        <v>14</v>
      </c>
      <c r="G30" s="868" t="s">
        <v>15</v>
      </c>
      <c r="H30" s="868" t="s">
        <v>16</v>
      </c>
      <c r="I30" s="868" t="s">
        <v>17</v>
      </c>
      <c r="J30" s="868" t="s">
        <v>18</v>
      </c>
      <c r="K30" s="868" t="s">
        <v>19</v>
      </c>
      <c r="L30" s="868" t="s">
        <v>20</v>
      </c>
      <c r="M30" s="490" t="s">
        <v>230</v>
      </c>
      <c r="N30" s="490"/>
      <c r="O30" s="490"/>
      <c r="P30" s="490"/>
      <c r="Q30" s="490"/>
      <c r="R30" s="490"/>
      <c r="S30" s="490"/>
      <c r="T30" s="490"/>
      <c r="U30" s="490"/>
      <c r="V30" s="490"/>
      <c r="W30" s="490"/>
      <c r="X30" s="868" t="s">
        <v>22</v>
      </c>
      <c r="Y30" s="868" t="s">
        <v>23</v>
      </c>
      <c r="Z30" s="868" t="s">
        <v>24</v>
      </c>
      <c r="AA30" s="922" t="s">
        <v>352</v>
      </c>
    </row>
    <row r="31" spans="1:54" s="491" customFormat="1" ht="16.5" thickBot="1" x14ac:dyDescent="0.25">
      <c r="A31" s="876"/>
      <c r="B31" s="869"/>
      <c r="C31" s="869"/>
      <c r="D31" s="869"/>
      <c r="E31" s="869"/>
      <c r="F31" s="869"/>
      <c r="G31" s="872"/>
      <c r="H31" s="869"/>
      <c r="I31" s="869"/>
      <c r="J31" s="869"/>
      <c r="K31" s="869"/>
      <c r="L31" s="869"/>
      <c r="M31" s="492" t="s">
        <v>84</v>
      </c>
      <c r="N31" s="492"/>
      <c r="O31" s="492"/>
      <c r="P31" s="492"/>
      <c r="Q31" s="492"/>
      <c r="R31" s="492"/>
      <c r="S31" s="492"/>
      <c r="T31" s="492"/>
      <c r="U31" s="492"/>
      <c r="V31" s="492"/>
      <c r="W31" s="492"/>
      <c r="X31" s="869"/>
      <c r="Y31" s="869"/>
      <c r="Z31" s="869"/>
      <c r="AA31" s="923"/>
    </row>
    <row r="32" spans="1:54" s="136" customFormat="1" x14ac:dyDescent="0.2">
      <c r="A32" s="493"/>
      <c r="B32" s="49"/>
      <c r="C32" s="225"/>
      <c r="D32" s="225"/>
      <c r="E32" s="225"/>
      <c r="F32" s="225"/>
      <c r="G32" s="120"/>
      <c r="H32" s="225"/>
      <c r="I32" s="263"/>
      <c r="J32" s="263"/>
      <c r="K32" s="263"/>
      <c r="L32" s="263"/>
      <c r="M32" s="120"/>
      <c r="N32" s="120"/>
      <c r="O32" s="120"/>
      <c r="P32" s="226"/>
      <c r="Q32" s="226"/>
      <c r="R32" s="226"/>
      <c r="S32" s="120"/>
      <c r="T32" s="120"/>
      <c r="U32" s="120"/>
      <c r="V32" s="120"/>
      <c r="W32" s="120"/>
      <c r="X32" s="227"/>
      <c r="Y32" s="227"/>
      <c r="Z32" s="120"/>
      <c r="AA32" s="121"/>
    </row>
    <row r="33" spans="1:29" s="136" customFormat="1" x14ac:dyDescent="0.2">
      <c r="A33" s="494"/>
      <c r="B33" s="123"/>
      <c r="C33" s="123"/>
      <c r="D33" s="123"/>
      <c r="E33" s="123"/>
      <c r="F33" s="123"/>
      <c r="G33" s="124"/>
      <c r="H33" s="123"/>
      <c r="I33" s="255"/>
      <c r="J33" s="255"/>
      <c r="K33" s="255"/>
      <c r="L33" s="255"/>
      <c r="M33" s="125"/>
      <c r="N33" s="124"/>
      <c r="O33" s="124"/>
      <c r="P33" s="125"/>
      <c r="Q33" s="125"/>
      <c r="R33" s="125"/>
      <c r="S33" s="124"/>
      <c r="T33" s="124"/>
      <c r="U33" s="124"/>
      <c r="V33" s="124"/>
      <c r="W33" s="124"/>
      <c r="X33" s="126"/>
      <c r="Y33" s="126"/>
      <c r="Z33" s="124"/>
      <c r="AA33" s="127"/>
    </row>
    <row r="34" spans="1:29" s="136" customFormat="1" x14ac:dyDescent="0.2">
      <c r="A34" s="494"/>
      <c r="B34" s="123"/>
      <c r="C34" s="123"/>
      <c r="D34" s="123"/>
      <c r="E34" s="123"/>
      <c r="F34" s="123"/>
      <c r="G34" s="124"/>
      <c r="H34" s="123"/>
      <c r="I34" s="255"/>
      <c r="J34" s="255"/>
      <c r="K34" s="255"/>
      <c r="L34" s="255"/>
      <c r="M34" s="125"/>
      <c r="N34" s="124"/>
      <c r="O34" s="124"/>
      <c r="P34" s="125"/>
      <c r="Q34" s="125"/>
      <c r="R34" s="125"/>
      <c r="S34" s="124"/>
      <c r="T34" s="124"/>
      <c r="U34" s="124"/>
      <c r="V34" s="124"/>
      <c r="W34" s="124"/>
      <c r="X34" s="126"/>
      <c r="Y34" s="126"/>
      <c r="Z34" s="124"/>
      <c r="AA34" s="127"/>
    </row>
    <row r="35" spans="1:29" s="136" customFormat="1" ht="16.5" thickBot="1" x14ac:dyDescent="0.25">
      <c r="A35" s="495"/>
      <c r="B35" s="128"/>
      <c r="C35" s="128"/>
      <c r="D35" s="128"/>
      <c r="E35" s="128"/>
      <c r="F35" s="128"/>
      <c r="G35" s="129"/>
      <c r="H35" s="128"/>
      <c r="I35" s="256"/>
      <c r="J35" s="256"/>
      <c r="K35" s="256"/>
      <c r="L35" s="256"/>
      <c r="M35" s="129"/>
      <c r="N35" s="129"/>
      <c r="O35" s="129"/>
      <c r="P35" s="130"/>
      <c r="Q35" s="130"/>
      <c r="R35" s="130"/>
      <c r="S35" s="129"/>
      <c r="T35" s="129"/>
      <c r="U35" s="129"/>
      <c r="V35" s="129"/>
      <c r="W35" s="129"/>
      <c r="X35" s="131"/>
      <c r="Y35" s="131"/>
      <c r="Z35" s="129"/>
      <c r="AA35" s="132"/>
    </row>
    <row r="36" spans="1:29" s="73" customFormat="1" x14ac:dyDescent="0.2">
      <c r="A36" s="133"/>
      <c r="B36" s="133"/>
      <c r="C36" s="133"/>
      <c r="D36" s="133"/>
      <c r="E36" s="133"/>
      <c r="F36" s="133"/>
      <c r="G36" s="118"/>
      <c r="H36" s="118"/>
      <c r="I36" s="118"/>
      <c r="J36" s="118"/>
      <c r="K36" s="118"/>
      <c r="L36" s="118"/>
      <c r="M36" s="134"/>
      <c r="N36" s="118"/>
      <c r="O36" s="159"/>
      <c r="P36" s="159"/>
      <c r="Q36" s="159"/>
      <c r="R36" s="159"/>
      <c r="S36" s="159"/>
      <c r="T36" s="159"/>
      <c r="U36" s="159"/>
      <c r="V36" s="159"/>
      <c r="W36" s="466"/>
    </row>
    <row r="37" spans="1:29" s="73" customFormat="1" ht="16.5" thickBot="1" x14ac:dyDescent="0.25">
      <c r="A37" s="133"/>
      <c r="B37" s="133"/>
      <c r="C37" s="133"/>
      <c r="D37" s="133"/>
      <c r="E37" s="133"/>
      <c r="F37" s="133"/>
      <c r="G37" s="118"/>
      <c r="H37" s="118"/>
      <c r="I37" s="118"/>
      <c r="J37" s="118"/>
      <c r="K37" s="118"/>
      <c r="N37" s="118"/>
      <c r="O37" s="159"/>
      <c r="P37" s="159"/>
      <c r="Q37" s="159"/>
      <c r="R37" s="159"/>
      <c r="S37" s="159"/>
      <c r="T37" s="159"/>
      <c r="U37" s="159"/>
      <c r="V37" s="159"/>
      <c r="W37" s="467"/>
    </row>
    <row r="38" spans="1:29" s="73" customFormat="1" ht="16.5" thickBot="1" x14ac:dyDescent="0.25">
      <c r="A38" s="496" t="s">
        <v>25</v>
      </c>
      <c r="B38" s="133"/>
      <c r="C38" s="133"/>
      <c r="D38" s="133"/>
      <c r="E38" s="133"/>
      <c r="F38" s="133"/>
      <c r="G38" s="118"/>
      <c r="H38" s="118"/>
      <c r="I38" s="118"/>
      <c r="J38" s="118"/>
      <c r="K38" s="118"/>
      <c r="M38" s="118"/>
      <c r="N38" s="118"/>
      <c r="O38" s="159"/>
      <c r="P38" s="136"/>
      <c r="Q38" s="136"/>
      <c r="R38" s="136"/>
      <c r="S38" s="466"/>
      <c r="T38" s="466"/>
      <c r="U38" s="466"/>
      <c r="V38" s="466"/>
      <c r="W38" s="159"/>
    </row>
    <row r="39" spans="1:29" s="73" customFormat="1" ht="15.75" customHeight="1" x14ac:dyDescent="0.2">
      <c r="A39" s="875" t="s">
        <v>627</v>
      </c>
      <c r="B39" s="868" t="s">
        <v>628</v>
      </c>
      <c r="C39" s="868" t="s">
        <v>11</v>
      </c>
      <c r="D39" s="868" t="s">
        <v>12</v>
      </c>
      <c r="E39" s="868" t="s">
        <v>13</v>
      </c>
      <c r="F39" s="868" t="s">
        <v>14</v>
      </c>
      <c r="G39" s="868" t="s">
        <v>15</v>
      </c>
      <c r="H39" s="868" t="s">
        <v>16</v>
      </c>
      <c r="I39" s="868" t="s">
        <v>26</v>
      </c>
      <c r="J39" s="868" t="s">
        <v>27</v>
      </c>
      <c r="K39" s="945" t="s">
        <v>295</v>
      </c>
      <c r="L39" s="497" t="s">
        <v>63</v>
      </c>
      <c r="M39" s="498" t="s">
        <v>64</v>
      </c>
      <c r="N39" s="499" t="s">
        <v>65</v>
      </c>
      <c r="O39" s="490"/>
      <c r="P39" s="490"/>
      <c r="Q39" s="490"/>
      <c r="R39" s="490"/>
      <c r="S39" s="490"/>
      <c r="T39" s="490"/>
      <c r="U39" s="490"/>
      <c r="V39" s="490"/>
      <c r="W39" s="490"/>
      <c r="X39" s="868" t="s">
        <v>22</v>
      </c>
      <c r="Y39" s="868" t="s">
        <v>23</v>
      </c>
      <c r="Z39" s="868" t="s">
        <v>24</v>
      </c>
      <c r="AA39" s="922" t="s">
        <v>352</v>
      </c>
    </row>
    <row r="40" spans="1:29" s="73" customFormat="1" ht="31.7" customHeight="1" thickBot="1" x14ac:dyDescent="0.25">
      <c r="A40" s="876"/>
      <c r="B40" s="869"/>
      <c r="C40" s="869"/>
      <c r="D40" s="869"/>
      <c r="E40" s="869"/>
      <c r="F40" s="869"/>
      <c r="G40" s="872"/>
      <c r="H40" s="869"/>
      <c r="I40" s="869"/>
      <c r="J40" s="869"/>
      <c r="K40" s="946"/>
      <c r="L40" s="500" t="s">
        <v>66</v>
      </c>
      <c r="M40" s="501" t="s">
        <v>67</v>
      </c>
      <c r="N40" s="502" t="s">
        <v>68</v>
      </c>
      <c r="O40" s="503"/>
      <c r="P40" s="492"/>
      <c r="Q40" s="492"/>
      <c r="R40" s="492"/>
      <c r="S40" s="492"/>
      <c r="T40" s="492"/>
      <c r="U40" s="492"/>
      <c r="V40" s="492"/>
      <c r="W40" s="492"/>
      <c r="X40" s="869"/>
      <c r="Y40" s="869"/>
      <c r="Z40" s="869"/>
      <c r="AA40" s="923"/>
    </row>
    <row r="41" spans="1:29" s="136" customFormat="1" x14ac:dyDescent="0.2">
      <c r="A41" s="493"/>
      <c r="B41" s="225"/>
      <c r="C41" s="225"/>
      <c r="D41" s="225"/>
      <c r="E41" s="225"/>
      <c r="F41" s="225"/>
      <c r="G41" s="120"/>
      <c r="H41" s="225"/>
      <c r="I41" s="263"/>
      <c r="J41" s="263"/>
      <c r="K41" s="265"/>
      <c r="L41" s="268"/>
      <c r="M41" s="120"/>
      <c r="N41" s="121"/>
      <c r="O41" s="269"/>
      <c r="P41" s="226"/>
      <c r="Q41" s="226"/>
      <c r="R41" s="226"/>
      <c r="S41" s="120"/>
      <c r="T41" s="120"/>
      <c r="U41" s="120"/>
      <c r="V41" s="120"/>
      <c r="W41" s="120"/>
      <c r="X41" s="227"/>
      <c r="Y41" s="227"/>
      <c r="Z41" s="120"/>
      <c r="AA41" s="121"/>
    </row>
    <row r="42" spans="1:29" s="136" customFormat="1" x14ac:dyDescent="0.2">
      <c r="A42" s="494"/>
      <c r="B42" s="123"/>
      <c r="C42" s="123"/>
      <c r="D42" s="123"/>
      <c r="E42" s="123"/>
      <c r="F42" s="123"/>
      <c r="G42" s="124"/>
      <c r="H42" s="123"/>
      <c r="I42" s="255"/>
      <c r="J42" s="255"/>
      <c r="K42" s="266"/>
      <c r="L42" s="259"/>
      <c r="M42" s="124"/>
      <c r="N42" s="127"/>
      <c r="O42" s="248"/>
      <c r="P42" s="125"/>
      <c r="Q42" s="125"/>
      <c r="R42" s="125"/>
      <c r="S42" s="124"/>
      <c r="T42" s="124"/>
      <c r="U42" s="124"/>
      <c r="V42" s="124"/>
      <c r="W42" s="124"/>
      <c r="X42" s="126"/>
      <c r="Y42" s="126"/>
      <c r="Z42" s="124"/>
      <c r="AA42" s="127"/>
    </row>
    <row r="43" spans="1:29" s="136" customFormat="1" x14ac:dyDescent="0.2">
      <c r="A43" s="494"/>
      <c r="B43" s="123"/>
      <c r="C43" s="123"/>
      <c r="D43" s="123"/>
      <c r="E43" s="123"/>
      <c r="F43" s="123"/>
      <c r="G43" s="124"/>
      <c r="H43" s="123"/>
      <c r="I43" s="255"/>
      <c r="J43" s="255"/>
      <c r="K43" s="266"/>
      <c r="L43" s="259"/>
      <c r="M43" s="124"/>
      <c r="N43" s="127"/>
      <c r="O43" s="248"/>
      <c r="P43" s="125"/>
      <c r="Q43" s="125"/>
      <c r="R43" s="125"/>
      <c r="S43" s="124"/>
      <c r="T43" s="124"/>
      <c r="U43" s="124"/>
      <c r="V43" s="124"/>
      <c r="W43" s="124"/>
      <c r="X43" s="126"/>
      <c r="Y43" s="126"/>
      <c r="Z43" s="124"/>
      <c r="AA43" s="127"/>
    </row>
    <row r="44" spans="1:29" s="136" customFormat="1" ht="16.5" thickBot="1" x14ac:dyDescent="0.25">
      <c r="A44" s="495"/>
      <c r="B44" s="128"/>
      <c r="C44" s="128"/>
      <c r="D44" s="128"/>
      <c r="E44" s="128"/>
      <c r="F44" s="128"/>
      <c r="G44" s="129"/>
      <c r="H44" s="128"/>
      <c r="I44" s="256"/>
      <c r="J44" s="256"/>
      <c r="K44" s="267"/>
      <c r="L44" s="137"/>
      <c r="M44" s="129"/>
      <c r="N44" s="132"/>
      <c r="O44" s="137"/>
      <c r="P44" s="129"/>
      <c r="Q44" s="129"/>
      <c r="R44" s="129"/>
      <c r="S44" s="129"/>
      <c r="T44" s="129"/>
      <c r="U44" s="129"/>
      <c r="V44" s="129"/>
      <c r="W44" s="129"/>
      <c r="X44" s="131"/>
      <c r="Y44" s="131"/>
      <c r="Z44" s="129"/>
      <c r="AA44" s="132"/>
    </row>
    <row r="45" spans="1:29" s="73" customFormat="1" x14ac:dyDescent="0.2">
      <c r="A45" s="133"/>
      <c r="B45" s="133"/>
      <c r="C45" s="133"/>
      <c r="D45" s="133"/>
      <c r="E45" s="133"/>
      <c r="F45" s="133"/>
      <c r="G45" s="118"/>
      <c r="H45" s="118"/>
      <c r="I45" s="118"/>
      <c r="J45" s="118"/>
      <c r="K45" s="118"/>
      <c r="L45" s="118"/>
      <c r="M45" s="118"/>
      <c r="N45" s="118"/>
      <c r="O45" s="160"/>
      <c r="P45" s="159"/>
      <c r="Q45" s="159"/>
      <c r="R45" s="159"/>
      <c r="S45" s="136"/>
      <c r="T45" s="136"/>
      <c r="U45" s="136"/>
      <c r="V45" s="136"/>
      <c r="W45" s="136"/>
      <c r="X45" s="118"/>
    </row>
    <row r="46" spans="1:29" s="73" customFormat="1" ht="16.5" thickBot="1" x14ac:dyDescent="0.25">
      <c r="A46" s="133"/>
      <c r="B46" s="133"/>
      <c r="C46" s="133"/>
      <c r="D46" s="133"/>
      <c r="E46" s="133"/>
      <c r="F46" s="133"/>
      <c r="G46" s="118"/>
      <c r="H46" s="118"/>
      <c r="I46" s="118"/>
      <c r="J46" s="118"/>
      <c r="K46" s="118"/>
      <c r="L46" s="118"/>
      <c r="M46" s="118"/>
      <c r="N46" s="118"/>
      <c r="O46" s="160"/>
      <c r="P46" s="159"/>
      <c r="Q46" s="159"/>
      <c r="R46" s="159"/>
      <c r="S46" s="136"/>
      <c r="T46" s="136"/>
      <c r="U46" s="136"/>
      <c r="V46" s="136"/>
      <c r="W46" s="136"/>
      <c r="X46" s="118"/>
    </row>
    <row r="47" spans="1:29" s="73" customFormat="1" ht="16.5" thickBot="1" x14ac:dyDescent="0.25">
      <c r="A47" s="822" t="s">
        <v>307</v>
      </c>
      <c r="B47" s="873"/>
      <c r="C47" s="873"/>
      <c r="D47" s="874"/>
      <c r="E47" s="133"/>
      <c r="F47" s="133"/>
      <c r="G47" s="118"/>
      <c r="H47" s="118"/>
      <c r="I47" s="118"/>
      <c r="J47" s="118"/>
      <c r="K47" s="118"/>
      <c r="L47" s="118"/>
      <c r="M47" s="118"/>
      <c r="N47" s="118"/>
      <c r="O47" s="136"/>
      <c r="P47" s="159"/>
      <c r="Q47" s="159"/>
      <c r="R47" s="159"/>
      <c r="S47" s="466"/>
      <c r="T47" s="466"/>
      <c r="U47" s="466"/>
      <c r="V47" s="466"/>
      <c r="W47" s="159"/>
      <c r="X47" s="118"/>
      <c r="Y47" s="118"/>
    </row>
    <row r="48" spans="1:29" s="73" customFormat="1" ht="15.75" customHeight="1" x14ac:dyDescent="0.2">
      <c r="A48" s="875" t="s">
        <v>627</v>
      </c>
      <c r="B48" s="868" t="s">
        <v>628</v>
      </c>
      <c r="C48" s="868" t="s">
        <v>11</v>
      </c>
      <c r="D48" s="868" t="s">
        <v>12</v>
      </c>
      <c r="E48" s="868" t="s">
        <v>13</v>
      </c>
      <c r="F48" s="868" t="s">
        <v>14</v>
      </c>
      <c r="G48" s="868" t="s">
        <v>15</v>
      </c>
      <c r="H48" s="868" t="s">
        <v>16</v>
      </c>
      <c r="I48" s="868">
        <v>20</v>
      </c>
      <c r="J48" s="868">
        <v>40</v>
      </c>
      <c r="K48" s="868" t="s">
        <v>19</v>
      </c>
      <c r="L48" s="922" t="s">
        <v>20</v>
      </c>
      <c r="M48" s="943" t="s">
        <v>28</v>
      </c>
      <c r="N48" s="504" t="s">
        <v>69</v>
      </c>
      <c r="O48" s="498" t="s">
        <v>64</v>
      </c>
      <c r="P48" s="499" t="s">
        <v>65</v>
      </c>
      <c r="Q48" s="490" t="s">
        <v>147</v>
      </c>
      <c r="R48" s="490" t="s">
        <v>71</v>
      </c>
      <c r="S48" s="490"/>
      <c r="T48" s="490"/>
      <c r="U48" s="490"/>
      <c r="V48" s="490"/>
      <c r="W48" s="490"/>
      <c r="X48" s="490"/>
      <c r="Y48" s="490"/>
      <c r="Z48" s="868" t="s">
        <v>22</v>
      </c>
      <c r="AA48" s="868" t="s">
        <v>23</v>
      </c>
      <c r="AB48" s="868" t="s">
        <v>24</v>
      </c>
      <c r="AC48" s="922" t="s">
        <v>352</v>
      </c>
    </row>
    <row r="49" spans="1:29" s="73" customFormat="1" ht="48" thickBot="1" x14ac:dyDescent="0.25">
      <c r="A49" s="876"/>
      <c r="B49" s="869"/>
      <c r="C49" s="869"/>
      <c r="D49" s="869"/>
      <c r="E49" s="869"/>
      <c r="F49" s="869"/>
      <c r="G49" s="872"/>
      <c r="H49" s="869"/>
      <c r="I49" s="869"/>
      <c r="J49" s="869"/>
      <c r="K49" s="869"/>
      <c r="L49" s="923"/>
      <c r="M49" s="944"/>
      <c r="N49" s="505" t="s">
        <v>70</v>
      </c>
      <c r="O49" s="501" t="s">
        <v>67</v>
      </c>
      <c r="P49" s="502" t="s">
        <v>68</v>
      </c>
      <c r="Q49" s="503" t="s">
        <v>84</v>
      </c>
      <c r="R49" s="492" t="s">
        <v>84</v>
      </c>
      <c r="S49" s="492"/>
      <c r="T49" s="492"/>
      <c r="U49" s="492"/>
      <c r="V49" s="492"/>
      <c r="W49" s="492"/>
      <c r="X49" s="492"/>
      <c r="Y49" s="492"/>
      <c r="Z49" s="924"/>
      <c r="AA49" s="924"/>
      <c r="AB49" s="924"/>
      <c r="AC49" s="923"/>
    </row>
    <row r="50" spans="1:29" s="136" customFormat="1" x14ac:dyDescent="0.2">
      <c r="A50" s="493"/>
      <c r="B50" s="225"/>
      <c r="C50" s="225"/>
      <c r="D50" s="225"/>
      <c r="E50" s="225"/>
      <c r="F50" s="225"/>
      <c r="G50" s="120"/>
      <c r="H50" s="225"/>
      <c r="I50" s="263"/>
      <c r="J50" s="263"/>
      <c r="K50" s="263"/>
      <c r="L50" s="265"/>
      <c r="M50" s="270"/>
      <c r="N50" s="268"/>
      <c r="O50" s="120"/>
      <c r="P50" s="121"/>
      <c r="Q50" s="269"/>
      <c r="R50" s="226"/>
      <c r="S50" s="226"/>
      <c r="T50" s="226"/>
      <c r="U50" s="226"/>
      <c r="V50" s="226"/>
      <c r="W50" s="120"/>
      <c r="X50" s="120"/>
      <c r="Y50" s="120"/>
      <c r="Z50" s="227"/>
      <c r="AA50" s="227"/>
      <c r="AB50" s="120"/>
      <c r="AC50" s="121"/>
    </row>
    <row r="51" spans="1:29" s="136" customFormat="1" x14ac:dyDescent="0.2">
      <c r="A51" s="494"/>
      <c r="B51" s="123"/>
      <c r="C51" s="123"/>
      <c r="D51" s="123"/>
      <c r="E51" s="123"/>
      <c r="F51" s="123"/>
      <c r="G51" s="124"/>
      <c r="H51" s="123"/>
      <c r="I51" s="255"/>
      <c r="J51" s="255"/>
      <c r="K51" s="255"/>
      <c r="L51" s="266"/>
      <c r="M51" s="271"/>
      <c r="N51" s="259"/>
      <c r="O51" s="124"/>
      <c r="P51" s="127"/>
      <c r="Q51" s="248"/>
      <c r="R51" s="125"/>
      <c r="S51" s="125"/>
      <c r="T51" s="125"/>
      <c r="U51" s="125"/>
      <c r="V51" s="125"/>
      <c r="W51" s="124"/>
      <c r="X51" s="124"/>
      <c r="Y51" s="124"/>
      <c r="Z51" s="126"/>
      <c r="AA51" s="126"/>
      <c r="AB51" s="124"/>
      <c r="AC51" s="127"/>
    </row>
    <row r="52" spans="1:29" s="136" customFormat="1" x14ac:dyDescent="0.2">
      <c r="A52" s="494"/>
      <c r="B52" s="123"/>
      <c r="C52" s="123"/>
      <c r="D52" s="123"/>
      <c r="E52" s="123"/>
      <c r="F52" s="123"/>
      <c r="G52" s="124"/>
      <c r="H52" s="123"/>
      <c r="I52" s="255"/>
      <c r="J52" s="255"/>
      <c r="K52" s="255"/>
      <c r="L52" s="266"/>
      <c r="M52" s="271"/>
      <c r="N52" s="259"/>
      <c r="O52" s="124"/>
      <c r="P52" s="127"/>
      <c r="Q52" s="248"/>
      <c r="R52" s="125"/>
      <c r="S52" s="125"/>
      <c r="T52" s="125"/>
      <c r="U52" s="125"/>
      <c r="V52" s="125"/>
      <c r="W52" s="124"/>
      <c r="X52" s="124"/>
      <c r="Y52" s="124"/>
      <c r="Z52" s="126"/>
      <c r="AA52" s="126"/>
      <c r="AB52" s="124"/>
      <c r="AC52" s="127"/>
    </row>
    <row r="53" spans="1:29" s="136" customFormat="1" ht="16.5" thickBot="1" x14ac:dyDescent="0.25">
      <c r="A53" s="495"/>
      <c r="B53" s="128"/>
      <c r="C53" s="128"/>
      <c r="D53" s="128"/>
      <c r="E53" s="128"/>
      <c r="F53" s="128"/>
      <c r="G53" s="129"/>
      <c r="H53" s="128"/>
      <c r="I53" s="256"/>
      <c r="J53" s="256"/>
      <c r="K53" s="256"/>
      <c r="L53" s="267"/>
      <c r="M53" s="161"/>
      <c r="N53" s="137"/>
      <c r="O53" s="129"/>
      <c r="P53" s="132"/>
      <c r="Q53" s="137"/>
      <c r="R53" s="129"/>
      <c r="S53" s="129"/>
      <c r="T53" s="129"/>
      <c r="U53" s="129"/>
      <c r="V53" s="129"/>
      <c r="W53" s="129"/>
      <c r="X53" s="129"/>
      <c r="Y53" s="129"/>
      <c r="Z53" s="131"/>
      <c r="AA53" s="131"/>
      <c r="AB53" s="129"/>
      <c r="AC53" s="132"/>
    </row>
    <row r="54" spans="1:29" s="73" customFormat="1" x14ac:dyDescent="0.2">
      <c r="A54" s="133"/>
      <c r="B54" s="133"/>
      <c r="C54" s="133"/>
      <c r="D54" s="133"/>
      <c r="E54" s="133"/>
      <c r="F54" s="133"/>
      <c r="G54" s="118"/>
      <c r="H54" s="118"/>
      <c r="I54" s="118"/>
      <c r="J54" s="118"/>
      <c r="K54" s="118"/>
      <c r="M54" s="118"/>
      <c r="V54" s="118"/>
      <c r="W54" s="118"/>
    </row>
    <row r="55" spans="1:29" s="73" customFormat="1" x14ac:dyDescent="0.2">
      <c r="A55" s="133"/>
      <c r="B55" s="133"/>
      <c r="C55" s="133"/>
      <c r="D55" s="133"/>
      <c r="E55" s="133"/>
      <c r="F55" s="118"/>
      <c r="G55" s="118"/>
      <c r="H55" s="118"/>
      <c r="I55" s="118"/>
      <c r="J55" s="118"/>
      <c r="K55" s="134"/>
      <c r="L55" s="118"/>
      <c r="M55" s="118"/>
      <c r="N55" s="118"/>
      <c r="S55" s="118"/>
      <c r="T55" s="118"/>
      <c r="U55" s="118"/>
    </row>
    <row r="56" spans="1:29" s="456" customFormat="1" ht="16.5" thickBot="1" x14ac:dyDescent="0.25">
      <c r="A56" s="133"/>
      <c r="B56" s="133"/>
      <c r="C56" s="133"/>
      <c r="D56" s="133"/>
      <c r="E56" s="118"/>
      <c r="F56" s="118"/>
      <c r="G56" s="118"/>
      <c r="H56" s="118"/>
      <c r="I56" s="118"/>
      <c r="J56" s="134"/>
      <c r="K56" s="134"/>
      <c r="L56" s="134"/>
      <c r="M56" s="134"/>
      <c r="R56" s="134"/>
    </row>
    <row r="57" spans="1:29" s="456" customFormat="1" ht="19.5" thickBot="1" x14ac:dyDescent="0.25">
      <c r="A57" s="938" t="s">
        <v>29</v>
      </c>
      <c r="B57" s="939"/>
      <c r="C57" s="940"/>
      <c r="D57" s="133"/>
      <c r="E57" s="133"/>
      <c r="F57" s="118"/>
      <c r="G57" s="118"/>
      <c r="H57" s="118"/>
      <c r="I57" s="118"/>
      <c r="J57" s="118"/>
      <c r="K57" s="134"/>
      <c r="L57" s="134"/>
      <c r="M57" s="134"/>
      <c r="N57" s="134"/>
      <c r="S57" s="134"/>
      <c r="T57" s="134"/>
      <c r="U57" s="134"/>
    </row>
    <row r="58" spans="1:29" s="456" customFormat="1" ht="16.5" thickBot="1" x14ac:dyDescent="0.25">
      <c r="A58" s="800" t="s">
        <v>625</v>
      </c>
      <c r="B58" s="801"/>
      <c r="C58" s="802"/>
      <c r="D58" s="133"/>
      <c r="E58" s="133"/>
      <c r="F58" s="133"/>
      <c r="G58" s="118"/>
      <c r="H58" s="118"/>
      <c r="I58" s="118"/>
      <c r="J58" s="118"/>
      <c r="K58" s="118"/>
      <c r="L58" s="134"/>
      <c r="N58" s="134"/>
      <c r="O58" s="134"/>
      <c r="V58" s="134"/>
    </row>
    <row r="59" spans="1:29" s="456" customFormat="1" x14ac:dyDescent="0.2">
      <c r="A59" s="506" t="s">
        <v>30</v>
      </c>
      <c r="B59" s="507"/>
      <c r="C59" s="508" t="s">
        <v>155</v>
      </c>
      <c r="D59" s="509"/>
      <c r="E59" s="509"/>
      <c r="F59" s="510"/>
      <c r="G59" s="510"/>
      <c r="H59" s="509"/>
      <c r="I59" s="510"/>
      <c r="J59" s="509"/>
      <c r="K59" s="143"/>
      <c r="L59" s="144"/>
      <c r="N59" s="134"/>
      <c r="O59" s="134"/>
      <c r="P59" s="134"/>
    </row>
    <row r="60" spans="1:29" s="456" customFormat="1" x14ac:dyDescent="0.2">
      <c r="A60" s="96" t="s">
        <v>626</v>
      </c>
      <c r="B60" s="511"/>
      <c r="C60" s="511"/>
      <c r="D60" s="512"/>
      <c r="E60" s="512"/>
      <c r="F60" s="215"/>
      <c r="G60" s="215"/>
      <c r="H60" s="512"/>
      <c r="I60" s="215"/>
      <c r="J60" s="512"/>
      <c r="K60" s="149"/>
      <c r="L60" s="150"/>
      <c r="N60" s="134"/>
      <c r="O60" s="134"/>
      <c r="P60" s="134"/>
    </row>
    <row r="61" spans="1:29" s="456" customFormat="1" x14ac:dyDescent="0.2">
      <c r="A61" s="96" t="s">
        <v>173</v>
      </c>
      <c r="B61" s="511"/>
      <c r="C61" s="511"/>
      <c r="D61" s="512"/>
      <c r="E61" s="512"/>
      <c r="F61" s="215"/>
      <c r="G61" s="215"/>
      <c r="H61" s="512"/>
      <c r="I61" s="215"/>
      <c r="J61" s="512"/>
      <c r="K61" s="149"/>
      <c r="L61" s="150"/>
      <c r="N61" s="134"/>
      <c r="O61" s="134"/>
      <c r="P61" s="134"/>
    </row>
    <row r="62" spans="1:29" s="456" customFormat="1" x14ac:dyDescent="0.2">
      <c r="A62" s="96" t="s">
        <v>987</v>
      </c>
      <c r="B62" s="511"/>
      <c r="C62" s="511"/>
      <c r="D62" s="512"/>
      <c r="E62" s="512"/>
      <c r="F62" s="215"/>
      <c r="G62" s="215"/>
      <c r="H62" s="512"/>
      <c r="I62" s="215"/>
      <c r="J62" s="512"/>
      <c r="K62" s="149"/>
      <c r="L62" s="150"/>
      <c r="N62" s="134"/>
      <c r="O62" s="134"/>
      <c r="P62" s="134"/>
    </row>
    <row r="63" spans="1:29" s="456" customFormat="1" ht="16.5" thickBot="1" x14ac:dyDescent="0.25">
      <c r="A63" s="110" t="s">
        <v>988</v>
      </c>
      <c r="B63" s="513"/>
      <c r="C63" s="513"/>
      <c r="D63" s="514"/>
      <c r="E63" s="514"/>
      <c r="F63" s="515"/>
      <c r="G63" s="515"/>
      <c r="H63" s="514"/>
      <c r="I63" s="515"/>
      <c r="J63" s="514"/>
      <c r="K63" s="154"/>
      <c r="L63" s="155"/>
      <c r="N63" s="134"/>
      <c r="O63" s="134"/>
      <c r="P63" s="134"/>
    </row>
    <row r="64" spans="1:29" s="456" customFormat="1" ht="16.5" thickBot="1" x14ac:dyDescent="0.25">
      <c r="A64" s="516"/>
      <c r="B64" s="517"/>
      <c r="C64" s="134"/>
      <c r="D64" s="133"/>
      <c r="E64" s="133"/>
      <c r="F64" s="133"/>
      <c r="G64" s="133"/>
      <c r="H64" s="118"/>
      <c r="I64" s="118"/>
      <c r="J64" s="118"/>
      <c r="K64" s="118"/>
      <c r="L64" s="118"/>
      <c r="M64" s="134"/>
      <c r="O64" s="134"/>
      <c r="P64" s="134"/>
      <c r="Q64" s="118"/>
    </row>
    <row r="65" spans="1:24" s="14" customFormat="1" ht="48" thickBot="1" x14ac:dyDescent="0.25">
      <c r="A65" s="518" t="s">
        <v>31</v>
      </c>
      <c r="B65" s="932" t="s">
        <v>628</v>
      </c>
      <c r="C65" s="933"/>
      <c r="D65" s="934"/>
      <c r="E65" s="519" t="s">
        <v>11</v>
      </c>
      <c r="F65" s="519" t="s">
        <v>14</v>
      </c>
      <c r="G65" s="519" t="s">
        <v>287</v>
      </c>
      <c r="H65" s="519" t="s">
        <v>32</v>
      </c>
      <c r="I65" s="519" t="s">
        <v>16</v>
      </c>
      <c r="J65" s="519" t="s">
        <v>17</v>
      </c>
      <c r="K65" s="519" t="s">
        <v>18</v>
      </c>
      <c r="L65" s="519" t="s">
        <v>19</v>
      </c>
      <c r="M65" s="519" t="s">
        <v>20</v>
      </c>
      <c r="N65" s="520" t="s">
        <v>123</v>
      </c>
      <c r="O65" s="519" t="s">
        <v>96</v>
      </c>
      <c r="P65" s="521" t="s">
        <v>809</v>
      </c>
    </row>
    <row r="66" spans="1:24" s="303" customFormat="1" x14ac:dyDescent="0.2">
      <c r="A66" s="269"/>
      <c r="B66" s="925"/>
      <c r="C66" s="926"/>
      <c r="D66" s="926"/>
      <c r="E66" s="226"/>
      <c r="F66" s="226"/>
      <c r="G66" s="226"/>
      <c r="H66" s="226"/>
      <c r="I66" s="226"/>
      <c r="J66" s="273"/>
      <c r="K66" s="263"/>
      <c r="L66" s="263"/>
      <c r="M66" s="306"/>
      <c r="N66" s="49"/>
      <c r="O66" s="226"/>
      <c r="P66" s="274"/>
      <c r="Q66" s="159"/>
      <c r="R66" s="159"/>
      <c r="S66" s="159"/>
      <c r="T66" s="159"/>
      <c r="U66" s="159"/>
      <c r="V66" s="160"/>
      <c r="W66" s="160"/>
      <c r="X66" s="160"/>
    </row>
    <row r="67" spans="1:24" s="303" customFormat="1" x14ac:dyDescent="0.2">
      <c r="A67" s="248"/>
      <c r="B67" s="927"/>
      <c r="C67" s="928"/>
      <c r="D67" s="928"/>
      <c r="E67" s="125"/>
      <c r="F67" s="125"/>
      <c r="G67" s="125"/>
      <c r="H67" s="125"/>
      <c r="I67" s="125"/>
      <c r="J67" s="275"/>
      <c r="K67" s="255"/>
      <c r="L67" s="255"/>
      <c r="M67" s="307"/>
      <c r="N67" s="21"/>
      <c r="O67" s="125"/>
      <c r="P67" s="276"/>
      <c r="Q67" s="159"/>
      <c r="R67" s="159"/>
      <c r="S67" s="159"/>
      <c r="T67" s="159"/>
      <c r="U67" s="159"/>
      <c r="V67" s="160"/>
      <c r="W67" s="160"/>
      <c r="X67" s="160"/>
    </row>
    <row r="68" spans="1:24" s="303" customFormat="1" x14ac:dyDescent="0.2">
      <c r="A68" s="248"/>
      <c r="B68" s="927"/>
      <c r="C68" s="928"/>
      <c r="D68" s="928"/>
      <c r="E68" s="125"/>
      <c r="F68" s="125"/>
      <c r="G68" s="125"/>
      <c r="H68" s="125"/>
      <c r="I68" s="125"/>
      <c r="J68" s="275"/>
      <c r="K68" s="255"/>
      <c r="L68" s="255"/>
      <c r="M68" s="307"/>
      <c r="N68" s="21"/>
      <c r="O68" s="125"/>
      <c r="P68" s="276"/>
      <c r="Q68" s="159"/>
      <c r="R68" s="159"/>
      <c r="S68" s="159"/>
      <c r="T68" s="159"/>
      <c r="U68" s="159"/>
      <c r="V68" s="160"/>
      <c r="W68" s="160"/>
      <c r="X68" s="160"/>
    </row>
    <row r="69" spans="1:24" s="303" customFormat="1" ht="16.5" thickBot="1" x14ac:dyDescent="0.25">
      <c r="A69" s="304"/>
      <c r="B69" s="912"/>
      <c r="C69" s="913"/>
      <c r="D69" s="913"/>
      <c r="E69" s="130"/>
      <c r="F69" s="130"/>
      <c r="G69" s="130"/>
      <c r="H69" s="130"/>
      <c r="I69" s="130"/>
      <c r="J69" s="258"/>
      <c r="K69" s="256"/>
      <c r="L69" s="256"/>
      <c r="M69" s="305"/>
      <c r="N69" s="29"/>
      <c r="O69" s="129"/>
      <c r="P69" s="132"/>
      <c r="Q69" s="159"/>
      <c r="R69" s="159"/>
      <c r="S69" s="159"/>
      <c r="T69" s="159"/>
      <c r="U69" s="159"/>
      <c r="V69" s="160"/>
      <c r="W69" s="160"/>
      <c r="X69" s="160"/>
    </row>
    <row r="70" spans="1:24" s="456" customFormat="1" x14ac:dyDescent="0.2">
      <c r="A70" s="134"/>
      <c r="B70" s="134"/>
      <c r="C70" s="522"/>
      <c r="D70" s="522"/>
      <c r="E70" s="134"/>
      <c r="F70" s="134"/>
      <c r="G70" s="134"/>
      <c r="H70" s="134"/>
      <c r="I70" s="134"/>
      <c r="J70" s="134"/>
      <c r="K70" s="134"/>
      <c r="L70" s="134"/>
      <c r="M70" s="134"/>
      <c r="O70" s="118"/>
      <c r="P70" s="118"/>
      <c r="Q70" s="118"/>
      <c r="R70" s="118"/>
      <c r="S70" s="118"/>
      <c r="T70" s="118"/>
      <c r="U70" s="118"/>
      <c r="V70" s="134"/>
      <c r="W70" s="134"/>
      <c r="X70" s="134"/>
    </row>
    <row r="71" spans="1:24" s="456" customFormat="1" ht="16.5" thickBot="1" x14ac:dyDescent="0.25">
      <c r="A71" s="133"/>
      <c r="B71" s="133"/>
      <c r="C71" s="133"/>
      <c r="D71" s="133"/>
      <c r="E71" s="133"/>
      <c r="F71" s="133"/>
      <c r="G71" s="133"/>
      <c r="H71" s="133"/>
      <c r="I71" s="118"/>
      <c r="J71" s="118"/>
      <c r="K71" s="118"/>
      <c r="L71" s="118"/>
      <c r="M71" s="118"/>
      <c r="N71" s="134"/>
      <c r="O71" s="134"/>
      <c r="P71" s="134"/>
      <c r="Q71" s="134"/>
      <c r="R71" s="134"/>
      <c r="S71" s="134"/>
      <c r="T71" s="134"/>
      <c r="U71" s="134"/>
      <c r="V71" s="134"/>
      <c r="W71" s="118"/>
    </row>
    <row r="72" spans="1:24" s="456" customFormat="1" ht="19.5" thickBot="1" x14ac:dyDescent="0.25">
      <c r="A72" s="938" t="s">
        <v>34</v>
      </c>
      <c r="B72" s="939"/>
      <c r="C72" s="940"/>
      <c r="D72" s="523"/>
      <c r="E72" s="133"/>
      <c r="F72" s="133"/>
      <c r="G72" s="133"/>
      <c r="H72" s="133"/>
      <c r="I72" s="118"/>
      <c r="J72" s="118"/>
      <c r="K72" s="118"/>
      <c r="L72" s="118"/>
      <c r="M72" s="118"/>
      <c r="N72" s="134"/>
      <c r="O72" s="134"/>
      <c r="P72" s="134"/>
      <c r="Q72" s="134"/>
      <c r="R72" s="134"/>
      <c r="S72" s="134"/>
      <c r="T72" s="134"/>
      <c r="U72" s="134"/>
      <c r="V72" s="134"/>
      <c r="W72" s="118"/>
    </row>
    <row r="73" spans="1:24" s="456" customFormat="1" ht="16.5" thickBot="1" x14ac:dyDescent="0.25">
      <c r="A73" s="800" t="s">
        <v>625</v>
      </c>
      <c r="B73" s="801"/>
      <c r="C73" s="802"/>
      <c r="D73" s="200"/>
      <c r="E73" s="200"/>
      <c r="F73" s="200"/>
      <c r="G73" s="200"/>
      <c r="H73" s="194"/>
      <c r="I73" s="194"/>
      <c r="J73" s="200"/>
      <c r="K73" s="194"/>
      <c r="L73" s="200"/>
      <c r="M73" s="118"/>
      <c r="N73" s="134"/>
      <c r="O73" s="134"/>
      <c r="P73" s="134"/>
      <c r="Q73" s="134"/>
      <c r="R73" s="134"/>
      <c r="S73" s="134"/>
      <c r="T73" s="134"/>
      <c r="U73" s="134"/>
      <c r="V73" s="134"/>
      <c r="W73" s="118"/>
    </row>
    <row r="74" spans="1:24" s="456" customFormat="1" x14ac:dyDescent="0.2">
      <c r="A74" s="506" t="s">
        <v>30</v>
      </c>
      <c r="B74" s="470"/>
      <c r="C74" s="508" t="s">
        <v>155</v>
      </c>
      <c r="D74" s="508"/>
      <c r="E74" s="509"/>
      <c r="F74" s="509"/>
      <c r="G74" s="509"/>
      <c r="H74" s="510"/>
      <c r="I74" s="510"/>
      <c r="J74" s="509"/>
      <c r="K74" s="510"/>
      <c r="L74" s="524"/>
      <c r="M74" s="118"/>
      <c r="N74" s="134"/>
      <c r="O74" s="134"/>
      <c r="P74" s="134"/>
      <c r="Q74" s="134"/>
      <c r="R74" s="134"/>
      <c r="S74" s="134"/>
      <c r="T74" s="134"/>
      <c r="U74" s="134"/>
      <c r="V74" s="134"/>
      <c r="W74" s="118"/>
    </row>
    <row r="75" spans="1:24" s="456" customFormat="1" x14ac:dyDescent="0.2">
      <c r="A75" s="96" t="s">
        <v>35</v>
      </c>
      <c r="B75" s="512"/>
      <c r="C75" s="512"/>
      <c r="D75" s="512"/>
      <c r="E75" s="512"/>
      <c r="F75" s="512"/>
      <c r="G75" s="512"/>
      <c r="H75" s="215"/>
      <c r="I75" s="215"/>
      <c r="J75" s="512"/>
      <c r="K75" s="215"/>
      <c r="L75" s="525"/>
      <c r="M75" s="118"/>
      <c r="N75" s="134"/>
      <c r="O75" s="134"/>
      <c r="P75" s="134"/>
      <c r="Q75" s="134"/>
      <c r="R75" s="134"/>
      <c r="S75" s="134"/>
      <c r="T75" s="134"/>
      <c r="U75" s="134"/>
      <c r="V75" s="134"/>
      <c r="W75" s="118"/>
    </row>
    <row r="76" spans="1:24" s="456" customFormat="1" x14ac:dyDescent="0.2">
      <c r="A76" s="96" t="s">
        <v>174</v>
      </c>
      <c r="B76" s="512"/>
      <c r="C76" s="512"/>
      <c r="D76" s="512"/>
      <c r="E76" s="512"/>
      <c r="F76" s="512"/>
      <c r="G76" s="512"/>
      <c r="H76" s="215"/>
      <c r="I76" s="215"/>
      <c r="J76" s="512"/>
      <c r="K76" s="215"/>
      <c r="L76" s="525"/>
      <c r="M76" s="118"/>
      <c r="N76" s="134"/>
      <c r="O76" s="134"/>
      <c r="P76" s="134"/>
      <c r="Q76" s="134"/>
      <c r="R76" s="134"/>
      <c r="S76" s="134"/>
      <c r="T76" s="134"/>
      <c r="U76" s="134"/>
      <c r="V76" s="134"/>
      <c r="W76" s="118"/>
    </row>
    <row r="77" spans="1:24" s="456" customFormat="1" x14ac:dyDescent="0.2">
      <c r="A77" s="96" t="s">
        <v>987</v>
      </c>
      <c r="B77" s="512"/>
      <c r="C77" s="512"/>
      <c r="D77" s="512"/>
      <c r="E77" s="512"/>
      <c r="F77" s="512"/>
      <c r="G77" s="512"/>
      <c r="H77" s="215"/>
      <c r="I77" s="215"/>
      <c r="J77" s="512"/>
      <c r="K77" s="215"/>
      <c r="L77" s="525"/>
      <c r="M77" s="118"/>
      <c r="N77" s="134"/>
      <c r="O77" s="134"/>
      <c r="P77" s="134"/>
      <c r="Q77" s="134"/>
      <c r="R77" s="134"/>
      <c r="S77" s="134"/>
      <c r="T77" s="134"/>
      <c r="U77" s="134"/>
      <c r="V77" s="134"/>
      <c r="W77" s="118"/>
    </row>
    <row r="78" spans="1:24" s="456" customFormat="1" ht="16.5" thickBot="1" x14ac:dyDescent="0.25">
      <c r="A78" s="110" t="s">
        <v>988</v>
      </c>
      <c r="B78" s="514"/>
      <c r="C78" s="514"/>
      <c r="D78" s="514"/>
      <c r="E78" s="514"/>
      <c r="F78" s="514"/>
      <c r="G78" s="514"/>
      <c r="H78" s="515"/>
      <c r="I78" s="515"/>
      <c r="J78" s="514"/>
      <c r="K78" s="515"/>
      <c r="L78" s="526"/>
      <c r="M78" s="118"/>
      <c r="N78" s="134"/>
      <c r="O78" s="134"/>
      <c r="P78" s="134"/>
      <c r="Q78" s="134"/>
      <c r="R78" s="134"/>
      <c r="S78" s="134"/>
      <c r="T78" s="134"/>
      <c r="U78" s="134"/>
      <c r="V78" s="134"/>
      <c r="W78" s="118"/>
    </row>
    <row r="79" spans="1:24" s="456" customFormat="1" ht="16.5" thickBot="1" x14ac:dyDescent="0.25">
      <c r="A79" s="527"/>
      <c r="E79" s="200"/>
      <c r="F79" s="200"/>
      <c r="G79" s="200"/>
      <c r="H79" s="194"/>
      <c r="I79" s="517"/>
      <c r="J79" s="200"/>
      <c r="K79" s="194"/>
      <c r="L79" s="200"/>
      <c r="M79" s="118"/>
      <c r="N79" s="134"/>
      <c r="O79" s="134"/>
      <c r="P79" s="134"/>
      <c r="Q79" s="134"/>
      <c r="R79" s="118"/>
      <c r="V79" s="528"/>
      <c r="W79" s="528"/>
    </row>
    <row r="80" spans="1:24" s="14" customFormat="1" ht="32.25" thickBot="1" x14ac:dyDescent="0.25">
      <c r="A80" s="518" t="s">
        <v>31</v>
      </c>
      <c r="B80" s="932" t="s">
        <v>13</v>
      </c>
      <c r="C80" s="933"/>
      <c r="D80" s="934"/>
      <c r="E80" s="519" t="s">
        <v>12</v>
      </c>
      <c r="F80" s="519" t="s">
        <v>14</v>
      </c>
      <c r="G80" s="519" t="s">
        <v>276</v>
      </c>
      <c r="H80" s="519" t="s">
        <v>32</v>
      </c>
      <c r="I80" s="519" t="s">
        <v>16</v>
      </c>
      <c r="J80" s="519" t="s">
        <v>17</v>
      </c>
      <c r="K80" s="519" t="s">
        <v>18</v>
      </c>
      <c r="L80" s="519" t="s">
        <v>19</v>
      </c>
      <c r="M80" s="519" t="s">
        <v>20</v>
      </c>
      <c r="N80" s="520" t="s">
        <v>123</v>
      </c>
      <c r="O80" s="519" t="s">
        <v>94</v>
      </c>
      <c r="P80" s="521" t="s">
        <v>807</v>
      </c>
      <c r="W80" s="13"/>
    </row>
    <row r="81" spans="1:23" s="303" customFormat="1" x14ac:dyDescent="0.2">
      <c r="A81" s="269"/>
      <c r="B81" s="925"/>
      <c r="C81" s="926"/>
      <c r="D81" s="926"/>
      <c r="E81" s="226"/>
      <c r="F81" s="226"/>
      <c r="G81" s="226"/>
      <c r="H81" s="226"/>
      <c r="I81" s="226"/>
      <c r="J81" s="263"/>
      <c r="K81" s="263"/>
      <c r="L81" s="263"/>
      <c r="M81" s="263"/>
      <c r="N81" s="49"/>
      <c r="O81" s="226"/>
      <c r="P81" s="274"/>
      <c r="Q81" s="160"/>
      <c r="R81" s="160"/>
      <c r="S81" s="160"/>
      <c r="T81" s="160"/>
      <c r="U81" s="160"/>
      <c r="V81" s="160"/>
      <c r="W81" s="159"/>
    </row>
    <row r="82" spans="1:23" s="303" customFormat="1" x14ac:dyDescent="0.2">
      <c r="A82" s="248"/>
      <c r="B82" s="927"/>
      <c r="C82" s="928"/>
      <c r="D82" s="928"/>
      <c r="E82" s="125"/>
      <c r="F82" s="125"/>
      <c r="G82" s="125"/>
      <c r="H82" s="125"/>
      <c r="I82" s="125"/>
      <c r="J82" s="255"/>
      <c r="K82" s="255"/>
      <c r="L82" s="255"/>
      <c r="M82" s="255"/>
      <c r="N82" s="21"/>
      <c r="O82" s="125"/>
      <c r="P82" s="276"/>
      <c r="Q82" s="160"/>
      <c r="R82" s="160"/>
      <c r="S82" s="160"/>
      <c r="T82" s="160"/>
      <c r="U82" s="160"/>
      <c r="V82" s="160"/>
      <c r="W82" s="159"/>
    </row>
    <row r="83" spans="1:23" s="303" customFormat="1" x14ac:dyDescent="0.2">
      <c r="A83" s="248"/>
      <c r="B83" s="927"/>
      <c r="C83" s="928"/>
      <c r="D83" s="928"/>
      <c r="E83" s="125"/>
      <c r="F83" s="125"/>
      <c r="G83" s="125"/>
      <c r="H83" s="125"/>
      <c r="I83" s="125"/>
      <c r="J83" s="255"/>
      <c r="K83" s="255"/>
      <c r="L83" s="255"/>
      <c r="M83" s="255"/>
      <c r="N83" s="21"/>
      <c r="O83" s="125"/>
      <c r="P83" s="276"/>
      <c r="Q83" s="160"/>
      <c r="R83" s="160"/>
      <c r="S83" s="160"/>
      <c r="T83" s="160"/>
      <c r="U83" s="160"/>
      <c r="V83" s="160"/>
      <c r="W83" s="159"/>
    </row>
    <row r="84" spans="1:23" s="303" customFormat="1" ht="16.5" thickBot="1" x14ac:dyDescent="0.25">
      <c r="A84" s="304"/>
      <c r="B84" s="912"/>
      <c r="C84" s="913"/>
      <c r="D84" s="913"/>
      <c r="E84" s="130"/>
      <c r="F84" s="130"/>
      <c r="G84" s="130"/>
      <c r="H84" s="130"/>
      <c r="I84" s="130"/>
      <c r="J84" s="256"/>
      <c r="K84" s="256"/>
      <c r="L84" s="256"/>
      <c r="M84" s="256"/>
      <c r="N84" s="29"/>
      <c r="O84" s="129"/>
      <c r="P84" s="132"/>
      <c r="Q84" s="160"/>
      <c r="R84" s="160"/>
      <c r="S84" s="160"/>
      <c r="T84" s="160"/>
      <c r="U84" s="160"/>
      <c r="V84" s="160"/>
      <c r="W84" s="159"/>
    </row>
    <row r="85" spans="1:23" s="456" customFormat="1" ht="16.5" thickBot="1" x14ac:dyDescent="0.25">
      <c r="A85" s="133"/>
      <c r="B85" s="133"/>
      <c r="C85" s="133"/>
      <c r="D85" s="133"/>
      <c r="E85" s="133"/>
      <c r="F85" s="133"/>
      <c r="G85" s="133"/>
      <c r="H85" s="118"/>
      <c r="I85" s="118"/>
      <c r="J85" s="118"/>
      <c r="K85" s="118"/>
      <c r="L85" s="118"/>
      <c r="M85" s="134"/>
      <c r="N85" s="134"/>
      <c r="O85" s="134"/>
      <c r="P85" s="134"/>
      <c r="Q85" s="134"/>
      <c r="R85" s="134"/>
      <c r="S85" s="134"/>
      <c r="T85" s="134"/>
      <c r="U85" s="134"/>
      <c r="V85" s="118"/>
    </row>
    <row r="86" spans="1:23" s="73" customFormat="1" ht="16.5" thickBot="1" x14ac:dyDescent="0.25">
      <c r="A86" s="822" t="s">
        <v>36</v>
      </c>
      <c r="B86" s="823"/>
      <c r="C86" s="823"/>
      <c r="D86" s="823"/>
      <c r="E86" s="823"/>
      <c r="F86" s="823"/>
      <c r="G86" s="823"/>
      <c r="H86" s="823"/>
      <c r="I86" s="824"/>
      <c r="J86" s="169"/>
      <c r="K86" s="118"/>
      <c r="L86" s="134"/>
      <c r="M86" s="134"/>
      <c r="N86" s="134"/>
      <c r="O86" s="134"/>
      <c r="P86" s="134"/>
      <c r="Q86" s="134"/>
      <c r="R86" s="134"/>
      <c r="S86" s="118"/>
      <c r="T86" s="118"/>
      <c r="U86" s="118"/>
    </row>
    <row r="87" spans="1:23" s="73" customFormat="1" ht="16.5" thickBot="1" x14ac:dyDescent="0.25">
      <c r="A87" s="935" t="s">
        <v>37</v>
      </c>
      <c r="B87" s="936"/>
      <c r="C87" s="936"/>
      <c r="D87" s="936"/>
      <c r="E87" s="936"/>
      <c r="F87" s="936"/>
      <c r="G87" s="936"/>
      <c r="H87" s="936"/>
      <c r="I87" s="937"/>
      <c r="J87" s="170"/>
      <c r="K87" s="118"/>
      <c r="L87" s="134"/>
      <c r="M87" s="134"/>
      <c r="N87" s="134"/>
      <c r="O87" s="134"/>
      <c r="P87" s="134"/>
      <c r="Q87" s="134"/>
      <c r="R87" s="134"/>
      <c r="S87" s="118"/>
      <c r="T87" s="118"/>
      <c r="U87" s="118"/>
    </row>
    <row r="88" spans="1:23" s="308" customFormat="1" ht="15.75" customHeight="1" thickBot="1" x14ac:dyDescent="0.25">
      <c r="A88" s="665" t="s">
        <v>296</v>
      </c>
      <c r="B88" s="909" t="s">
        <v>1129</v>
      </c>
      <c r="C88" s="910"/>
      <c r="D88" s="910"/>
      <c r="E88" s="910"/>
      <c r="F88" s="910"/>
      <c r="G88" s="910"/>
      <c r="H88" s="910"/>
      <c r="I88" s="911"/>
      <c r="J88" s="171"/>
      <c r="K88" s="172"/>
      <c r="L88" s="173"/>
      <c r="M88" s="173"/>
      <c r="N88" s="173"/>
      <c r="O88" s="173"/>
      <c r="P88" s="173"/>
      <c r="Q88" s="173"/>
      <c r="R88" s="173"/>
      <c r="S88" s="172"/>
      <c r="T88" s="172"/>
      <c r="U88" s="172"/>
    </row>
    <row r="89" spans="1:23" s="73" customFormat="1" ht="16.5" thickBot="1" x14ac:dyDescent="0.25">
      <c r="A89" s="196"/>
      <c r="B89" s="169"/>
      <c r="C89" s="169"/>
      <c r="D89" s="169"/>
      <c r="E89" s="169"/>
      <c r="F89" s="176"/>
      <c r="G89" s="176"/>
      <c r="H89" s="176"/>
      <c r="I89" s="176"/>
      <c r="J89" s="176"/>
      <c r="K89" s="118"/>
      <c r="L89" s="134"/>
      <c r="M89" s="134"/>
      <c r="N89" s="134"/>
      <c r="O89" s="134"/>
      <c r="P89" s="134"/>
      <c r="Q89" s="118"/>
    </row>
    <row r="90" spans="1:23" s="73" customFormat="1" ht="16.5" customHeight="1" thickBot="1" x14ac:dyDescent="0.25">
      <c r="A90" s="917" t="s">
        <v>214</v>
      </c>
      <c r="B90" s="918"/>
      <c r="C90" s="918"/>
      <c r="D90" s="918"/>
      <c r="E90" s="918"/>
      <c r="F90" s="918"/>
      <c r="G90" s="918"/>
      <c r="H90" s="930" t="s">
        <v>226</v>
      </c>
      <c r="I90" s="786" t="s">
        <v>627</v>
      </c>
      <c r="J90" s="786" t="s">
        <v>215</v>
      </c>
      <c r="K90" s="786" t="s">
        <v>23</v>
      </c>
      <c r="L90" s="786" t="s">
        <v>302</v>
      </c>
      <c r="M90" s="788" t="s">
        <v>83</v>
      </c>
      <c r="N90" s="134"/>
      <c r="O90" s="118"/>
      <c r="P90" s="456"/>
      <c r="Q90" s="528"/>
      <c r="R90" s="528"/>
    </row>
    <row r="91" spans="1:23" s="446" customFormat="1" ht="16.5" thickBot="1" x14ac:dyDescent="0.25">
      <c r="A91" s="919" t="s">
        <v>887</v>
      </c>
      <c r="B91" s="920"/>
      <c r="C91" s="920"/>
      <c r="D91" s="920"/>
      <c r="E91" s="920"/>
      <c r="F91" s="920"/>
      <c r="G91" s="921"/>
      <c r="H91" s="931"/>
      <c r="I91" s="908"/>
      <c r="J91" s="908"/>
      <c r="K91" s="908"/>
      <c r="L91" s="908"/>
      <c r="M91" s="929"/>
      <c r="N91" s="177"/>
      <c r="O91" s="177"/>
      <c r="P91" s="177"/>
      <c r="Q91" s="177"/>
      <c r="R91" s="177"/>
    </row>
    <row r="92" spans="1:23" s="446" customFormat="1" ht="15.75" customHeight="1" thickBot="1" x14ac:dyDescent="0.25">
      <c r="A92" s="914" t="s">
        <v>353</v>
      </c>
      <c r="B92" s="915"/>
      <c r="C92" s="915"/>
      <c r="D92" s="915"/>
      <c r="E92" s="915"/>
      <c r="F92" s="915"/>
      <c r="G92" s="916"/>
      <c r="H92" s="931"/>
      <c r="I92" s="908"/>
      <c r="J92" s="908"/>
      <c r="K92" s="908"/>
      <c r="L92" s="908"/>
      <c r="M92" s="929"/>
      <c r="N92" s="177"/>
      <c r="O92" s="177"/>
      <c r="P92" s="177"/>
      <c r="Q92" s="177"/>
      <c r="R92" s="177"/>
    </row>
    <row r="93" spans="1:23" s="136" customFormat="1" ht="15.75" customHeight="1" x14ac:dyDescent="0.2">
      <c r="A93" s="178" t="s">
        <v>234</v>
      </c>
      <c r="B93" s="942" t="str">
        <f>IF($A93="","",VLOOKUP($A93,Listes!$A$3:$C$193,2,FALSE))</f>
        <v>Bunker Adjustment Factor</v>
      </c>
      <c r="C93" s="942"/>
      <c r="D93" s="942"/>
      <c r="E93" s="941" t="s">
        <v>51</v>
      </c>
      <c r="F93" s="941"/>
      <c r="G93" s="941"/>
      <c r="H93" s="658"/>
      <c r="I93" s="529"/>
      <c r="J93" s="529"/>
      <c r="K93" s="529"/>
      <c r="L93" s="529"/>
      <c r="M93" s="530"/>
      <c r="N93" s="160"/>
      <c r="O93" s="160"/>
      <c r="P93" s="160"/>
      <c r="Q93" s="160"/>
      <c r="R93" s="159"/>
    </row>
    <row r="94" spans="1:23" s="136" customFormat="1" ht="15.75" customHeight="1" x14ac:dyDescent="0.2">
      <c r="A94" s="182" t="s">
        <v>86</v>
      </c>
      <c r="B94" s="813" t="str">
        <f>IF($A94="","",VLOOKUP($A94,Listes!$A$3:$C$193,2,FALSE))</f>
        <v>Currency Adjustment Factor</v>
      </c>
      <c r="C94" s="813"/>
      <c r="D94" s="813"/>
      <c r="E94" s="814" t="s">
        <v>53</v>
      </c>
      <c r="F94" s="814"/>
      <c r="G94" s="814"/>
      <c r="H94" s="657"/>
      <c r="I94" s="531"/>
      <c r="J94" s="531"/>
      <c r="K94" s="531"/>
      <c r="L94" s="531"/>
      <c r="M94" s="532"/>
      <c r="N94" s="160"/>
      <c r="O94" s="160"/>
      <c r="P94" s="160"/>
      <c r="Q94" s="160"/>
      <c r="R94" s="159"/>
    </row>
    <row r="95" spans="1:23" s="136" customFormat="1" ht="15.75" customHeight="1" x14ac:dyDescent="0.2">
      <c r="A95" s="182" t="s">
        <v>557</v>
      </c>
      <c r="B95" s="813" t="str">
        <f>IF($A95="","",VLOOKUP($A95,Listes!$A$3:$C$193,2,FALSE))</f>
        <v>Cargo Facility Charge</v>
      </c>
      <c r="C95" s="813"/>
      <c r="D95" s="813"/>
      <c r="E95" s="814" t="s">
        <v>51</v>
      </c>
      <c r="F95" s="814"/>
      <c r="G95" s="814"/>
      <c r="H95" s="657"/>
      <c r="I95" s="531"/>
      <c r="J95" s="531"/>
      <c r="K95" s="531"/>
      <c r="L95" s="531"/>
      <c r="M95" s="532"/>
      <c r="N95" s="160"/>
      <c r="O95" s="160"/>
      <c r="P95" s="160"/>
      <c r="Q95" s="160"/>
      <c r="R95" s="159"/>
    </row>
    <row r="96" spans="1:23" s="136" customFormat="1" ht="15.75" customHeight="1" x14ac:dyDescent="0.2">
      <c r="A96" s="182" t="s">
        <v>1103</v>
      </c>
      <c r="B96" s="813" t="str">
        <f>IF($A96="","",VLOOKUP($A96,Listes!$A$3:$C$193,2,FALSE))</f>
        <v>Chassis Administration Fee Pre-Carriage</v>
      </c>
      <c r="C96" s="813"/>
      <c r="D96" s="813"/>
      <c r="E96" s="814" t="s">
        <v>51</v>
      </c>
      <c r="F96" s="814"/>
      <c r="G96" s="814"/>
      <c r="H96" s="657"/>
      <c r="I96" s="531"/>
      <c r="J96" s="531"/>
      <c r="K96" s="531"/>
      <c r="L96" s="531"/>
      <c r="M96" s="532"/>
      <c r="N96" s="160"/>
      <c r="O96" s="160"/>
      <c r="P96" s="160"/>
      <c r="Q96" s="160"/>
      <c r="R96" s="159"/>
    </row>
    <row r="97" spans="1:18" s="136" customFormat="1" ht="15.75" customHeight="1" x14ac:dyDescent="0.2">
      <c r="A97" s="182" t="s">
        <v>1335</v>
      </c>
      <c r="B97" s="813" t="str">
        <f>IF($A97="","",VLOOKUP($A97,Listes!$A$3:$C$193,2,FALSE))</f>
        <v>Container Cleaning Surcharge Destination</v>
      </c>
      <c r="C97" s="813"/>
      <c r="D97" s="813"/>
      <c r="E97" s="814" t="s">
        <v>51</v>
      </c>
      <c r="F97" s="814"/>
      <c r="G97" s="814"/>
      <c r="H97" s="657"/>
      <c r="I97" s="531"/>
      <c r="J97" s="531"/>
      <c r="K97" s="531"/>
      <c r="L97" s="531"/>
      <c r="M97" s="532"/>
      <c r="N97" s="160"/>
      <c r="O97" s="160"/>
      <c r="P97" s="160"/>
      <c r="Q97" s="160"/>
      <c r="R97" s="159"/>
    </row>
    <row r="98" spans="1:18" s="136" customFormat="1" ht="15.75" customHeight="1" x14ac:dyDescent="0.2">
      <c r="A98" s="182" t="s">
        <v>202</v>
      </c>
      <c r="B98" s="813" t="str">
        <f>IF($A98="","",VLOOKUP($A98,Listes!$A$3:$C$193,2,FALSE))</f>
        <v>Container Inspection Fee/Survey Fee</v>
      </c>
      <c r="C98" s="813"/>
      <c r="D98" s="813"/>
      <c r="E98" s="814" t="s">
        <v>51</v>
      </c>
      <c r="F98" s="814"/>
      <c r="G98" s="814"/>
      <c r="H98" s="657"/>
      <c r="I98" s="531"/>
      <c r="J98" s="531"/>
      <c r="K98" s="531"/>
      <c r="L98" s="531"/>
      <c r="M98" s="532"/>
      <c r="N98" s="160"/>
      <c r="O98" s="160"/>
      <c r="P98" s="160"/>
      <c r="Q98" s="160"/>
      <c r="R98" s="159"/>
    </row>
    <row r="99" spans="1:18" s="136" customFormat="1" ht="16.5" customHeight="1" x14ac:dyDescent="0.2">
      <c r="A99" s="664" t="s">
        <v>9</v>
      </c>
      <c r="B99" s="813" t="str">
        <f>IF($A99="","",VLOOKUP($A99,Listes!$A$3:$C$193,2,FALSE))</f>
        <v>Container Management Fee</v>
      </c>
      <c r="C99" s="813"/>
      <c r="D99" s="813"/>
      <c r="E99" s="814" t="s">
        <v>51</v>
      </c>
      <c r="F99" s="814"/>
      <c r="G99" s="814"/>
      <c r="H99" s="657"/>
      <c r="I99" s="531"/>
      <c r="J99" s="531"/>
      <c r="K99" s="531"/>
      <c r="L99" s="531"/>
      <c r="M99" s="532"/>
      <c r="N99" s="160"/>
      <c r="O99" s="160"/>
      <c r="P99" s="160"/>
      <c r="Q99" s="160"/>
      <c r="R99" s="159"/>
    </row>
    <row r="100" spans="1:18" s="136" customFormat="1" ht="15.75" customHeight="1" x14ac:dyDescent="0.2">
      <c r="A100" s="182" t="s">
        <v>551</v>
      </c>
      <c r="B100" s="813" t="str">
        <f>IF($A100="","",VLOOKUP($A100,Listes!$A$3:$C$193,2,FALSE))</f>
        <v>Chassis Provision Charge</v>
      </c>
      <c r="C100" s="813"/>
      <c r="D100" s="813"/>
      <c r="E100" s="814" t="s">
        <v>51</v>
      </c>
      <c r="F100" s="814"/>
      <c r="G100" s="814"/>
      <c r="H100" s="657"/>
      <c r="I100" s="531"/>
      <c r="J100" s="531"/>
      <c r="K100" s="531"/>
      <c r="L100" s="531"/>
      <c r="M100" s="532"/>
      <c r="N100" s="160"/>
      <c r="O100" s="160"/>
      <c r="P100" s="160"/>
      <c r="Q100" s="160"/>
      <c r="R100" s="159"/>
    </row>
    <row r="101" spans="1:18" s="136" customFormat="1" ht="15.75" customHeight="1" x14ac:dyDescent="0.2">
      <c r="A101" s="182" t="s">
        <v>263</v>
      </c>
      <c r="B101" s="813" t="str">
        <f>IF($A101="","",VLOOKUP($A101,Listes!$A$3:$C$193,2,FALSE))</f>
        <v>Carrier Security Charge</v>
      </c>
      <c r="C101" s="813"/>
      <c r="D101" s="813"/>
      <c r="E101" s="814" t="s">
        <v>51</v>
      </c>
      <c r="F101" s="814"/>
      <c r="G101" s="814"/>
      <c r="H101" s="657"/>
      <c r="I101" s="531"/>
      <c r="J101" s="531"/>
      <c r="K101" s="531"/>
      <c r="L101" s="531"/>
      <c r="M101" s="532"/>
      <c r="N101" s="160"/>
      <c r="O101" s="160"/>
      <c r="P101" s="160"/>
      <c r="Q101" s="160"/>
      <c r="R101" s="159"/>
    </row>
    <row r="102" spans="1:18" s="136" customFormat="1" ht="15.75" customHeight="1" x14ac:dyDescent="0.2">
      <c r="A102" s="182" t="s">
        <v>1262</v>
      </c>
      <c r="B102" s="813" t="str">
        <f>IF($A102="","",VLOOKUP($A102,Listes!$A$3:$C$193,2,FALSE))</f>
        <v>Container Maintenance Charge Destination</v>
      </c>
      <c r="C102" s="813"/>
      <c r="D102" s="813"/>
      <c r="E102" s="814" t="s">
        <v>51</v>
      </c>
      <c r="F102" s="814"/>
      <c r="G102" s="814"/>
      <c r="H102" s="657"/>
      <c r="I102" s="531"/>
      <c r="J102" s="531"/>
      <c r="K102" s="531"/>
      <c r="L102" s="531"/>
      <c r="M102" s="532"/>
      <c r="N102" s="160"/>
      <c r="O102" s="160"/>
      <c r="P102" s="160"/>
      <c r="Q102" s="160"/>
      <c r="R102" s="159"/>
    </row>
    <row r="103" spans="1:18" s="136" customFormat="1" ht="15.75" customHeight="1" x14ac:dyDescent="0.2">
      <c r="A103" s="182" t="s">
        <v>213</v>
      </c>
      <c r="B103" s="813" t="str">
        <f>IF($A103="","",VLOOKUP($A103,Listes!$A$3:$C$193,2,FALSE))</f>
        <v>Delivery Order Fee - Special Requirement, Carrier</v>
      </c>
      <c r="C103" s="813"/>
      <c r="D103" s="813"/>
      <c r="E103" s="814" t="s">
        <v>51</v>
      </c>
      <c r="F103" s="814"/>
      <c r="G103" s="814"/>
      <c r="H103" s="657"/>
      <c r="I103" s="531"/>
      <c r="J103" s="531"/>
      <c r="K103" s="531"/>
      <c r="L103" s="531"/>
      <c r="M103" s="532"/>
      <c r="N103" s="160"/>
      <c r="O103" s="160"/>
      <c r="P103" s="160"/>
      <c r="Q103" s="160"/>
      <c r="R103" s="159"/>
    </row>
    <row r="104" spans="1:18" s="136" customFormat="1" ht="15.75" customHeight="1" x14ac:dyDescent="0.2">
      <c r="A104" s="182" t="s">
        <v>230</v>
      </c>
      <c r="B104" s="813" t="str">
        <f>IF($A104="","",VLOOKUP($A104,Listes!$A$3:$C$193,2,FALSE))</f>
        <v>Destination THC / Destination Receiving Charge</v>
      </c>
      <c r="C104" s="813"/>
      <c r="D104" s="813"/>
      <c r="E104" s="814" t="s">
        <v>51</v>
      </c>
      <c r="F104" s="814"/>
      <c r="G104" s="814"/>
      <c r="H104" s="657"/>
      <c r="I104" s="531"/>
      <c r="J104" s="531"/>
      <c r="K104" s="531"/>
      <c r="L104" s="531"/>
      <c r="M104" s="532"/>
      <c r="N104" s="160"/>
      <c r="O104" s="160"/>
      <c r="P104" s="160"/>
      <c r="Q104" s="160"/>
      <c r="R104" s="159"/>
    </row>
    <row r="105" spans="1:18" s="136" customFormat="1" ht="15.75" customHeight="1" x14ac:dyDescent="0.2">
      <c r="A105" s="182" t="s">
        <v>1081</v>
      </c>
      <c r="B105" s="813" t="str">
        <f>IF($A105="","",VLOOKUP($A105,Listes!$A$3:$C$193,2,FALSE))</f>
        <v>Equipment Imbalance Surcharge at Origin</v>
      </c>
      <c r="C105" s="813"/>
      <c r="D105" s="813"/>
      <c r="E105" s="814" t="s">
        <v>51</v>
      </c>
      <c r="F105" s="814"/>
      <c r="G105" s="814"/>
      <c r="H105" s="657"/>
      <c r="I105" s="531"/>
      <c r="J105" s="531"/>
      <c r="K105" s="531"/>
      <c r="L105" s="531"/>
      <c r="M105" s="532"/>
      <c r="N105" s="160"/>
      <c r="O105" s="160"/>
      <c r="P105" s="160"/>
      <c r="Q105" s="160"/>
      <c r="R105" s="159"/>
    </row>
    <row r="106" spans="1:18" s="136" customFormat="1" ht="15.75" customHeight="1" x14ac:dyDescent="0.2">
      <c r="A106" s="182" t="s">
        <v>1082</v>
      </c>
      <c r="B106" s="813" t="str">
        <f>IF($A106="","",VLOOKUP($A106,Listes!$A$3:$C$193,2,FALSE))</f>
        <v>Equipment Imbalance Surcharge at Destination</v>
      </c>
      <c r="C106" s="813"/>
      <c r="D106" s="813"/>
      <c r="E106" s="814" t="s">
        <v>51</v>
      </c>
      <c r="F106" s="814"/>
      <c r="G106" s="814"/>
      <c r="H106" s="657"/>
      <c r="I106" s="531"/>
      <c r="J106" s="531"/>
      <c r="K106" s="531"/>
      <c r="L106" s="531"/>
      <c r="M106" s="532"/>
      <c r="N106" s="160"/>
      <c r="O106" s="160"/>
      <c r="P106" s="160"/>
      <c r="Q106" s="160"/>
      <c r="R106" s="159"/>
    </row>
    <row r="107" spans="1:18" s="136" customFormat="1" ht="15.75" customHeight="1" x14ac:dyDescent="0.2">
      <c r="A107" s="182" t="s">
        <v>874</v>
      </c>
      <c r="B107" s="813" t="str">
        <f>IF($A107="","",VLOOKUP($A107,Listes!$A$3:$C$193,2,FALSE))</f>
        <v>Export Documentation Fees - Carrier</v>
      </c>
      <c r="C107" s="813"/>
      <c r="D107" s="813"/>
      <c r="E107" s="814" t="s">
        <v>51</v>
      </c>
      <c r="F107" s="814"/>
      <c r="G107" s="814"/>
      <c r="H107" s="657"/>
      <c r="I107" s="531"/>
      <c r="J107" s="531"/>
      <c r="K107" s="531"/>
      <c r="L107" s="531"/>
      <c r="M107" s="532"/>
      <c r="N107" s="160"/>
      <c r="O107" s="160"/>
      <c r="P107" s="160"/>
      <c r="Q107" s="160"/>
      <c r="R107" s="159"/>
    </row>
    <row r="108" spans="1:18" s="136" customFormat="1" ht="15.75" customHeight="1" x14ac:dyDescent="0.2">
      <c r="A108" s="182" t="s">
        <v>854</v>
      </c>
      <c r="B108" s="813" t="str">
        <f>IF($A108="","",VLOOKUP($A108,Listes!$A$3:$C$193,2,FALSE))</f>
        <v>Export Declaration Surcharge</v>
      </c>
      <c r="C108" s="813"/>
      <c r="D108" s="813"/>
      <c r="E108" s="814" t="s">
        <v>51</v>
      </c>
      <c r="F108" s="814"/>
      <c r="G108" s="814"/>
      <c r="H108" s="657"/>
      <c r="I108" s="531"/>
      <c r="J108" s="531"/>
      <c r="K108" s="531"/>
      <c r="L108" s="531"/>
      <c r="M108" s="532"/>
      <c r="N108" s="160"/>
      <c r="O108" s="160"/>
      <c r="P108" s="160"/>
      <c r="Q108" s="160"/>
      <c r="R108" s="159"/>
    </row>
    <row r="109" spans="1:18" s="136" customFormat="1" ht="15.75" customHeight="1" x14ac:dyDescent="0.2">
      <c r="A109" s="182" t="s">
        <v>82</v>
      </c>
      <c r="B109" s="813" t="str">
        <f>IF($A109="","",VLOOKUP($A109,Listes!$A$3:$C$193,2,FALSE))</f>
        <v>General Rate Increase</v>
      </c>
      <c r="C109" s="813"/>
      <c r="D109" s="813"/>
      <c r="E109" s="814" t="s">
        <v>51</v>
      </c>
      <c r="F109" s="814"/>
      <c r="G109" s="814"/>
      <c r="H109" s="657"/>
      <c r="I109" s="531"/>
      <c r="J109" s="531"/>
      <c r="K109" s="531"/>
      <c r="L109" s="531"/>
      <c r="M109" s="532"/>
      <c r="N109" s="160"/>
      <c r="O109" s="160"/>
      <c r="P109" s="160"/>
      <c r="Q109" s="160"/>
      <c r="R109" s="159"/>
    </row>
    <row r="110" spans="1:18" s="136" customFormat="1" ht="15.75" customHeight="1" x14ac:dyDescent="0.2">
      <c r="A110" s="182" t="s">
        <v>260</v>
      </c>
      <c r="B110" s="813" t="str">
        <f>IF($A110="","",VLOOKUP($A110,Listes!$A$3:$C$193,2,FALSE))</f>
        <v>Hazardous Fees (Ocean)</v>
      </c>
      <c r="C110" s="813"/>
      <c r="D110" s="813"/>
      <c r="E110" s="814" t="s">
        <v>51</v>
      </c>
      <c r="F110" s="814"/>
      <c r="G110" s="814"/>
      <c r="H110" s="657"/>
      <c r="I110" s="531"/>
      <c r="J110" s="531"/>
      <c r="K110" s="531"/>
      <c r="L110" s="531"/>
      <c r="M110" s="532"/>
      <c r="N110" s="160"/>
      <c r="O110" s="160"/>
      <c r="P110" s="160"/>
      <c r="Q110" s="160"/>
      <c r="R110" s="159"/>
    </row>
    <row r="111" spans="1:18" s="136" customFormat="1" ht="15.75" customHeight="1" x14ac:dyDescent="0.2">
      <c r="A111" s="182" t="s">
        <v>897</v>
      </c>
      <c r="B111" s="813" t="str">
        <f>IF($A111="","",VLOOKUP($A111,Listes!$A$3:$C$193,2,FALSE))</f>
        <v xml:space="preserve">Intermodal Door Precarriage Additional for </v>
      </c>
      <c r="C111" s="813"/>
      <c r="D111" s="813"/>
      <c r="E111" s="814" t="s">
        <v>51</v>
      </c>
      <c r="F111" s="814"/>
      <c r="G111" s="814"/>
      <c r="H111" s="657"/>
      <c r="I111" s="531"/>
      <c r="J111" s="531"/>
      <c r="K111" s="531"/>
      <c r="L111" s="531"/>
      <c r="M111" s="532"/>
      <c r="N111" s="160"/>
      <c r="O111" s="160"/>
      <c r="P111" s="160"/>
      <c r="Q111" s="160"/>
      <c r="R111" s="159"/>
    </row>
    <row r="112" spans="1:18" s="136" customFormat="1" ht="15.75" customHeight="1" x14ac:dyDescent="0.2">
      <c r="A112" s="182" t="s">
        <v>877</v>
      </c>
      <c r="B112" s="813" t="str">
        <f>IF($A112="","",VLOOKUP($A112,Listes!$A$3:$C$193,2,FALSE))</f>
        <v>Import Documentation / BL fee - Carrier</v>
      </c>
      <c r="C112" s="813"/>
      <c r="D112" s="813"/>
      <c r="E112" s="814" t="s">
        <v>51</v>
      </c>
      <c r="F112" s="814"/>
      <c r="G112" s="814"/>
      <c r="H112" s="657"/>
      <c r="I112" s="531"/>
      <c r="J112" s="531"/>
      <c r="K112" s="531"/>
      <c r="L112" s="531"/>
      <c r="M112" s="532"/>
      <c r="N112" s="160"/>
      <c r="O112" s="160"/>
      <c r="P112" s="160"/>
      <c r="Q112" s="160"/>
      <c r="R112" s="159"/>
    </row>
    <row r="113" spans="1:18" s="136" customFormat="1" ht="15.75" customHeight="1" x14ac:dyDescent="0.2">
      <c r="A113" s="182" t="s">
        <v>96</v>
      </c>
      <c r="B113" s="813" t="str">
        <f>IF($A113="","",VLOOKUP($A113,Listes!$A$3:$C$193,2,FALSE))</f>
        <v xml:space="preserve">Precarriage Inland Fuel Charge </v>
      </c>
      <c r="C113" s="813"/>
      <c r="D113" s="813"/>
      <c r="E113" s="814" t="s">
        <v>51</v>
      </c>
      <c r="F113" s="814"/>
      <c r="G113" s="814"/>
      <c r="H113" s="657"/>
      <c r="I113" s="531"/>
      <c r="J113" s="531"/>
      <c r="K113" s="531"/>
      <c r="L113" s="531"/>
      <c r="M113" s="532"/>
      <c r="N113" s="160"/>
      <c r="O113" s="160"/>
      <c r="P113" s="160"/>
      <c r="Q113" s="160"/>
      <c r="R113" s="159"/>
    </row>
    <row r="114" spans="1:18" s="136" customFormat="1" ht="15.75" customHeight="1" x14ac:dyDescent="0.2">
      <c r="A114" s="182" t="s">
        <v>1290</v>
      </c>
      <c r="B114" s="813" t="str">
        <f>IF($A114="","",VLOOKUP($A114,Listes!$A$3:$C$193,2,FALSE))</f>
        <v>Local Port Charge Destination Sanitary Fee</v>
      </c>
      <c r="C114" s="813"/>
      <c r="D114" s="813"/>
      <c r="E114" s="814" t="s">
        <v>51</v>
      </c>
      <c r="F114" s="814"/>
      <c r="G114" s="814"/>
      <c r="H114" s="675"/>
      <c r="I114" s="531"/>
      <c r="J114" s="531"/>
      <c r="K114" s="531"/>
      <c r="L114" s="531"/>
      <c r="M114" s="532"/>
      <c r="N114" s="160"/>
      <c r="O114" s="160"/>
      <c r="P114" s="160"/>
      <c r="Q114" s="160"/>
      <c r="R114" s="159"/>
    </row>
    <row r="115" spans="1:18" s="136" customFormat="1" ht="15.75" customHeight="1" x14ac:dyDescent="0.2">
      <c r="A115" s="182" t="s">
        <v>1292</v>
      </c>
      <c r="B115" s="813" t="str">
        <f>IF($A115="","",VLOOKUP($A115,Listes!$A$3:$C$193,2,FALSE))</f>
        <v>Local Port Charge Origin Sanitary Fee</v>
      </c>
      <c r="C115" s="813"/>
      <c r="D115" s="813"/>
      <c r="E115" s="814" t="s">
        <v>51</v>
      </c>
      <c r="F115" s="814"/>
      <c r="G115" s="814"/>
      <c r="H115" s="675"/>
      <c r="I115" s="531"/>
      <c r="J115" s="531"/>
      <c r="K115" s="531"/>
      <c r="L115" s="531"/>
      <c r="M115" s="532"/>
      <c r="N115" s="160"/>
      <c r="O115" s="160"/>
      <c r="P115" s="160"/>
      <c r="Q115" s="160"/>
      <c r="R115" s="159"/>
    </row>
    <row r="116" spans="1:18" s="136" customFormat="1" ht="15.75" customHeight="1" x14ac:dyDescent="0.2">
      <c r="A116" s="182" t="s">
        <v>199</v>
      </c>
      <c r="B116" s="813" t="str">
        <f>IF($A116="","",VLOOKUP($A116,Listes!$A$3:$C$193,2,FALSE))</f>
        <v>Low Sulfur Surcharge</v>
      </c>
      <c r="C116" s="813"/>
      <c r="D116" s="813"/>
      <c r="E116" s="814" t="s">
        <v>53</v>
      </c>
      <c r="F116" s="814"/>
      <c r="G116" s="814"/>
      <c r="H116" s="657"/>
      <c r="I116" s="531"/>
      <c r="J116" s="531"/>
      <c r="K116" s="531"/>
      <c r="L116" s="531"/>
      <c r="M116" s="532"/>
      <c r="N116" s="160"/>
      <c r="O116" s="160"/>
      <c r="P116" s="160"/>
      <c r="Q116" s="160"/>
      <c r="R116" s="159"/>
    </row>
    <row r="117" spans="1:18" s="136" customFormat="1" ht="15.75" customHeight="1" x14ac:dyDescent="0.2">
      <c r="A117" s="182" t="s">
        <v>1124</v>
      </c>
      <c r="B117" s="813" t="str">
        <f>IF($A117="","",VLOOKUP($A117,Listes!$A$3:$C$193,2,FALSE))</f>
        <v>Low Sulfur Surcharge IMO2020</v>
      </c>
      <c r="C117" s="813"/>
      <c r="D117" s="813"/>
      <c r="E117" s="814" t="s">
        <v>53</v>
      </c>
      <c r="F117" s="814"/>
      <c r="G117" s="814"/>
      <c r="H117" s="667"/>
      <c r="I117" s="531"/>
      <c r="J117" s="531"/>
      <c r="K117" s="531"/>
      <c r="L117" s="531"/>
      <c r="M117" s="532"/>
      <c r="N117" s="160"/>
      <c r="O117" s="160"/>
      <c r="P117" s="160"/>
      <c r="Q117" s="160"/>
      <c r="R117" s="159"/>
    </row>
    <row r="118" spans="1:18" s="136" customFormat="1" ht="31.5" customHeight="1" x14ac:dyDescent="0.2">
      <c r="A118" s="182" t="s">
        <v>497</v>
      </c>
      <c r="B118" s="813" t="str">
        <f>IF($A118="","",VLOOKUP($A118,Listes!$A$3:$C$193,2,FALSE))</f>
        <v>Inland Hazardous Charge Oncarriage</v>
      </c>
      <c r="C118" s="813"/>
      <c r="D118" s="813"/>
      <c r="E118" s="814" t="s">
        <v>51</v>
      </c>
      <c r="F118" s="814"/>
      <c r="G118" s="814"/>
      <c r="H118" s="657"/>
      <c r="I118" s="531"/>
      <c r="J118" s="531"/>
      <c r="K118" s="531"/>
      <c r="L118" s="531"/>
      <c r="M118" s="532"/>
      <c r="N118" s="160"/>
      <c r="O118" s="160"/>
      <c r="P118" s="160"/>
      <c r="Q118" s="160"/>
      <c r="R118" s="159"/>
    </row>
    <row r="119" spans="1:18" s="136" customFormat="1" ht="15.75" customHeight="1" x14ac:dyDescent="0.2">
      <c r="A119" s="182" t="s">
        <v>89</v>
      </c>
      <c r="B119" s="813" t="str">
        <f>IF($A119="","",VLOOKUP($A119,Listes!$A$3:$C$193,2,FALSE))</f>
        <v>Origin THC / Origin Receiving Charge</v>
      </c>
      <c r="C119" s="813"/>
      <c r="D119" s="813"/>
      <c r="E119" s="814" t="s">
        <v>53</v>
      </c>
      <c r="F119" s="814"/>
      <c r="G119" s="814"/>
      <c r="H119" s="657"/>
      <c r="I119" s="531"/>
      <c r="J119" s="531"/>
      <c r="K119" s="531"/>
      <c r="L119" s="531"/>
      <c r="M119" s="532"/>
      <c r="N119" s="160"/>
      <c r="O119" s="160"/>
      <c r="P119" s="160"/>
      <c r="Q119" s="160"/>
      <c r="R119" s="159"/>
    </row>
    <row r="120" spans="1:18" s="136" customFormat="1" ht="15.75" customHeight="1" x14ac:dyDescent="0.2">
      <c r="A120" s="182" t="s">
        <v>97</v>
      </c>
      <c r="B120" s="813" t="str">
        <f>IF($A120="","",VLOOKUP($A120,Listes!$A$3:$C$193,2,FALSE))</f>
        <v>Panama Canal Surcharge</v>
      </c>
      <c r="C120" s="813"/>
      <c r="D120" s="813"/>
      <c r="E120" s="814" t="s">
        <v>51</v>
      </c>
      <c r="F120" s="814"/>
      <c r="G120" s="814"/>
      <c r="H120" s="657"/>
      <c r="I120" s="531"/>
      <c r="J120" s="531"/>
      <c r="K120" s="531"/>
      <c r="L120" s="531"/>
      <c r="M120" s="532"/>
      <c r="N120" s="160"/>
      <c r="O120" s="160"/>
      <c r="P120" s="160"/>
      <c r="Q120" s="160"/>
      <c r="R120" s="159"/>
    </row>
    <row r="121" spans="1:18" s="136" customFormat="1" x14ac:dyDescent="0.2">
      <c r="A121" s="182" t="s">
        <v>1060</v>
      </c>
      <c r="B121" s="813" t="str">
        <f>IF($A121="","",VLOOKUP($A121,Listes!$A$3:$C$193,2,FALSE))</f>
        <v>Pre-Carriage Emergency Inland Fuel Surcharge</v>
      </c>
      <c r="C121" s="813"/>
      <c r="D121" s="813"/>
      <c r="E121" s="814" t="s">
        <v>51</v>
      </c>
      <c r="F121" s="814"/>
      <c r="G121" s="814"/>
      <c r="H121" s="657"/>
      <c r="I121" s="531"/>
      <c r="J121" s="531"/>
      <c r="K121" s="531"/>
      <c r="L121" s="531"/>
      <c r="M121" s="532"/>
      <c r="N121" s="160"/>
      <c r="O121" s="160"/>
      <c r="P121" s="160"/>
      <c r="Q121" s="160"/>
      <c r="R121" s="159"/>
    </row>
    <row r="122" spans="1:18" s="136" customFormat="1" ht="31.5" x14ac:dyDescent="0.2">
      <c r="A122" s="182" t="s">
        <v>1046</v>
      </c>
      <c r="B122" s="813" t="str">
        <f>IF($A122="","",VLOOKUP($A122,Listes!$A$3:$C$193,2,FALSE))</f>
        <v>Pre-Carriage Emergency Intermodal Surcharge</v>
      </c>
      <c r="C122" s="813"/>
      <c r="D122" s="813"/>
      <c r="E122" s="814" t="s">
        <v>51</v>
      </c>
      <c r="F122" s="814"/>
      <c r="G122" s="814"/>
      <c r="H122" s="657"/>
      <c r="I122" s="531"/>
      <c r="J122" s="531"/>
      <c r="K122" s="531"/>
      <c r="L122" s="531"/>
      <c r="M122" s="532"/>
      <c r="N122" s="160"/>
      <c r="O122" s="160"/>
      <c r="P122" s="160"/>
      <c r="Q122" s="160"/>
      <c r="R122" s="159"/>
    </row>
    <row r="123" spans="1:18" s="136" customFormat="1" ht="15.75" customHeight="1" x14ac:dyDescent="0.2">
      <c r="A123" s="182" t="s">
        <v>500</v>
      </c>
      <c r="B123" s="813" t="str">
        <f>IF($A123="","",VLOOKUP($A123,Listes!$A$3:$C$193,2,FALSE))</f>
        <v>Inland Hazardous Charge Precarriage</v>
      </c>
      <c r="C123" s="813"/>
      <c r="D123" s="813"/>
      <c r="E123" s="814" t="s">
        <v>51</v>
      </c>
      <c r="F123" s="814"/>
      <c r="G123" s="814"/>
      <c r="H123" s="657"/>
      <c r="I123" s="531"/>
      <c r="J123" s="531"/>
      <c r="K123" s="531"/>
      <c r="L123" s="531"/>
      <c r="M123" s="532"/>
      <c r="N123" s="160"/>
      <c r="O123" s="160"/>
      <c r="P123" s="160"/>
      <c r="Q123" s="160"/>
      <c r="R123" s="159"/>
    </row>
    <row r="124" spans="1:18" s="136" customFormat="1" ht="15.75" customHeight="1" x14ac:dyDescent="0.2">
      <c r="A124" s="182" t="s">
        <v>277</v>
      </c>
      <c r="B124" s="813" t="str">
        <f>IF($A124="","",VLOOKUP($A124,Listes!$A$3:$C$193,2,FALSE))</f>
        <v>Origin Terminal Security Charge</v>
      </c>
      <c r="C124" s="813"/>
      <c r="D124" s="813"/>
      <c r="E124" s="814" t="s">
        <v>51</v>
      </c>
      <c r="F124" s="814"/>
      <c r="G124" s="814"/>
      <c r="H124" s="657"/>
      <c r="I124" s="531"/>
      <c r="J124" s="531"/>
      <c r="K124" s="531"/>
      <c r="L124" s="531"/>
      <c r="M124" s="532"/>
      <c r="N124" s="160"/>
      <c r="O124" s="160"/>
      <c r="P124" s="160"/>
      <c r="Q124" s="160"/>
      <c r="R124" s="159"/>
    </row>
    <row r="125" spans="1:18" s="136" customFormat="1" ht="15.75" customHeight="1" x14ac:dyDescent="0.2">
      <c r="A125" s="182" t="s">
        <v>489</v>
      </c>
      <c r="B125" s="813" t="str">
        <f>IF($A125="","",VLOOKUP($A125,Listes!$A$3:$C$193,2,FALSE))</f>
        <v>Shipper Owned Container Surcharge</v>
      </c>
      <c r="C125" s="813"/>
      <c r="D125" s="813"/>
      <c r="E125" s="814" t="s">
        <v>51</v>
      </c>
      <c r="F125" s="814"/>
      <c r="G125" s="814"/>
      <c r="H125" s="657"/>
      <c r="I125" s="531"/>
      <c r="J125" s="531"/>
      <c r="K125" s="531"/>
      <c r="L125" s="531"/>
      <c r="M125" s="532"/>
      <c r="N125" s="160"/>
      <c r="O125" s="160"/>
      <c r="P125" s="160"/>
      <c r="Q125" s="160"/>
      <c r="R125" s="159"/>
    </row>
    <row r="126" spans="1:18" s="136" customFormat="1" ht="36.75" customHeight="1" x14ac:dyDescent="0.2">
      <c r="A126" s="182" t="s">
        <v>368</v>
      </c>
      <c r="B126" s="813" t="str">
        <f>IF($A126="","",VLOOKUP($A126,Listes!$A$3:$C$193,2,FALSE))</f>
        <v>Tri-Axle / Super Chassis Precarriage Surcharge</v>
      </c>
      <c r="C126" s="813"/>
      <c r="D126" s="813"/>
      <c r="E126" s="814" t="s">
        <v>51</v>
      </c>
      <c r="F126" s="814"/>
      <c r="G126" s="814"/>
      <c r="H126" s="657"/>
      <c r="I126" s="531"/>
      <c r="J126" s="531"/>
      <c r="K126" s="531"/>
      <c r="L126" s="531"/>
      <c r="M126" s="532"/>
      <c r="N126" s="160"/>
      <c r="O126" s="160"/>
      <c r="P126" s="160"/>
      <c r="Q126" s="160"/>
      <c r="R126" s="159"/>
    </row>
    <row r="127" spans="1:18" s="136" customFormat="1" ht="16.5" thickBot="1" x14ac:dyDescent="0.25">
      <c r="A127" s="185" t="s">
        <v>833</v>
      </c>
      <c r="B127" s="812" t="str">
        <f>IF($A127="","",VLOOKUP($A127,Listes!$A$3:$C$193,2,FALSE))</f>
        <v>Wharfage (Origin)</v>
      </c>
      <c r="C127" s="812"/>
      <c r="D127" s="812"/>
      <c r="E127" s="815" t="s">
        <v>51</v>
      </c>
      <c r="F127" s="815"/>
      <c r="G127" s="815"/>
      <c r="H127" s="659"/>
      <c r="I127" s="533"/>
      <c r="J127" s="533"/>
      <c r="K127" s="533"/>
      <c r="L127" s="533"/>
      <c r="M127" s="534"/>
      <c r="N127" s="160"/>
      <c r="O127" s="160"/>
      <c r="P127" s="160"/>
      <c r="Q127" s="160"/>
      <c r="R127" s="159"/>
    </row>
    <row r="128" spans="1:18" s="73" customFormat="1" ht="16.5" thickBot="1" x14ac:dyDescent="0.25">
      <c r="A128" s="850" t="s">
        <v>216</v>
      </c>
      <c r="B128" s="851"/>
      <c r="C128" s="851"/>
      <c r="D128" s="851"/>
      <c r="E128" s="852"/>
      <c r="F128" s="852"/>
      <c r="G128" s="852"/>
      <c r="H128" s="852"/>
      <c r="I128" s="853"/>
      <c r="J128" s="169"/>
      <c r="K128" s="118"/>
      <c r="L128" s="134"/>
      <c r="M128" s="134"/>
      <c r="N128" s="134"/>
      <c r="O128" s="134"/>
      <c r="P128" s="134"/>
      <c r="Q128" s="118"/>
    </row>
    <row r="129" spans="1:23" s="73" customFormat="1" ht="16.5" thickBot="1" x14ac:dyDescent="0.25">
      <c r="A129" s="849" t="s">
        <v>597</v>
      </c>
      <c r="B129" s="833"/>
      <c r="C129" s="833"/>
      <c r="D129" s="833"/>
      <c r="E129" s="833"/>
      <c r="F129" s="833"/>
      <c r="G129" s="833"/>
      <c r="H129" s="833"/>
      <c r="I129" s="834"/>
      <c r="J129" s="169"/>
      <c r="K129" s="134"/>
      <c r="L129" s="134"/>
      <c r="M129" s="134"/>
      <c r="N129" s="134"/>
      <c r="O129" s="118"/>
    </row>
    <row r="130" spans="1:23" s="73" customFormat="1" ht="16.5" thickBot="1" x14ac:dyDescent="0.25">
      <c r="A130" s="187"/>
      <c r="B130" s="187"/>
      <c r="C130" s="188"/>
      <c r="D130" s="189"/>
      <c r="E130" s="170"/>
      <c r="F130" s="170"/>
      <c r="G130" s="170"/>
      <c r="H130" s="170"/>
      <c r="I130" s="170"/>
      <c r="J130" s="189"/>
      <c r="K130" s="169"/>
      <c r="L130" s="118"/>
      <c r="M130" s="134"/>
      <c r="N130" s="134"/>
      <c r="O130" s="134"/>
      <c r="P130" s="134"/>
      <c r="Q130" s="134"/>
      <c r="R130" s="118"/>
    </row>
    <row r="131" spans="1:23" s="73" customFormat="1" ht="15.6" customHeight="1" x14ac:dyDescent="0.2">
      <c r="A131" s="830" t="s">
        <v>523</v>
      </c>
      <c r="B131" s="831"/>
      <c r="C131" s="831"/>
      <c r="D131" s="831"/>
      <c r="E131" s="842" t="s">
        <v>288</v>
      </c>
      <c r="F131" s="842">
        <v>20</v>
      </c>
      <c r="G131" s="842">
        <v>40</v>
      </c>
      <c r="H131" s="842" t="s">
        <v>19</v>
      </c>
      <c r="I131" s="842" t="s">
        <v>20</v>
      </c>
      <c r="J131" s="848" t="s">
        <v>297</v>
      </c>
      <c r="K131" s="848" t="s">
        <v>33</v>
      </c>
      <c r="L131" s="846" t="s">
        <v>217</v>
      </c>
      <c r="M131" s="189"/>
      <c r="N131" s="134"/>
      <c r="O131" s="134"/>
      <c r="P131" s="134"/>
      <c r="Q131" s="134"/>
      <c r="R131" s="134"/>
      <c r="S131" s="134"/>
      <c r="T131" s="134"/>
      <c r="U131" s="134"/>
    </row>
    <row r="132" spans="1:23" s="73" customFormat="1" x14ac:dyDescent="0.2">
      <c r="A132" s="537" t="s">
        <v>218</v>
      </c>
      <c r="B132" s="538" t="s">
        <v>11</v>
      </c>
      <c r="C132" s="538" t="s">
        <v>12</v>
      </c>
      <c r="D132" s="538" t="s">
        <v>219</v>
      </c>
      <c r="E132" s="843"/>
      <c r="F132" s="843"/>
      <c r="G132" s="843"/>
      <c r="H132" s="843"/>
      <c r="I132" s="843"/>
      <c r="J132" s="843"/>
      <c r="K132" s="843"/>
      <c r="L132" s="847"/>
      <c r="M132" s="189"/>
      <c r="N132" s="134"/>
      <c r="O132" s="134"/>
      <c r="P132" s="134"/>
      <c r="Q132" s="134"/>
      <c r="R132" s="134"/>
      <c r="S132" s="134"/>
      <c r="T132" s="134"/>
      <c r="U132" s="134"/>
    </row>
    <row r="133" spans="1:23" s="136" customFormat="1" x14ac:dyDescent="0.2">
      <c r="A133" s="539"/>
      <c r="B133" s="540"/>
      <c r="C133" s="540"/>
      <c r="D133" s="540"/>
      <c r="E133" s="540"/>
      <c r="F133" s="255"/>
      <c r="G133" s="255"/>
      <c r="H133" s="255"/>
      <c r="I133" s="255"/>
      <c r="J133" s="540"/>
      <c r="K133" s="21"/>
      <c r="L133" s="541"/>
      <c r="M133" s="190"/>
      <c r="N133" s="160"/>
      <c r="O133" s="160"/>
      <c r="P133" s="160"/>
      <c r="Q133" s="160"/>
      <c r="R133" s="160"/>
      <c r="S133" s="160"/>
      <c r="T133" s="160"/>
      <c r="U133" s="160"/>
    </row>
    <row r="134" spans="1:23" s="136" customFormat="1" x14ac:dyDescent="0.2">
      <c r="A134" s="542"/>
      <c r="B134" s="540"/>
      <c r="C134" s="540"/>
      <c r="D134" s="540"/>
      <c r="E134" s="540"/>
      <c r="F134" s="255"/>
      <c r="G134" s="255"/>
      <c r="H134" s="255"/>
      <c r="I134" s="255"/>
      <c r="J134" s="24"/>
      <c r="K134" s="21"/>
      <c r="L134" s="25"/>
      <c r="M134" s="191"/>
      <c r="N134" s="160"/>
      <c r="O134" s="160"/>
      <c r="P134" s="160"/>
      <c r="Q134" s="160"/>
      <c r="R134" s="160"/>
      <c r="S134" s="160"/>
      <c r="T134" s="160"/>
      <c r="U134" s="160"/>
    </row>
    <row r="135" spans="1:23" s="136" customFormat="1" x14ac:dyDescent="0.2">
      <c r="A135" s="542"/>
      <c r="B135" s="540"/>
      <c r="C135" s="540"/>
      <c r="D135" s="540"/>
      <c r="E135" s="540"/>
      <c r="F135" s="255"/>
      <c r="G135" s="255"/>
      <c r="H135" s="255"/>
      <c r="I135" s="255"/>
      <c r="J135" s="24"/>
      <c r="K135" s="21"/>
      <c r="L135" s="25"/>
      <c r="M135" s="191"/>
      <c r="N135" s="160"/>
      <c r="O135" s="160"/>
      <c r="P135" s="160"/>
      <c r="Q135" s="160"/>
      <c r="R135" s="160"/>
      <c r="S135" s="160"/>
      <c r="T135" s="160"/>
      <c r="U135" s="160"/>
    </row>
    <row r="136" spans="1:23" s="136" customFormat="1" ht="16.5" thickBot="1" x14ac:dyDescent="0.25">
      <c r="A136" s="543"/>
      <c r="B136" s="544"/>
      <c r="C136" s="544"/>
      <c r="D136" s="544"/>
      <c r="E136" s="544"/>
      <c r="F136" s="256"/>
      <c r="G136" s="256"/>
      <c r="H136" s="256"/>
      <c r="I136" s="256"/>
      <c r="J136" s="28"/>
      <c r="K136" s="29"/>
      <c r="L136" s="30"/>
      <c r="M136" s="191"/>
      <c r="N136" s="160"/>
      <c r="O136" s="160"/>
      <c r="P136" s="160"/>
      <c r="Q136" s="160"/>
      <c r="R136" s="160"/>
      <c r="S136" s="160"/>
      <c r="T136" s="160"/>
      <c r="U136" s="160"/>
    </row>
    <row r="137" spans="1:23" s="136" customFormat="1" x14ac:dyDescent="0.2">
      <c r="A137" s="173"/>
      <c r="B137" s="545"/>
      <c r="C137" s="545"/>
      <c r="D137" s="545"/>
      <c r="E137" s="545"/>
      <c r="F137" s="545"/>
      <c r="G137" s="545"/>
      <c r="H137" s="545"/>
      <c r="I137" s="545"/>
      <c r="J137" s="33"/>
      <c r="K137" s="33"/>
      <c r="L137" s="34"/>
      <c r="M137" s="191"/>
      <c r="N137" s="160"/>
      <c r="O137" s="160"/>
      <c r="P137" s="160"/>
      <c r="Q137" s="160"/>
      <c r="R137" s="160"/>
      <c r="S137" s="160"/>
      <c r="T137" s="160"/>
      <c r="U137" s="160"/>
    </row>
    <row r="138" spans="1:23" s="73" customFormat="1" ht="15.6" customHeight="1" x14ac:dyDescent="0.2">
      <c r="A138" s="841" t="s">
        <v>596</v>
      </c>
      <c r="B138" s="840"/>
      <c r="C138" s="840"/>
      <c r="D138" s="840"/>
      <c r="E138" s="840" t="s">
        <v>288</v>
      </c>
      <c r="F138" s="840">
        <v>20</v>
      </c>
      <c r="G138" s="840">
        <v>40</v>
      </c>
      <c r="H138" s="840" t="s">
        <v>19</v>
      </c>
      <c r="I138" s="840" t="s">
        <v>20</v>
      </c>
      <c r="J138" s="845" t="s">
        <v>297</v>
      </c>
      <c r="K138" s="845" t="s">
        <v>33</v>
      </c>
      <c r="L138" s="844" t="s">
        <v>217</v>
      </c>
      <c r="M138" s="844" t="s">
        <v>23</v>
      </c>
      <c r="N138" s="169"/>
      <c r="O138" s="118"/>
      <c r="P138" s="134"/>
      <c r="Q138" s="134"/>
      <c r="R138" s="134"/>
      <c r="S138" s="134"/>
      <c r="T138" s="134"/>
      <c r="U138" s="134"/>
      <c r="V138" s="134"/>
      <c r="W138" s="134"/>
    </row>
    <row r="139" spans="1:23" s="73" customFormat="1" x14ac:dyDescent="0.2">
      <c r="A139" s="546" t="s">
        <v>218</v>
      </c>
      <c r="B139" s="546" t="s">
        <v>11</v>
      </c>
      <c r="C139" s="546" t="s">
        <v>12</v>
      </c>
      <c r="D139" s="546" t="s">
        <v>219</v>
      </c>
      <c r="E139" s="840"/>
      <c r="F139" s="840"/>
      <c r="G139" s="840"/>
      <c r="H139" s="840"/>
      <c r="I139" s="840"/>
      <c r="J139" s="840"/>
      <c r="K139" s="840"/>
      <c r="L139" s="844"/>
      <c r="M139" s="844"/>
      <c r="N139" s="169"/>
      <c r="O139" s="118"/>
      <c r="P139" s="134"/>
      <c r="Q139" s="134"/>
      <c r="R139" s="134"/>
      <c r="S139" s="134"/>
      <c r="T139" s="134"/>
      <c r="U139" s="134"/>
      <c r="V139" s="134"/>
      <c r="W139" s="134"/>
    </row>
    <row r="140" spans="1:23" s="136" customFormat="1" x14ac:dyDescent="0.2">
      <c r="A140" s="372"/>
      <c r="B140" s="547"/>
      <c r="C140" s="547"/>
      <c r="D140" s="547"/>
      <c r="E140" s="547"/>
      <c r="F140" s="368"/>
      <c r="G140" s="368"/>
      <c r="H140" s="368"/>
      <c r="I140" s="368"/>
      <c r="J140" s="369"/>
      <c r="K140" s="370"/>
      <c r="L140" s="548"/>
      <c r="M140" s="548"/>
      <c r="N140" s="192"/>
      <c r="O140" s="159"/>
      <c r="P140" s="160"/>
      <c r="Q140" s="160"/>
      <c r="R140" s="160"/>
      <c r="S140" s="160"/>
      <c r="T140" s="160"/>
      <c r="U140" s="160"/>
      <c r="V140" s="160"/>
      <c r="W140" s="160"/>
    </row>
    <row r="141" spans="1:23" s="136" customFormat="1" x14ac:dyDescent="0.2">
      <c r="A141" s="372"/>
      <c r="B141" s="547"/>
      <c r="C141" s="547"/>
      <c r="D141" s="547"/>
      <c r="E141" s="547"/>
      <c r="F141" s="368"/>
      <c r="G141" s="368"/>
      <c r="H141" s="368"/>
      <c r="I141" s="368"/>
      <c r="J141" s="369"/>
      <c r="K141" s="370"/>
      <c r="L141" s="548"/>
      <c r="M141" s="548"/>
      <c r="N141" s="192"/>
      <c r="O141" s="159"/>
      <c r="P141" s="160"/>
      <c r="Q141" s="160"/>
      <c r="R141" s="160"/>
      <c r="S141" s="160"/>
      <c r="T141" s="160"/>
      <c r="U141" s="160"/>
      <c r="V141" s="160"/>
      <c r="W141" s="160"/>
    </row>
    <row r="142" spans="1:23" s="136" customFormat="1" x14ac:dyDescent="0.2">
      <c r="A142" s="372"/>
      <c r="B142" s="547"/>
      <c r="C142" s="547"/>
      <c r="D142" s="547"/>
      <c r="E142" s="547"/>
      <c r="F142" s="368"/>
      <c r="G142" s="368"/>
      <c r="H142" s="368"/>
      <c r="I142" s="368"/>
      <c r="J142" s="369"/>
      <c r="K142" s="370"/>
      <c r="L142" s="548"/>
      <c r="M142" s="548"/>
      <c r="N142" s="192"/>
      <c r="O142" s="159"/>
      <c r="P142" s="160"/>
      <c r="Q142" s="160"/>
      <c r="R142" s="160"/>
      <c r="S142" s="160"/>
      <c r="T142" s="160"/>
      <c r="U142" s="160"/>
      <c r="V142" s="160"/>
      <c r="W142" s="160"/>
    </row>
    <row r="143" spans="1:23" s="136" customFormat="1" x14ac:dyDescent="0.2">
      <c r="A143" s="372"/>
      <c r="B143" s="547"/>
      <c r="C143" s="547"/>
      <c r="D143" s="547"/>
      <c r="E143" s="547"/>
      <c r="F143" s="368"/>
      <c r="G143" s="368"/>
      <c r="H143" s="368"/>
      <c r="I143" s="368"/>
      <c r="J143" s="369"/>
      <c r="K143" s="370"/>
      <c r="L143" s="373"/>
      <c r="M143" s="373"/>
      <c r="N143" s="191"/>
      <c r="O143" s="159"/>
      <c r="P143" s="160"/>
      <c r="Q143" s="160"/>
      <c r="R143" s="160"/>
      <c r="S143" s="160"/>
      <c r="T143" s="160"/>
      <c r="U143" s="160"/>
      <c r="V143" s="160"/>
      <c r="W143" s="160"/>
    </row>
    <row r="144" spans="1:23" s="73" customFormat="1" x14ac:dyDescent="0.2">
      <c r="A144" s="456"/>
      <c r="B144" s="549"/>
      <c r="C144" s="549"/>
      <c r="D144" s="549"/>
      <c r="E144" s="549"/>
      <c r="F144" s="194"/>
      <c r="G144" s="522"/>
      <c r="H144" s="195"/>
      <c r="I144" s="195"/>
      <c r="J144" s="176"/>
      <c r="K144" s="118"/>
      <c r="L144" s="134"/>
      <c r="M144" s="134"/>
      <c r="N144" s="134"/>
      <c r="O144" s="134"/>
      <c r="P144" s="134"/>
      <c r="Q144" s="134"/>
    </row>
    <row r="145" spans="1:21" s="456" customFormat="1" ht="16.5" thickBot="1" x14ac:dyDescent="0.25">
      <c r="A145" s="196"/>
      <c r="B145" s="197"/>
      <c r="C145" s="198"/>
      <c r="D145" s="198"/>
      <c r="E145" s="169"/>
      <c r="F145" s="176"/>
      <c r="G145" s="176"/>
      <c r="H145" s="176"/>
      <c r="I145" s="176"/>
      <c r="J145" s="170"/>
      <c r="K145" s="118"/>
      <c r="L145" s="134"/>
      <c r="M145" s="134"/>
      <c r="N145" s="134"/>
      <c r="O145" s="134"/>
      <c r="P145" s="134"/>
      <c r="Q145" s="134"/>
      <c r="R145" s="134"/>
      <c r="S145" s="118"/>
      <c r="T145" s="118"/>
      <c r="U145" s="118"/>
    </row>
    <row r="146" spans="1:21" s="456" customFormat="1" ht="16.5" thickBot="1" x14ac:dyDescent="0.25">
      <c r="A146" s="822" t="s">
        <v>220</v>
      </c>
      <c r="B146" s="823"/>
      <c r="C146" s="823"/>
      <c r="D146" s="823"/>
      <c r="E146" s="824"/>
      <c r="F146" s="176"/>
      <c r="G146" s="176"/>
      <c r="H146" s="176"/>
      <c r="I146" s="176"/>
      <c r="J146" s="170"/>
      <c r="K146" s="118"/>
      <c r="L146" s="134"/>
      <c r="M146" s="134"/>
      <c r="N146" s="134"/>
      <c r="O146" s="134"/>
      <c r="P146" s="134"/>
      <c r="Q146" s="134"/>
      <c r="R146" s="134"/>
      <c r="S146" s="118"/>
      <c r="T146" s="118"/>
      <c r="U146" s="118"/>
    </row>
    <row r="147" spans="1:21" s="73" customFormat="1" ht="16.5" thickBot="1" x14ac:dyDescent="0.25">
      <c r="A147" s="550"/>
      <c r="B147" s="456"/>
      <c r="C147" s="456"/>
      <c r="D147" s="456"/>
      <c r="E147" s="456"/>
      <c r="F147" s="194"/>
      <c r="G147" s="456"/>
      <c r="H147" s="200"/>
      <c r="I147" s="194"/>
      <c r="J147" s="194"/>
      <c r="K147" s="118"/>
      <c r="L147" s="134"/>
      <c r="M147" s="134"/>
      <c r="N147" s="134"/>
      <c r="O147" s="134"/>
      <c r="P147" s="134"/>
      <c r="Q147" s="134"/>
      <c r="R147" s="134"/>
      <c r="S147" s="118"/>
      <c r="T147" s="118"/>
      <c r="U147" s="118"/>
    </row>
    <row r="148" spans="1:21" s="73" customFormat="1" ht="16.5" thickBot="1" x14ac:dyDescent="0.25">
      <c r="A148" s="825" t="s">
        <v>221</v>
      </c>
      <c r="B148" s="838"/>
      <c r="C148" s="838"/>
      <c r="D148" s="838"/>
      <c r="E148" s="838"/>
      <c r="F148" s="839"/>
      <c r="G148" s="456"/>
      <c r="H148" s="200"/>
      <c r="I148" s="194"/>
      <c r="J148" s="194"/>
      <c r="K148" s="118"/>
      <c r="L148" s="134"/>
      <c r="M148" s="134"/>
      <c r="N148" s="134"/>
      <c r="O148" s="134"/>
      <c r="P148" s="134"/>
      <c r="Q148" s="134"/>
      <c r="R148" s="134"/>
      <c r="S148" s="118"/>
      <c r="T148" s="118"/>
      <c r="U148" s="118"/>
    </row>
    <row r="149" spans="1:21" s="73" customFormat="1" ht="16.5" customHeight="1" x14ac:dyDescent="0.2">
      <c r="A149" s="835" t="s">
        <v>222</v>
      </c>
      <c r="B149" s="836"/>
      <c r="C149" s="836"/>
      <c r="D149" s="836"/>
      <c r="E149" s="836"/>
      <c r="F149" s="837"/>
      <c r="G149" s="456"/>
      <c r="H149" s="201"/>
      <c r="I149" s="170"/>
      <c r="J149" s="170"/>
      <c r="K149" s="118"/>
      <c r="L149" s="134"/>
      <c r="M149" s="134"/>
      <c r="N149" s="134"/>
      <c r="O149" s="134"/>
      <c r="P149" s="134"/>
      <c r="Q149" s="134"/>
      <c r="R149" s="134"/>
      <c r="S149" s="118"/>
      <c r="T149" s="118"/>
      <c r="U149" s="118"/>
    </row>
    <row r="150" spans="1:21" ht="16.5" thickBot="1" x14ac:dyDescent="0.25">
      <c r="A150" s="832" t="s">
        <v>223</v>
      </c>
      <c r="B150" s="833"/>
      <c r="C150" s="833"/>
      <c r="D150" s="833"/>
      <c r="E150" s="833"/>
      <c r="F150" s="834"/>
      <c r="G150" s="176"/>
      <c r="H150" s="176"/>
      <c r="I150" s="176"/>
      <c r="J150" s="169"/>
      <c r="K150" s="169"/>
      <c r="L150" s="169"/>
      <c r="M150" s="169"/>
      <c r="N150" s="169"/>
      <c r="O150" s="169"/>
      <c r="P150" s="169"/>
      <c r="Q150" s="169"/>
      <c r="R150" s="169"/>
      <c r="S150" s="169"/>
      <c r="T150" s="169"/>
      <c r="U150" s="169"/>
    </row>
    <row r="151" spans="1:21" x14ac:dyDescent="0.2">
      <c r="A151" s="551" t="s">
        <v>224</v>
      </c>
      <c r="B151" s="450" t="s">
        <v>225</v>
      </c>
      <c r="C151" s="552" t="s">
        <v>226</v>
      </c>
      <c r="D151" s="553" t="s">
        <v>227</v>
      </c>
      <c r="E151" s="176"/>
      <c r="F151" s="176"/>
      <c r="G151" s="176"/>
      <c r="H151" s="169"/>
      <c r="I151" s="169"/>
      <c r="J151" s="169"/>
      <c r="K151" s="169"/>
      <c r="L151" s="169"/>
      <c r="M151" s="169"/>
      <c r="N151" s="169"/>
      <c r="O151" s="169"/>
      <c r="P151" s="169"/>
      <c r="Q151" s="169"/>
      <c r="R151" s="169"/>
    </row>
    <row r="152" spans="1:21" s="192" customFormat="1" x14ac:dyDescent="0.2">
      <c r="A152" s="203"/>
      <c r="B152" s="204"/>
      <c r="C152" s="205"/>
      <c r="D152" s="206"/>
      <c r="E152" s="191"/>
      <c r="F152" s="191"/>
      <c r="G152" s="191"/>
    </row>
    <row r="153" spans="1:21" s="192" customFormat="1" x14ac:dyDescent="0.2">
      <c r="A153" s="203"/>
      <c r="B153" s="204"/>
      <c r="C153" s="205"/>
      <c r="D153" s="206"/>
      <c r="E153" s="191"/>
      <c r="F153" s="191"/>
      <c r="G153" s="191"/>
    </row>
    <row r="154" spans="1:21" s="192" customFormat="1" ht="16.5" thickBot="1" x14ac:dyDescent="0.25">
      <c r="A154" s="207"/>
      <c r="B154" s="208"/>
      <c r="C154" s="209"/>
      <c r="D154" s="210"/>
      <c r="E154" s="191"/>
      <c r="F154" s="191"/>
      <c r="G154" s="191"/>
    </row>
    <row r="155" spans="1:21" ht="16.5" thickBot="1" x14ac:dyDescent="0.25"/>
    <row r="156" spans="1:21" s="73" customFormat="1" ht="16.5" thickBot="1" x14ac:dyDescent="0.25">
      <c r="A156" s="822" t="s">
        <v>228</v>
      </c>
      <c r="B156" s="823"/>
      <c r="C156" s="823"/>
      <c r="D156" s="823"/>
      <c r="E156" s="823"/>
      <c r="F156" s="823"/>
      <c r="G156" s="823"/>
      <c r="H156" s="823"/>
      <c r="I156" s="824"/>
      <c r="J156" s="169"/>
      <c r="K156" s="118"/>
      <c r="L156" s="134"/>
      <c r="M156" s="134"/>
      <c r="N156" s="134"/>
      <c r="O156" s="134"/>
      <c r="P156" s="134"/>
      <c r="Q156" s="134"/>
      <c r="R156" s="134"/>
      <c r="S156" s="118"/>
      <c r="T156" s="118"/>
      <c r="U156" s="118"/>
    </row>
    <row r="157" spans="1:21" s="73" customFormat="1" ht="16.5" thickBot="1" x14ac:dyDescent="0.25">
      <c r="A157" s="554" t="s">
        <v>229</v>
      </c>
      <c r="B157" s="213"/>
      <c r="C157" s="214"/>
      <c r="D157" s="214"/>
      <c r="E157" s="214"/>
      <c r="F157" s="214"/>
      <c r="G157" s="215"/>
      <c r="H157" s="216"/>
      <c r="I157" s="217"/>
      <c r="J157" s="170"/>
      <c r="K157" s="118"/>
      <c r="L157" s="134"/>
      <c r="M157" s="134"/>
      <c r="N157" s="134"/>
      <c r="O157" s="134"/>
      <c r="P157" s="134"/>
      <c r="Q157" s="134"/>
      <c r="R157" s="134"/>
      <c r="S157" s="118"/>
      <c r="T157" s="118"/>
      <c r="U157" s="118"/>
    </row>
    <row r="158" spans="1:21" s="308" customFormat="1" ht="171.75" customHeight="1" x14ac:dyDescent="0.2">
      <c r="A158" s="228" t="s">
        <v>504</v>
      </c>
      <c r="B158" s="827" t="s">
        <v>1063</v>
      </c>
      <c r="C158" s="828"/>
      <c r="D158" s="828"/>
      <c r="E158" s="828"/>
      <c r="F158" s="828"/>
      <c r="G158" s="828"/>
      <c r="H158" s="828"/>
      <c r="I158" s="829"/>
      <c r="J158" s="171"/>
      <c r="K158" s="172"/>
      <c r="L158" s="173"/>
      <c r="M158" s="173"/>
      <c r="N158" s="173"/>
      <c r="O158" s="173"/>
      <c r="P158" s="173"/>
      <c r="Q158" s="173"/>
      <c r="R158" s="173"/>
      <c r="S158" s="172"/>
      <c r="T158" s="172"/>
      <c r="U158" s="172"/>
    </row>
    <row r="159" spans="1:21" s="218" customFormat="1" x14ac:dyDescent="0.2">
      <c r="A159" s="281"/>
      <c r="B159" s="816"/>
      <c r="C159" s="817"/>
      <c r="D159" s="817"/>
      <c r="E159" s="817"/>
      <c r="F159" s="817"/>
      <c r="G159" s="817"/>
      <c r="H159" s="817"/>
      <c r="I159" s="818"/>
    </row>
    <row r="160" spans="1:21" s="218" customFormat="1" x14ac:dyDescent="0.2">
      <c r="A160" s="281"/>
      <c r="B160" s="816"/>
      <c r="C160" s="817"/>
      <c r="D160" s="817"/>
      <c r="E160" s="817"/>
      <c r="F160" s="817"/>
      <c r="G160" s="817"/>
      <c r="H160" s="817"/>
      <c r="I160" s="818"/>
    </row>
    <row r="161" spans="1:9" s="218" customFormat="1" x14ac:dyDescent="0.2">
      <c r="A161" s="281"/>
      <c r="B161" s="816"/>
      <c r="C161" s="817"/>
      <c r="D161" s="817"/>
      <c r="E161" s="817"/>
      <c r="F161" s="817"/>
      <c r="G161" s="817"/>
      <c r="H161" s="817"/>
      <c r="I161" s="818"/>
    </row>
    <row r="162" spans="1:9" s="218" customFormat="1" x14ac:dyDescent="0.2">
      <c r="A162" s="281"/>
      <c r="B162" s="816"/>
      <c r="C162" s="817"/>
      <c r="D162" s="817"/>
      <c r="E162" s="817"/>
      <c r="F162" s="817"/>
      <c r="G162" s="817"/>
      <c r="H162" s="817"/>
      <c r="I162" s="818"/>
    </row>
    <row r="163" spans="1:9" s="218" customFormat="1" x14ac:dyDescent="0.2">
      <c r="A163" s="281"/>
      <c r="B163" s="816"/>
      <c r="C163" s="817"/>
      <c r="D163" s="817"/>
      <c r="E163" s="817"/>
      <c r="F163" s="817"/>
      <c r="G163" s="817"/>
      <c r="H163" s="817"/>
      <c r="I163" s="818"/>
    </row>
    <row r="164" spans="1:9" s="218" customFormat="1" x14ac:dyDescent="0.2">
      <c r="A164" s="281"/>
      <c r="B164" s="816"/>
      <c r="C164" s="817"/>
      <c r="D164" s="817"/>
      <c r="E164" s="817"/>
      <c r="F164" s="817"/>
      <c r="G164" s="817"/>
      <c r="H164" s="817"/>
      <c r="I164" s="818"/>
    </row>
    <row r="165" spans="1:9" s="218" customFormat="1" x14ac:dyDescent="0.2">
      <c r="A165" s="281"/>
      <c r="B165" s="816"/>
      <c r="C165" s="817"/>
      <c r="D165" s="817"/>
      <c r="E165" s="817"/>
      <c r="F165" s="817"/>
      <c r="G165" s="817"/>
      <c r="H165" s="817"/>
      <c r="I165" s="818"/>
    </row>
    <row r="166" spans="1:9" s="218" customFormat="1" x14ac:dyDescent="0.2">
      <c r="A166" s="281"/>
      <c r="B166" s="816"/>
      <c r="C166" s="817"/>
      <c r="D166" s="817"/>
      <c r="E166" s="817"/>
      <c r="F166" s="817"/>
      <c r="G166" s="817"/>
      <c r="H166" s="817"/>
      <c r="I166" s="818"/>
    </row>
    <row r="167" spans="1:9" s="218" customFormat="1" x14ac:dyDescent="0.2">
      <c r="A167" s="281"/>
      <c r="B167" s="816"/>
      <c r="C167" s="817"/>
      <c r="D167" s="817"/>
      <c r="E167" s="817"/>
      <c r="F167" s="817"/>
      <c r="G167" s="817"/>
      <c r="H167" s="817"/>
      <c r="I167" s="818"/>
    </row>
    <row r="168" spans="1:9" s="218" customFormat="1" x14ac:dyDescent="0.2">
      <c r="A168" s="281"/>
      <c r="B168" s="816"/>
      <c r="C168" s="817"/>
      <c r="D168" s="817"/>
      <c r="E168" s="817"/>
      <c r="F168" s="817"/>
      <c r="G168" s="817"/>
      <c r="H168" s="817"/>
      <c r="I168" s="818"/>
    </row>
    <row r="169" spans="1:9" s="218" customFormat="1" x14ac:dyDescent="0.2">
      <c r="A169" s="281"/>
      <c r="B169" s="816"/>
      <c r="C169" s="817"/>
      <c r="D169" s="817"/>
      <c r="E169" s="817"/>
      <c r="F169" s="817"/>
      <c r="G169" s="817"/>
      <c r="H169" s="817"/>
      <c r="I169" s="818"/>
    </row>
    <row r="170" spans="1:9" s="218" customFormat="1" x14ac:dyDescent="0.2">
      <c r="A170" s="281"/>
      <c r="B170" s="816"/>
      <c r="C170" s="817"/>
      <c r="D170" s="817"/>
      <c r="E170" s="817"/>
      <c r="F170" s="817"/>
      <c r="G170" s="817"/>
      <c r="H170" s="817"/>
      <c r="I170" s="818"/>
    </row>
    <row r="171" spans="1:9" s="218" customFormat="1" x14ac:dyDescent="0.2">
      <c r="A171" s="281"/>
      <c r="B171" s="816"/>
      <c r="C171" s="817"/>
      <c r="D171" s="817"/>
      <c r="E171" s="817"/>
      <c r="F171" s="817"/>
      <c r="G171" s="817"/>
      <c r="H171" s="817"/>
      <c r="I171" s="818"/>
    </row>
    <row r="172" spans="1:9" s="218" customFormat="1" ht="16.5" thickBot="1" x14ac:dyDescent="0.25">
      <c r="A172" s="282"/>
      <c r="B172" s="819"/>
      <c r="C172" s="820"/>
      <c r="D172" s="820"/>
      <c r="E172" s="820"/>
      <c r="F172" s="820"/>
      <c r="G172" s="820"/>
      <c r="H172" s="820"/>
      <c r="I172" s="821"/>
    </row>
    <row r="174" spans="1:9" s="218" customFormat="1" x14ac:dyDescent="0.2">
      <c r="F174" s="337"/>
      <c r="G174" s="337"/>
      <c r="H174" s="337"/>
      <c r="I174" s="337"/>
    </row>
    <row r="175" spans="1:9" s="218" customFormat="1" ht="16.5" thickBot="1" x14ac:dyDescent="0.25">
      <c r="F175" s="337"/>
      <c r="G175" s="337"/>
      <c r="H175" s="337"/>
      <c r="I175" s="337"/>
    </row>
    <row r="176" spans="1:9" s="218" customFormat="1" ht="16.5" thickBot="1" x14ac:dyDescent="0.25">
      <c r="A176" s="825" t="s">
        <v>3</v>
      </c>
      <c r="B176" s="826"/>
      <c r="F176" s="337"/>
      <c r="G176" s="337"/>
      <c r="H176" s="337"/>
      <c r="I176" s="337"/>
    </row>
    <row r="177" spans="1:14" s="347" customFormat="1" ht="16.5" thickBot="1" x14ac:dyDescent="0.25">
      <c r="A177" s="338"/>
      <c r="B177" s="338"/>
      <c r="F177" s="348"/>
      <c r="G177" s="348"/>
      <c r="H177" s="348"/>
      <c r="I177" s="348"/>
    </row>
    <row r="178" spans="1:14" s="218" customFormat="1" ht="15.75" customHeight="1" thickBot="1" x14ac:dyDescent="0.25">
      <c r="A178" s="800" t="s">
        <v>2</v>
      </c>
      <c r="B178" s="801"/>
      <c r="C178" s="801"/>
      <c r="D178" s="801"/>
      <c r="E178" s="801"/>
      <c r="F178" s="801"/>
      <c r="G178" s="802"/>
      <c r="H178" s="337"/>
      <c r="I178" s="337"/>
    </row>
    <row r="179" spans="1:14" s="347" customFormat="1" ht="15.75" customHeight="1" thickBot="1" x14ac:dyDescent="0.25">
      <c r="A179" s="338"/>
      <c r="B179" s="338"/>
      <c r="C179" s="338"/>
      <c r="D179" s="338"/>
      <c r="E179" s="338"/>
      <c r="F179" s="338"/>
      <c r="G179" s="338"/>
      <c r="H179" s="348"/>
      <c r="I179" s="348"/>
    </row>
    <row r="180" spans="1:14" s="218" customFormat="1" ht="15.75" customHeight="1" thickBot="1" x14ac:dyDescent="0.25">
      <c r="A180" s="807" t="s">
        <v>1</v>
      </c>
      <c r="B180" s="808"/>
      <c r="C180" s="808"/>
      <c r="D180" s="808"/>
      <c r="E180" s="809"/>
      <c r="F180" s="339"/>
      <c r="G180" s="339"/>
      <c r="H180" s="337"/>
      <c r="I180" s="337"/>
    </row>
    <row r="181" spans="1:14" s="218" customFormat="1" x14ac:dyDescent="0.2">
      <c r="A181" s="803" t="s">
        <v>627</v>
      </c>
      <c r="B181" s="805" t="s">
        <v>888</v>
      </c>
      <c r="C181" s="786" t="s">
        <v>0</v>
      </c>
      <c r="D181" s="786" t="s">
        <v>609</v>
      </c>
      <c r="E181" s="805" t="s">
        <v>889</v>
      </c>
      <c r="F181" s="786" t="s">
        <v>436</v>
      </c>
      <c r="G181" s="786" t="s">
        <v>421</v>
      </c>
      <c r="H181" s="786" t="s">
        <v>628</v>
      </c>
      <c r="I181" s="786" t="s">
        <v>11</v>
      </c>
      <c r="J181" s="786" t="s">
        <v>12</v>
      </c>
      <c r="K181" s="786" t="s">
        <v>13</v>
      </c>
      <c r="L181" s="786" t="s">
        <v>449</v>
      </c>
      <c r="M181" s="786" t="s">
        <v>610</v>
      </c>
      <c r="N181" s="788"/>
    </row>
    <row r="182" spans="1:14" s="218" customFormat="1" ht="32.25" customHeight="1" thickBot="1" x14ac:dyDescent="0.25">
      <c r="A182" s="804"/>
      <c r="B182" s="806"/>
      <c r="C182" s="787"/>
      <c r="D182" s="787"/>
      <c r="E182" s="806"/>
      <c r="F182" s="787"/>
      <c r="G182" s="787"/>
      <c r="H182" s="787"/>
      <c r="I182" s="787"/>
      <c r="J182" s="787"/>
      <c r="K182" s="787"/>
      <c r="L182" s="787"/>
      <c r="M182" s="787"/>
      <c r="N182" s="789"/>
    </row>
    <row r="183" spans="1:14" s="218" customFormat="1" x14ac:dyDescent="0.2">
      <c r="A183" s="344"/>
      <c r="B183" s="340"/>
      <c r="C183" s="394"/>
      <c r="D183" s="340"/>
      <c r="E183" s="340"/>
      <c r="F183" s="340"/>
      <c r="G183" s="340"/>
      <c r="H183" s="340"/>
      <c r="I183" s="340"/>
      <c r="J183" s="340"/>
      <c r="K183" s="340"/>
      <c r="L183" s="661"/>
      <c r="M183" s="810"/>
      <c r="N183" s="811"/>
    </row>
    <row r="184" spans="1:14" s="218" customFormat="1" x14ac:dyDescent="0.2">
      <c r="A184" s="345"/>
      <c r="B184" s="341"/>
      <c r="C184" s="392"/>
      <c r="D184" s="341"/>
      <c r="E184" s="341"/>
      <c r="F184" s="341"/>
      <c r="G184" s="341"/>
      <c r="H184" s="341"/>
      <c r="I184" s="341"/>
      <c r="J184" s="341"/>
      <c r="K184" s="341"/>
      <c r="L184" s="662"/>
      <c r="M184" s="790"/>
      <c r="N184" s="791"/>
    </row>
    <row r="185" spans="1:14" s="218" customFormat="1" x14ac:dyDescent="0.2">
      <c r="A185" s="345"/>
      <c r="B185" s="341"/>
      <c r="C185" s="392"/>
      <c r="D185" s="341"/>
      <c r="E185" s="341"/>
      <c r="F185" s="341"/>
      <c r="G185" s="341"/>
      <c r="H185" s="341"/>
      <c r="I185" s="341"/>
      <c r="J185" s="341"/>
      <c r="K185" s="341"/>
      <c r="L185" s="662"/>
      <c r="M185" s="790"/>
      <c r="N185" s="791"/>
    </row>
    <row r="186" spans="1:14" s="218" customFormat="1" x14ac:dyDescent="0.2">
      <c r="A186" s="345"/>
      <c r="B186" s="341"/>
      <c r="C186" s="392"/>
      <c r="D186" s="341"/>
      <c r="E186" s="341"/>
      <c r="F186" s="341"/>
      <c r="G186" s="341"/>
      <c r="H186" s="341"/>
      <c r="I186" s="341"/>
      <c r="J186" s="341"/>
      <c r="K186" s="341"/>
      <c r="L186" s="662"/>
      <c r="M186" s="790"/>
      <c r="N186" s="791"/>
    </row>
    <row r="187" spans="1:14" s="218" customFormat="1" x14ac:dyDescent="0.2">
      <c r="A187" s="345"/>
      <c r="B187" s="341"/>
      <c r="C187" s="392"/>
      <c r="D187" s="341"/>
      <c r="E187" s="341"/>
      <c r="F187" s="341"/>
      <c r="G187" s="341"/>
      <c r="H187" s="341"/>
      <c r="I187" s="341"/>
      <c r="J187" s="341"/>
      <c r="K187" s="341"/>
      <c r="L187" s="662"/>
      <c r="M187" s="790"/>
      <c r="N187" s="791"/>
    </row>
    <row r="188" spans="1:14" s="218" customFormat="1" ht="16.5" thickBot="1" x14ac:dyDescent="0.25">
      <c r="A188" s="346"/>
      <c r="B188" s="342"/>
      <c r="C188" s="336"/>
      <c r="D188" s="342"/>
      <c r="E188" s="342"/>
      <c r="F188" s="342"/>
      <c r="G188" s="342"/>
      <c r="H188" s="342"/>
      <c r="I188" s="342"/>
      <c r="J188" s="342"/>
      <c r="K188" s="342"/>
      <c r="L188" s="663"/>
      <c r="M188" s="794"/>
      <c r="N188" s="795"/>
    </row>
    <row r="189" spans="1:14" s="218" customFormat="1" x14ac:dyDescent="0.2">
      <c r="F189" s="337"/>
      <c r="G189" s="337"/>
      <c r="H189" s="337"/>
      <c r="I189" s="337"/>
    </row>
    <row r="190" spans="1:14" s="218" customFormat="1" ht="16.5" thickBot="1" x14ac:dyDescent="0.25">
      <c r="F190" s="337"/>
      <c r="G190" s="337"/>
      <c r="H190" s="337"/>
      <c r="I190" s="337"/>
    </row>
    <row r="191" spans="1:14" s="218" customFormat="1" ht="16.5" thickBot="1" x14ac:dyDescent="0.25">
      <c r="A191" s="800" t="s">
        <v>790</v>
      </c>
      <c r="B191" s="801"/>
      <c r="C191" s="801"/>
      <c r="D191" s="801"/>
      <c r="E191" s="801"/>
      <c r="F191" s="801"/>
      <c r="G191" s="802"/>
      <c r="H191" s="337"/>
      <c r="I191" s="337"/>
    </row>
    <row r="192" spans="1:14" s="192" customFormat="1" ht="16.5" thickBot="1" x14ac:dyDescent="0.25">
      <c r="F192" s="191"/>
      <c r="G192" s="191"/>
      <c r="H192" s="191"/>
      <c r="I192" s="191"/>
    </row>
    <row r="193" spans="1:31" s="218" customFormat="1" ht="16.5" thickBot="1" x14ac:dyDescent="0.25">
      <c r="A193" s="807" t="s">
        <v>1</v>
      </c>
      <c r="B193" s="808"/>
      <c r="C193" s="808"/>
      <c r="D193" s="808"/>
      <c r="E193" s="808"/>
      <c r="F193" s="808"/>
      <c r="G193" s="808"/>
      <c r="H193" s="809"/>
      <c r="I193" s="337"/>
    </row>
    <row r="194" spans="1:31" s="1169" customFormat="1" ht="36.75" customHeight="1" thickBot="1" x14ac:dyDescent="0.25">
      <c r="A194" s="803" t="s">
        <v>627</v>
      </c>
      <c r="B194" s="805" t="s">
        <v>888</v>
      </c>
      <c r="C194" s="786" t="s">
        <v>0</v>
      </c>
      <c r="D194" s="786" t="s">
        <v>609</v>
      </c>
      <c r="E194" s="805" t="s">
        <v>889</v>
      </c>
      <c r="F194" s="971" t="s">
        <v>42</v>
      </c>
      <c r="G194" s="1165" t="s">
        <v>789</v>
      </c>
      <c r="H194" s="1163"/>
      <c r="I194" s="1163"/>
      <c r="J194" s="1163"/>
      <c r="K194" s="1163"/>
      <c r="L194" s="1163"/>
      <c r="M194" s="1163"/>
      <c r="N194" s="1163"/>
      <c r="O194" s="1163"/>
      <c r="P194" s="1163"/>
      <c r="Q194" s="1163"/>
      <c r="R194" s="1163"/>
      <c r="S194" s="1163"/>
      <c r="T194" s="1163"/>
      <c r="U194" s="1163"/>
      <c r="V194" s="1164"/>
      <c r="W194" s="930" t="s">
        <v>436</v>
      </c>
      <c r="X194" s="786" t="s">
        <v>421</v>
      </c>
      <c r="Y194" s="786" t="s">
        <v>628</v>
      </c>
      <c r="Z194" s="786" t="s">
        <v>11</v>
      </c>
      <c r="AA194" s="786" t="s">
        <v>12</v>
      </c>
      <c r="AB194" s="786" t="s">
        <v>13</v>
      </c>
      <c r="AC194" s="786" t="s">
        <v>449</v>
      </c>
      <c r="AD194" s="971" t="s">
        <v>610</v>
      </c>
      <c r="AE194" s="1161"/>
    </row>
    <row r="195" spans="1:31" s="1169" customFormat="1" ht="45.75" customHeight="1" thickBot="1" x14ac:dyDescent="0.25">
      <c r="A195" s="804"/>
      <c r="B195" s="806"/>
      <c r="C195" s="787"/>
      <c r="D195" s="787"/>
      <c r="E195" s="806"/>
      <c r="F195" s="787"/>
      <c r="G195" s="1186" t="s">
        <v>432</v>
      </c>
      <c r="H195" s="1186" t="s">
        <v>1380</v>
      </c>
      <c r="I195" s="1186" t="s">
        <v>1381</v>
      </c>
      <c r="J195" s="1186" t="s">
        <v>1382</v>
      </c>
      <c r="K195" s="1186" t="s">
        <v>433</v>
      </c>
      <c r="L195" s="1186" t="s">
        <v>1383</v>
      </c>
      <c r="M195" s="1182" t="s">
        <v>1386</v>
      </c>
      <c r="N195" s="1182" t="s">
        <v>1387</v>
      </c>
      <c r="O195" s="1186" t="s">
        <v>434</v>
      </c>
      <c r="P195" s="1186" t="s">
        <v>1384</v>
      </c>
      <c r="Q195" s="1182" t="s">
        <v>1388</v>
      </c>
      <c r="R195" s="1182" t="s">
        <v>1389</v>
      </c>
      <c r="S195" s="1186" t="s">
        <v>435</v>
      </c>
      <c r="T195" s="1186" t="s">
        <v>1385</v>
      </c>
      <c r="U195" s="1182" t="s">
        <v>1390</v>
      </c>
      <c r="V195" s="1182" t="s">
        <v>1391</v>
      </c>
      <c r="W195" s="959"/>
      <c r="X195" s="787"/>
      <c r="Y195" s="787"/>
      <c r="Z195" s="787"/>
      <c r="AA195" s="787"/>
      <c r="AB195" s="787"/>
      <c r="AC195" s="787"/>
      <c r="AD195" s="972"/>
      <c r="AE195" s="1162"/>
    </row>
    <row r="196" spans="1:31" s="1169" customFormat="1" x14ac:dyDescent="0.2">
      <c r="A196" s="1176"/>
      <c r="B196" s="1173"/>
      <c r="C196" s="1171"/>
      <c r="D196" s="1173"/>
      <c r="E196" s="1173"/>
      <c r="F196" s="1179"/>
      <c r="G196" s="1173"/>
      <c r="H196" s="1173"/>
      <c r="I196" s="1173"/>
      <c r="J196" s="1173"/>
      <c r="K196" s="1173"/>
      <c r="L196" s="1173"/>
      <c r="M196" s="1173"/>
      <c r="N196" s="1173"/>
      <c r="O196" s="1173"/>
      <c r="P196" s="1173"/>
      <c r="Q196" s="1173"/>
      <c r="R196" s="1173"/>
      <c r="S196" s="1173"/>
      <c r="T196" s="1173"/>
      <c r="U196" s="1173"/>
      <c r="V196" s="1173"/>
      <c r="W196" s="1173"/>
      <c r="X196" s="1173"/>
      <c r="Y196" s="1173"/>
      <c r="Z196" s="1173"/>
      <c r="AA196" s="1173"/>
      <c r="AB196" s="1173"/>
      <c r="AC196" s="1183"/>
      <c r="AD196" s="796"/>
      <c r="AE196" s="797"/>
    </row>
    <row r="197" spans="1:31" s="1169" customFormat="1" x14ac:dyDescent="0.2">
      <c r="A197" s="1177"/>
      <c r="B197" s="1174"/>
      <c r="C197" s="1170"/>
      <c r="D197" s="1174"/>
      <c r="E197" s="1174"/>
      <c r="F197" s="1180"/>
      <c r="G197" s="1174"/>
      <c r="H197" s="1174"/>
      <c r="I197" s="1174"/>
      <c r="J197" s="1174"/>
      <c r="K197" s="1174"/>
      <c r="L197" s="1174"/>
      <c r="M197" s="1174"/>
      <c r="N197" s="1174"/>
      <c r="O197" s="1174"/>
      <c r="P197" s="1174"/>
      <c r="Q197" s="1174"/>
      <c r="R197" s="1174"/>
      <c r="S197" s="1174"/>
      <c r="T197" s="1174"/>
      <c r="U197" s="1174"/>
      <c r="V197" s="1174"/>
      <c r="W197" s="1174"/>
      <c r="X197" s="1174"/>
      <c r="Y197" s="1174"/>
      <c r="Z197" s="1174"/>
      <c r="AA197" s="1174"/>
      <c r="AB197" s="1174"/>
      <c r="AC197" s="1184"/>
      <c r="AD197" s="798"/>
      <c r="AE197" s="799"/>
    </row>
    <row r="198" spans="1:31" s="1169" customFormat="1" x14ac:dyDescent="0.2">
      <c r="A198" s="1177"/>
      <c r="B198" s="1174"/>
      <c r="C198" s="1170"/>
      <c r="D198" s="1174"/>
      <c r="E198" s="1174"/>
      <c r="F198" s="1180"/>
      <c r="G198" s="1174"/>
      <c r="H198" s="1174"/>
      <c r="I198" s="1174"/>
      <c r="J198" s="1174"/>
      <c r="K198" s="1174"/>
      <c r="L198" s="1174"/>
      <c r="M198" s="1174"/>
      <c r="N198" s="1174"/>
      <c r="O198" s="1174"/>
      <c r="P198" s="1174"/>
      <c r="Q198" s="1174"/>
      <c r="R198" s="1174"/>
      <c r="S198" s="1174"/>
      <c r="T198" s="1174"/>
      <c r="U198" s="1174"/>
      <c r="V198" s="1174"/>
      <c r="W198" s="1174"/>
      <c r="X198" s="1174"/>
      <c r="Y198" s="1174"/>
      <c r="Z198" s="1174"/>
      <c r="AA198" s="1174"/>
      <c r="AB198" s="1174"/>
      <c r="AC198" s="1184"/>
      <c r="AD198" s="798"/>
      <c r="AE198" s="799"/>
    </row>
    <row r="199" spans="1:31" s="1169" customFormat="1" x14ac:dyDescent="0.2">
      <c r="A199" s="1177"/>
      <c r="B199" s="1174"/>
      <c r="C199" s="1170"/>
      <c r="D199" s="1174"/>
      <c r="E199" s="1174"/>
      <c r="F199" s="1180"/>
      <c r="G199" s="1174"/>
      <c r="H199" s="1174"/>
      <c r="I199" s="1174"/>
      <c r="J199" s="1174"/>
      <c r="K199" s="1174"/>
      <c r="L199" s="1174"/>
      <c r="M199" s="1174"/>
      <c r="N199" s="1174"/>
      <c r="O199" s="1174"/>
      <c r="P199" s="1174"/>
      <c r="Q199" s="1174"/>
      <c r="R199" s="1174"/>
      <c r="S199" s="1174"/>
      <c r="T199" s="1174"/>
      <c r="U199" s="1174"/>
      <c r="V199" s="1174"/>
      <c r="W199" s="1174"/>
      <c r="X199" s="1174"/>
      <c r="Y199" s="1174"/>
      <c r="Z199" s="1174"/>
      <c r="AA199" s="1174"/>
      <c r="AB199" s="1174"/>
      <c r="AC199" s="1184"/>
      <c r="AD199" s="798"/>
      <c r="AE199" s="799"/>
    </row>
    <row r="200" spans="1:31" s="1169" customFormat="1" x14ac:dyDescent="0.2">
      <c r="A200" s="1177"/>
      <c r="B200" s="1174"/>
      <c r="C200" s="1170"/>
      <c r="D200" s="1174"/>
      <c r="E200" s="1174"/>
      <c r="F200" s="1180"/>
      <c r="G200" s="1174"/>
      <c r="H200" s="1174"/>
      <c r="I200" s="1174"/>
      <c r="J200" s="1174"/>
      <c r="K200" s="1174"/>
      <c r="L200" s="1174"/>
      <c r="M200" s="1174"/>
      <c r="N200" s="1174"/>
      <c r="O200" s="1174"/>
      <c r="P200" s="1174"/>
      <c r="Q200" s="1174"/>
      <c r="R200" s="1174"/>
      <c r="S200" s="1174"/>
      <c r="T200" s="1174"/>
      <c r="U200" s="1174"/>
      <c r="V200" s="1174"/>
      <c r="W200" s="1174"/>
      <c r="X200" s="1174"/>
      <c r="Y200" s="1174"/>
      <c r="Z200" s="1174"/>
      <c r="AA200" s="1174"/>
      <c r="AB200" s="1174"/>
      <c r="AC200" s="1184"/>
      <c r="AD200" s="798"/>
      <c r="AE200" s="799"/>
    </row>
    <row r="201" spans="1:31" s="1169" customFormat="1" ht="16.5" thickBot="1" x14ac:dyDescent="0.25">
      <c r="A201" s="1178"/>
      <c r="B201" s="1175"/>
      <c r="C201" s="1172"/>
      <c r="D201" s="1175"/>
      <c r="E201" s="1175"/>
      <c r="F201" s="1181"/>
      <c r="G201" s="1175"/>
      <c r="H201" s="1175"/>
      <c r="I201" s="1175"/>
      <c r="J201" s="1175"/>
      <c r="K201" s="1175"/>
      <c r="L201" s="1175"/>
      <c r="M201" s="1175"/>
      <c r="N201" s="1175"/>
      <c r="O201" s="1175"/>
      <c r="P201" s="1175"/>
      <c r="Q201" s="1175"/>
      <c r="R201" s="1175"/>
      <c r="S201" s="1175"/>
      <c r="T201" s="1175"/>
      <c r="U201" s="1175"/>
      <c r="V201" s="1175"/>
      <c r="W201" s="1175"/>
      <c r="X201" s="1175"/>
      <c r="Y201" s="1175"/>
      <c r="Z201" s="1175"/>
      <c r="AA201" s="1175"/>
      <c r="AB201" s="1175"/>
      <c r="AC201" s="1185"/>
      <c r="AD201" s="792"/>
      <c r="AE201" s="793"/>
    </row>
    <row r="202" spans="1:31" s="218" customFormat="1" x14ac:dyDescent="0.2">
      <c r="F202" s="337"/>
      <c r="G202" s="337"/>
      <c r="H202" s="337"/>
      <c r="I202" s="337"/>
    </row>
    <row r="203" spans="1:31" s="218" customFormat="1" x14ac:dyDescent="0.2">
      <c r="F203" s="337"/>
      <c r="G203" s="337"/>
      <c r="H203" s="337"/>
      <c r="I203" s="337"/>
    </row>
    <row r="204" spans="1:31" s="218" customFormat="1" ht="16.5" thickBot="1" x14ac:dyDescent="0.25">
      <c r="F204" s="337"/>
      <c r="G204" s="337"/>
      <c r="H204" s="337"/>
      <c r="I204" s="337"/>
    </row>
    <row r="205" spans="1:31" ht="16.5" thickBot="1" x14ac:dyDescent="0.25">
      <c r="A205" s="555" t="s">
        <v>454</v>
      </c>
      <c r="B205" s="556" t="s">
        <v>455</v>
      </c>
    </row>
    <row r="206" spans="1:31" x14ac:dyDescent="0.2">
      <c r="A206" s="450" t="s">
        <v>456</v>
      </c>
      <c r="B206" s="557" t="s">
        <v>51</v>
      </c>
    </row>
    <row r="207" spans="1:31" x14ac:dyDescent="0.2">
      <c r="A207" s="558" t="s">
        <v>65</v>
      </c>
      <c r="B207" s="559" t="s">
        <v>51</v>
      </c>
    </row>
    <row r="208" spans="1:31" x14ac:dyDescent="0.2">
      <c r="A208" s="558" t="s">
        <v>257</v>
      </c>
      <c r="B208" s="559" t="s">
        <v>51</v>
      </c>
    </row>
    <row r="209" spans="1:9" x14ac:dyDescent="0.2">
      <c r="A209" s="558" t="s">
        <v>258</v>
      </c>
      <c r="B209" s="559" t="s">
        <v>51</v>
      </c>
      <c r="F209" s="69"/>
      <c r="G209" s="69"/>
      <c r="H209" s="69"/>
      <c r="I209" s="69"/>
    </row>
    <row r="210" spans="1:9" x14ac:dyDescent="0.2">
      <c r="A210" s="558" t="s">
        <v>259</v>
      </c>
      <c r="B210" s="559" t="s">
        <v>53</v>
      </c>
      <c r="F210" s="69"/>
      <c r="G210" s="69"/>
      <c r="H210" s="69"/>
      <c r="I210" s="69"/>
    </row>
    <row r="211" spans="1:9" x14ac:dyDescent="0.2">
      <c r="A211" s="558" t="s">
        <v>281</v>
      </c>
      <c r="B211" s="559" t="s">
        <v>53</v>
      </c>
      <c r="F211" s="69"/>
      <c r="G211" s="69"/>
      <c r="H211" s="69"/>
      <c r="I211" s="69"/>
    </row>
    <row r="212" spans="1:9" x14ac:dyDescent="0.2">
      <c r="A212" s="560" t="s">
        <v>279</v>
      </c>
      <c r="B212" s="559" t="s">
        <v>53</v>
      </c>
      <c r="F212" s="69"/>
      <c r="G212" s="69"/>
      <c r="H212" s="69"/>
      <c r="I212" s="69"/>
    </row>
    <row r="213" spans="1:9" x14ac:dyDescent="0.2">
      <c r="A213" s="560" t="s">
        <v>457</v>
      </c>
      <c r="B213" s="559" t="s">
        <v>53</v>
      </c>
      <c r="F213" s="69"/>
      <c r="G213" s="69"/>
      <c r="H213" s="69"/>
      <c r="I213" s="69"/>
    </row>
    <row r="214" spans="1:9" ht="16.5" thickBot="1" x14ac:dyDescent="0.25">
      <c r="A214" s="561" t="s">
        <v>460</v>
      </c>
      <c r="B214" s="562" t="s">
        <v>51</v>
      </c>
      <c r="F214" s="69"/>
      <c r="G214" s="69"/>
      <c r="H214" s="69"/>
      <c r="I214" s="69"/>
    </row>
  </sheetData>
  <sheetProtection formatCells="0" formatColumns="0" formatRows="0" insertColumns="0" insertRows="0" deleteColumns="0" deleteRows="0" sort="0" autoFilter="0"/>
  <autoFilter ref="A30:AB30" xr:uid="{00000000-0009-0000-0000-000004000000}"/>
  <sortState xmlns:xlrd2="http://schemas.microsoft.com/office/spreadsheetml/2017/richdata2" ref="A89:A123">
    <sortCondition ref="A89"/>
  </sortState>
  <dataConsolidate>
    <dataRefs count="2">
      <dataRef ref="B9" sheet="APPENDIX B-1  (FE - USWC)"/>
      <dataRef ref="A14:A18" sheet="APPENDIX B-1  (FE - USWC)"/>
    </dataRefs>
  </dataConsolidate>
  <mergeCells count="268">
    <mergeCell ref="AD198:AE198"/>
    <mergeCell ref="AD199:AE199"/>
    <mergeCell ref="AD200:AE200"/>
    <mergeCell ref="AD201:AE201"/>
    <mergeCell ref="X194:X195"/>
    <mergeCell ref="Y194:Y195"/>
    <mergeCell ref="Z194:Z195"/>
    <mergeCell ref="AA194:AA195"/>
    <mergeCell ref="AB194:AB195"/>
    <mergeCell ref="AC194:AC195"/>
    <mergeCell ref="AD194:AE195"/>
    <mergeCell ref="AD196:AE196"/>
    <mergeCell ref="AD197:AE197"/>
    <mergeCell ref="B99:D99"/>
    <mergeCell ref="E99:G99"/>
    <mergeCell ref="B101:D101"/>
    <mergeCell ref="B103:D103"/>
    <mergeCell ref="B102:D102"/>
    <mergeCell ref="E102:G102"/>
    <mergeCell ref="E109:G109"/>
    <mergeCell ref="B100:D100"/>
    <mergeCell ref="E104:G104"/>
    <mergeCell ref="E101:G101"/>
    <mergeCell ref="B163:I163"/>
    <mergeCell ref="B165:I165"/>
    <mergeCell ref="B114:D114"/>
    <mergeCell ref="B109:D109"/>
    <mergeCell ref="B108:D108"/>
    <mergeCell ref="E108:G108"/>
    <mergeCell ref="B123:D123"/>
    <mergeCell ref="E118:G118"/>
    <mergeCell ref="E120:G120"/>
    <mergeCell ref="B122:D122"/>
    <mergeCell ref="E122:G122"/>
    <mergeCell ref="B160:I160"/>
    <mergeCell ref="B162:I162"/>
    <mergeCell ref="A146:E146"/>
    <mergeCell ref="A148:F148"/>
    <mergeCell ref="A150:F150"/>
    <mergeCell ref="A149:F149"/>
    <mergeCell ref="E114:G114"/>
    <mergeCell ref="B115:D115"/>
    <mergeCell ref="E115:G115"/>
    <mergeCell ref="B161:I161"/>
    <mergeCell ref="B158:I158"/>
    <mergeCell ref="B159:I159"/>
    <mergeCell ref="B112:D112"/>
    <mergeCell ref="E112:G112"/>
    <mergeCell ref="E110:G110"/>
    <mergeCell ref="E111:G111"/>
    <mergeCell ref="B105:D105"/>
    <mergeCell ref="E105:G105"/>
    <mergeCell ref="B107:D107"/>
    <mergeCell ref="E107:G107"/>
    <mergeCell ref="A156:I156"/>
    <mergeCell ref="B117:D117"/>
    <mergeCell ref="E117:G117"/>
    <mergeCell ref="B118:D118"/>
    <mergeCell ref="E123:G123"/>
    <mergeCell ref="G138:G139"/>
    <mergeCell ref="A138:D138"/>
    <mergeCell ref="E138:E139"/>
    <mergeCell ref="F138:F139"/>
    <mergeCell ref="G194:V194"/>
    <mergeCell ref="W194:W195"/>
    <mergeCell ref="B170:I170"/>
    <mergeCell ref="B164:I164"/>
    <mergeCell ref="A180:E180"/>
    <mergeCell ref="B181:B182"/>
    <mergeCell ref="C181:C182"/>
    <mergeCell ref="D181:D182"/>
    <mergeCell ref="A176:B176"/>
    <mergeCell ref="A178:G178"/>
    <mergeCell ref="B172:I172"/>
    <mergeCell ref="B171:I171"/>
    <mergeCell ref="A181:A182"/>
    <mergeCell ref="B166:I166"/>
    <mergeCell ref="B169:I169"/>
    <mergeCell ref="B168:I168"/>
    <mergeCell ref="B167:I167"/>
    <mergeCell ref="A194:A195"/>
    <mergeCell ref="B194:B195"/>
    <mergeCell ref="C194:C195"/>
    <mergeCell ref="E181:E182"/>
    <mergeCell ref="F181:F182"/>
    <mergeCell ref="A191:G191"/>
    <mergeCell ref="A193:H193"/>
    <mergeCell ref="D194:D195"/>
    <mergeCell ref="E194:E195"/>
    <mergeCell ref="F194:F195"/>
    <mergeCell ref="I181:I182"/>
    <mergeCell ref="J181:J182"/>
    <mergeCell ref="H181:H182"/>
    <mergeCell ref="M181:N182"/>
    <mergeCell ref="K181:K182"/>
    <mergeCell ref="M183:N183"/>
    <mergeCell ref="M184:N184"/>
    <mergeCell ref="M185:N185"/>
    <mergeCell ref="M186:N186"/>
    <mergeCell ref="M187:N187"/>
    <mergeCell ref="G181:G182"/>
    <mergeCell ref="M188:N188"/>
    <mergeCell ref="L181:L182"/>
    <mergeCell ref="M138:M139"/>
    <mergeCell ref="B125:D125"/>
    <mergeCell ref="K138:K139"/>
    <mergeCell ref="K131:K132"/>
    <mergeCell ref="J138:J139"/>
    <mergeCell ref="L138:L139"/>
    <mergeCell ref="B126:D126"/>
    <mergeCell ref="E126:G126"/>
    <mergeCell ref="L131:L132"/>
    <mergeCell ref="G131:G132"/>
    <mergeCell ref="J131:J132"/>
    <mergeCell ref="H131:H132"/>
    <mergeCell ref="I131:I132"/>
    <mergeCell ref="A131:D131"/>
    <mergeCell ref="E131:E132"/>
    <mergeCell ref="F131:F132"/>
    <mergeCell ref="A129:I129"/>
    <mergeCell ref="B127:D127"/>
    <mergeCell ref="A128:I128"/>
    <mergeCell ref="H138:H139"/>
    <mergeCell ref="I138:I139"/>
    <mergeCell ref="E125:G125"/>
    <mergeCell ref="E127:G127"/>
    <mergeCell ref="B68:D68"/>
    <mergeCell ref="G39:G40"/>
    <mergeCell ref="F48:F49"/>
    <mergeCell ref="G48:G49"/>
    <mergeCell ref="B94:D94"/>
    <mergeCell ref="E98:G98"/>
    <mergeCell ref="B97:D97"/>
    <mergeCell ref="E97:G97"/>
    <mergeCell ref="E100:G100"/>
    <mergeCell ref="B98:D98"/>
    <mergeCell ref="A86:I86"/>
    <mergeCell ref="B93:D93"/>
    <mergeCell ref="E95:G95"/>
    <mergeCell ref="B95:D95"/>
    <mergeCell ref="E93:G93"/>
    <mergeCell ref="E94:G94"/>
    <mergeCell ref="B96:D96"/>
    <mergeCell ref="E96:G96"/>
    <mergeCell ref="B82:D82"/>
    <mergeCell ref="B88:I88"/>
    <mergeCell ref="A47:D47"/>
    <mergeCell ref="B66:D66"/>
    <mergeCell ref="B65:D65"/>
    <mergeCell ref="A57:C57"/>
    <mergeCell ref="H48:H49"/>
    <mergeCell ref="A58:C58"/>
    <mergeCell ref="B48:B49"/>
    <mergeCell ref="B39:B40"/>
    <mergeCell ref="F39:F40"/>
    <mergeCell ref="A39:A40"/>
    <mergeCell ref="C39:C40"/>
    <mergeCell ref="E39:E40"/>
    <mergeCell ref="H39:H40"/>
    <mergeCell ref="D39:D40"/>
    <mergeCell ref="A1:B1"/>
    <mergeCell ref="C1:F1"/>
    <mergeCell ref="A2:B2"/>
    <mergeCell ref="C2:F2"/>
    <mergeCell ref="A3:B3"/>
    <mergeCell ref="C3:F3"/>
    <mergeCell ref="L16:M16"/>
    <mergeCell ref="J16:K16"/>
    <mergeCell ref="A4:B4"/>
    <mergeCell ref="C4:F4"/>
    <mergeCell ref="A7:B7"/>
    <mergeCell ref="C7:F7"/>
    <mergeCell ref="J13:K13"/>
    <mergeCell ref="B14:I14"/>
    <mergeCell ref="B15:I15"/>
    <mergeCell ref="A5:B5"/>
    <mergeCell ref="C5:F5"/>
    <mergeCell ref="A6:B6"/>
    <mergeCell ref="C6:F6"/>
    <mergeCell ref="L15:M15"/>
    <mergeCell ref="B16:I16"/>
    <mergeCell ref="A8:B8"/>
    <mergeCell ref="C8:F8"/>
    <mergeCell ref="A12:J12"/>
    <mergeCell ref="L13:M13"/>
    <mergeCell ref="L14:M14"/>
    <mergeCell ref="L17:M17"/>
    <mergeCell ref="I30:I31"/>
    <mergeCell ref="B22:H22"/>
    <mergeCell ref="B24:H24"/>
    <mergeCell ref="A30:A31"/>
    <mergeCell ref="B30:B31"/>
    <mergeCell ref="C30:C31"/>
    <mergeCell ref="B17:I17"/>
    <mergeCell ref="B13:I13"/>
    <mergeCell ref="J14:K14"/>
    <mergeCell ref="J15:K15"/>
    <mergeCell ref="B21:H21"/>
    <mergeCell ref="D30:D31"/>
    <mergeCell ref="J17:K17"/>
    <mergeCell ref="B20:H20"/>
    <mergeCell ref="F30:F31"/>
    <mergeCell ref="H30:H31"/>
    <mergeCell ref="G30:G31"/>
    <mergeCell ref="B23:H23"/>
    <mergeCell ref="E30:E31"/>
    <mergeCell ref="Y30:Y31"/>
    <mergeCell ref="X30:X31"/>
    <mergeCell ref="AA30:AA31"/>
    <mergeCell ref="J30:J31"/>
    <mergeCell ref="K30:K31"/>
    <mergeCell ref="I39:I40"/>
    <mergeCell ref="J39:J40"/>
    <mergeCell ref="AA39:AA40"/>
    <mergeCell ref="Z30:Z31"/>
    <mergeCell ref="Y39:Y40"/>
    <mergeCell ref="L30:L31"/>
    <mergeCell ref="Z39:Z40"/>
    <mergeCell ref="X39:X40"/>
    <mergeCell ref="K39:K40"/>
    <mergeCell ref="AC48:AC49"/>
    <mergeCell ref="AA48:AA49"/>
    <mergeCell ref="AB48:AB49"/>
    <mergeCell ref="L90:L92"/>
    <mergeCell ref="M90:M92"/>
    <mergeCell ref="A87:I87"/>
    <mergeCell ref="C48:C49"/>
    <mergeCell ref="D48:D49"/>
    <mergeCell ref="B81:D81"/>
    <mergeCell ref="B83:D83"/>
    <mergeCell ref="B84:D84"/>
    <mergeCell ref="A73:C73"/>
    <mergeCell ref="B80:D80"/>
    <mergeCell ref="J48:J49"/>
    <mergeCell ref="Z48:Z49"/>
    <mergeCell ref="M48:M49"/>
    <mergeCell ref="L48:L49"/>
    <mergeCell ref="K48:K49"/>
    <mergeCell ref="I48:I49"/>
    <mergeCell ref="E48:E49"/>
    <mergeCell ref="A72:C72"/>
    <mergeCell ref="B69:D69"/>
    <mergeCell ref="A48:A49"/>
    <mergeCell ref="B67:D67"/>
    <mergeCell ref="K90:K92"/>
    <mergeCell ref="H90:H92"/>
    <mergeCell ref="J90:J92"/>
    <mergeCell ref="I90:I92"/>
    <mergeCell ref="A91:G91"/>
    <mergeCell ref="A92:G92"/>
    <mergeCell ref="A90:G90"/>
    <mergeCell ref="B124:D124"/>
    <mergeCell ref="E124:G124"/>
    <mergeCell ref="E119:G119"/>
    <mergeCell ref="E113:G113"/>
    <mergeCell ref="B121:D121"/>
    <mergeCell ref="E121:G121"/>
    <mergeCell ref="B116:D116"/>
    <mergeCell ref="E116:G116"/>
    <mergeCell ref="B120:D120"/>
    <mergeCell ref="B110:D110"/>
    <mergeCell ref="E103:G103"/>
    <mergeCell ref="B104:D104"/>
    <mergeCell ref="B111:D111"/>
    <mergeCell ref="B113:D113"/>
    <mergeCell ref="B119:D119"/>
    <mergeCell ref="B106:D106"/>
    <mergeCell ref="E106:G106"/>
  </mergeCells>
  <phoneticPr fontId="11" type="noConversion"/>
  <dataValidations count="33">
    <dataValidation type="list" allowBlank="1" showInputMessage="1" showErrorMessage="1" sqref="B206:B214" xr:uid="{00000000-0002-0000-0400-000000000000}">
      <formula1>Autom</formula1>
    </dataValidation>
    <dataValidation type="list" showInputMessage="1" showErrorMessage="1" sqref="C183:C188 C196:C201" xr:uid="{00000000-0002-0000-0400-000001000000}">
      <formula1>IF($B183="I",DDTARIFF,DDTARIFFUSE)</formula1>
    </dataValidation>
    <dataValidation type="list" allowBlank="1" showInputMessage="1" showErrorMessage="1" sqref="B183:B188 B196:B201" xr:uid="{00000000-0002-0000-0400-000002000000}">
      <formula1>EXPIMP</formula1>
    </dataValidation>
    <dataValidation type="list" allowBlank="1" showInputMessage="1" showErrorMessage="1" sqref="F183:F188 W196:W201" xr:uid="{00000000-0002-0000-0400-000003000000}">
      <formula1>EQTYPE</formula1>
    </dataValidation>
    <dataValidation type="list" allowBlank="1" showInputMessage="1" showErrorMessage="1" sqref="G183:G188 X196:X201" xr:uid="{00000000-0002-0000-0400-000004000000}">
      <formula1>OPREEFER</formula1>
    </dataValidation>
    <dataValidation type="list" allowBlank="1" showInputMessage="1" showErrorMessage="1" sqref="F196:F201" xr:uid="{CE91E0B5-9F83-4E32-9DBD-7628D2AD48EF}">
      <formula1>CURRENCY</formula1>
    </dataValidation>
    <dataValidation type="whole" allowBlank="1" showInputMessage="1" showErrorMessage="1" error="Only whole numbers can be entered into this field" sqref="D183:D188 D196:D201" xr:uid="{00000000-0002-0000-0400-000006000000}">
      <formula1>1</formula1>
      <formula2>99</formula2>
    </dataValidation>
    <dataValidation type="list" showInputMessage="1" showErrorMessage="1" sqref="E183:E188 E196:E201" xr:uid="{00000000-0002-0000-0400-000007000000}">
      <formula1>DAYS</formula1>
    </dataValidation>
    <dataValidation type="whole" allowBlank="1" showInputMessage="1" showErrorMessage="1" error="Only whole numbers may be entered into this field_x000a_" sqref="G196:G201 S196:S201 O196:O201 K196:K201" xr:uid="{E5FA3839-77DE-42FB-9745-F8A06DAA8ECF}">
      <formula1>1</formula1>
      <formula2>99</formula2>
    </dataValidation>
    <dataValidation type="decimal" allowBlank="1" showInputMessage="1" showErrorMessage="1" error="Only numbers may be entered into this field" sqref="H196:J201 L196:N201 P196:R201 T196:V201" xr:uid="{492777BA-A514-4D02-A6A0-9B314EDE35A0}">
      <formula1>1</formula1>
      <formula2>1000000000</formula2>
    </dataValidation>
    <dataValidation type="list" showInputMessage="1" showErrorMessage="1" sqref="K133:K136 K140:K143 N66:N69 A41:A44 A50:A53 A32:A35 N81:N84" xr:uid="{00000000-0002-0000-0400-00000A000000}">
      <formula1>$A$14:$A$18</formula1>
    </dataValidation>
    <dataValidation type="list" allowBlank="1" showInputMessage="1" showErrorMessage="1" sqref="J133:J136 J140:J143" xr:uid="{00000000-0002-0000-0400-00000B000000}">
      <formula1>GRIPSS</formula1>
    </dataValidation>
    <dataValidation type="decimal" allowBlank="1" showInputMessage="1" showErrorMessage="1" sqref="F140:I143 F133:I136 I32:L35 I41:K44 J81:M84 I50:L53" xr:uid="{00000000-0002-0000-0400-00000C000000}">
      <formula1>0</formula1>
      <formula2>999999999999999</formula2>
    </dataValidation>
    <dataValidation type="list" allowBlank="1" showInputMessage="1" showErrorMessage="1" sqref="E133:E136 E140:E143" xr:uid="{00000000-0002-0000-0400-00000D000000}">
      <formula1>GRIPSS_EQ</formula1>
    </dataValidation>
    <dataValidation type="list" showInputMessage="1" showErrorMessage="1" sqref="A183:A188 A196:A201" xr:uid="{00000000-0002-0000-0400-00000E000000}">
      <formula1>BULLET</formula1>
    </dataValidation>
    <dataValidation type="date" allowBlank="1" showInputMessage="1" showErrorMessage="1" sqref="X32:Y35 J93:K127" xr:uid="{00000000-0002-0000-0400-00000F000000}">
      <formula1>10101</formula1>
      <formula2>311299</formula2>
    </dataValidation>
    <dataValidation type="list" showDropDown="1" showErrorMessage="1" sqref="O65:P65 O80:P80" xr:uid="{00000000-0002-0000-0400-000010000000}">
      <formula1>Charges</formula1>
    </dataValidation>
    <dataValidation type="list" allowBlank="1" showInputMessage="1" showErrorMessage="1" sqref="O66:P69 O81:P84" xr:uid="{00000000-0002-0000-0400-000011000000}">
      <formula1 xml:space="preserve"> droppull</formula1>
    </dataValidation>
    <dataValidation type="list" allowBlank="1" showInputMessage="1" showErrorMessage="1" sqref="L41:L44 G66:G69 P50:P53 N41:N44 G81:G84" xr:uid="{00000000-0002-0000-0400-000012000000}">
      <formula1>YesNo</formula1>
    </dataValidation>
    <dataValidation type="list" allowBlank="1" showInputMessage="1" showErrorMessage="1" sqref="M50:M53" xr:uid="{00000000-0002-0000-0400-000013000000}">
      <formula1>Equip</formula1>
    </dataValidation>
    <dataValidation type="list" allowBlank="1" showInputMessage="1" showErrorMessage="1" sqref="F66:F69 F81:F84" xr:uid="{00000000-0002-0000-0400-000014000000}">
      <formula1>ArbMode</formula1>
    </dataValidation>
    <dataValidation type="list" allowBlank="1" showInputMessage="1" showErrorMessage="1" sqref="G41:G44 G50:G53 G32:G35" xr:uid="{00000000-0002-0000-0400-000015000000}">
      <formula1>SDD</formula1>
    </dataValidation>
    <dataValidation type="list" allowBlank="1" showInputMessage="1" showErrorMessage="1" sqref="M31:W31 Q49:Y49" xr:uid="{00000000-0002-0000-0400-000016000000}">
      <formula1>Container</formula1>
    </dataValidation>
    <dataValidation type="list" allowBlank="1" showInputMessage="1" showErrorMessage="1" sqref="O40:W40" xr:uid="{00000000-0002-0000-0400-000017000000}">
      <formula1>Reefer</formula1>
    </dataValidation>
    <dataValidation type="list" allowBlank="1" showInputMessage="1" showErrorMessage="1" sqref="F32:F35 F50:F53 F41:F44" xr:uid="{00000000-0002-0000-0400-000018000000}">
      <formula1>Mode</formula1>
    </dataValidation>
    <dataValidation type="list" allowBlank="1" showInputMessage="1" showErrorMessage="1" sqref="M41:M44 O50:O53" xr:uid="{00000000-0002-0000-0400-000019000000}">
      <formula1>ShipperOwn</formula1>
    </dataValidation>
    <dataValidation type="list" allowBlank="1" showInputMessage="1" showErrorMessage="1" sqref="N50:N53" xr:uid="{00000000-0002-0000-0400-00001A000000}">
      <formula1>OOG</formula1>
    </dataValidation>
    <dataValidation type="list" allowBlank="1" showErrorMessage="1" sqref="M30:W30 Q48:Y48 O39:W39" xr:uid="{00000000-0002-0000-0400-00001B000000}">
      <formula1>Exceptions</formula1>
    </dataValidation>
    <dataValidation type="list" allowBlank="1" showInputMessage="1" showErrorMessage="1" sqref="AA32:AA35 AC50:AC53 AA41:AA44" xr:uid="{00000000-0002-0000-0400-00001C000000}">
      <formula1>CST</formula1>
    </dataValidation>
    <dataValidation type="list" allowBlank="1" showInputMessage="1" showErrorMessage="1" sqref="I93:I127" xr:uid="{00000000-0002-0000-0400-00001D000000}">
      <formula1>$A$14:$A$18</formula1>
    </dataValidation>
    <dataValidation type="list" allowBlank="1" showErrorMessage="1" sqref="A93:A127" xr:uid="{00000000-0002-0000-0400-00001E000000}">
      <formula1>Charges</formula1>
    </dataValidation>
    <dataValidation allowBlank="1" showInputMessage="1" showErrorMessage="1" promptTitle="Acceptable Values:" prompt="- Applicable _x000a_- Not applicable _x000a_- Included_x000a_- Amount and OSPF for cases of fixed per D40 OSPF_x000a_    (example-  &quot;375 OSPF&quot;)" sqref="E93:G127" xr:uid="{00000000-0002-0000-0400-00001F000000}"/>
    <dataValidation type="list" allowBlank="1" showInputMessage="1" showErrorMessage="1" errorTitle="Pick up the list" promptTitle="Blank = ALL" sqref="H93:H127" xr:uid="{00000000-0002-0000-0400-000020000000}">
      <formula1>Type_note2</formula1>
    </dataValidation>
  </dataValidations>
  <pageMargins left="0.25" right="0.25" top="0.25" bottom="0.25" header="0.5" footer="0"/>
  <pageSetup scale="28" fitToHeight="0" orientation="landscape" r:id="rId1"/>
  <headerFooter alignWithMargins="0"/>
  <rowBreaks count="1" manualBreakCount="1">
    <brk id="88" max="16383" man="1"/>
  </rowBreaks>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tabColor indexed="46"/>
    <pageSetUpPr fitToPage="1"/>
  </sheetPr>
  <dimension ref="A1:BB211"/>
  <sheetViews>
    <sheetView showGridLines="0" topLeftCell="A163" zoomScale="75" zoomScaleNormal="75" zoomScaleSheetLayoutView="75" workbookViewId="0">
      <selection activeCell="G191" sqref="A191:XFD198"/>
    </sheetView>
  </sheetViews>
  <sheetFormatPr defaultColWidth="9.140625" defaultRowHeight="15.75" x14ac:dyDescent="0.2"/>
  <cols>
    <col min="1" max="1" width="25.140625" style="69" customWidth="1"/>
    <col min="2" max="2" width="18.5703125" style="69" customWidth="1"/>
    <col min="3" max="3" width="18.28515625" style="69" customWidth="1"/>
    <col min="4" max="4" width="17.42578125" style="69" customWidth="1"/>
    <col min="5" max="5" width="19.28515625" style="69" customWidth="1"/>
    <col min="6" max="6" width="12.140625" style="211" customWidth="1"/>
    <col min="7" max="8" width="17.42578125" style="211" customWidth="1"/>
    <col min="9" max="9" width="17.7109375" style="211" customWidth="1"/>
    <col min="10" max="10" width="17.85546875" style="69" customWidth="1"/>
    <col min="11" max="11" width="16.5703125" style="69" customWidth="1"/>
    <col min="12" max="12" width="18.5703125" style="69" customWidth="1"/>
    <col min="13" max="13" width="17.28515625" style="69" customWidth="1"/>
    <col min="14" max="14" width="17.7109375" style="69" customWidth="1"/>
    <col min="15" max="15" width="16.5703125" style="69" customWidth="1"/>
    <col min="16" max="17" width="17.5703125" style="69" customWidth="1"/>
    <col min="18" max="18" width="17" style="69" customWidth="1"/>
    <col min="19" max="19" width="16.7109375" style="69" customWidth="1"/>
    <col min="20" max="20" width="17.5703125" style="69" customWidth="1"/>
    <col min="21" max="21" width="17.42578125" style="69" customWidth="1"/>
    <col min="22" max="22" width="17.5703125" style="69" customWidth="1"/>
    <col min="23" max="23" width="18" style="69" customWidth="1"/>
    <col min="24" max="24" width="12.7109375" style="69" customWidth="1"/>
    <col min="25" max="25" width="16.85546875" style="69" customWidth="1"/>
    <col min="26" max="26" width="9.7109375" style="69" customWidth="1"/>
    <col min="27" max="27" width="14.140625" style="69" customWidth="1"/>
    <col min="28" max="28" width="9.7109375" style="69" customWidth="1"/>
    <col min="29" max="29" width="14.140625" style="69" customWidth="1"/>
    <col min="30" max="16384" width="9.140625" style="69"/>
  </cols>
  <sheetData>
    <row r="1" spans="1:54" x14ac:dyDescent="0.2">
      <c r="A1" s="835" t="s">
        <v>511</v>
      </c>
      <c r="B1" s="837"/>
      <c r="C1" s="902" t="str">
        <f>Cover!B1</f>
        <v>22-XXXX</v>
      </c>
      <c r="D1" s="903"/>
      <c r="E1" s="903"/>
      <c r="F1" s="904"/>
      <c r="G1" s="627"/>
      <c r="H1" s="69"/>
      <c r="I1" s="69"/>
    </row>
    <row r="2" spans="1:54" x14ac:dyDescent="0.2">
      <c r="A2" s="885" t="s">
        <v>1236</v>
      </c>
      <c r="B2" s="886"/>
      <c r="C2" s="887"/>
      <c r="D2" s="888"/>
      <c r="E2" s="888"/>
      <c r="F2" s="889"/>
      <c r="G2" s="69"/>
      <c r="H2" s="69"/>
      <c r="I2" s="69"/>
    </row>
    <row r="3" spans="1:54" x14ac:dyDescent="0.2">
      <c r="A3" s="885" t="s">
        <v>522</v>
      </c>
      <c r="B3" s="886"/>
      <c r="C3" s="905">
        <f>Cover!B2</f>
        <v>0</v>
      </c>
      <c r="D3" s="906"/>
      <c r="E3" s="906"/>
      <c r="F3" s="907"/>
      <c r="G3" s="69"/>
      <c r="H3" s="69"/>
      <c r="I3" s="69"/>
    </row>
    <row r="4" spans="1:54" x14ac:dyDescent="0.2">
      <c r="A4" s="885" t="s">
        <v>1229</v>
      </c>
      <c r="B4" s="886"/>
      <c r="C4" s="884">
        <f>Cover!B7</f>
        <v>0</v>
      </c>
      <c r="D4" s="817"/>
      <c r="E4" s="817"/>
      <c r="F4" s="818"/>
      <c r="G4" s="69"/>
      <c r="H4" s="69"/>
      <c r="I4" s="69"/>
    </row>
    <row r="5" spans="1:54" x14ac:dyDescent="0.2">
      <c r="A5" s="885" t="s">
        <v>528</v>
      </c>
      <c r="B5" s="886"/>
      <c r="C5" s="887" t="s">
        <v>529</v>
      </c>
      <c r="D5" s="888"/>
      <c r="E5" s="888"/>
      <c r="F5" s="889"/>
      <c r="G5" s="69"/>
      <c r="H5" s="69"/>
      <c r="I5" s="69"/>
    </row>
    <row r="6" spans="1:54" ht="15.75" customHeight="1" x14ac:dyDescent="0.2">
      <c r="A6" s="885" t="s">
        <v>512</v>
      </c>
      <c r="B6" s="886"/>
      <c r="C6" s="887" t="s">
        <v>530</v>
      </c>
      <c r="D6" s="888"/>
      <c r="E6" s="888"/>
      <c r="F6" s="889"/>
      <c r="G6" s="69"/>
      <c r="H6" s="69"/>
      <c r="I6" s="69"/>
    </row>
    <row r="7" spans="1:54" ht="15.75" customHeight="1" x14ac:dyDescent="0.2">
      <c r="A7" s="885" t="s">
        <v>612</v>
      </c>
      <c r="B7" s="886"/>
      <c r="C7" s="887" t="s">
        <v>182</v>
      </c>
      <c r="D7" s="888"/>
      <c r="E7" s="888"/>
      <c r="F7" s="889"/>
      <c r="G7" s="69"/>
      <c r="H7" s="69"/>
      <c r="I7" s="69"/>
    </row>
    <row r="8" spans="1:54" ht="2.25" customHeight="1" thickBot="1" x14ac:dyDescent="0.25">
      <c r="A8" s="900"/>
      <c r="B8" s="901"/>
      <c r="C8" s="894"/>
      <c r="D8" s="895"/>
      <c r="E8" s="895"/>
      <c r="F8" s="896"/>
      <c r="G8" s="69"/>
      <c r="H8" s="69"/>
      <c r="I8" s="69"/>
    </row>
    <row r="9" spans="1:54" s="73" customFormat="1" x14ac:dyDescent="0.2">
      <c r="A9" s="442">
        <v>39</v>
      </c>
      <c r="B9" s="443" t="s">
        <v>614</v>
      </c>
      <c r="D9" s="444"/>
      <c r="E9" s="444"/>
      <c r="F9" s="445"/>
    </row>
    <row r="10" spans="1:54" s="73" customFormat="1" ht="16.5" thickBot="1" x14ac:dyDescent="0.25">
      <c r="A10" s="446"/>
      <c r="D10" s="444"/>
      <c r="E10" s="444"/>
      <c r="F10" s="445"/>
      <c r="G10" s="447"/>
      <c r="H10" s="444"/>
      <c r="I10" s="444"/>
      <c r="J10" s="444"/>
    </row>
    <row r="11" spans="1:54" ht="19.5" thickBot="1" x14ac:dyDescent="0.25">
      <c r="A11" s="448" t="s">
        <v>613</v>
      </c>
      <c r="B11" s="449"/>
      <c r="C11" s="73"/>
      <c r="D11" s="444"/>
      <c r="E11" s="444"/>
      <c r="F11" s="445"/>
      <c r="G11" s="447"/>
      <c r="H11" s="444"/>
      <c r="I11" s="444"/>
      <c r="J11" s="444"/>
    </row>
    <row r="12" spans="1:54" s="78" customFormat="1" ht="16.5" thickBot="1" x14ac:dyDescent="0.25">
      <c r="A12" s="897" t="s">
        <v>616</v>
      </c>
      <c r="B12" s="898"/>
      <c r="C12" s="898"/>
      <c r="D12" s="898"/>
      <c r="E12" s="898"/>
      <c r="F12" s="898"/>
      <c r="G12" s="898"/>
      <c r="H12" s="898"/>
      <c r="I12" s="898"/>
      <c r="J12" s="899"/>
    </row>
    <row r="13" spans="1:54" ht="17.25" customHeight="1" x14ac:dyDescent="0.2">
      <c r="A13" s="450" t="s">
        <v>617</v>
      </c>
      <c r="B13" s="881" t="s">
        <v>618</v>
      </c>
      <c r="C13" s="881"/>
      <c r="D13" s="881"/>
      <c r="E13" s="881"/>
      <c r="F13" s="881"/>
      <c r="G13" s="881"/>
      <c r="H13" s="881"/>
      <c r="I13" s="881"/>
      <c r="J13" s="882" t="s">
        <v>622</v>
      </c>
      <c r="K13" s="883"/>
      <c r="L13" s="890" t="s">
        <v>623</v>
      </c>
      <c r="M13" s="891"/>
      <c r="N13" s="350" t="s">
        <v>4</v>
      </c>
    </row>
    <row r="14" spans="1:54" s="81" customFormat="1" x14ac:dyDescent="0.2">
      <c r="A14" s="451"/>
      <c r="B14" s="862"/>
      <c r="C14" s="892"/>
      <c r="D14" s="892"/>
      <c r="E14" s="892"/>
      <c r="F14" s="892"/>
      <c r="G14" s="892"/>
      <c r="H14" s="892"/>
      <c r="I14" s="892"/>
      <c r="J14" s="870"/>
      <c r="K14" s="855"/>
      <c r="L14" s="893"/>
      <c r="M14" s="871"/>
      <c r="N14" s="349" t="str">
        <f>IF($A14&gt;0,$A14,"")</f>
        <v/>
      </c>
    </row>
    <row r="15" spans="1:54" s="453" customFormat="1" x14ac:dyDescent="0.2">
      <c r="A15" s="452"/>
      <c r="B15" s="879"/>
      <c r="C15" s="880"/>
      <c r="D15" s="880"/>
      <c r="E15" s="880"/>
      <c r="F15" s="880"/>
      <c r="G15" s="880"/>
      <c r="H15" s="880"/>
      <c r="I15" s="880"/>
      <c r="J15" s="870"/>
      <c r="K15" s="855"/>
      <c r="L15" s="870"/>
      <c r="M15" s="871"/>
      <c r="N15" s="349" t="str">
        <f>IF($A15&gt;0,$A15,"")</f>
        <v/>
      </c>
      <c r="BB15" s="81"/>
    </row>
    <row r="16" spans="1:54" s="453" customFormat="1" x14ac:dyDescent="0.2">
      <c r="A16" s="452"/>
      <c r="B16" s="879"/>
      <c r="C16" s="880"/>
      <c r="D16" s="880"/>
      <c r="E16" s="880"/>
      <c r="F16" s="880"/>
      <c r="G16" s="880"/>
      <c r="H16" s="880"/>
      <c r="I16" s="880"/>
      <c r="J16" s="870"/>
      <c r="K16" s="855"/>
      <c r="L16" s="870"/>
      <c r="M16" s="871"/>
      <c r="N16" s="349" t="str">
        <f>IF($A16&gt;0,$A16,"")</f>
        <v/>
      </c>
      <c r="BB16" s="81"/>
    </row>
    <row r="17" spans="1:54" s="453" customFormat="1" ht="16.5" thickBot="1" x14ac:dyDescent="0.25">
      <c r="A17" s="454"/>
      <c r="B17" s="864"/>
      <c r="C17" s="865"/>
      <c r="D17" s="865"/>
      <c r="E17" s="865"/>
      <c r="F17" s="865"/>
      <c r="G17" s="865"/>
      <c r="H17" s="865"/>
      <c r="I17" s="865"/>
      <c r="J17" s="866"/>
      <c r="K17" s="867"/>
      <c r="L17" s="857"/>
      <c r="M17" s="858"/>
      <c r="N17" s="349" t="str">
        <f>IF($A17&gt;0,$A17,"")</f>
        <v/>
      </c>
      <c r="BB17" s="81"/>
    </row>
    <row r="18" spans="1:54" s="462" customFormat="1" ht="16.5" thickBot="1" x14ac:dyDescent="0.25">
      <c r="A18" s="455"/>
      <c r="B18" s="456"/>
      <c r="C18" s="457"/>
      <c r="D18" s="458"/>
      <c r="E18" s="458"/>
      <c r="F18" s="459"/>
      <c r="G18" s="459"/>
      <c r="H18" s="460"/>
      <c r="I18" s="461"/>
      <c r="J18" s="461"/>
      <c r="K18" s="457"/>
      <c r="L18" s="457"/>
      <c r="M18" s="457"/>
      <c r="N18" s="349" t="str">
        <f>IF($A18&gt;0,$A18,"")</f>
        <v/>
      </c>
      <c r="O18" s="457"/>
      <c r="P18" s="457"/>
      <c r="Q18" s="457"/>
      <c r="BB18" s="81"/>
    </row>
    <row r="19" spans="1:54" s="462" customFormat="1" ht="19.5" thickBot="1" x14ac:dyDescent="0.25">
      <c r="A19" s="448" t="s">
        <v>419</v>
      </c>
      <c r="B19" s="463"/>
      <c r="I19" s="461"/>
      <c r="J19" s="461"/>
      <c r="K19" s="457"/>
      <c r="L19" s="457"/>
      <c r="M19" s="457"/>
      <c r="N19" s="457"/>
      <c r="O19" s="457"/>
      <c r="P19" s="457"/>
      <c r="Q19" s="457"/>
    </row>
    <row r="20" spans="1:54" s="462" customFormat="1" x14ac:dyDescent="0.2">
      <c r="A20" s="464" t="s">
        <v>419</v>
      </c>
      <c r="B20" s="859" t="s">
        <v>618</v>
      </c>
      <c r="C20" s="860"/>
      <c r="D20" s="860"/>
      <c r="E20" s="860"/>
      <c r="F20" s="860"/>
      <c r="G20" s="860"/>
      <c r="H20" s="861"/>
      <c r="I20" s="461"/>
      <c r="J20" s="461"/>
      <c r="K20" s="457"/>
      <c r="L20" s="457"/>
      <c r="M20" s="457"/>
      <c r="N20" s="457"/>
      <c r="O20" s="457"/>
      <c r="P20" s="457"/>
      <c r="Q20" s="457"/>
    </row>
    <row r="21" spans="1:54" s="467" customFormat="1" ht="46.5" customHeight="1" x14ac:dyDescent="0.2">
      <c r="A21" s="693" t="s">
        <v>971</v>
      </c>
      <c r="B21" s="947" t="s">
        <v>1349</v>
      </c>
      <c r="C21" s="855"/>
      <c r="D21" s="855"/>
      <c r="E21" s="855"/>
      <c r="F21" s="855"/>
      <c r="G21" s="855"/>
      <c r="H21" s="856"/>
      <c r="I21" s="220"/>
      <c r="J21" s="465"/>
      <c r="K21" s="466"/>
      <c r="L21" s="466"/>
      <c r="M21" s="466"/>
      <c r="N21" s="466"/>
      <c r="O21" s="466"/>
      <c r="P21" s="466"/>
      <c r="Q21" s="466"/>
    </row>
    <row r="22" spans="1:54" s="467" customFormat="1" ht="15" customHeight="1" x14ac:dyDescent="0.2">
      <c r="A22" s="693" t="s">
        <v>1007</v>
      </c>
      <c r="B22" s="948" t="s">
        <v>465</v>
      </c>
      <c r="C22" s="855"/>
      <c r="D22" s="855"/>
      <c r="E22" s="855"/>
      <c r="F22" s="855"/>
      <c r="G22" s="855"/>
      <c r="H22" s="856"/>
      <c r="I22" s="465"/>
      <c r="J22" s="465"/>
      <c r="K22" s="466"/>
      <c r="L22" s="466"/>
      <c r="M22" s="466"/>
      <c r="N22" s="466"/>
      <c r="O22" s="466"/>
      <c r="P22" s="466"/>
      <c r="Q22" s="466"/>
    </row>
    <row r="23" spans="1:54" s="467" customFormat="1" ht="15.75" customHeight="1" x14ac:dyDescent="0.2">
      <c r="A23" s="693" t="s">
        <v>1350</v>
      </c>
      <c r="B23" s="948" t="s">
        <v>476</v>
      </c>
      <c r="C23" s="855"/>
      <c r="D23" s="855"/>
      <c r="E23" s="855"/>
      <c r="F23" s="855"/>
      <c r="G23" s="855"/>
      <c r="H23" s="856"/>
      <c r="I23" s="465"/>
      <c r="J23" s="465"/>
      <c r="K23" s="466"/>
      <c r="L23" s="466"/>
      <c r="M23" s="466"/>
      <c r="N23" s="466"/>
      <c r="O23" s="466"/>
      <c r="P23" s="466"/>
      <c r="Q23" s="466"/>
    </row>
    <row r="24" spans="1:54" s="467" customFormat="1" ht="15.75" customHeight="1" x14ac:dyDescent="0.2">
      <c r="A24" s="693" t="s">
        <v>970</v>
      </c>
      <c r="B24" s="948" t="s">
        <v>1351</v>
      </c>
      <c r="C24" s="855"/>
      <c r="D24" s="855"/>
      <c r="E24" s="855"/>
      <c r="F24" s="855"/>
      <c r="G24" s="855"/>
      <c r="H24" s="856"/>
      <c r="I24" s="465"/>
      <c r="J24" s="465"/>
      <c r="K24" s="466"/>
      <c r="L24" s="466"/>
      <c r="M24" s="466"/>
      <c r="N24" s="466"/>
      <c r="O24" s="466"/>
      <c r="P24" s="466"/>
      <c r="Q24" s="466"/>
    </row>
    <row r="25" spans="1:54" s="467" customFormat="1" ht="15.75" customHeight="1" x14ac:dyDescent="0.2">
      <c r="A25" s="693" t="s">
        <v>1008</v>
      </c>
      <c r="B25" s="948" t="s">
        <v>1020</v>
      </c>
      <c r="C25" s="855"/>
      <c r="D25" s="855"/>
      <c r="E25" s="855"/>
      <c r="F25" s="855"/>
      <c r="G25" s="855"/>
      <c r="H25" s="856"/>
      <c r="I25" s="465"/>
      <c r="J25" s="465"/>
      <c r="K25" s="466"/>
      <c r="L25" s="466"/>
      <c r="M25" s="466"/>
      <c r="N25" s="466"/>
      <c r="O25" s="466"/>
      <c r="P25" s="466"/>
      <c r="Q25" s="466"/>
    </row>
    <row r="26" spans="1:54" s="467" customFormat="1" ht="15.75" customHeight="1" x14ac:dyDescent="0.2">
      <c r="A26" s="693" t="s">
        <v>1009</v>
      </c>
      <c r="B26" s="948" t="s">
        <v>1351</v>
      </c>
      <c r="C26" s="855"/>
      <c r="D26" s="855"/>
      <c r="E26" s="855"/>
      <c r="F26" s="855"/>
      <c r="G26" s="855"/>
      <c r="H26" s="856"/>
      <c r="I26" s="465"/>
      <c r="J26" s="465"/>
      <c r="K26" s="466"/>
      <c r="L26" s="466"/>
      <c r="M26" s="466"/>
      <c r="N26" s="466"/>
      <c r="O26" s="466"/>
      <c r="P26" s="466"/>
      <c r="Q26" s="466"/>
    </row>
    <row r="27" spans="1:54" s="467" customFormat="1" ht="15.75" customHeight="1" x14ac:dyDescent="0.2">
      <c r="A27" s="693" t="s">
        <v>1010</v>
      </c>
      <c r="B27" s="948" t="s">
        <v>1021</v>
      </c>
      <c r="C27" s="855"/>
      <c r="D27" s="855"/>
      <c r="E27" s="855"/>
      <c r="F27" s="855"/>
      <c r="G27" s="855"/>
      <c r="H27" s="856"/>
      <c r="I27" s="465"/>
      <c r="J27" s="465"/>
      <c r="K27" s="466"/>
      <c r="L27" s="466"/>
      <c r="M27" s="466"/>
      <c r="N27" s="466"/>
      <c r="O27" s="466"/>
      <c r="P27" s="466"/>
      <c r="Q27" s="466"/>
    </row>
    <row r="28" spans="1:54" s="467" customFormat="1" ht="16.5" thickBot="1" x14ac:dyDescent="0.25">
      <c r="A28" s="469"/>
      <c r="B28" s="877"/>
      <c r="C28" s="867"/>
      <c r="D28" s="867"/>
      <c r="E28" s="867"/>
      <c r="F28" s="867"/>
      <c r="G28" s="867"/>
      <c r="H28" s="878"/>
      <c r="I28" s="465"/>
      <c r="J28" s="465"/>
      <c r="K28" s="466"/>
      <c r="L28" s="466"/>
      <c r="M28" s="466"/>
      <c r="N28" s="466"/>
      <c r="O28" s="466"/>
      <c r="P28" s="466"/>
      <c r="Q28" s="466"/>
    </row>
    <row r="29" spans="1:54" s="462" customFormat="1" ht="16.5" thickBot="1" x14ac:dyDescent="0.25">
      <c r="A29" s="456"/>
      <c r="B29" s="95"/>
      <c r="C29" s="95"/>
      <c r="D29" s="95"/>
      <c r="E29" s="95"/>
      <c r="F29" s="95"/>
      <c r="G29" s="95"/>
      <c r="H29" s="95"/>
      <c r="I29" s="461"/>
      <c r="J29" s="461"/>
      <c r="K29" s="457"/>
      <c r="L29" s="457"/>
      <c r="M29" s="457"/>
      <c r="N29" s="457"/>
      <c r="O29" s="457"/>
      <c r="P29" s="457"/>
      <c r="Q29" s="457"/>
      <c r="R29" s="457"/>
      <c r="S29" s="457"/>
      <c r="T29" s="457"/>
      <c r="U29" s="457"/>
    </row>
    <row r="30" spans="1:54" s="462" customFormat="1" ht="19.5" thickBot="1" x14ac:dyDescent="0.25">
      <c r="A30" s="448" t="s">
        <v>624</v>
      </c>
      <c r="B30" s="449"/>
      <c r="I30" s="461"/>
      <c r="J30" s="461"/>
      <c r="K30" s="457"/>
      <c r="L30" s="457"/>
      <c r="M30" s="457"/>
      <c r="N30" s="457"/>
      <c r="O30" s="457"/>
      <c r="P30" s="457"/>
      <c r="Q30" s="457"/>
      <c r="R30" s="457"/>
      <c r="S30" s="457"/>
      <c r="T30" s="457"/>
      <c r="U30" s="457"/>
    </row>
    <row r="31" spans="1:54" s="462" customFormat="1" x14ac:dyDescent="0.2">
      <c r="A31" s="223" t="s">
        <v>886</v>
      </c>
      <c r="B31" s="470"/>
      <c r="C31" s="471"/>
      <c r="D31" s="472"/>
      <c r="E31" s="472"/>
      <c r="F31" s="473"/>
      <c r="G31" s="473"/>
      <c r="H31" s="473"/>
      <c r="I31" s="474"/>
      <c r="J31" s="475"/>
      <c r="K31" s="476"/>
      <c r="L31" s="457"/>
      <c r="M31" s="457"/>
      <c r="N31" s="457"/>
      <c r="O31" s="457"/>
      <c r="P31" s="457"/>
      <c r="Q31" s="457"/>
      <c r="R31" s="457"/>
      <c r="S31" s="457"/>
      <c r="T31" s="457"/>
      <c r="U31" s="457"/>
      <c r="V31" s="457"/>
    </row>
    <row r="32" spans="1:54" s="462" customFormat="1" x14ac:dyDescent="0.2">
      <c r="A32" s="96" t="s">
        <v>626</v>
      </c>
      <c r="B32" s="214"/>
      <c r="C32" s="477"/>
      <c r="D32" s="478"/>
      <c r="E32" s="478"/>
      <c r="F32" s="479"/>
      <c r="G32" s="479"/>
      <c r="H32" s="479"/>
      <c r="I32" s="480"/>
      <c r="J32" s="481"/>
      <c r="K32" s="482"/>
      <c r="L32" s="457"/>
      <c r="M32" s="457"/>
      <c r="N32" s="457"/>
      <c r="O32" s="457"/>
      <c r="P32" s="457"/>
      <c r="Q32" s="457"/>
      <c r="R32" s="457"/>
    </row>
    <row r="33" spans="1:27" s="462" customFormat="1" ht="16.5" thickBot="1" x14ac:dyDescent="0.25">
      <c r="A33" s="110" t="s">
        <v>172</v>
      </c>
      <c r="B33" s="483"/>
      <c r="C33" s="484"/>
      <c r="D33" s="485"/>
      <c r="E33" s="485"/>
      <c r="F33" s="486"/>
      <c r="G33" s="486"/>
      <c r="H33" s="486"/>
      <c r="I33" s="487"/>
      <c r="J33" s="488"/>
      <c r="K33" s="489"/>
      <c r="L33" s="457"/>
      <c r="M33" s="457"/>
      <c r="N33" s="457"/>
      <c r="O33" s="457"/>
      <c r="P33" s="457"/>
      <c r="Q33" s="457"/>
      <c r="R33" s="457"/>
      <c r="S33" s="118"/>
      <c r="T33" s="118"/>
      <c r="U33" s="118"/>
      <c r="V33" s="457"/>
      <c r="W33" s="457"/>
      <c r="X33" s="457"/>
    </row>
    <row r="34" spans="1:27" s="491" customFormat="1" ht="32.25" customHeight="1" x14ac:dyDescent="0.2">
      <c r="A34" s="875" t="s">
        <v>627</v>
      </c>
      <c r="B34" s="868" t="s">
        <v>628</v>
      </c>
      <c r="C34" s="868" t="s">
        <v>11</v>
      </c>
      <c r="D34" s="868" t="s">
        <v>12</v>
      </c>
      <c r="E34" s="868" t="s">
        <v>13</v>
      </c>
      <c r="F34" s="868" t="s">
        <v>14</v>
      </c>
      <c r="G34" s="868" t="s">
        <v>15</v>
      </c>
      <c r="H34" s="868" t="s">
        <v>16</v>
      </c>
      <c r="I34" s="868" t="s">
        <v>17</v>
      </c>
      <c r="J34" s="868" t="s">
        <v>18</v>
      </c>
      <c r="K34" s="868" t="s">
        <v>19</v>
      </c>
      <c r="L34" s="868" t="s">
        <v>20</v>
      </c>
      <c r="M34" s="490"/>
      <c r="N34" s="490"/>
      <c r="O34" s="490"/>
      <c r="P34" s="490"/>
      <c r="Q34" s="490"/>
      <c r="R34" s="490"/>
      <c r="S34" s="490"/>
      <c r="T34" s="490"/>
      <c r="U34" s="490"/>
      <c r="V34" s="490"/>
      <c r="W34" s="490"/>
      <c r="X34" s="868" t="s">
        <v>22</v>
      </c>
      <c r="Y34" s="868" t="s">
        <v>23</v>
      </c>
      <c r="Z34" s="868" t="s">
        <v>24</v>
      </c>
      <c r="AA34" s="922" t="s">
        <v>352</v>
      </c>
    </row>
    <row r="35" spans="1:27" s="491" customFormat="1" ht="16.5" thickBot="1" x14ac:dyDescent="0.25">
      <c r="A35" s="876"/>
      <c r="B35" s="869"/>
      <c r="C35" s="869"/>
      <c r="D35" s="869"/>
      <c r="E35" s="869"/>
      <c r="F35" s="869"/>
      <c r="G35" s="872"/>
      <c r="H35" s="869"/>
      <c r="I35" s="869"/>
      <c r="J35" s="869"/>
      <c r="K35" s="869"/>
      <c r="L35" s="869"/>
      <c r="M35" s="492"/>
      <c r="N35" s="492"/>
      <c r="O35" s="492"/>
      <c r="P35" s="492"/>
      <c r="Q35" s="492"/>
      <c r="R35" s="492"/>
      <c r="S35" s="492"/>
      <c r="T35" s="492"/>
      <c r="U35" s="492"/>
      <c r="V35" s="492"/>
      <c r="W35" s="492"/>
      <c r="X35" s="869"/>
      <c r="Y35" s="869"/>
      <c r="Z35" s="869"/>
      <c r="AA35" s="923"/>
    </row>
    <row r="36" spans="1:27" s="136" customFormat="1" x14ac:dyDescent="0.2">
      <c r="A36" s="493"/>
      <c r="B36" s="49"/>
      <c r="C36" s="225"/>
      <c r="D36" s="225"/>
      <c r="E36" s="225"/>
      <c r="F36" s="225"/>
      <c r="G36" s="120"/>
      <c r="H36" s="225"/>
      <c r="I36" s="263"/>
      <c r="J36" s="263"/>
      <c r="K36" s="263"/>
      <c r="L36" s="263"/>
      <c r="M36" s="120"/>
      <c r="N36" s="120"/>
      <c r="O36" s="120"/>
      <c r="P36" s="226"/>
      <c r="Q36" s="226"/>
      <c r="R36" s="226"/>
      <c r="S36" s="120"/>
      <c r="T36" s="120"/>
      <c r="U36" s="120"/>
      <c r="V36" s="120"/>
      <c r="W36" s="120"/>
      <c r="X36" s="227"/>
      <c r="Y36" s="227"/>
      <c r="Z36" s="120"/>
      <c r="AA36" s="121"/>
    </row>
    <row r="37" spans="1:27" s="136" customFormat="1" x14ac:dyDescent="0.2">
      <c r="A37" s="494"/>
      <c r="B37" s="123"/>
      <c r="C37" s="123"/>
      <c r="D37" s="123"/>
      <c r="E37" s="123"/>
      <c r="F37" s="123"/>
      <c r="G37" s="124"/>
      <c r="H37" s="123"/>
      <c r="I37" s="255"/>
      <c r="J37" s="255"/>
      <c r="K37" s="255"/>
      <c r="L37" s="255"/>
      <c r="M37" s="125"/>
      <c r="N37" s="124"/>
      <c r="O37" s="124"/>
      <c r="P37" s="125"/>
      <c r="Q37" s="125"/>
      <c r="R37" s="125"/>
      <c r="S37" s="124"/>
      <c r="T37" s="124"/>
      <c r="U37" s="124"/>
      <c r="V37" s="124"/>
      <c r="W37" s="124"/>
      <c r="X37" s="126"/>
      <c r="Y37" s="126"/>
      <c r="Z37" s="124"/>
      <c r="AA37" s="127"/>
    </row>
    <row r="38" spans="1:27" s="136" customFormat="1" x14ac:dyDescent="0.2">
      <c r="A38" s="494"/>
      <c r="B38" s="123"/>
      <c r="C38" s="123"/>
      <c r="D38" s="123"/>
      <c r="E38" s="123"/>
      <c r="F38" s="123"/>
      <c r="G38" s="124"/>
      <c r="H38" s="123"/>
      <c r="I38" s="255"/>
      <c r="J38" s="255"/>
      <c r="K38" s="255"/>
      <c r="L38" s="255"/>
      <c r="M38" s="125"/>
      <c r="N38" s="124"/>
      <c r="O38" s="124"/>
      <c r="P38" s="125"/>
      <c r="Q38" s="125"/>
      <c r="R38" s="125"/>
      <c r="S38" s="124"/>
      <c r="T38" s="124"/>
      <c r="U38" s="124"/>
      <c r="V38" s="124"/>
      <c r="W38" s="124"/>
      <c r="X38" s="126"/>
      <c r="Y38" s="126"/>
      <c r="Z38" s="124"/>
      <c r="AA38" s="127"/>
    </row>
    <row r="39" spans="1:27" s="136" customFormat="1" ht="16.5" thickBot="1" x14ac:dyDescent="0.25">
      <c r="A39" s="495"/>
      <c r="B39" s="128"/>
      <c r="C39" s="128"/>
      <c r="D39" s="128"/>
      <c r="E39" s="128"/>
      <c r="F39" s="128"/>
      <c r="G39" s="129"/>
      <c r="H39" s="128"/>
      <c r="I39" s="256"/>
      <c r="J39" s="256"/>
      <c r="K39" s="256"/>
      <c r="L39" s="256"/>
      <c r="M39" s="129"/>
      <c r="N39" s="129"/>
      <c r="O39" s="129"/>
      <c r="P39" s="130"/>
      <c r="Q39" s="130"/>
      <c r="R39" s="130"/>
      <c r="S39" s="129"/>
      <c r="T39" s="129"/>
      <c r="U39" s="129"/>
      <c r="V39" s="129"/>
      <c r="W39" s="129"/>
      <c r="X39" s="131"/>
      <c r="Y39" s="131"/>
      <c r="Z39" s="129"/>
      <c r="AA39" s="132"/>
    </row>
    <row r="40" spans="1:27" s="73" customFormat="1" x14ac:dyDescent="0.2">
      <c r="A40" s="133"/>
      <c r="B40" s="133"/>
      <c r="C40" s="133"/>
      <c r="D40" s="133"/>
      <c r="E40" s="133"/>
      <c r="F40" s="133"/>
      <c r="G40" s="118"/>
      <c r="H40" s="118"/>
      <c r="I40" s="118"/>
      <c r="J40" s="118"/>
      <c r="K40" s="118"/>
      <c r="L40" s="118"/>
      <c r="M40" s="134"/>
      <c r="N40" s="118"/>
      <c r="O40" s="159"/>
      <c r="P40" s="159"/>
      <c r="Q40" s="159"/>
      <c r="R40" s="159"/>
      <c r="S40" s="159"/>
      <c r="T40" s="159"/>
      <c r="U40" s="159"/>
      <c r="V40" s="159"/>
      <c r="W40" s="466"/>
    </row>
    <row r="41" spans="1:27" s="73" customFormat="1" ht="16.5" thickBot="1" x14ac:dyDescent="0.25">
      <c r="A41" s="133"/>
      <c r="B41" s="133"/>
      <c r="C41" s="133"/>
      <c r="D41" s="133"/>
      <c r="E41" s="133"/>
      <c r="F41" s="133"/>
      <c r="G41" s="118"/>
      <c r="H41" s="118"/>
      <c r="I41" s="118"/>
      <c r="J41" s="118"/>
      <c r="K41" s="118"/>
      <c r="N41" s="118"/>
      <c r="O41" s="159"/>
      <c r="P41" s="159"/>
      <c r="Q41" s="159"/>
      <c r="R41" s="159"/>
      <c r="S41" s="159"/>
      <c r="T41" s="159"/>
      <c r="U41" s="159"/>
      <c r="V41" s="159"/>
      <c r="W41" s="467"/>
    </row>
    <row r="42" spans="1:27" s="73" customFormat="1" ht="16.5" thickBot="1" x14ac:dyDescent="0.25">
      <c r="A42" s="496" t="s">
        <v>25</v>
      </c>
      <c r="B42" s="133"/>
      <c r="C42" s="133"/>
      <c r="D42" s="133"/>
      <c r="E42" s="133"/>
      <c r="F42" s="133"/>
      <c r="G42" s="118"/>
      <c r="H42" s="118"/>
      <c r="I42" s="118"/>
      <c r="J42" s="118"/>
      <c r="K42" s="118"/>
      <c r="M42" s="118"/>
      <c r="N42" s="118"/>
      <c r="O42" s="159"/>
      <c r="P42" s="136"/>
      <c r="Q42" s="136"/>
      <c r="R42" s="136"/>
      <c r="S42" s="466"/>
      <c r="T42" s="466"/>
      <c r="U42" s="466"/>
      <c r="V42" s="466"/>
      <c r="W42" s="159"/>
    </row>
    <row r="43" spans="1:27" s="73" customFormat="1" ht="15.75" customHeight="1" x14ac:dyDescent="0.2">
      <c r="A43" s="875" t="s">
        <v>627</v>
      </c>
      <c r="B43" s="868" t="s">
        <v>628</v>
      </c>
      <c r="C43" s="868" t="s">
        <v>11</v>
      </c>
      <c r="D43" s="868" t="s">
        <v>12</v>
      </c>
      <c r="E43" s="868" t="s">
        <v>13</v>
      </c>
      <c r="F43" s="868" t="s">
        <v>14</v>
      </c>
      <c r="G43" s="868" t="s">
        <v>15</v>
      </c>
      <c r="H43" s="868" t="s">
        <v>16</v>
      </c>
      <c r="I43" s="868" t="s">
        <v>26</v>
      </c>
      <c r="J43" s="868" t="s">
        <v>27</v>
      </c>
      <c r="K43" s="945" t="s">
        <v>295</v>
      </c>
      <c r="L43" s="497" t="s">
        <v>63</v>
      </c>
      <c r="M43" s="498" t="s">
        <v>64</v>
      </c>
      <c r="N43" s="499" t="s">
        <v>65</v>
      </c>
      <c r="O43" s="490"/>
      <c r="P43" s="490"/>
      <c r="Q43" s="490"/>
      <c r="R43" s="490"/>
      <c r="S43" s="490"/>
      <c r="T43" s="490"/>
      <c r="U43" s="490"/>
      <c r="V43" s="490"/>
      <c r="W43" s="490"/>
      <c r="X43" s="868" t="s">
        <v>22</v>
      </c>
      <c r="Y43" s="868" t="s">
        <v>23</v>
      </c>
      <c r="Z43" s="868" t="s">
        <v>24</v>
      </c>
      <c r="AA43" s="922" t="s">
        <v>352</v>
      </c>
    </row>
    <row r="44" spans="1:27" s="73" customFormat="1" ht="31.7" customHeight="1" thickBot="1" x14ac:dyDescent="0.25">
      <c r="A44" s="876"/>
      <c r="B44" s="869"/>
      <c r="C44" s="869"/>
      <c r="D44" s="869"/>
      <c r="E44" s="869"/>
      <c r="F44" s="869"/>
      <c r="G44" s="872"/>
      <c r="H44" s="869"/>
      <c r="I44" s="869"/>
      <c r="J44" s="869"/>
      <c r="K44" s="946"/>
      <c r="L44" s="500" t="s">
        <v>66</v>
      </c>
      <c r="M44" s="501" t="s">
        <v>67</v>
      </c>
      <c r="N44" s="502" t="s">
        <v>68</v>
      </c>
      <c r="O44" s="503"/>
      <c r="P44" s="492"/>
      <c r="Q44" s="492"/>
      <c r="R44" s="492"/>
      <c r="S44" s="492"/>
      <c r="T44" s="492"/>
      <c r="U44" s="492"/>
      <c r="V44" s="492"/>
      <c r="W44" s="492"/>
      <c r="X44" s="869"/>
      <c r="Y44" s="869"/>
      <c r="Z44" s="869"/>
      <c r="AA44" s="923"/>
    </row>
    <row r="45" spans="1:27" s="136" customFormat="1" x14ac:dyDescent="0.2">
      <c r="A45" s="493"/>
      <c r="B45" s="225"/>
      <c r="C45" s="225"/>
      <c r="D45" s="225"/>
      <c r="E45" s="225"/>
      <c r="F45" s="225"/>
      <c r="G45" s="120"/>
      <c r="H45" s="225"/>
      <c r="I45" s="263"/>
      <c r="J45" s="263"/>
      <c r="K45" s="265"/>
      <c r="L45" s="268"/>
      <c r="M45" s="120"/>
      <c r="N45" s="121"/>
      <c r="O45" s="269"/>
      <c r="P45" s="226"/>
      <c r="Q45" s="226"/>
      <c r="R45" s="226"/>
      <c r="S45" s="120"/>
      <c r="T45" s="120"/>
      <c r="U45" s="120"/>
      <c r="V45" s="120"/>
      <c r="W45" s="120"/>
      <c r="X45" s="227"/>
      <c r="Y45" s="227"/>
      <c r="Z45" s="120"/>
      <c r="AA45" s="121"/>
    </row>
    <row r="46" spans="1:27" s="136" customFormat="1" x14ac:dyDescent="0.2">
      <c r="A46" s="494"/>
      <c r="B46" s="123"/>
      <c r="C46" s="123"/>
      <c r="D46" s="123"/>
      <c r="E46" s="123"/>
      <c r="F46" s="123"/>
      <c r="G46" s="124"/>
      <c r="H46" s="123"/>
      <c r="I46" s="255"/>
      <c r="J46" s="255"/>
      <c r="K46" s="266"/>
      <c r="L46" s="259"/>
      <c r="M46" s="124"/>
      <c r="N46" s="127"/>
      <c r="O46" s="248"/>
      <c r="P46" s="125"/>
      <c r="Q46" s="125"/>
      <c r="R46" s="125"/>
      <c r="S46" s="124"/>
      <c r="T46" s="124"/>
      <c r="U46" s="124"/>
      <c r="V46" s="124"/>
      <c r="W46" s="124"/>
      <c r="X46" s="126"/>
      <c r="Y46" s="126"/>
      <c r="Z46" s="124"/>
      <c r="AA46" s="127"/>
    </row>
    <row r="47" spans="1:27" s="136" customFormat="1" x14ac:dyDescent="0.2">
      <c r="A47" s="494"/>
      <c r="B47" s="123"/>
      <c r="C47" s="123"/>
      <c r="D47" s="123"/>
      <c r="E47" s="123"/>
      <c r="F47" s="123"/>
      <c r="G47" s="124"/>
      <c r="H47" s="123"/>
      <c r="I47" s="255"/>
      <c r="J47" s="255"/>
      <c r="K47" s="266"/>
      <c r="L47" s="259"/>
      <c r="M47" s="124"/>
      <c r="N47" s="127"/>
      <c r="O47" s="248"/>
      <c r="P47" s="125"/>
      <c r="Q47" s="125"/>
      <c r="R47" s="125"/>
      <c r="S47" s="124"/>
      <c r="T47" s="124"/>
      <c r="U47" s="124"/>
      <c r="V47" s="124"/>
      <c r="W47" s="124"/>
      <c r="X47" s="126"/>
      <c r="Y47" s="126"/>
      <c r="Z47" s="124"/>
      <c r="AA47" s="127"/>
    </row>
    <row r="48" spans="1:27" s="136" customFormat="1" ht="16.5" thickBot="1" x14ac:dyDescent="0.25">
      <c r="A48" s="495"/>
      <c r="B48" s="128"/>
      <c r="C48" s="128"/>
      <c r="D48" s="128"/>
      <c r="E48" s="128"/>
      <c r="F48" s="128"/>
      <c r="G48" s="129"/>
      <c r="H48" s="128"/>
      <c r="I48" s="256"/>
      <c r="J48" s="256"/>
      <c r="K48" s="267"/>
      <c r="L48" s="137"/>
      <c r="M48" s="129"/>
      <c r="N48" s="132"/>
      <c r="O48" s="137"/>
      <c r="P48" s="129"/>
      <c r="Q48" s="129"/>
      <c r="R48" s="129"/>
      <c r="S48" s="129"/>
      <c r="T48" s="129"/>
      <c r="U48" s="129"/>
      <c r="V48" s="129"/>
      <c r="W48" s="129"/>
      <c r="X48" s="131"/>
      <c r="Y48" s="131"/>
      <c r="Z48" s="129"/>
      <c r="AA48" s="132"/>
    </row>
    <row r="49" spans="1:29" s="73" customFormat="1" x14ac:dyDescent="0.2">
      <c r="A49" s="133"/>
      <c r="B49" s="133"/>
      <c r="C49" s="133"/>
      <c r="D49" s="133"/>
      <c r="E49" s="133"/>
      <c r="F49" s="133"/>
      <c r="G49" s="118"/>
      <c r="H49" s="118"/>
      <c r="I49" s="118"/>
      <c r="J49" s="118"/>
      <c r="K49" s="118"/>
      <c r="L49" s="118"/>
      <c r="M49" s="118"/>
      <c r="N49" s="118"/>
      <c r="O49" s="160"/>
      <c r="P49" s="159"/>
      <c r="Q49" s="159"/>
      <c r="R49" s="159"/>
      <c r="S49" s="136"/>
      <c r="T49" s="136"/>
      <c r="U49" s="136"/>
      <c r="V49" s="136"/>
      <c r="W49" s="136"/>
      <c r="X49" s="118"/>
    </row>
    <row r="50" spans="1:29" s="73" customFormat="1" ht="16.5" thickBot="1" x14ac:dyDescent="0.25">
      <c r="A50" s="133"/>
      <c r="B50" s="133"/>
      <c r="C50" s="133"/>
      <c r="D50" s="133"/>
      <c r="E50" s="133"/>
      <c r="F50" s="133"/>
      <c r="G50" s="118"/>
      <c r="H50" s="118"/>
      <c r="I50" s="118"/>
      <c r="J50" s="118"/>
      <c r="K50" s="118"/>
      <c r="L50" s="118"/>
      <c r="M50" s="118"/>
      <c r="N50" s="118"/>
      <c r="O50" s="160"/>
      <c r="P50" s="159"/>
      <c r="Q50" s="159"/>
      <c r="R50" s="159"/>
      <c r="S50" s="136"/>
      <c r="T50" s="136"/>
      <c r="U50" s="136"/>
      <c r="V50" s="136"/>
      <c r="W50" s="136"/>
      <c r="X50" s="118"/>
    </row>
    <row r="51" spans="1:29" s="73" customFormat="1" ht="16.5" thickBot="1" x14ac:dyDescent="0.25">
      <c r="A51" s="822" t="s">
        <v>307</v>
      </c>
      <c r="B51" s="873"/>
      <c r="C51" s="873"/>
      <c r="D51" s="874"/>
      <c r="E51" s="133"/>
      <c r="F51" s="133"/>
      <c r="G51" s="118"/>
      <c r="H51" s="118"/>
      <c r="I51" s="118"/>
      <c r="J51" s="118"/>
      <c r="K51" s="118"/>
      <c r="L51" s="118"/>
      <c r="M51" s="118"/>
      <c r="N51" s="118"/>
      <c r="O51" s="136"/>
      <c r="P51" s="159"/>
      <c r="Q51" s="159"/>
      <c r="R51" s="159"/>
      <c r="S51" s="466"/>
      <c r="T51" s="466"/>
      <c r="U51" s="466"/>
      <c r="V51" s="466"/>
      <c r="W51" s="159"/>
      <c r="X51" s="118"/>
      <c r="Y51" s="118"/>
    </row>
    <row r="52" spans="1:29" s="73" customFormat="1" ht="15.75" customHeight="1" x14ac:dyDescent="0.2">
      <c r="A52" s="875" t="s">
        <v>627</v>
      </c>
      <c r="B52" s="868" t="s">
        <v>628</v>
      </c>
      <c r="C52" s="868" t="s">
        <v>11</v>
      </c>
      <c r="D52" s="868" t="s">
        <v>12</v>
      </c>
      <c r="E52" s="868" t="s">
        <v>13</v>
      </c>
      <c r="F52" s="868" t="s">
        <v>14</v>
      </c>
      <c r="G52" s="868" t="s">
        <v>15</v>
      </c>
      <c r="H52" s="868" t="s">
        <v>16</v>
      </c>
      <c r="I52" s="868">
        <v>20</v>
      </c>
      <c r="J52" s="868">
        <v>40</v>
      </c>
      <c r="K52" s="868" t="s">
        <v>19</v>
      </c>
      <c r="L52" s="922" t="s">
        <v>20</v>
      </c>
      <c r="M52" s="943" t="s">
        <v>28</v>
      </c>
      <c r="N52" s="504" t="s">
        <v>69</v>
      </c>
      <c r="O52" s="498" t="s">
        <v>64</v>
      </c>
      <c r="P52" s="499" t="s">
        <v>65</v>
      </c>
      <c r="Q52" s="490" t="s">
        <v>147</v>
      </c>
      <c r="R52" s="490" t="s">
        <v>71</v>
      </c>
      <c r="S52" s="490"/>
      <c r="T52" s="490"/>
      <c r="U52" s="490"/>
      <c r="V52" s="490"/>
      <c r="W52" s="490"/>
      <c r="X52" s="490"/>
      <c r="Y52" s="490"/>
      <c r="Z52" s="868" t="s">
        <v>22</v>
      </c>
      <c r="AA52" s="868" t="s">
        <v>23</v>
      </c>
      <c r="AB52" s="868" t="s">
        <v>24</v>
      </c>
      <c r="AC52" s="922" t="s">
        <v>352</v>
      </c>
    </row>
    <row r="53" spans="1:29" s="73" customFormat="1" ht="48" thickBot="1" x14ac:dyDescent="0.25">
      <c r="A53" s="876"/>
      <c r="B53" s="869"/>
      <c r="C53" s="869"/>
      <c r="D53" s="869"/>
      <c r="E53" s="869"/>
      <c r="F53" s="869"/>
      <c r="G53" s="872"/>
      <c r="H53" s="869"/>
      <c r="I53" s="869"/>
      <c r="J53" s="869"/>
      <c r="K53" s="869"/>
      <c r="L53" s="923"/>
      <c r="M53" s="944"/>
      <c r="N53" s="505" t="s">
        <v>70</v>
      </c>
      <c r="O53" s="501" t="s">
        <v>67</v>
      </c>
      <c r="P53" s="502" t="s">
        <v>68</v>
      </c>
      <c r="Q53" s="503" t="s">
        <v>84</v>
      </c>
      <c r="R53" s="492" t="s">
        <v>84</v>
      </c>
      <c r="S53" s="492"/>
      <c r="T53" s="492"/>
      <c r="U53" s="492"/>
      <c r="V53" s="492"/>
      <c r="W53" s="492"/>
      <c r="X53" s="492"/>
      <c r="Y53" s="492"/>
      <c r="Z53" s="924"/>
      <c r="AA53" s="924"/>
      <c r="AB53" s="924"/>
      <c r="AC53" s="923"/>
    </row>
    <row r="54" spans="1:29" s="136" customFormat="1" x14ac:dyDescent="0.2">
      <c r="A54" s="493"/>
      <c r="B54" s="225"/>
      <c r="C54" s="225"/>
      <c r="D54" s="225"/>
      <c r="E54" s="225"/>
      <c r="F54" s="225"/>
      <c r="G54" s="120"/>
      <c r="H54" s="225"/>
      <c r="I54" s="263"/>
      <c r="J54" s="263"/>
      <c r="K54" s="263"/>
      <c r="L54" s="265"/>
      <c r="M54" s="270"/>
      <c r="N54" s="268"/>
      <c r="O54" s="120"/>
      <c r="P54" s="121"/>
      <c r="Q54" s="269"/>
      <c r="R54" s="226"/>
      <c r="S54" s="226"/>
      <c r="T54" s="226"/>
      <c r="U54" s="226"/>
      <c r="V54" s="226"/>
      <c r="W54" s="120"/>
      <c r="X54" s="120"/>
      <c r="Y54" s="120"/>
      <c r="Z54" s="227"/>
      <c r="AA54" s="227"/>
      <c r="AB54" s="120"/>
      <c r="AC54" s="121"/>
    </row>
    <row r="55" spans="1:29" s="136" customFormat="1" x14ac:dyDescent="0.2">
      <c r="A55" s="494"/>
      <c r="B55" s="123"/>
      <c r="C55" s="123"/>
      <c r="D55" s="123"/>
      <c r="E55" s="123"/>
      <c r="F55" s="123"/>
      <c r="G55" s="124"/>
      <c r="H55" s="123"/>
      <c r="I55" s="255"/>
      <c r="J55" s="255"/>
      <c r="K55" s="255"/>
      <c r="L55" s="266"/>
      <c r="M55" s="271"/>
      <c r="N55" s="259"/>
      <c r="O55" s="124"/>
      <c r="P55" s="127"/>
      <c r="Q55" s="248"/>
      <c r="R55" s="125"/>
      <c r="S55" s="125"/>
      <c r="T55" s="125"/>
      <c r="U55" s="125"/>
      <c r="V55" s="125"/>
      <c r="W55" s="124"/>
      <c r="X55" s="124"/>
      <c r="Y55" s="124"/>
      <c r="Z55" s="126"/>
      <c r="AA55" s="126"/>
      <c r="AB55" s="124"/>
      <c r="AC55" s="127"/>
    </row>
    <row r="56" spans="1:29" s="136" customFormat="1" x14ac:dyDescent="0.2">
      <c r="A56" s="494"/>
      <c r="B56" s="123"/>
      <c r="C56" s="123"/>
      <c r="D56" s="123"/>
      <c r="E56" s="123"/>
      <c r="F56" s="123"/>
      <c r="G56" s="124"/>
      <c r="H56" s="123"/>
      <c r="I56" s="255"/>
      <c r="J56" s="255"/>
      <c r="K56" s="255"/>
      <c r="L56" s="266"/>
      <c r="M56" s="271"/>
      <c r="N56" s="259"/>
      <c r="O56" s="124"/>
      <c r="P56" s="127"/>
      <c r="Q56" s="248"/>
      <c r="R56" s="125"/>
      <c r="S56" s="125"/>
      <c r="T56" s="125"/>
      <c r="U56" s="125"/>
      <c r="V56" s="125"/>
      <c r="W56" s="124"/>
      <c r="X56" s="124"/>
      <c r="Y56" s="124"/>
      <c r="Z56" s="126"/>
      <c r="AA56" s="126"/>
      <c r="AB56" s="124"/>
      <c r="AC56" s="127"/>
    </row>
    <row r="57" spans="1:29" s="136" customFormat="1" ht="16.5" thickBot="1" x14ac:dyDescent="0.25">
      <c r="A57" s="495"/>
      <c r="B57" s="128"/>
      <c r="C57" s="128"/>
      <c r="D57" s="128"/>
      <c r="E57" s="128"/>
      <c r="F57" s="128"/>
      <c r="G57" s="129"/>
      <c r="H57" s="128"/>
      <c r="I57" s="256"/>
      <c r="J57" s="256"/>
      <c r="K57" s="256"/>
      <c r="L57" s="267"/>
      <c r="M57" s="161"/>
      <c r="N57" s="137"/>
      <c r="O57" s="129"/>
      <c r="P57" s="132"/>
      <c r="Q57" s="137"/>
      <c r="R57" s="129"/>
      <c r="S57" s="129"/>
      <c r="T57" s="129"/>
      <c r="U57" s="129"/>
      <c r="V57" s="129"/>
      <c r="W57" s="129"/>
      <c r="X57" s="129"/>
      <c r="Y57" s="129"/>
      <c r="Z57" s="131"/>
      <c r="AA57" s="131"/>
      <c r="AB57" s="129"/>
      <c r="AC57" s="132"/>
    </row>
    <row r="58" spans="1:29" s="73" customFormat="1" x14ac:dyDescent="0.2">
      <c r="A58" s="133"/>
      <c r="B58" s="133"/>
      <c r="C58" s="133"/>
      <c r="D58" s="133"/>
      <c r="E58" s="133"/>
      <c r="F58" s="133"/>
      <c r="G58" s="118"/>
      <c r="H58" s="118"/>
      <c r="I58" s="118"/>
      <c r="J58" s="118"/>
      <c r="K58" s="118"/>
      <c r="M58" s="118"/>
      <c r="V58" s="118"/>
      <c r="W58" s="118"/>
    </row>
    <row r="59" spans="1:29" s="73" customFormat="1" x14ac:dyDescent="0.2">
      <c r="A59" s="133"/>
      <c r="B59" s="133"/>
      <c r="C59" s="133"/>
      <c r="D59" s="133"/>
      <c r="E59" s="133"/>
      <c r="F59" s="118"/>
      <c r="G59" s="118"/>
      <c r="H59" s="118"/>
      <c r="I59" s="118"/>
      <c r="J59" s="118"/>
      <c r="K59" s="134"/>
      <c r="L59" s="118"/>
      <c r="M59" s="118"/>
      <c r="N59" s="118"/>
      <c r="S59" s="118"/>
      <c r="T59" s="118"/>
      <c r="U59" s="118"/>
    </row>
    <row r="60" spans="1:29" s="456" customFormat="1" ht="16.5" thickBot="1" x14ac:dyDescent="0.25">
      <c r="A60" s="133"/>
      <c r="B60" s="133"/>
      <c r="C60" s="133"/>
      <c r="D60" s="133"/>
      <c r="E60" s="118"/>
      <c r="F60" s="118"/>
      <c r="G60" s="118"/>
      <c r="H60" s="118"/>
      <c r="I60" s="118"/>
      <c r="J60" s="134"/>
      <c r="K60" s="134"/>
      <c r="L60" s="134"/>
      <c r="M60" s="134"/>
      <c r="R60" s="134"/>
    </row>
    <row r="61" spans="1:29" s="456" customFormat="1" ht="19.5" thickBot="1" x14ac:dyDescent="0.25">
      <c r="A61" s="938" t="s">
        <v>29</v>
      </c>
      <c r="B61" s="939"/>
      <c r="C61" s="940"/>
      <c r="D61" s="133"/>
      <c r="E61" s="133"/>
      <c r="F61" s="118"/>
      <c r="G61" s="118"/>
      <c r="H61" s="118"/>
      <c r="I61" s="118"/>
      <c r="J61" s="118"/>
      <c r="K61" s="134"/>
      <c r="L61" s="134"/>
      <c r="M61" s="134"/>
      <c r="N61" s="134"/>
      <c r="S61" s="134"/>
      <c r="T61" s="134"/>
      <c r="U61" s="134"/>
    </row>
    <row r="62" spans="1:29" s="456" customFormat="1" ht="16.5" thickBot="1" x14ac:dyDescent="0.25">
      <c r="A62" s="800" t="s">
        <v>625</v>
      </c>
      <c r="B62" s="801"/>
      <c r="C62" s="802"/>
      <c r="D62" s="133"/>
      <c r="E62" s="133"/>
      <c r="F62" s="133"/>
      <c r="G62" s="118"/>
      <c r="H62" s="118"/>
      <c r="I62" s="118"/>
      <c r="J62" s="118"/>
      <c r="K62" s="118"/>
      <c r="L62" s="134"/>
      <c r="N62" s="134"/>
      <c r="O62" s="134"/>
      <c r="V62" s="134"/>
    </row>
    <row r="63" spans="1:29" s="456" customFormat="1" x14ac:dyDescent="0.2">
      <c r="A63" s="506" t="s">
        <v>30</v>
      </c>
      <c r="B63" s="507"/>
      <c r="C63" s="508" t="s">
        <v>155</v>
      </c>
      <c r="D63" s="509"/>
      <c r="E63" s="509"/>
      <c r="F63" s="510"/>
      <c r="G63" s="510"/>
      <c r="H63" s="509"/>
      <c r="I63" s="510"/>
      <c r="J63" s="509"/>
      <c r="K63" s="143"/>
      <c r="L63" s="144"/>
      <c r="N63" s="134"/>
      <c r="O63" s="134"/>
      <c r="P63" s="134"/>
    </row>
    <row r="64" spans="1:29" s="456" customFormat="1" x14ac:dyDescent="0.2">
      <c r="A64" s="96" t="s">
        <v>626</v>
      </c>
      <c r="B64" s="511"/>
      <c r="C64" s="511"/>
      <c r="D64" s="512"/>
      <c r="E64" s="512"/>
      <c r="F64" s="215"/>
      <c r="G64" s="215"/>
      <c r="H64" s="512"/>
      <c r="I64" s="215"/>
      <c r="J64" s="512"/>
      <c r="K64" s="149"/>
      <c r="L64" s="150"/>
      <c r="N64" s="134"/>
      <c r="O64" s="134"/>
      <c r="P64" s="134"/>
    </row>
    <row r="65" spans="1:24" s="456" customFormat="1" x14ac:dyDescent="0.2">
      <c r="A65" s="96" t="s">
        <v>173</v>
      </c>
      <c r="B65" s="511"/>
      <c r="C65" s="511"/>
      <c r="D65" s="512"/>
      <c r="E65" s="512"/>
      <c r="F65" s="215"/>
      <c r="G65" s="215"/>
      <c r="H65" s="512"/>
      <c r="I65" s="215"/>
      <c r="J65" s="512"/>
      <c r="K65" s="149"/>
      <c r="L65" s="150"/>
      <c r="N65" s="134"/>
      <c r="O65" s="134"/>
      <c r="P65" s="134"/>
    </row>
    <row r="66" spans="1:24" s="456" customFormat="1" x14ac:dyDescent="0.2">
      <c r="A66" s="96" t="s">
        <v>987</v>
      </c>
      <c r="B66" s="511"/>
      <c r="C66" s="511"/>
      <c r="D66" s="512"/>
      <c r="E66" s="512"/>
      <c r="F66" s="215"/>
      <c r="G66" s="215"/>
      <c r="H66" s="512"/>
      <c r="I66" s="215"/>
      <c r="J66" s="512"/>
      <c r="K66" s="149"/>
      <c r="L66" s="150"/>
      <c r="N66" s="134"/>
      <c r="O66" s="134"/>
      <c r="P66" s="134"/>
    </row>
    <row r="67" spans="1:24" s="456" customFormat="1" ht="16.5" thickBot="1" x14ac:dyDescent="0.25">
      <c r="A67" s="110" t="s">
        <v>988</v>
      </c>
      <c r="B67" s="513"/>
      <c r="C67" s="513"/>
      <c r="D67" s="514"/>
      <c r="E67" s="514"/>
      <c r="F67" s="515"/>
      <c r="G67" s="515"/>
      <c r="H67" s="514"/>
      <c r="I67" s="515"/>
      <c r="J67" s="514"/>
      <c r="K67" s="154"/>
      <c r="L67" s="155"/>
      <c r="N67" s="134"/>
      <c r="O67" s="134"/>
      <c r="P67" s="134"/>
    </row>
    <row r="68" spans="1:24" s="456" customFormat="1" ht="16.5" thickBot="1" x14ac:dyDescent="0.25">
      <c r="A68" s="516"/>
      <c r="B68" s="517"/>
      <c r="C68" s="134"/>
      <c r="D68" s="133"/>
      <c r="E68" s="133"/>
      <c r="F68" s="133"/>
      <c r="G68" s="133"/>
      <c r="H68" s="118"/>
      <c r="I68" s="118"/>
      <c r="J68" s="118"/>
      <c r="K68" s="118"/>
      <c r="L68" s="118"/>
      <c r="M68" s="134"/>
      <c r="O68" s="134"/>
      <c r="P68" s="134"/>
      <c r="Q68" s="118"/>
    </row>
    <row r="69" spans="1:24" s="14" customFormat="1" ht="48" thickBot="1" x14ac:dyDescent="0.25">
      <c r="A69" s="518" t="s">
        <v>31</v>
      </c>
      <c r="B69" s="932" t="s">
        <v>628</v>
      </c>
      <c r="C69" s="933"/>
      <c r="D69" s="934"/>
      <c r="E69" s="519" t="s">
        <v>11</v>
      </c>
      <c r="F69" s="519" t="s">
        <v>14</v>
      </c>
      <c r="G69" s="519" t="s">
        <v>287</v>
      </c>
      <c r="H69" s="519" t="s">
        <v>32</v>
      </c>
      <c r="I69" s="519" t="s">
        <v>16</v>
      </c>
      <c r="J69" s="519" t="s">
        <v>17</v>
      </c>
      <c r="K69" s="519" t="s">
        <v>18</v>
      </c>
      <c r="L69" s="519" t="s">
        <v>19</v>
      </c>
      <c r="M69" s="519" t="s">
        <v>20</v>
      </c>
      <c r="N69" s="520" t="s">
        <v>123</v>
      </c>
      <c r="O69" s="519" t="s">
        <v>96</v>
      </c>
      <c r="P69" s="521" t="s">
        <v>809</v>
      </c>
    </row>
    <row r="70" spans="1:24" s="303" customFormat="1" x14ac:dyDescent="0.2">
      <c r="A70" s="269"/>
      <c r="B70" s="925"/>
      <c r="C70" s="926"/>
      <c r="D70" s="926"/>
      <c r="E70" s="226"/>
      <c r="F70" s="226"/>
      <c r="G70" s="226"/>
      <c r="H70" s="226"/>
      <c r="I70" s="226"/>
      <c r="J70" s="273"/>
      <c r="K70" s="263"/>
      <c r="L70" s="263"/>
      <c r="M70" s="306"/>
      <c r="N70" s="49"/>
      <c r="O70" s="226"/>
      <c r="P70" s="274"/>
      <c r="Q70" s="159"/>
      <c r="R70" s="159"/>
      <c r="S70" s="159"/>
      <c r="T70" s="159"/>
      <c r="U70" s="159"/>
      <c r="V70" s="160"/>
      <c r="W70" s="160"/>
      <c r="X70" s="160"/>
    </row>
    <row r="71" spans="1:24" s="303" customFormat="1" x14ac:dyDescent="0.2">
      <c r="A71" s="248"/>
      <c r="B71" s="927"/>
      <c r="C71" s="928"/>
      <c r="D71" s="928"/>
      <c r="E71" s="125"/>
      <c r="F71" s="125"/>
      <c r="G71" s="125"/>
      <c r="H71" s="125"/>
      <c r="I71" s="125"/>
      <c r="J71" s="275"/>
      <c r="K71" s="255"/>
      <c r="L71" s="255"/>
      <c r="M71" s="307"/>
      <c r="N71" s="21"/>
      <c r="O71" s="125"/>
      <c r="P71" s="276"/>
      <c r="Q71" s="159"/>
      <c r="R71" s="159"/>
      <c r="S71" s="159"/>
      <c r="T71" s="159"/>
      <c r="U71" s="159"/>
      <c r="V71" s="160"/>
      <c r="W71" s="160"/>
      <c r="X71" s="160"/>
    </row>
    <row r="72" spans="1:24" s="303" customFormat="1" x14ac:dyDescent="0.2">
      <c r="A72" s="248"/>
      <c r="B72" s="927"/>
      <c r="C72" s="928"/>
      <c r="D72" s="928"/>
      <c r="E72" s="125"/>
      <c r="F72" s="125"/>
      <c r="G72" s="125"/>
      <c r="H72" s="125"/>
      <c r="I72" s="125"/>
      <c r="J72" s="275"/>
      <c r="K72" s="255"/>
      <c r="L72" s="255"/>
      <c r="M72" s="307"/>
      <c r="N72" s="21"/>
      <c r="O72" s="125"/>
      <c r="P72" s="276"/>
      <c r="Q72" s="159"/>
      <c r="R72" s="159"/>
      <c r="S72" s="159"/>
      <c r="T72" s="159"/>
      <c r="U72" s="159"/>
      <c r="V72" s="160"/>
      <c r="W72" s="160"/>
      <c r="X72" s="160"/>
    </row>
    <row r="73" spans="1:24" s="303" customFormat="1" ht="16.5" thickBot="1" x14ac:dyDescent="0.25">
      <c r="A73" s="304"/>
      <c r="B73" s="912"/>
      <c r="C73" s="913"/>
      <c r="D73" s="913"/>
      <c r="E73" s="130"/>
      <c r="F73" s="130"/>
      <c r="G73" s="130"/>
      <c r="H73" s="130"/>
      <c r="I73" s="130"/>
      <c r="J73" s="258"/>
      <c r="K73" s="256"/>
      <c r="L73" s="256"/>
      <c r="M73" s="305"/>
      <c r="N73" s="29"/>
      <c r="O73" s="129"/>
      <c r="P73" s="132"/>
      <c r="Q73" s="159"/>
      <c r="R73" s="159"/>
      <c r="S73" s="159"/>
      <c r="T73" s="159"/>
      <c r="U73" s="159"/>
      <c r="V73" s="160"/>
      <c r="W73" s="160"/>
      <c r="X73" s="160"/>
    </row>
    <row r="74" spans="1:24" s="456" customFormat="1" x14ac:dyDescent="0.2">
      <c r="A74" s="134"/>
      <c r="B74" s="134"/>
      <c r="C74" s="522"/>
      <c r="D74" s="522"/>
      <c r="E74" s="134"/>
      <c r="F74" s="134"/>
      <c r="G74" s="134"/>
      <c r="H74" s="134"/>
      <c r="I74" s="134"/>
      <c r="J74" s="134"/>
      <c r="K74" s="134"/>
      <c r="L74" s="134"/>
      <c r="M74" s="134"/>
      <c r="O74" s="118"/>
      <c r="P74" s="118"/>
      <c r="Q74" s="118"/>
      <c r="R74" s="118"/>
      <c r="S74" s="118"/>
      <c r="T74" s="118"/>
      <c r="U74" s="118"/>
      <c r="V74" s="134"/>
      <c r="W74" s="134"/>
      <c r="X74" s="134"/>
    </row>
    <row r="75" spans="1:24" s="456" customFormat="1" ht="16.5" thickBot="1" x14ac:dyDescent="0.25">
      <c r="A75" s="133"/>
      <c r="B75" s="133"/>
      <c r="C75" s="133"/>
      <c r="D75" s="133"/>
      <c r="E75" s="133"/>
      <c r="F75" s="133"/>
      <c r="G75" s="133"/>
      <c r="H75" s="133"/>
      <c r="I75" s="118"/>
      <c r="J75" s="118"/>
      <c r="K75" s="118"/>
      <c r="L75" s="118"/>
      <c r="M75" s="118"/>
      <c r="N75" s="134"/>
      <c r="O75" s="134"/>
      <c r="P75" s="134"/>
      <c r="Q75" s="134"/>
      <c r="R75" s="134"/>
      <c r="S75" s="134"/>
      <c r="T75" s="134"/>
      <c r="U75" s="134"/>
      <c r="V75" s="134"/>
      <c r="W75" s="118"/>
    </row>
    <row r="76" spans="1:24" s="456" customFormat="1" ht="19.5" thickBot="1" x14ac:dyDescent="0.25">
      <c r="A76" s="938" t="s">
        <v>34</v>
      </c>
      <c r="B76" s="939"/>
      <c r="C76" s="940"/>
      <c r="D76" s="523"/>
      <c r="E76" s="133"/>
      <c r="F76" s="133"/>
      <c r="G76" s="133"/>
      <c r="H76" s="133"/>
      <c r="I76" s="118"/>
      <c r="J76" s="118"/>
      <c r="K76" s="118"/>
      <c r="L76" s="118"/>
      <c r="M76" s="118"/>
      <c r="N76" s="134"/>
      <c r="O76" s="134"/>
      <c r="P76" s="134"/>
      <c r="Q76" s="134"/>
      <c r="R76" s="134"/>
      <c r="S76" s="134"/>
      <c r="T76" s="134"/>
      <c r="U76" s="134"/>
      <c r="V76" s="134"/>
      <c r="W76" s="118"/>
    </row>
    <row r="77" spans="1:24" s="456" customFormat="1" ht="16.5" thickBot="1" x14ac:dyDescent="0.25">
      <c r="A77" s="800" t="s">
        <v>625</v>
      </c>
      <c r="B77" s="801"/>
      <c r="C77" s="802"/>
      <c r="D77" s="200"/>
      <c r="E77" s="200"/>
      <c r="F77" s="200"/>
      <c r="G77" s="200"/>
      <c r="H77" s="194"/>
      <c r="I77" s="194"/>
      <c r="J77" s="200"/>
      <c r="K77" s="194"/>
      <c r="L77" s="200"/>
      <c r="M77" s="118"/>
      <c r="N77" s="134"/>
      <c r="O77" s="134"/>
      <c r="P77" s="134"/>
      <c r="Q77" s="134"/>
      <c r="R77" s="134"/>
      <c r="S77" s="134"/>
      <c r="T77" s="134"/>
      <c r="U77" s="134"/>
      <c r="V77" s="134"/>
      <c r="W77" s="118"/>
    </row>
    <row r="78" spans="1:24" s="456" customFormat="1" x14ac:dyDescent="0.2">
      <c r="A78" s="506" t="s">
        <v>30</v>
      </c>
      <c r="B78" s="470"/>
      <c r="C78" s="508" t="s">
        <v>155</v>
      </c>
      <c r="D78" s="508"/>
      <c r="E78" s="509"/>
      <c r="F78" s="509"/>
      <c r="G78" s="509"/>
      <c r="H78" s="510"/>
      <c r="I78" s="510"/>
      <c r="J78" s="509"/>
      <c r="K78" s="510"/>
      <c r="L78" s="524"/>
      <c r="M78" s="118"/>
      <c r="N78" s="134"/>
      <c r="O78" s="134"/>
      <c r="P78" s="134"/>
      <c r="Q78" s="134"/>
      <c r="R78" s="134"/>
      <c r="S78" s="134"/>
      <c r="T78" s="134"/>
      <c r="U78" s="134"/>
      <c r="V78" s="134"/>
      <c r="W78" s="118"/>
    </row>
    <row r="79" spans="1:24" s="456" customFormat="1" x14ac:dyDescent="0.2">
      <c r="A79" s="96" t="s">
        <v>35</v>
      </c>
      <c r="B79" s="512"/>
      <c r="C79" s="512"/>
      <c r="D79" s="512"/>
      <c r="E79" s="512"/>
      <c r="F79" s="512"/>
      <c r="G79" s="512"/>
      <c r="H79" s="215"/>
      <c r="I79" s="215"/>
      <c r="J79" s="512"/>
      <c r="K79" s="215"/>
      <c r="L79" s="525"/>
      <c r="M79" s="118"/>
      <c r="N79" s="134"/>
      <c r="O79" s="134"/>
      <c r="P79" s="134"/>
      <c r="Q79" s="134"/>
      <c r="R79" s="134"/>
      <c r="S79" s="134"/>
      <c r="T79" s="134"/>
      <c r="U79" s="134"/>
      <c r="V79" s="134"/>
      <c r="W79" s="118"/>
    </row>
    <row r="80" spans="1:24" s="456" customFormat="1" x14ac:dyDescent="0.2">
      <c r="A80" s="96" t="s">
        <v>174</v>
      </c>
      <c r="B80" s="512"/>
      <c r="C80" s="512"/>
      <c r="D80" s="512"/>
      <c r="E80" s="512"/>
      <c r="F80" s="512"/>
      <c r="G80" s="512"/>
      <c r="H80" s="215"/>
      <c r="I80" s="215"/>
      <c r="J80" s="512"/>
      <c r="K80" s="215"/>
      <c r="L80" s="525"/>
      <c r="M80" s="118"/>
      <c r="N80" s="134"/>
      <c r="O80" s="134"/>
      <c r="P80" s="134"/>
      <c r="Q80" s="134"/>
      <c r="R80" s="134"/>
      <c r="S80" s="134"/>
      <c r="T80" s="134"/>
      <c r="U80" s="134"/>
      <c r="V80" s="134"/>
      <c r="W80" s="118"/>
    </row>
    <row r="81" spans="1:23" s="456" customFormat="1" x14ac:dyDescent="0.2">
      <c r="A81" s="96" t="s">
        <v>987</v>
      </c>
      <c r="B81" s="512"/>
      <c r="C81" s="512"/>
      <c r="D81" s="512"/>
      <c r="E81" s="512"/>
      <c r="F81" s="512"/>
      <c r="G81" s="512"/>
      <c r="H81" s="215"/>
      <c r="I81" s="215"/>
      <c r="J81" s="512"/>
      <c r="K81" s="215"/>
      <c r="L81" s="525"/>
      <c r="M81" s="118"/>
      <c r="N81" s="134"/>
      <c r="O81" s="134"/>
      <c r="P81" s="134"/>
      <c r="Q81" s="134"/>
      <c r="R81" s="134"/>
      <c r="S81" s="134"/>
      <c r="T81" s="134"/>
      <c r="U81" s="134"/>
      <c r="V81" s="134"/>
      <c r="W81" s="118"/>
    </row>
    <row r="82" spans="1:23" s="456" customFormat="1" ht="16.5" thickBot="1" x14ac:dyDescent="0.25">
      <c r="A82" s="110" t="s">
        <v>988</v>
      </c>
      <c r="B82" s="514"/>
      <c r="C82" s="514"/>
      <c r="D82" s="514"/>
      <c r="E82" s="514"/>
      <c r="F82" s="514"/>
      <c r="G82" s="514"/>
      <c r="H82" s="515"/>
      <c r="I82" s="515"/>
      <c r="J82" s="514"/>
      <c r="K82" s="515"/>
      <c r="L82" s="526"/>
      <c r="M82" s="118"/>
      <c r="N82" s="134"/>
      <c r="O82" s="134"/>
      <c r="P82" s="134"/>
      <c r="Q82" s="134"/>
      <c r="R82" s="134"/>
      <c r="S82" s="134"/>
      <c r="T82" s="134"/>
      <c r="U82" s="134"/>
      <c r="V82" s="134"/>
      <c r="W82" s="118"/>
    </row>
    <row r="83" spans="1:23" s="456" customFormat="1" ht="16.5" thickBot="1" x14ac:dyDescent="0.25">
      <c r="A83" s="527"/>
      <c r="E83" s="200"/>
      <c r="F83" s="200"/>
      <c r="G83" s="200"/>
      <c r="H83" s="194"/>
      <c r="I83" s="517"/>
      <c r="J83" s="200"/>
      <c r="K83" s="194"/>
      <c r="L83" s="200"/>
      <c r="M83" s="118"/>
      <c r="N83" s="134"/>
      <c r="O83" s="134"/>
      <c r="P83" s="134"/>
      <c r="Q83" s="134"/>
      <c r="R83" s="118"/>
      <c r="V83" s="528"/>
      <c r="W83" s="528"/>
    </row>
    <row r="84" spans="1:23" s="14" customFormat="1" ht="32.25" thickBot="1" x14ac:dyDescent="0.25">
      <c r="A84" s="518" t="s">
        <v>31</v>
      </c>
      <c r="B84" s="932" t="s">
        <v>13</v>
      </c>
      <c r="C84" s="933"/>
      <c r="D84" s="934"/>
      <c r="E84" s="519" t="s">
        <v>12</v>
      </c>
      <c r="F84" s="519" t="s">
        <v>14</v>
      </c>
      <c r="G84" s="519" t="s">
        <v>276</v>
      </c>
      <c r="H84" s="519" t="s">
        <v>32</v>
      </c>
      <c r="I84" s="519" t="s">
        <v>16</v>
      </c>
      <c r="J84" s="519" t="s">
        <v>17</v>
      </c>
      <c r="K84" s="519" t="s">
        <v>18</v>
      </c>
      <c r="L84" s="519" t="s">
        <v>19</v>
      </c>
      <c r="M84" s="519" t="s">
        <v>20</v>
      </c>
      <c r="N84" s="520" t="s">
        <v>123</v>
      </c>
      <c r="O84" s="519" t="s">
        <v>94</v>
      </c>
      <c r="P84" s="521" t="s">
        <v>807</v>
      </c>
      <c r="W84" s="13"/>
    </row>
    <row r="85" spans="1:23" s="303" customFormat="1" x14ac:dyDescent="0.2">
      <c r="A85" s="269"/>
      <c r="B85" s="925"/>
      <c r="C85" s="926"/>
      <c r="D85" s="926"/>
      <c r="E85" s="226"/>
      <c r="F85" s="226"/>
      <c r="G85" s="226"/>
      <c r="H85" s="226"/>
      <c r="I85" s="226"/>
      <c r="J85" s="263"/>
      <c r="K85" s="263"/>
      <c r="L85" s="263"/>
      <c r="M85" s="263"/>
      <c r="N85" s="49"/>
      <c r="O85" s="226"/>
      <c r="P85" s="274"/>
      <c r="Q85" s="160"/>
      <c r="R85" s="160"/>
      <c r="S85" s="160"/>
      <c r="T85" s="160"/>
      <c r="U85" s="160"/>
      <c r="V85" s="160"/>
      <c r="W85" s="159"/>
    </row>
    <row r="86" spans="1:23" s="303" customFormat="1" x14ac:dyDescent="0.2">
      <c r="A86" s="248"/>
      <c r="B86" s="927"/>
      <c r="C86" s="928"/>
      <c r="D86" s="928"/>
      <c r="E86" s="125"/>
      <c r="F86" s="125"/>
      <c r="G86" s="125"/>
      <c r="H86" s="125"/>
      <c r="I86" s="125"/>
      <c r="J86" s="255"/>
      <c r="K86" s="255"/>
      <c r="L86" s="255"/>
      <c r="M86" s="255"/>
      <c r="N86" s="21"/>
      <c r="O86" s="125"/>
      <c r="P86" s="276"/>
      <c r="Q86" s="160"/>
      <c r="R86" s="160"/>
      <c r="S86" s="160"/>
      <c r="T86" s="160"/>
      <c r="U86" s="160"/>
      <c r="V86" s="160"/>
      <c r="W86" s="159"/>
    </row>
    <row r="87" spans="1:23" s="303" customFormat="1" x14ac:dyDescent="0.2">
      <c r="A87" s="248"/>
      <c r="B87" s="927"/>
      <c r="C87" s="928"/>
      <c r="D87" s="928"/>
      <c r="E87" s="125"/>
      <c r="F87" s="125"/>
      <c r="G87" s="125"/>
      <c r="H87" s="125"/>
      <c r="I87" s="125"/>
      <c r="J87" s="255"/>
      <c r="K87" s="255"/>
      <c r="L87" s="255"/>
      <c r="M87" s="255"/>
      <c r="N87" s="21"/>
      <c r="O87" s="125"/>
      <c r="P87" s="276"/>
      <c r="Q87" s="160"/>
      <c r="R87" s="160"/>
      <c r="S87" s="160"/>
      <c r="T87" s="160"/>
      <c r="U87" s="160"/>
      <c r="V87" s="160"/>
      <c r="W87" s="159"/>
    </row>
    <row r="88" spans="1:23" s="303" customFormat="1" ht="16.5" thickBot="1" x14ac:dyDescent="0.25">
      <c r="A88" s="304"/>
      <c r="B88" s="912"/>
      <c r="C88" s="913"/>
      <c r="D88" s="913"/>
      <c r="E88" s="130"/>
      <c r="F88" s="130"/>
      <c r="G88" s="130"/>
      <c r="H88" s="130"/>
      <c r="I88" s="130"/>
      <c r="J88" s="256"/>
      <c r="K88" s="256"/>
      <c r="L88" s="256"/>
      <c r="M88" s="256"/>
      <c r="N88" s="29"/>
      <c r="O88" s="129"/>
      <c r="P88" s="132"/>
      <c r="Q88" s="160"/>
      <c r="R88" s="160"/>
      <c r="S88" s="160"/>
      <c r="T88" s="160"/>
      <c r="U88" s="160"/>
      <c r="V88" s="160"/>
      <c r="W88" s="159"/>
    </row>
    <row r="89" spans="1:23" s="456" customFormat="1" ht="16.5" thickBot="1" x14ac:dyDescent="0.25">
      <c r="A89" s="133"/>
      <c r="B89" s="133"/>
      <c r="C89" s="133"/>
      <c r="D89" s="133"/>
      <c r="E89" s="133"/>
      <c r="F89" s="133"/>
      <c r="G89" s="133"/>
      <c r="H89" s="118"/>
      <c r="I89" s="118"/>
      <c r="J89" s="118"/>
      <c r="K89" s="118"/>
      <c r="L89" s="118"/>
      <c r="M89" s="134"/>
      <c r="N89" s="134"/>
      <c r="O89" s="134"/>
      <c r="P89" s="134"/>
      <c r="Q89" s="134"/>
      <c r="R89" s="134"/>
      <c r="S89" s="134"/>
      <c r="T89" s="134"/>
      <c r="U89" s="134"/>
      <c r="V89" s="118"/>
    </row>
    <row r="90" spans="1:23" s="73" customFormat="1" ht="16.5" thickBot="1" x14ac:dyDescent="0.25">
      <c r="A90" s="822" t="s">
        <v>36</v>
      </c>
      <c r="B90" s="823"/>
      <c r="C90" s="823"/>
      <c r="D90" s="823"/>
      <c r="E90" s="823"/>
      <c r="F90" s="823"/>
      <c r="G90" s="823"/>
      <c r="H90" s="823"/>
      <c r="I90" s="824"/>
      <c r="J90" s="169"/>
      <c r="K90" s="118"/>
      <c r="L90" s="134"/>
      <c r="M90" s="134"/>
      <c r="N90" s="134"/>
      <c r="O90" s="134"/>
      <c r="P90" s="134"/>
      <c r="Q90" s="134"/>
      <c r="R90" s="134"/>
      <c r="S90" s="118"/>
      <c r="T90" s="118"/>
      <c r="U90" s="118"/>
    </row>
    <row r="91" spans="1:23" s="73" customFormat="1" ht="16.5" thickBot="1" x14ac:dyDescent="0.25">
      <c r="A91" s="935" t="s">
        <v>37</v>
      </c>
      <c r="B91" s="936"/>
      <c r="C91" s="936"/>
      <c r="D91" s="936"/>
      <c r="E91" s="936"/>
      <c r="F91" s="936"/>
      <c r="G91" s="936"/>
      <c r="H91" s="936"/>
      <c r="I91" s="937"/>
      <c r="J91" s="170"/>
      <c r="K91" s="118"/>
      <c r="L91" s="134"/>
      <c r="M91" s="134"/>
      <c r="N91" s="134"/>
      <c r="O91" s="134"/>
      <c r="P91" s="134"/>
      <c r="Q91" s="134"/>
      <c r="R91" s="134"/>
      <c r="S91" s="118"/>
      <c r="T91" s="118"/>
      <c r="U91" s="118"/>
    </row>
    <row r="92" spans="1:23" s="308" customFormat="1" ht="15.75" customHeight="1" thickBot="1" x14ac:dyDescent="0.25">
      <c r="A92" s="665" t="s">
        <v>296</v>
      </c>
      <c r="B92" s="909" t="s">
        <v>1129</v>
      </c>
      <c r="C92" s="910"/>
      <c r="D92" s="910"/>
      <c r="E92" s="910"/>
      <c r="F92" s="910"/>
      <c r="G92" s="910"/>
      <c r="H92" s="910"/>
      <c r="I92" s="911"/>
      <c r="J92" s="171"/>
      <c r="K92" s="172"/>
      <c r="L92" s="173"/>
      <c r="M92" s="173"/>
      <c r="N92" s="173"/>
      <c r="O92" s="173"/>
      <c r="P92" s="173"/>
      <c r="Q92" s="173"/>
      <c r="R92" s="173"/>
      <c r="S92" s="172"/>
      <c r="T92" s="172"/>
      <c r="U92" s="172"/>
    </row>
    <row r="93" spans="1:23" s="73" customFormat="1" ht="16.5" thickBot="1" x14ac:dyDescent="0.25">
      <c r="A93" s="196"/>
      <c r="B93" s="169"/>
      <c r="C93" s="169"/>
      <c r="D93" s="169"/>
      <c r="E93" s="169"/>
      <c r="F93" s="176"/>
      <c r="G93" s="176"/>
      <c r="H93" s="176"/>
      <c r="I93" s="176"/>
      <c r="J93" s="176"/>
      <c r="K93" s="118"/>
      <c r="L93" s="134"/>
      <c r="M93" s="134"/>
      <c r="N93" s="134"/>
      <c r="O93" s="134"/>
      <c r="P93" s="134"/>
      <c r="Q93" s="118"/>
    </row>
    <row r="94" spans="1:23" s="73" customFormat="1" ht="16.5" customHeight="1" thickBot="1" x14ac:dyDescent="0.25">
      <c r="A94" s="917" t="s">
        <v>214</v>
      </c>
      <c r="B94" s="918"/>
      <c r="C94" s="918"/>
      <c r="D94" s="918"/>
      <c r="E94" s="918"/>
      <c r="F94" s="918"/>
      <c r="G94" s="918"/>
      <c r="H94" s="930" t="s">
        <v>226</v>
      </c>
      <c r="I94" s="786" t="s">
        <v>627</v>
      </c>
      <c r="J94" s="786" t="s">
        <v>215</v>
      </c>
      <c r="K94" s="786" t="s">
        <v>23</v>
      </c>
      <c r="L94" s="786" t="s">
        <v>302</v>
      </c>
      <c r="M94" s="788" t="s">
        <v>83</v>
      </c>
      <c r="N94" s="134"/>
      <c r="O94" s="118"/>
      <c r="P94" s="456"/>
      <c r="Q94" s="528"/>
      <c r="R94" s="528"/>
    </row>
    <row r="95" spans="1:23" s="446" customFormat="1" ht="16.5" thickBot="1" x14ac:dyDescent="0.25">
      <c r="A95" s="919" t="s">
        <v>887</v>
      </c>
      <c r="B95" s="920"/>
      <c r="C95" s="920"/>
      <c r="D95" s="920"/>
      <c r="E95" s="920"/>
      <c r="F95" s="920"/>
      <c r="G95" s="921"/>
      <c r="H95" s="931"/>
      <c r="I95" s="908"/>
      <c r="J95" s="908"/>
      <c r="K95" s="908"/>
      <c r="L95" s="908"/>
      <c r="M95" s="929"/>
      <c r="N95" s="177"/>
      <c r="O95" s="177"/>
      <c r="P95" s="177"/>
      <c r="Q95" s="177"/>
      <c r="R95" s="177"/>
    </row>
    <row r="96" spans="1:23" s="446" customFormat="1" ht="15.75" customHeight="1" thickBot="1" x14ac:dyDescent="0.25">
      <c r="A96" s="914" t="s">
        <v>353</v>
      </c>
      <c r="B96" s="915"/>
      <c r="C96" s="915"/>
      <c r="D96" s="915"/>
      <c r="E96" s="915"/>
      <c r="F96" s="915"/>
      <c r="G96" s="916"/>
      <c r="H96" s="931"/>
      <c r="I96" s="908"/>
      <c r="J96" s="908"/>
      <c r="K96" s="908"/>
      <c r="L96" s="908"/>
      <c r="M96" s="929"/>
      <c r="N96" s="177"/>
      <c r="O96" s="177"/>
      <c r="P96" s="177"/>
      <c r="Q96" s="177"/>
      <c r="R96" s="177"/>
    </row>
    <row r="97" spans="1:18" s="136" customFormat="1" ht="15.75" customHeight="1" x14ac:dyDescent="0.2">
      <c r="A97" s="178" t="s">
        <v>102</v>
      </c>
      <c r="B97" s="942" t="str">
        <f>IF($A97="","",VLOOKUP($A97,Listes!$A$3:$C$193,2,FALSE))</f>
        <v>Alameda Corridor Surcharge import</v>
      </c>
      <c r="C97" s="942"/>
      <c r="D97" s="942"/>
      <c r="E97" s="941" t="s">
        <v>51</v>
      </c>
      <c r="F97" s="941"/>
      <c r="G97" s="941"/>
      <c r="H97" s="614"/>
      <c r="I97" s="529"/>
      <c r="J97" s="529"/>
      <c r="K97" s="529"/>
      <c r="L97" s="529"/>
      <c r="M97" s="530"/>
      <c r="N97" s="160"/>
      <c r="O97" s="160"/>
      <c r="P97" s="160"/>
      <c r="Q97" s="160"/>
      <c r="R97" s="159"/>
    </row>
    <row r="98" spans="1:18" s="136" customFormat="1" ht="15.75" customHeight="1" x14ac:dyDescent="0.2">
      <c r="A98" s="182" t="s">
        <v>234</v>
      </c>
      <c r="B98" s="813" t="str">
        <f>IF($A98="","",VLOOKUP($A98,Listes!$A$3:$C$193,2,FALSE))</f>
        <v>Bunker Adjustment Factor</v>
      </c>
      <c r="C98" s="813"/>
      <c r="D98" s="813"/>
      <c r="E98" s="814" t="s">
        <v>51</v>
      </c>
      <c r="F98" s="814"/>
      <c r="G98" s="814"/>
      <c r="H98" s="612"/>
      <c r="I98" s="531"/>
      <c r="J98" s="531"/>
      <c r="K98" s="531"/>
      <c r="L98" s="531"/>
      <c r="M98" s="532"/>
      <c r="N98" s="160"/>
      <c r="O98" s="160"/>
      <c r="P98" s="160"/>
      <c r="Q98" s="160"/>
      <c r="R98" s="159"/>
    </row>
    <row r="99" spans="1:18" s="136" customFormat="1" ht="15.75" customHeight="1" x14ac:dyDescent="0.2">
      <c r="A99" s="182" t="s">
        <v>1105</v>
      </c>
      <c r="B99" s="813" t="str">
        <f>IF($A99="","",VLOOKUP($A99,Listes!$A$3:$C$193,2,FALSE))</f>
        <v>Chassis Administration Fee On-Carriage</v>
      </c>
      <c r="C99" s="813"/>
      <c r="D99" s="813"/>
      <c r="E99" s="814" t="s">
        <v>51</v>
      </c>
      <c r="F99" s="814"/>
      <c r="G99" s="814"/>
      <c r="H99" s="647"/>
      <c r="I99" s="531"/>
      <c r="J99" s="531"/>
      <c r="K99" s="531"/>
      <c r="L99" s="531"/>
      <c r="M99" s="532"/>
      <c r="N99" s="160"/>
      <c r="O99" s="160"/>
      <c r="P99" s="160"/>
      <c r="Q99" s="160"/>
      <c r="R99" s="159"/>
    </row>
    <row r="100" spans="1:18" s="136" customFormat="1" ht="15.75" customHeight="1" x14ac:dyDescent="0.2">
      <c r="A100" s="182" t="s">
        <v>551</v>
      </c>
      <c r="B100" s="813" t="str">
        <f>IF($A100="","",VLOOKUP($A100,Listes!$A$3:$C$193,2,FALSE))</f>
        <v>Chassis Provision Charge</v>
      </c>
      <c r="C100" s="813"/>
      <c r="D100" s="813"/>
      <c r="E100" s="814" t="s">
        <v>51</v>
      </c>
      <c r="F100" s="814"/>
      <c r="G100" s="814"/>
      <c r="H100" s="612"/>
      <c r="I100" s="531"/>
      <c r="J100" s="531"/>
      <c r="K100" s="531"/>
      <c r="L100" s="531"/>
      <c r="M100" s="532"/>
      <c r="N100" s="160"/>
      <c r="O100" s="160"/>
      <c r="P100" s="160"/>
      <c r="Q100" s="160"/>
      <c r="R100" s="159"/>
    </row>
    <row r="101" spans="1:18" s="136" customFormat="1" ht="15.75" customHeight="1" x14ac:dyDescent="0.2">
      <c r="A101" s="182" t="s">
        <v>263</v>
      </c>
      <c r="B101" s="813" t="str">
        <f>IF($A101="","",VLOOKUP($A101,Listes!$A$3:$C$193,2,FALSE))</f>
        <v>Carrier Security Charge</v>
      </c>
      <c r="C101" s="813"/>
      <c r="D101" s="813"/>
      <c r="E101" s="814" t="s">
        <v>51</v>
      </c>
      <c r="F101" s="814"/>
      <c r="G101" s="814"/>
      <c r="H101" s="612"/>
      <c r="I101" s="531"/>
      <c r="J101" s="531"/>
      <c r="K101" s="531"/>
      <c r="L101" s="531"/>
      <c r="M101" s="532"/>
      <c r="N101" s="160"/>
      <c r="O101" s="160"/>
      <c r="P101" s="160"/>
      <c r="Q101" s="160"/>
      <c r="R101" s="159"/>
    </row>
    <row r="102" spans="1:18" s="136" customFormat="1" ht="15.75" customHeight="1" x14ac:dyDescent="0.2">
      <c r="A102" s="182" t="s">
        <v>1262</v>
      </c>
      <c r="B102" s="813" t="str">
        <f>IF($A102="","",VLOOKUP($A102,Listes!$A$3:$C$193,2,FALSE))</f>
        <v>Container Maintenance Charge Destination</v>
      </c>
      <c r="C102" s="813"/>
      <c r="D102" s="813"/>
      <c r="E102" s="814" t="s">
        <v>51</v>
      </c>
      <c r="F102" s="814"/>
      <c r="G102" s="814"/>
      <c r="H102" s="647"/>
      <c r="I102" s="531"/>
      <c r="J102" s="531"/>
      <c r="K102" s="531"/>
      <c r="L102" s="531"/>
      <c r="M102" s="532"/>
      <c r="N102" s="160"/>
      <c r="O102" s="160"/>
      <c r="P102" s="160"/>
      <c r="Q102" s="160"/>
      <c r="R102" s="159"/>
    </row>
    <row r="103" spans="1:18" s="136" customFormat="1" ht="15.75" customHeight="1" x14ac:dyDescent="0.2">
      <c r="A103" s="182" t="s">
        <v>230</v>
      </c>
      <c r="B103" s="813" t="str">
        <f>IF($A103="","",VLOOKUP($A103,Listes!$A$3:$C$193,2,FALSE))</f>
        <v>Destination THC / Destination Receiving Charge</v>
      </c>
      <c r="C103" s="813"/>
      <c r="D103" s="813"/>
      <c r="E103" s="814" t="s">
        <v>53</v>
      </c>
      <c r="F103" s="814"/>
      <c r="G103" s="814"/>
      <c r="H103" s="612"/>
      <c r="I103" s="531"/>
      <c r="J103" s="531"/>
      <c r="K103" s="531"/>
      <c r="L103" s="531"/>
      <c r="M103" s="532"/>
      <c r="N103" s="160"/>
      <c r="O103" s="160"/>
      <c r="P103" s="160"/>
      <c r="Q103" s="160"/>
      <c r="R103" s="159"/>
    </row>
    <row r="104" spans="1:18" s="136" customFormat="1" ht="15.75" customHeight="1" x14ac:dyDescent="0.2">
      <c r="A104" s="182" t="s">
        <v>874</v>
      </c>
      <c r="B104" s="813" t="str">
        <f>IF($A104="","",VLOOKUP($A104,Listes!$A$3:$C$193,2,FALSE))</f>
        <v>Export Documentation Fees - Carrier</v>
      </c>
      <c r="C104" s="813"/>
      <c r="D104" s="813"/>
      <c r="E104" s="814" t="s">
        <v>51</v>
      </c>
      <c r="F104" s="814"/>
      <c r="G104" s="814"/>
      <c r="H104" s="612"/>
      <c r="I104" s="531"/>
      <c r="J104" s="531"/>
      <c r="K104" s="531"/>
      <c r="L104" s="531"/>
      <c r="M104" s="532"/>
      <c r="N104" s="160"/>
      <c r="O104" s="160"/>
      <c r="P104" s="160"/>
      <c r="Q104" s="160"/>
      <c r="R104" s="159"/>
    </row>
    <row r="105" spans="1:18" s="136" customFormat="1" ht="15.75" customHeight="1" x14ac:dyDescent="0.2">
      <c r="A105" s="182" t="s">
        <v>854</v>
      </c>
      <c r="B105" s="813" t="str">
        <f>IF($A105="","",VLOOKUP($A105,Listes!$A$3:$C$193,2,FALSE))</f>
        <v>Export Declaration Surcharge</v>
      </c>
      <c r="C105" s="813"/>
      <c r="D105" s="813"/>
      <c r="E105" s="814" t="s">
        <v>51</v>
      </c>
      <c r="F105" s="814"/>
      <c r="G105" s="814"/>
      <c r="H105" s="612"/>
      <c r="I105" s="531"/>
      <c r="J105" s="531"/>
      <c r="K105" s="531"/>
      <c r="L105" s="531"/>
      <c r="M105" s="532"/>
      <c r="N105" s="160"/>
      <c r="O105" s="160"/>
      <c r="P105" s="160"/>
      <c r="Q105" s="160"/>
      <c r="R105" s="159"/>
    </row>
    <row r="106" spans="1:18" s="136" customFormat="1" ht="15.75" customHeight="1" x14ac:dyDescent="0.2">
      <c r="A106" s="182" t="s">
        <v>1320</v>
      </c>
      <c r="B106" s="813" t="str">
        <f>IF($A106="","",VLOOKUP($A106,Listes!$A$3:$C$193,2,FALSE))</f>
        <v>Export Seal Fee</v>
      </c>
      <c r="C106" s="813"/>
      <c r="D106" s="813"/>
      <c r="E106" s="814" t="s">
        <v>51</v>
      </c>
      <c r="F106" s="814"/>
      <c r="G106" s="814"/>
      <c r="H106" s="686"/>
      <c r="I106" s="531"/>
      <c r="J106" s="531"/>
      <c r="K106" s="531"/>
      <c r="L106" s="531"/>
      <c r="M106" s="532"/>
      <c r="N106" s="160"/>
      <c r="O106" s="160"/>
      <c r="P106" s="160"/>
      <c r="Q106" s="160"/>
      <c r="R106" s="159"/>
    </row>
    <row r="107" spans="1:18" s="136" customFormat="1" ht="15.75" customHeight="1" x14ac:dyDescent="0.2">
      <c r="A107" s="182" t="s">
        <v>82</v>
      </c>
      <c r="B107" s="813" t="str">
        <f>IF($A107="","",VLOOKUP($A107,Listes!$A$3:$C$193,2,FALSE))</f>
        <v>General Rate Increase</v>
      </c>
      <c r="C107" s="813"/>
      <c r="D107" s="813"/>
      <c r="E107" s="814" t="s">
        <v>51</v>
      </c>
      <c r="F107" s="814"/>
      <c r="G107" s="814"/>
      <c r="H107" s="612"/>
      <c r="I107" s="531"/>
      <c r="J107" s="531"/>
      <c r="K107" s="531"/>
      <c r="L107" s="531"/>
      <c r="M107" s="532"/>
      <c r="N107" s="160"/>
      <c r="O107" s="160"/>
      <c r="P107" s="160"/>
      <c r="Q107" s="160"/>
      <c r="R107" s="159"/>
    </row>
    <row r="108" spans="1:18" s="136" customFormat="1" ht="15.75" customHeight="1" x14ac:dyDescent="0.2">
      <c r="A108" s="182" t="s">
        <v>260</v>
      </c>
      <c r="B108" s="813" t="str">
        <f>IF($A108="","",VLOOKUP($A108,Listes!$A$3:$C$193,2,FALSE))</f>
        <v>Hazardous Fees (Ocean)</v>
      </c>
      <c r="C108" s="813"/>
      <c r="D108" s="813"/>
      <c r="E108" s="814" t="s">
        <v>51</v>
      </c>
      <c r="F108" s="814"/>
      <c r="G108" s="814"/>
      <c r="H108" s="612"/>
      <c r="I108" s="531"/>
      <c r="J108" s="531"/>
      <c r="K108" s="531"/>
      <c r="L108" s="531"/>
      <c r="M108" s="532"/>
      <c r="N108" s="160"/>
      <c r="O108" s="160"/>
      <c r="P108" s="160"/>
      <c r="Q108" s="160"/>
      <c r="R108" s="159"/>
    </row>
    <row r="109" spans="1:18" s="136" customFormat="1" ht="15.75" customHeight="1" x14ac:dyDescent="0.2">
      <c r="A109" s="182" t="s">
        <v>898</v>
      </c>
      <c r="B109" s="813" t="str">
        <f>IF($A109="","",VLOOKUP($A109,Listes!$A$3:$C$193,2,FALSE))</f>
        <v>Oncarriage Additional Intermodal Door Delivery Surcharge</v>
      </c>
      <c r="C109" s="813"/>
      <c r="D109" s="813"/>
      <c r="E109" s="814" t="s">
        <v>51</v>
      </c>
      <c r="F109" s="814"/>
      <c r="G109" s="814"/>
      <c r="H109" s="612"/>
      <c r="I109" s="531"/>
      <c r="J109" s="531"/>
      <c r="K109" s="531"/>
      <c r="L109" s="531"/>
      <c r="M109" s="532"/>
      <c r="N109" s="160"/>
      <c r="O109" s="160"/>
      <c r="P109" s="160"/>
      <c r="Q109" s="160"/>
      <c r="R109" s="159"/>
    </row>
    <row r="110" spans="1:18" s="136" customFormat="1" ht="15.75" customHeight="1" x14ac:dyDescent="0.2">
      <c r="A110" s="182" t="s">
        <v>94</v>
      </c>
      <c r="B110" s="813" t="str">
        <f>IF($A110="","",VLOOKUP($A110,Listes!$A$3:$C$193,2,FALSE))</f>
        <v>Oncarriage Inland Fuel Charge</v>
      </c>
      <c r="C110" s="813"/>
      <c r="D110" s="813"/>
      <c r="E110" s="814" t="s">
        <v>51</v>
      </c>
      <c r="F110" s="814"/>
      <c r="G110" s="814"/>
      <c r="H110" s="612"/>
      <c r="I110" s="531"/>
      <c r="J110" s="531"/>
      <c r="K110" s="531"/>
      <c r="L110" s="531"/>
      <c r="M110" s="532"/>
      <c r="N110" s="160"/>
      <c r="O110" s="160"/>
      <c r="P110" s="160"/>
      <c r="Q110" s="160"/>
      <c r="R110" s="159"/>
    </row>
    <row r="111" spans="1:18" s="136" customFormat="1" ht="15.75" customHeight="1" x14ac:dyDescent="0.2">
      <c r="A111" s="182" t="s">
        <v>1290</v>
      </c>
      <c r="B111" s="813" t="str">
        <f>IF($A111="","",VLOOKUP($A111,Listes!$A$3:$C$193,2,FALSE))</f>
        <v>Local Port Charge Destination Sanitary Fee</v>
      </c>
      <c r="C111" s="813"/>
      <c r="D111" s="813"/>
      <c r="E111" s="814" t="s">
        <v>51</v>
      </c>
      <c r="F111" s="814"/>
      <c r="G111" s="814"/>
      <c r="H111" s="675"/>
      <c r="I111" s="531"/>
      <c r="J111" s="531"/>
      <c r="K111" s="531"/>
      <c r="L111" s="531"/>
      <c r="M111" s="532"/>
      <c r="N111" s="160"/>
      <c r="O111" s="160"/>
      <c r="P111" s="160"/>
      <c r="Q111" s="160"/>
      <c r="R111" s="159"/>
    </row>
    <row r="112" spans="1:18" s="136" customFormat="1" ht="15.75" customHeight="1" x14ac:dyDescent="0.2">
      <c r="A112" s="182" t="s">
        <v>1292</v>
      </c>
      <c r="B112" s="813" t="str">
        <f>IF($A112="","",VLOOKUP($A112,Listes!$A$3:$C$193,2,FALSE))</f>
        <v>Local Port Charge Origin Sanitary Fee</v>
      </c>
      <c r="C112" s="813"/>
      <c r="D112" s="813"/>
      <c r="E112" s="814" t="s">
        <v>51</v>
      </c>
      <c r="F112" s="814"/>
      <c r="G112" s="814"/>
      <c r="H112" s="675"/>
      <c r="I112" s="531"/>
      <c r="J112" s="531"/>
      <c r="K112" s="531"/>
      <c r="L112" s="531"/>
      <c r="M112" s="532"/>
      <c r="N112" s="160"/>
      <c r="O112" s="160"/>
      <c r="P112" s="160"/>
      <c r="Q112" s="160"/>
      <c r="R112" s="159"/>
    </row>
    <row r="113" spans="1:21" s="136" customFormat="1" ht="15.75" customHeight="1" x14ac:dyDescent="0.2">
      <c r="A113" s="182" t="s">
        <v>199</v>
      </c>
      <c r="B113" s="813" t="str">
        <f>IF($A113="","",VLOOKUP($A113,Listes!$A$3:$C$193,2,FALSE))</f>
        <v>Low Sulfur Surcharge</v>
      </c>
      <c r="C113" s="813"/>
      <c r="D113" s="813"/>
      <c r="E113" s="814" t="s">
        <v>53</v>
      </c>
      <c r="F113" s="814"/>
      <c r="G113" s="814"/>
      <c r="H113" s="612"/>
      <c r="I113" s="531"/>
      <c r="J113" s="531"/>
      <c r="K113" s="531"/>
      <c r="L113" s="531"/>
      <c r="M113" s="532"/>
      <c r="N113" s="160"/>
      <c r="O113" s="160"/>
      <c r="P113" s="160"/>
      <c r="Q113" s="160"/>
      <c r="R113" s="159"/>
    </row>
    <row r="114" spans="1:21" s="136" customFormat="1" ht="15.75" customHeight="1" x14ac:dyDescent="0.2">
      <c r="A114" s="182" t="s">
        <v>1124</v>
      </c>
      <c r="B114" s="813" t="str">
        <f>IF($A114="","",VLOOKUP($A114,Listes!$A$3:$C$193,2,FALSE))</f>
        <v>Low Sulfur Surcharge IMO2020</v>
      </c>
      <c r="C114" s="813"/>
      <c r="D114" s="813"/>
      <c r="E114" s="814" t="s">
        <v>53</v>
      </c>
      <c r="F114" s="814"/>
      <c r="G114" s="814"/>
      <c r="H114" s="666"/>
      <c r="I114" s="531"/>
      <c r="J114" s="531"/>
      <c r="K114" s="531"/>
      <c r="L114" s="531"/>
      <c r="M114" s="532"/>
      <c r="N114" s="160"/>
      <c r="O114" s="160"/>
      <c r="P114" s="160"/>
      <c r="Q114" s="160"/>
      <c r="R114" s="159"/>
    </row>
    <row r="115" spans="1:21" s="136" customFormat="1" x14ac:dyDescent="0.2">
      <c r="A115" s="182" t="s">
        <v>1059</v>
      </c>
      <c r="B115" s="813" t="str">
        <f>IF($A115="","",VLOOKUP($A115,Listes!$A$3:$C$193,2,FALSE))</f>
        <v>On-Carriage Emergency Inland Fuel Surcharge</v>
      </c>
      <c r="C115" s="813"/>
      <c r="D115" s="813"/>
      <c r="E115" s="814" t="s">
        <v>51</v>
      </c>
      <c r="F115" s="814"/>
      <c r="G115" s="814"/>
      <c r="H115" s="644"/>
      <c r="I115" s="531"/>
      <c r="J115" s="531"/>
      <c r="K115" s="531"/>
      <c r="L115" s="531"/>
      <c r="M115" s="532"/>
      <c r="N115" s="160"/>
      <c r="O115" s="160"/>
      <c r="P115" s="160"/>
      <c r="Q115" s="160"/>
      <c r="R115" s="159"/>
    </row>
    <row r="116" spans="1:21" s="136" customFormat="1" ht="31.5" x14ac:dyDescent="0.2">
      <c r="A116" s="182" t="s">
        <v>1088</v>
      </c>
      <c r="B116" s="813" t="str">
        <f>IF($A116="","",VLOOKUP($A116,Listes!$A$3:$C$193,2,FALSE))</f>
        <v>On-Carriage Emergency Intermodal Surcharge</v>
      </c>
      <c r="C116" s="813"/>
      <c r="D116" s="813"/>
      <c r="E116" s="814" t="s">
        <v>51</v>
      </c>
      <c r="F116" s="814"/>
      <c r="G116" s="814"/>
      <c r="H116" s="647"/>
      <c r="I116" s="531"/>
      <c r="J116" s="531"/>
      <c r="K116" s="531"/>
      <c r="L116" s="531"/>
      <c r="M116" s="532"/>
      <c r="N116" s="160"/>
      <c r="O116" s="160"/>
      <c r="P116" s="160"/>
      <c r="Q116" s="160"/>
      <c r="R116" s="159"/>
    </row>
    <row r="117" spans="1:21" s="136" customFormat="1" ht="15.75" customHeight="1" x14ac:dyDescent="0.2">
      <c r="A117" s="182" t="s">
        <v>497</v>
      </c>
      <c r="B117" s="813" t="str">
        <f>IF($A117="","",VLOOKUP($A117,Listes!$A$3:$C$193,2,FALSE))</f>
        <v>Inland Hazardous Charge Oncarriage</v>
      </c>
      <c r="C117" s="813"/>
      <c r="D117" s="813"/>
      <c r="E117" s="814" t="s">
        <v>51</v>
      </c>
      <c r="F117" s="814"/>
      <c r="G117" s="814"/>
      <c r="H117" s="612"/>
      <c r="I117" s="531"/>
      <c r="J117" s="531"/>
      <c r="K117" s="531"/>
      <c r="L117" s="531"/>
      <c r="M117" s="532"/>
      <c r="N117" s="160"/>
      <c r="O117" s="160"/>
      <c r="P117" s="160"/>
      <c r="Q117" s="160"/>
      <c r="R117" s="159"/>
    </row>
    <row r="118" spans="1:21" s="136" customFormat="1" x14ac:dyDescent="0.2">
      <c r="A118" s="182" t="s">
        <v>89</v>
      </c>
      <c r="B118" s="813" t="str">
        <f>IF($A118="","",VLOOKUP($A118,Listes!$A$3:$C$193,2,FALSE))</f>
        <v>Origin THC / Origin Receiving Charge</v>
      </c>
      <c r="C118" s="813"/>
      <c r="D118" s="813"/>
      <c r="E118" s="814" t="s">
        <v>51</v>
      </c>
      <c r="F118" s="814"/>
      <c r="G118" s="814"/>
      <c r="H118" s="612"/>
      <c r="I118" s="531"/>
      <c r="J118" s="531"/>
      <c r="K118" s="531"/>
      <c r="L118" s="531"/>
      <c r="M118" s="532"/>
      <c r="N118" s="160"/>
      <c r="O118" s="160"/>
      <c r="P118" s="160"/>
      <c r="Q118" s="160"/>
      <c r="R118" s="159"/>
    </row>
    <row r="119" spans="1:21" s="136" customFormat="1" ht="15.75" customHeight="1" x14ac:dyDescent="0.2">
      <c r="A119" s="182" t="s">
        <v>500</v>
      </c>
      <c r="B119" s="813" t="str">
        <f>IF($A119="","",VLOOKUP($A119,Listes!$A$3:$C$193,2,FALSE))</f>
        <v>Inland Hazardous Charge Precarriage</v>
      </c>
      <c r="C119" s="813"/>
      <c r="D119" s="813"/>
      <c r="E119" s="814" t="s">
        <v>51</v>
      </c>
      <c r="F119" s="814"/>
      <c r="G119" s="814"/>
      <c r="H119" s="612"/>
      <c r="I119" s="531"/>
      <c r="J119" s="531"/>
      <c r="K119" s="531"/>
      <c r="L119" s="531"/>
      <c r="M119" s="532"/>
      <c r="N119" s="160"/>
      <c r="O119" s="160"/>
      <c r="P119" s="160"/>
      <c r="Q119" s="160"/>
      <c r="R119" s="159"/>
    </row>
    <row r="120" spans="1:21" s="136" customFormat="1" ht="15.75" customHeight="1" x14ac:dyDescent="0.2">
      <c r="A120" s="182" t="s">
        <v>87</v>
      </c>
      <c r="B120" s="813" t="str">
        <f>IF($A120="","",VLOOKUP($A120,Listes!$A$3:$C$193,2,FALSE))</f>
        <v>Peak Season</v>
      </c>
      <c r="C120" s="813"/>
      <c r="D120" s="813"/>
      <c r="E120" s="814" t="s">
        <v>51</v>
      </c>
      <c r="F120" s="814"/>
      <c r="G120" s="814"/>
      <c r="H120" s="612"/>
      <c r="I120" s="531"/>
      <c r="J120" s="531"/>
      <c r="K120" s="531"/>
      <c r="L120" s="531"/>
      <c r="M120" s="532"/>
      <c r="N120" s="160"/>
      <c r="O120" s="160"/>
      <c r="P120" s="160"/>
      <c r="Q120" s="160"/>
      <c r="R120" s="159"/>
    </row>
    <row r="121" spans="1:21" s="136" customFormat="1" ht="15.75" customHeight="1" x14ac:dyDescent="0.2">
      <c r="A121" s="182" t="s">
        <v>859</v>
      </c>
      <c r="B121" s="813" t="str">
        <f>IF($A121="","",VLOOKUP($A121,Listes!$A$3:$C$193,2,FALSE))</f>
        <v>Peak Season Surcharge 2</v>
      </c>
      <c r="C121" s="813"/>
      <c r="D121" s="813"/>
      <c r="E121" s="814" t="s">
        <v>51</v>
      </c>
      <c r="F121" s="814"/>
      <c r="G121" s="814"/>
      <c r="H121" s="629"/>
      <c r="I121" s="531"/>
      <c r="J121" s="531"/>
      <c r="K121" s="531"/>
      <c r="L121" s="531"/>
      <c r="M121" s="532"/>
      <c r="N121" s="160"/>
      <c r="O121" s="160"/>
      <c r="P121" s="160"/>
      <c r="Q121" s="160"/>
      <c r="R121" s="159"/>
    </row>
    <row r="122" spans="1:21" s="136" customFormat="1" ht="15.75" customHeight="1" x14ac:dyDescent="0.2">
      <c r="A122" s="182" t="s">
        <v>1038</v>
      </c>
      <c r="B122" s="813" t="str">
        <f>IF($A122="","",VLOOKUP($A122,Listes!$A$3:$C$193,2,FALSE))</f>
        <v>Peak Season Surcharge 3</v>
      </c>
      <c r="C122" s="813"/>
      <c r="D122" s="813"/>
      <c r="E122" s="814" t="s">
        <v>51</v>
      </c>
      <c r="F122" s="814"/>
      <c r="G122" s="814"/>
      <c r="H122" s="612"/>
      <c r="I122" s="531"/>
      <c r="J122" s="531"/>
      <c r="K122" s="531"/>
      <c r="L122" s="531"/>
      <c r="M122" s="532"/>
      <c r="N122" s="160"/>
      <c r="O122" s="160"/>
      <c r="P122" s="160"/>
      <c r="Q122" s="160"/>
      <c r="R122" s="159"/>
    </row>
    <row r="123" spans="1:21" s="136" customFormat="1" x14ac:dyDescent="0.2">
      <c r="A123" s="182" t="s">
        <v>278</v>
      </c>
      <c r="B123" s="813" t="str">
        <f>IF($A123="","",VLOOKUP($A123,Listes!$A$3:$C$193,2,FALSE))</f>
        <v>Destination Terminal Security Charge</v>
      </c>
      <c r="C123" s="813"/>
      <c r="D123" s="813"/>
      <c r="E123" s="814" t="s">
        <v>51</v>
      </c>
      <c r="F123" s="814"/>
      <c r="G123" s="814"/>
      <c r="H123" s="648"/>
      <c r="I123" s="531"/>
      <c r="J123" s="531"/>
      <c r="K123" s="531"/>
      <c r="L123" s="531"/>
      <c r="M123" s="532"/>
      <c r="N123" s="160"/>
      <c r="O123" s="160"/>
      <c r="P123" s="160"/>
      <c r="Q123" s="160"/>
      <c r="R123" s="159"/>
    </row>
    <row r="124" spans="1:21" s="136" customFormat="1" ht="32.25" thickBot="1" x14ac:dyDescent="0.25">
      <c r="A124" s="649" t="s">
        <v>367</v>
      </c>
      <c r="B124" s="953" t="str">
        <f>IF($A124="","",VLOOKUP($A124,Listes!$A$3:$C$193,2,FALSE))</f>
        <v>Tri-Axle / Super Chassis Oncarriage Surcharge</v>
      </c>
      <c r="C124" s="953"/>
      <c r="D124" s="953"/>
      <c r="E124" s="952" t="s">
        <v>51</v>
      </c>
      <c r="F124" s="952"/>
      <c r="G124" s="952"/>
      <c r="H124" s="650"/>
      <c r="I124" s="651"/>
      <c r="J124" s="651"/>
      <c r="K124" s="651"/>
      <c r="L124" s="651"/>
      <c r="M124" s="652"/>
      <c r="N124" s="160"/>
      <c r="O124" s="160"/>
      <c r="P124" s="160"/>
      <c r="Q124" s="160"/>
      <c r="R124" s="159"/>
    </row>
    <row r="125" spans="1:21" s="73" customFormat="1" ht="16.5" thickBot="1" x14ac:dyDescent="0.25">
      <c r="A125" s="850" t="s">
        <v>216</v>
      </c>
      <c r="B125" s="851"/>
      <c r="C125" s="851"/>
      <c r="D125" s="851"/>
      <c r="E125" s="852"/>
      <c r="F125" s="852"/>
      <c r="G125" s="852"/>
      <c r="H125" s="852"/>
      <c r="I125" s="853"/>
      <c r="J125" s="169"/>
      <c r="K125" s="118"/>
      <c r="L125" s="134"/>
      <c r="M125" s="134"/>
      <c r="N125" s="134"/>
      <c r="O125" s="134"/>
      <c r="P125" s="134"/>
      <c r="Q125" s="118"/>
    </row>
    <row r="126" spans="1:21" s="73" customFormat="1" ht="16.5" thickBot="1" x14ac:dyDescent="0.25">
      <c r="A126" s="849" t="s">
        <v>597</v>
      </c>
      <c r="B126" s="833"/>
      <c r="C126" s="833"/>
      <c r="D126" s="833"/>
      <c r="E126" s="833"/>
      <c r="F126" s="833"/>
      <c r="G126" s="833"/>
      <c r="H126" s="833"/>
      <c r="I126" s="834"/>
      <c r="J126" s="169"/>
      <c r="K126" s="134"/>
      <c r="L126" s="134"/>
      <c r="M126" s="134"/>
      <c r="N126" s="134"/>
      <c r="O126" s="118"/>
    </row>
    <row r="127" spans="1:21" s="73" customFormat="1" ht="16.5" thickBot="1" x14ac:dyDescent="0.25">
      <c r="A127" s="187"/>
      <c r="B127" s="187"/>
      <c r="C127" s="188"/>
      <c r="D127" s="189"/>
      <c r="E127" s="170"/>
      <c r="F127" s="170"/>
      <c r="G127" s="170"/>
      <c r="H127" s="170"/>
      <c r="I127" s="170"/>
      <c r="J127" s="189"/>
      <c r="K127" s="169"/>
      <c r="L127" s="118"/>
      <c r="M127" s="134"/>
      <c r="N127" s="134"/>
      <c r="O127" s="134"/>
      <c r="P127" s="134"/>
      <c r="Q127" s="134"/>
      <c r="R127" s="118"/>
    </row>
    <row r="128" spans="1:21" s="73" customFormat="1" ht="15.6" customHeight="1" x14ac:dyDescent="0.2">
      <c r="A128" s="830" t="s">
        <v>523</v>
      </c>
      <c r="B128" s="831"/>
      <c r="C128" s="831"/>
      <c r="D128" s="831"/>
      <c r="E128" s="842" t="s">
        <v>288</v>
      </c>
      <c r="F128" s="842">
        <v>20</v>
      </c>
      <c r="G128" s="842">
        <v>40</v>
      </c>
      <c r="H128" s="842" t="s">
        <v>19</v>
      </c>
      <c r="I128" s="842" t="s">
        <v>20</v>
      </c>
      <c r="J128" s="848" t="s">
        <v>297</v>
      </c>
      <c r="K128" s="848" t="s">
        <v>33</v>
      </c>
      <c r="L128" s="846" t="s">
        <v>217</v>
      </c>
      <c r="M128" s="189"/>
      <c r="N128" s="134"/>
      <c r="O128" s="134"/>
      <c r="P128" s="134"/>
      <c r="Q128" s="134"/>
      <c r="R128" s="134"/>
      <c r="S128" s="134"/>
      <c r="T128" s="134"/>
      <c r="U128" s="134"/>
    </row>
    <row r="129" spans="1:23" s="73" customFormat="1" x14ac:dyDescent="0.2">
      <c r="A129" s="537" t="s">
        <v>218</v>
      </c>
      <c r="B129" s="538" t="s">
        <v>11</v>
      </c>
      <c r="C129" s="538" t="s">
        <v>12</v>
      </c>
      <c r="D129" s="538" t="s">
        <v>219</v>
      </c>
      <c r="E129" s="843"/>
      <c r="F129" s="843"/>
      <c r="G129" s="843"/>
      <c r="H129" s="843"/>
      <c r="I129" s="843"/>
      <c r="J129" s="843"/>
      <c r="K129" s="843"/>
      <c r="L129" s="847"/>
      <c r="M129" s="189"/>
      <c r="N129" s="134"/>
      <c r="O129" s="134"/>
      <c r="P129" s="134"/>
      <c r="Q129" s="134"/>
      <c r="R129" s="134"/>
      <c r="S129" s="134"/>
      <c r="T129" s="134"/>
      <c r="U129" s="134"/>
    </row>
    <row r="130" spans="1:23" s="136" customFormat="1" x14ac:dyDescent="0.2">
      <c r="A130" s="539"/>
      <c r="B130" s="540"/>
      <c r="C130" s="540"/>
      <c r="D130" s="540"/>
      <c r="E130" s="540"/>
      <c r="F130" s="255"/>
      <c r="G130" s="255"/>
      <c r="H130" s="255"/>
      <c r="I130" s="255"/>
      <c r="J130" s="540"/>
      <c r="K130" s="21"/>
      <c r="L130" s="541"/>
      <c r="M130" s="190"/>
      <c r="N130" s="160"/>
      <c r="O130" s="160"/>
      <c r="P130" s="160"/>
      <c r="Q130" s="160"/>
      <c r="R130" s="160"/>
      <c r="S130" s="160"/>
      <c r="T130" s="160"/>
      <c r="U130" s="160"/>
    </row>
    <row r="131" spans="1:23" s="136" customFormat="1" x14ac:dyDescent="0.2">
      <c r="A131" s="542"/>
      <c r="B131" s="540"/>
      <c r="C131" s="540"/>
      <c r="D131" s="540"/>
      <c r="E131" s="540"/>
      <c r="F131" s="255"/>
      <c r="G131" s="255"/>
      <c r="H131" s="255"/>
      <c r="I131" s="255"/>
      <c r="J131" s="24"/>
      <c r="K131" s="21"/>
      <c r="L131" s="25"/>
      <c r="M131" s="191"/>
      <c r="N131" s="160"/>
      <c r="O131" s="160"/>
      <c r="P131" s="160"/>
      <c r="Q131" s="160"/>
      <c r="R131" s="160"/>
      <c r="S131" s="160"/>
      <c r="T131" s="160"/>
      <c r="U131" s="160"/>
    </row>
    <row r="132" spans="1:23" s="136" customFormat="1" x14ac:dyDescent="0.2">
      <c r="A132" s="542"/>
      <c r="B132" s="540"/>
      <c r="C132" s="540"/>
      <c r="D132" s="540"/>
      <c r="E132" s="540"/>
      <c r="F132" s="255"/>
      <c r="G132" s="255"/>
      <c r="H132" s="255"/>
      <c r="I132" s="255"/>
      <c r="J132" s="24"/>
      <c r="K132" s="21"/>
      <c r="L132" s="25"/>
      <c r="M132" s="191"/>
      <c r="N132" s="160"/>
      <c r="O132" s="160"/>
      <c r="P132" s="160"/>
      <c r="Q132" s="160"/>
      <c r="R132" s="160"/>
      <c r="S132" s="160"/>
      <c r="T132" s="160"/>
      <c r="U132" s="160"/>
    </row>
    <row r="133" spans="1:23" s="136" customFormat="1" ht="16.5" thickBot="1" x14ac:dyDescent="0.25">
      <c r="A133" s="543"/>
      <c r="B133" s="544"/>
      <c r="C133" s="544"/>
      <c r="D133" s="544"/>
      <c r="E133" s="544"/>
      <c r="F133" s="256"/>
      <c r="G133" s="256"/>
      <c r="H133" s="256"/>
      <c r="I133" s="256"/>
      <c r="J133" s="28"/>
      <c r="K133" s="29"/>
      <c r="L133" s="30"/>
      <c r="M133" s="191"/>
      <c r="N133" s="160"/>
      <c r="O133" s="160"/>
      <c r="P133" s="160"/>
      <c r="Q133" s="160"/>
      <c r="R133" s="160"/>
      <c r="S133" s="160"/>
      <c r="T133" s="160"/>
      <c r="U133" s="160"/>
    </row>
    <row r="134" spans="1:23" s="136" customFormat="1" x14ac:dyDescent="0.2">
      <c r="A134" s="173"/>
      <c r="B134" s="545"/>
      <c r="C134" s="545"/>
      <c r="D134" s="545"/>
      <c r="E134" s="545"/>
      <c r="F134" s="545"/>
      <c r="G134" s="545"/>
      <c r="H134" s="545"/>
      <c r="I134" s="545"/>
      <c r="J134" s="33"/>
      <c r="K134" s="33"/>
      <c r="L134" s="34"/>
      <c r="M134" s="191"/>
      <c r="N134" s="160"/>
      <c r="O134" s="160"/>
      <c r="P134" s="160"/>
      <c r="Q134" s="160"/>
      <c r="R134" s="160"/>
      <c r="S134" s="160"/>
      <c r="T134" s="160"/>
      <c r="U134" s="160"/>
    </row>
    <row r="135" spans="1:23" s="73" customFormat="1" ht="15.6" customHeight="1" x14ac:dyDescent="0.2">
      <c r="A135" s="841" t="s">
        <v>596</v>
      </c>
      <c r="B135" s="840"/>
      <c r="C135" s="840"/>
      <c r="D135" s="840"/>
      <c r="E135" s="840" t="s">
        <v>288</v>
      </c>
      <c r="F135" s="840">
        <v>20</v>
      </c>
      <c r="G135" s="840">
        <v>40</v>
      </c>
      <c r="H135" s="840" t="s">
        <v>19</v>
      </c>
      <c r="I135" s="840" t="s">
        <v>20</v>
      </c>
      <c r="J135" s="845" t="s">
        <v>297</v>
      </c>
      <c r="K135" s="845" t="s">
        <v>33</v>
      </c>
      <c r="L135" s="844" t="s">
        <v>217</v>
      </c>
      <c r="M135" s="844" t="s">
        <v>23</v>
      </c>
      <c r="N135" s="169"/>
      <c r="O135" s="118"/>
      <c r="P135" s="134"/>
      <c r="Q135" s="134"/>
      <c r="R135" s="134"/>
      <c r="S135" s="134"/>
      <c r="T135" s="134"/>
      <c r="U135" s="134"/>
      <c r="V135" s="134"/>
      <c r="W135" s="134"/>
    </row>
    <row r="136" spans="1:23" s="73" customFormat="1" x14ac:dyDescent="0.2">
      <c r="A136" s="546" t="s">
        <v>218</v>
      </c>
      <c r="B136" s="546" t="s">
        <v>11</v>
      </c>
      <c r="C136" s="546" t="s">
        <v>12</v>
      </c>
      <c r="D136" s="546" t="s">
        <v>219</v>
      </c>
      <c r="E136" s="840"/>
      <c r="F136" s="840"/>
      <c r="G136" s="840"/>
      <c r="H136" s="840"/>
      <c r="I136" s="840"/>
      <c r="J136" s="840"/>
      <c r="K136" s="840"/>
      <c r="L136" s="844"/>
      <c r="M136" s="844"/>
      <c r="N136" s="169"/>
      <c r="O136" s="118"/>
      <c r="P136" s="134"/>
      <c r="Q136" s="134"/>
      <c r="R136" s="134"/>
      <c r="S136" s="134"/>
      <c r="T136" s="134"/>
      <c r="U136" s="134"/>
      <c r="V136" s="134"/>
      <c r="W136" s="134"/>
    </row>
    <row r="137" spans="1:23" s="136" customFormat="1" x14ac:dyDescent="0.2">
      <c r="A137" s="372"/>
      <c r="B137" s="547"/>
      <c r="C137" s="547"/>
      <c r="D137" s="547"/>
      <c r="E137" s="547"/>
      <c r="F137" s="368"/>
      <c r="G137" s="368"/>
      <c r="H137" s="368"/>
      <c r="I137" s="368"/>
      <c r="J137" s="369"/>
      <c r="K137" s="370"/>
      <c r="L137" s="548"/>
      <c r="M137" s="548"/>
      <c r="N137" s="192"/>
      <c r="O137" s="159"/>
      <c r="P137" s="160"/>
      <c r="Q137" s="160"/>
      <c r="R137" s="160"/>
      <c r="S137" s="160"/>
      <c r="T137" s="160"/>
      <c r="U137" s="160"/>
      <c r="V137" s="160"/>
      <c r="W137" s="160"/>
    </row>
    <row r="138" spans="1:23" s="136" customFormat="1" x14ac:dyDescent="0.2">
      <c r="A138" s="372"/>
      <c r="B138" s="547"/>
      <c r="C138" s="547"/>
      <c r="D138" s="547"/>
      <c r="E138" s="547"/>
      <c r="F138" s="368"/>
      <c r="G138" s="368"/>
      <c r="H138" s="368"/>
      <c r="I138" s="368"/>
      <c r="J138" s="369"/>
      <c r="K138" s="370"/>
      <c r="L138" s="548"/>
      <c r="M138" s="548"/>
      <c r="N138" s="192"/>
      <c r="O138" s="159"/>
      <c r="P138" s="160"/>
      <c r="Q138" s="160"/>
      <c r="R138" s="160"/>
      <c r="S138" s="160"/>
      <c r="T138" s="160"/>
      <c r="U138" s="160"/>
      <c r="V138" s="160"/>
      <c r="W138" s="160"/>
    </row>
    <row r="139" spans="1:23" s="136" customFormat="1" x14ac:dyDescent="0.2">
      <c r="A139" s="372"/>
      <c r="B139" s="547"/>
      <c r="C139" s="547"/>
      <c r="D139" s="547"/>
      <c r="E139" s="547"/>
      <c r="F139" s="368"/>
      <c r="G139" s="368"/>
      <c r="H139" s="368"/>
      <c r="I139" s="368"/>
      <c r="J139" s="369"/>
      <c r="K139" s="370"/>
      <c r="L139" s="548"/>
      <c r="M139" s="548"/>
      <c r="N139" s="192"/>
      <c r="O139" s="159"/>
      <c r="P139" s="160"/>
      <c r="Q139" s="160"/>
      <c r="R139" s="160"/>
      <c r="S139" s="160"/>
      <c r="T139" s="160"/>
      <c r="U139" s="160"/>
      <c r="V139" s="160"/>
      <c r="W139" s="160"/>
    </row>
    <row r="140" spans="1:23" s="136" customFormat="1" x14ac:dyDescent="0.2">
      <c r="A140" s="372"/>
      <c r="B140" s="547"/>
      <c r="C140" s="547"/>
      <c r="D140" s="547"/>
      <c r="E140" s="547"/>
      <c r="F140" s="368"/>
      <c r="G140" s="368"/>
      <c r="H140" s="368"/>
      <c r="I140" s="368"/>
      <c r="J140" s="369"/>
      <c r="K140" s="370"/>
      <c r="L140" s="373"/>
      <c r="M140" s="373"/>
      <c r="N140" s="191"/>
      <c r="O140" s="159"/>
      <c r="P140" s="160"/>
      <c r="Q140" s="160"/>
      <c r="R140" s="160"/>
      <c r="S140" s="160"/>
      <c r="T140" s="160"/>
      <c r="U140" s="160"/>
      <c r="V140" s="160"/>
      <c r="W140" s="160"/>
    </row>
    <row r="141" spans="1:23" s="73" customFormat="1" x14ac:dyDescent="0.2">
      <c r="A141" s="456"/>
      <c r="B141" s="549"/>
      <c r="C141" s="549"/>
      <c r="D141" s="549"/>
      <c r="E141" s="549"/>
      <c r="F141" s="194"/>
      <c r="G141" s="522"/>
      <c r="H141" s="195"/>
      <c r="I141" s="195"/>
      <c r="J141" s="176"/>
      <c r="K141" s="118"/>
      <c r="L141" s="134"/>
      <c r="M141" s="134"/>
      <c r="N141" s="134"/>
      <c r="O141" s="134"/>
      <c r="P141" s="134"/>
      <c r="Q141" s="134"/>
    </row>
    <row r="142" spans="1:23" s="456" customFormat="1" ht="16.5" thickBot="1" x14ac:dyDescent="0.25">
      <c r="A142" s="196"/>
      <c r="B142" s="197"/>
      <c r="C142" s="198"/>
      <c r="D142" s="198"/>
      <c r="E142" s="169"/>
      <c r="F142" s="176"/>
      <c r="G142" s="176"/>
      <c r="H142" s="176"/>
      <c r="I142" s="176"/>
      <c r="J142" s="170"/>
      <c r="K142" s="118"/>
      <c r="L142" s="134"/>
      <c r="M142" s="134"/>
      <c r="N142" s="134"/>
      <c r="O142" s="134"/>
      <c r="P142" s="134"/>
      <c r="Q142" s="134"/>
      <c r="R142" s="134"/>
      <c r="S142" s="118"/>
      <c r="T142" s="118"/>
      <c r="U142" s="118"/>
    </row>
    <row r="143" spans="1:23" s="456" customFormat="1" ht="16.5" thickBot="1" x14ac:dyDescent="0.25">
      <c r="A143" s="822" t="s">
        <v>220</v>
      </c>
      <c r="B143" s="823"/>
      <c r="C143" s="823"/>
      <c r="D143" s="823"/>
      <c r="E143" s="824"/>
      <c r="F143" s="176"/>
      <c r="G143" s="176"/>
      <c r="H143" s="176"/>
      <c r="I143" s="176"/>
      <c r="J143" s="170"/>
      <c r="K143" s="118"/>
      <c r="L143" s="134"/>
      <c r="M143" s="134"/>
      <c r="N143" s="134"/>
      <c r="O143" s="134"/>
      <c r="P143" s="134"/>
      <c r="Q143" s="134"/>
      <c r="R143" s="134"/>
      <c r="S143" s="118"/>
      <c r="T143" s="118"/>
      <c r="U143" s="118"/>
    </row>
    <row r="144" spans="1:23" s="73" customFormat="1" ht="16.5" thickBot="1" x14ac:dyDescent="0.25">
      <c r="A144" s="550"/>
      <c r="B144" s="456"/>
      <c r="C144" s="456"/>
      <c r="D144" s="456"/>
      <c r="E144" s="456"/>
      <c r="F144" s="194"/>
      <c r="G144" s="456"/>
      <c r="H144" s="200"/>
      <c r="I144" s="194"/>
      <c r="J144" s="194"/>
      <c r="K144" s="118"/>
      <c r="L144" s="134"/>
      <c r="M144" s="134"/>
      <c r="N144" s="134"/>
      <c r="O144" s="134"/>
      <c r="P144" s="134"/>
      <c r="Q144" s="134"/>
      <c r="R144" s="134"/>
      <c r="S144" s="118"/>
      <c r="T144" s="118"/>
      <c r="U144" s="118"/>
    </row>
    <row r="145" spans="1:21" s="73" customFormat="1" ht="16.5" thickBot="1" x14ac:dyDescent="0.25">
      <c r="A145" s="825" t="s">
        <v>221</v>
      </c>
      <c r="B145" s="838"/>
      <c r="C145" s="838"/>
      <c r="D145" s="838"/>
      <c r="E145" s="838"/>
      <c r="F145" s="839"/>
      <c r="G145" s="456"/>
      <c r="H145" s="200"/>
      <c r="I145" s="194"/>
      <c r="J145" s="194"/>
      <c r="K145" s="118"/>
      <c r="L145" s="134"/>
      <c r="M145" s="134"/>
      <c r="N145" s="134"/>
      <c r="O145" s="134"/>
      <c r="P145" s="134"/>
      <c r="Q145" s="134"/>
      <c r="R145" s="134"/>
      <c r="S145" s="118"/>
      <c r="T145" s="118"/>
      <c r="U145" s="118"/>
    </row>
    <row r="146" spans="1:21" s="73" customFormat="1" ht="16.5" customHeight="1" x14ac:dyDescent="0.2">
      <c r="A146" s="835" t="s">
        <v>222</v>
      </c>
      <c r="B146" s="836"/>
      <c r="C146" s="836"/>
      <c r="D146" s="836"/>
      <c r="E146" s="836"/>
      <c r="F146" s="837"/>
      <c r="G146" s="456"/>
      <c r="H146" s="201"/>
      <c r="I146" s="170"/>
      <c r="J146" s="170"/>
      <c r="K146" s="118"/>
      <c r="L146" s="134"/>
      <c r="M146" s="134"/>
      <c r="N146" s="134"/>
      <c r="O146" s="134"/>
      <c r="P146" s="134"/>
      <c r="Q146" s="134"/>
      <c r="R146" s="134"/>
      <c r="S146" s="118"/>
      <c r="T146" s="118"/>
      <c r="U146" s="118"/>
    </row>
    <row r="147" spans="1:21" ht="16.5" thickBot="1" x14ac:dyDescent="0.25">
      <c r="A147" s="832" t="s">
        <v>223</v>
      </c>
      <c r="B147" s="833"/>
      <c r="C147" s="833"/>
      <c r="D147" s="833"/>
      <c r="E147" s="833"/>
      <c r="F147" s="834"/>
      <c r="G147" s="176"/>
      <c r="H147" s="176"/>
      <c r="I147" s="176"/>
      <c r="J147" s="169"/>
      <c r="K147" s="169"/>
      <c r="L147" s="169"/>
      <c r="M147" s="169"/>
      <c r="N147" s="169"/>
      <c r="O147" s="169"/>
      <c r="P147" s="169"/>
      <c r="Q147" s="169"/>
      <c r="R147" s="169"/>
      <c r="S147" s="169"/>
      <c r="T147" s="169"/>
      <c r="U147" s="169"/>
    </row>
    <row r="148" spans="1:21" x14ac:dyDescent="0.2">
      <c r="A148" s="551" t="s">
        <v>224</v>
      </c>
      <c r="B148" s="450" t="s">
        <v>225</v>
      </c>
      <c r="C148" s="552" t="s">
        <v>226</v>
      </c>
      <c r="D148" s="553" t="s">
        <v>227</v>
      </c>
      <c r="E148" s="176"/>
      <c r="F148" s="176"/>
      <c r="G148" s="176"/>
      <c r="H148" s="169"/>
      <c r="I148" s="169"/>
      <c r="J148" s="169"/>
      <c r="K148" s="169"/>
      <c r="L148" s="169"/>
      <c r="M148" s="169"/>
      <c r="N148" s="169"/>
      <c r="O148" s="169"/>
      <c r="P148" s="169"/>
      <c r="Q148" s="169"/>
      <c r="R148" s="169"/>
    </row>
    <row r="149" spans="1:21" s="192" customFormat="1" x14ac:dyDescent="0.2">
      <c r="A149" s="203"/>
      <c r="B149" s="204" t="s">
        <v>344</v>
      </c>
      <c r="C149" s="205" t="s">
        <v>62</v>
      </c>
      <c r="D149" s="206">
        <v>0.9</v>
      </c>
      <c r="E149" s="191"/>
      <c r="F149" s="191"/>
      <c r="G149" s="191"/>
    </row>
    <row r="150" spans="1:21" s="192" customFormat="1" x14ac:dyDescent="0.2">
      <c r="A150" s="203"/>
      <c r="B150" s="204" t="s">
        <v>344</v>
      </c>
      <c r="C150" s="205" t="s">
        <v>417</v>
      </c>
      <c r="D150" s="206">
        <v>1</v>
      </c>
      <c r="E150" s="191"/>
      <c r="F150" s="191"/>
      <c r="G150" s="191"/>
    </row>
    <row r="151" spans="1:21" s="192" customFormat="1" ht="16.5" thickBot="1" x14ac:dyDescent="0.25">
      <c r="A151" s="207"/>
      <c r="B151" s="208" t="s">
        <v>344</v>
      </c>
      <c r="C151" s="209" t="s">
        <v>418</v>
      </c>
      <c r="D151" s="210">
        <v>1.266</v>
      </c>
      <c r="E151" s="191"/>
      <c r="F151" s="191"/>
      <c r="G151" s="191"/>
    </row>
    <row r="152" spans="1:21" ht="16.5" thickBot="1" x14ac:dyDescent="0.25"/>
    <row r="153" spans="1:21" s="73" customFormat="1" ht="16.5" thickBot="1" x14ac:dyDescent="0.25">
      <c r="A153" s="822" t="s">
        <v>228</v>
      </c>
      <c r="B153" s="823"/>
      <c r="C153" s="823"/>
      <c r="D153" s="823"/>
      <c r="E153" s="823"/>
      <c r="F153" s="823"/>
      <c r="G153" s="823"/>
      <c r="H153" s="823"/>
      <c r="I153" s="824"/>
      <c r="J153" s="169"/>
      <c r="K153" s="118"/>
      <c r="L153" s="134"/>
      <c r="M153" s="134"/>
      <c r="N153" s="134"/>
      <c r="O153" s="134"/>
      <c r="P153" s="134"/>
      <c r="Q153" s="134"/>
      <c r="R153" s="134"/>
      <c r="S153" s="118"/>
      <c r="T153" s="118"/>
      <c r="U153" s="118"/>
    </row>
    <row r="154" spans="1:21" s="73" customFormat="1" ht="16.5" thickBot="1" x14ac:dyDescent="0.25">
      <c r="A154" s="554" t="s">
        <v>229</v>
      </c>
      <c r="B154" s="213"/>
      <c r="C154" s="214"/>
      <c r="D154" s="214"/>
      <c r="E154" s="214"/>
      <c r="F154" s="214"/>
      <c r="G154" s="215"/>
      <c r="H154" s="216"/>
      <c r="I154" s="217"/>
      <c r="J154" s="170"/>
      <c r="K154" s="118"/>
      <c r="L154" s="134"/>
      <c r="M154" s="134"/>
      <c r="N154" s="134"/>
      <c r="O154" s="134"/>
      <c r="P154" s="134"/>
      <c r="Q154" s="134"/>
      <c r="R154" s="134"/>
      <c r="S154" s="118"/>
      <c r="T154" s="118"/>
      <c r="U154" s="118"/>
    </row>
    <row r="155" spans="1:21" s="308" customFormat="1" x14ac:dyDescent="0.2">
      <c r="A155" s="228"/>
      <c r="B155" s="949"/>
      <c r="C155" s="950"/>
      <c r="D155" s="950"/>
      <c r="E155" s="950"/>
      <c r="F155" s="950"/>
      <c r="G155" s="950"/>
      <c r="H155" s="950"/>
      <c r="I155" s="951"/>
      <c r="J155" s="171"/>
      <c r="K155" s="172"/>
      <c r="L155" s="173"/>
      <c r="M155" s="173"/>
      <c r="N155" s="173"/>
      <c r="O155" s="173"/>
      <c r="P155" s="173"/>
      <c r="Q155" s="173"/>
      <c r="R155" s="173"/>
      <c r="S155" s="172"/>
      <c r="T155" s="172"/>
      <c r="U155" s="172"/>
    </row>
    <row r="156" spans="1:21" s="218" customFormat="1" x14ac:dyDescent="0.2">
      <c r="A156" s="281"/>
      <c r="B156" s="816"/>
      <c r="C156" s="817"/>
      <c r="D156" s="817"/>
      <c r="E156" s="817"/>
      <c r="F156" s="817"/>
      <c r="G156" s="817"/>
      <c r="H156" s="817"/>
      <c r="I156" s="818"/>
    </row>
    <row r="157" spans="1:21" s="218" customFormat="1" x14ac:dyDescent="0.2">
      <c r="A157" s="281"/>
      <c r="B157" s="816"/>
      <c r="C157" s="817"/>
      <c r="D157" s="817"/>
      <c r="E157" s="817"/>
      <c r="F157" s="817"/>
      <c r="G157" s="817"/>
      <c r="H157" s="817"/>
      <c r="I157" s="818"/>
    </row>
    <row r="158" spans="1:21" s="218" customFormat="1" x14ac:dyDescent="0.2">
      <c r="A158" s="281"/>
      <c r="B158" s="816"/>
      <c r="C158" s="817"/>
      <c r="D158" s="817"/>
      <c r="E158" s="817"/>
      <c r="F158" s="817"/>
      <c r="G158" s="817"/>
      <c r="H158" s="817"/>
      <c r="I158" s="818"/>
    </row>
    <row r="159" spans="1:21" s="218" customFormat="1" x14ac:dyDescent="0.2">
      <c r="A159" s="281"/>
      <c r="B159" s="816"/>
      <c r="C159" s="817"/>
      <c r="D159" s="817"/>
      <c r="E159" s="817"/>
      <c r="F159" s="817"/>
      <c r="G159" s="817"/>
      <c r="H159" s="817"/>
      <c r="I159" s="818"/>
    </row>
    <row r="160" spans="1:21" s="218" customFormat="1" x14ac:dyDescent="0.2">
      <c r="A160" s="281"/>
      <c r="B160" s="816"/>
      <c r="C160" s="817"/>
      <c r="D160" s="817"/>
      <c r="E160" s="817"/>
      <c r="F160" s="817"/>
      <c r="G160" s="817"/>
      <c r="H160" s="817"/>
      <c r="I160" s="818"/>
    </row>
    <row r="161" spans="1:9" s="218" customFormat="1" x14ac:dyDescent="0.2">
      <c r="A161" s="281"/>
      <c r="B161" s="816"/>
      <c r="C161" s="817"/>
      <c r="D161" s="817"/>
      <c r="E161" s="817"/>
      <c r="F161" s="817"/>
      <c r="G161" s="817"/>
      <c r="H161" s="817"/>
      <c r="I161" s="818"/>
    </row>
    <row r="162" spans="1:9" s="218" customFormat="1" x14ac:dyDescent="0.2">
      <c r="A162" s="281"/>
      <c r="B162" s="816"/>
      <c r="C162" s="817"/>
      <c r="D162" s="817"/>
      <c r="E162" s="817"/>
      <c r="F162" s="817"/>
      <c r="G162" s="817"/>
      <c r="H162" s="817"/>
      <c r="I162" s="818"/>
    </row>
    <row r="163" spans="1:9" s="218" customFormat="1" x14ac:dyDescent="0.2">
      <c r="A163" s="281"/>
      <c r="B163" s="816"/>
      <c r="C163" s="817"/>
      <c r="D163" s="817"/>
      <c r="E163" s="817"/>
      <c r="F163" s="817"/>
      <c r="G163" s="817"/>
      <c r="H163" s="817"/>
      <c r="I163" s="818"/>
    </row>
    <row r="164" spans="1:9" s="218" customFormat="1" x14ac:dyDescent="0.2">
      <c r="A164" s="281"/>
      <c r="B164" s="816"/>
      <c r="C164" s="817"/>
      <c r="D164" s="817"/>
      <c r="E164" s="817"/>
      <c r="F164" s="817"/>
      <c r="G164" s="817"/>
      <c r="H164" s="817"/>
      <c r="I164" s="818"/>
    </row>
    <row r="165" spans="1:9" s="218" customFormat="1" x14ac:dyDescent="0.2">
      <c r="A165" s="281"/>
      <c r="B165" s="816"/>
      <c r="C165" s="817"/>
      <c r="D165" s="817"/>
      <c r="E165" s="817"/>
      <c r="F165" s="817"/>
      <c r="G165" s="817"/>
      <c r="H165" s="817"/>
      <c r="I165" s="818"/>
    </row>
    <row r="166" spans="1:9" s="218" customFormat="1" x14ac:dyDescent="0.2">
      <c r="A166" s="281"/>
      <c r="B166" s="816"/>
      <c r="C166" s="817"/>
      <c r="D166" s="817"/>
      <c r="E166" s="817"/>
      <c r="F166" s="817"/>
      <c r="G166" s="817"/>
      <c r="H166" s="817"/>
      <c r="I166" s="818"/>
    </row>
    <row r="167" spans="1:9" s="218" customFormat="1" x14ac:dyDescent="0.2">
      <c r="A167" s="281"/>
      <c r="B167" s="816"/>
      <c r="C167" s="817"/>
      <c r="D167" s="817"/>
      <c r="E167" s="817"/>
      <c r="F167" s="817"/>
      <c r="G167" s="817"/>
      <c r="H167" s="817"/>
      <c r="I167" s="818"/>
    </row>
    <row r="168" spans="1:9" s="218" customFormat="1" x14ac:dyDescent="0.2">
      <c r="A168" s="281"/>
      <c r="B168" s="816"/>
      <c r="C168" s="817"/>
      <c r="D168" s="817"/>
      <c r="E168" s="817"/>
      <c r="F168" s="817"/>
      <c r="G168" s="817"/>
      <c r="H168" s="817"/>
      <c r="I168" s="818"/>
    </row>
    <row r="169" spans="1:9" s="218" customFormat="1" ht="16.5" thickBot="1" x14ac:dyDescent="0.25">
      <c r="A169" s="282"/>
      <c r="B169" s="819"/>
      <c r="C169" s="820"/>
      <c r="D169" s="820"/>
      <c r="E169" s="820"/>
      <c r="F169" s="820"/>
      <c r="G169" s="820"/>
      <c r="H169" s="820"/>
      <c r="I169" s="821"/>
    </row>
    <row r="171" spans="1:9" s="218" customFormat="1" x14ac:dyDescent="0.2">
      <c r="F171" s="337"/>
      <c r="G171" s="337"/>
      <c r="H171" s="337"/>
      <c r="I171" s="337"/>
    </row>
    <row r="172" spans="1:9" s="218" customFormat="1" ht="16.5" thickBot="1" x14ac:dyDescent="0.25">
      <c r="F172" s="337"/>
      <c r="G172" s="337"/>
      <c r="H172" s="337"/>
      <c r="I172" s="337"/>
    </row>
    <row r="173" spans="1:9" s="218" customFormat="1" ht="16.5" thickBot="1" x14ac:dyDescent="0.25">
      <c r="A173" s="825" t="s">
        <v>3</v>
      </c>
      <c r="B173" s="826"/>
      <c r="F173" s="337"/>
      <c r="G173" s="337"/>
      <c r="H173" s="337"/>
      <c r="I173" s="337"/>
    </row>
    <row r="174" spans="1:9" s="347" customFormat="1" ht="16.5" thickBot="1" x14ac:dyDescent="0.25">
      <c r="A174" s="338"/>
      <c r="B174" s="338"/>
      <c r="F174" s="348"/>
      <c r="G174" s="348"/>
      <c r="H174" s="348"/>
      <c r="I174" s="348"/>
    </row>
    <row r="175" spans="1:9" s="218" customFormat="1" ht="15.75" customHeight="1" thickBot="1" x14ac:dyDescent="0.25">
      <c r="A175" s="800" t="s">
        <v>2</v>
      </c>
      <c r="B175" s="801"/>
      <c r="C175" s="801"/>
      <c r="D175" s="801"/>
      <c r="E175" s="801"/>
      <c r="F175" s="801"/>
      <c r="G175" s="802"/>
      <c r="H175" s="337"/>
      <c r="I175" s="337"/>
    </row>
    <row r="176" spans="1:9" s="347" customFormat="1" ht="15.75" customHeight="1" thickBot="1" x14ac:dyDescent="0.25">
      <c r="A176" s="338"/>
      <c r="B176" s="338"/>
      <c r="C176" s="338"/>
      <c r="D176" s="338"/>
      <c r="E176" s="338"/>
      <c r="F176" s="338"/>
      <c r="G176" s="338"/>
      <c r="H176" s="348"/>
      <c r="I176" s="348"/>
    </row>
    <row r="177" spans="1:31" s="218" customFormat="1" ht="15.75" customHeight="1" thickBot="1" x14ac:dyDescent="0.25">
      <c r="A177" s="807" t="s">
        <v>1</v>
      </c>
      <c r="B177" s="808"/>
      <c r="C177" s="808"/>
      <c r="D177" s="808"/>
      <c r="E177" s="809"/>
      <c r="F177" s="339"/>
      <c r="G177" s="339"/>
      <c r="H177" s="337"/>
      <c r="I177" s="337"/>
    </row>
    <row r="178" spans="1:31" s="218" customFormat="1" x14ac:dyDescent="0.2">
      <c r="A178" s="803" t="s">
        <v>627</v>
      </c>
      <c r="B178" s="805" t="s">
        <v>888</v>
      </c>
      <c r="C178" s="786" t="s">
        <v>0</v>
      </c>
      <c r="D178" s="786" t="s">
        <v>609</v>
      </c>
      <c r="E178" s="805" t="s">
        <v>889</v>
      </c>
      <c r="F178" s="786" t="s">
        <v>436</v>
      </c>
      <c r="G178" s="786" t="s">
        <v>421</v>
      </c>
      <c r="H178" s="786" t="s">
        <v>628</v>
      </c>
      <c r="I178" s="786" t="s">
        <v>11</v>
      </c>
      <c r="J178" s="786" t="s">
        <v>12</v>
      </c>
      <c r="K178" s="786" t="s">
        <v>13</v>
      </c>
      <c r="L178" s="786" t="s">
        <v>449</v>
      </c>
      <c r="M178" s="786" t="s">
        <v>610</v>
      </c>
      <c r="N178" s="788"/>
    </row>
    <row r="179" spans="1:31" s="218" customFormat="1" ht="32.25" customHeight="1" thickBot="1" x14ac:dyDescent="0.25">
      <c r="A179" s="804"/>
      <c r="B179" s="806"/>
      <c r="C179" s="787"/>
      <c r="D179" s="787"/>
      <c r="E179" s="806"/>
      <c r="F179" s="787"/>
      <c r="G179" s="787"/>
      <c r="H179" s="787"/>
      <c r="I179" s="787"/>
      <c r="J179" s="787"/>
      <c r="K179" s="787"/>
      <c r="L179" s="787"/>
      <c r="M179" s="787"/>
      <c r="N179" s="789"/>
    </row>
    <row r="180" spans="1:31" s="218" customFormat="1" x14ac:dyDescent="0.2">
      <c r="A180" s="344"/>
      <c r="B180" s="340"/>
      <c r="C180" s="394"/>
      <c r="D180" s="340"/>
      <c r="E180" s="340"/>
      <c r="F180" s="340"/>
      <c r="G180" s="340"/>
      <c r="H180" s="340"/>
      <c r="I180" s="340"/>
      <c r="J180" s="340"/>
      <c r="K180" s="340"/>
      <c r="L180" s="661"/>
      <c r="M180" s="810"/>
      <c r="N180" s="811"/>
    </row>
    <row r="181" spans="1:31" s="218" customFormat="1" x14ac:dyDescent="0.2">
      <c r="A181" s="345"/>
      <c r="B181" s="341"/>
      <c r="C181" s="392"/>
      <c r="D181" s="341"/>
      <c r="E181" s="341"/>
      <c r="F181" s="341"/>
      <c r="G181" s="341"/>
      <c r="H181" s="341"/>
      <c r="I181" s="341"/>
      <c r="J181" s="341"/>
      <c r="K181" s="341"/>
      <c r="L181" s="662"/>
      <c r="M181" s="790"/>
      <c r="N181" s="791"/>
    </row>
    <row r="182" spans="1:31" s="218" customFormat="1" x14ac:dyDescent="0.2">
      <c r="A182" s="345"/>
      <c r="B182" s="341"/>
      <c r="C182" s="392"/>
      <c r="D182" s="341"/>
      <c r="E182" s="341"/>
      <c r="F182" s="341"/>
      <c r="G182" s="341"/>
      <c r="H182" s="341"/>
      <c r="I182" s="341"/>
      <c r="J182" s="341"/>
      <c r="K182" s="341"/>
      <c r="L182" s="662"/>
      <c r="M182" s="790"/>
      <c r="N182" s="791"/>
    </row>
    <row r="183" spans="1:31" s="218" customFormat="1" x14ac:dyDescent="0.2">
      <c r="A183" s="345"/>
      <c r="B183" s="341"/>
      <c r="C183" s="392"/>
      <c r="D183" s="341"/>
      <c r="E183" s="341"/>
      <c r="F183" s="341"/>
      <c r="G183" s="341"/>
      <c r="H183" s="341"/>
      <c r="I183" s="341"/>
      <c r="J183" s="341"/>
      <c r="K183" s="341"/>
      <c r="L183" s="662"/>
      <c r="M183" s="790"/>
      <c r="N183" s="791"/>
    </row>
    <row r="184" spans="1:31" s="218" customFormat="1" x14ac:dyDescent="0.2">
      <c r="A184" s="345"/>
      <c r="B184" s="341"/>
      <c r="C184" s="392"/>
      <c r="D184" s="341"/>
      <c r="E184" s="341"/>
      <c r="F184" s="341"/>
      <c r="G184" s="341"/>
      <c r="H184" s="341"/>
      <c r="I184" s="341"/>
      <c r="J184" s="341"/>
      <c r="K184" s="341"/>
      <c r="L184" s="662"/>
      <c r="M184" s="790"/>
      <c r="N184" s="791"/>
    </row>
    <row r="185" spans="1:31" s="218" customFormat="1" ht="16.5" thickBot="1" x14ac:dyDescent="0.25">
      <c r="A185" s="346"/>
      <c r="B185" s="342"/>
      <c r="C185" s="336"/>
      <c r="D185" s="342"/>
      <c r="E185" s="342"/>
      <c r="F185" s="342"/>
      <c r="G185" s="342"/>
      <c r="H185" s="342"/>
      <c r="I185" s="342"/>
      <c r="J185" s="342"/>
      <c r="K185" s="342"/>
      <c r="L185" s="663"/>
      <c r="M185" s="794"/>
      <c r="N185" s="795"/>
    </row>
    <row r="186" spans="1:31" s="218" customFormat="1" x14ac:dyDescent="0.2">
      <c r="F186" s="337"/>
      <c r="G186" s="337"/>
      <c r="H186" s="337"/>
      <c r="I186" s="337"/>
    </row>
    <row r="187" spans="1:31" s="218" customFormat="1" ht="16.5" thickBot="1" x14ac:dyDescent="0.25">
      <c r="F187" s="337"/>
      <c r="G187" s="337"/>
      <c r="H187" s="337"/>
      <c r="I187" s="337"/>
    </row>
    <row r="188" spans="1:31" s="218" customFormat="1" ht="16.5" thickBot="1" x14ac:dyDescent="0.25">
      <c r="A188" s="800" t="s">
        <v>790</v>
      </c>
      <c r="B188" s="801"/>
      <c r="C188" s="801"/>
      <c r="D188" s="801"/>
      <c r="E188" s="801"/>
      <c r="F188" s="801"/>
      <c r="G188" s="802"/>
      <c r="H188" s="337"/>
      <c r="I188" s="337"/>
    </row>
    <row r="189" spans="1:31" s="192" customFormat="1" ht="16.5" thickBot="1" x14ac:dyDescent="0.25">
      <c r="F189" s="191"/>
      <c r="G189" s="191"/>
      <c r="H189" s="191"/>
      <c r="I189" s="191"/>
    </row>
    <row r="190" spans="1:31" s="218" customFormat="1" ht="16.5" thickBot="1" x14ac:dyDescent="0.25">
      <c r="A190" s="807" t="s">
        <v>1</v>
      </c>
      <c r="B190" s="808"/>
      <c r="C190" s="808"/>
      <c r="D190" s="808"/>
      <c r="E190" s="808"/>
      <c r="F190" s="808"/>
      <c r="G190" s="808"/>
      <c r="H190" s="809"/>
      <c r="I190" s="337"/>
    </row>
    <row r="191" spans="1:31" s="1169" customFormat="1" ht="16.5" customHeight="1" thickBot="1" x14ac:dyDescent="0.25">
      <c r="A191" s="803" t="s">
        <v>627</v>
      </c>
      <c r="B191" s="805" t="s">
        <v>888</v>
      </c>
      <c r="C191" s="786" t="s">
        <v>0</v>
      </c>
      <c r="D191" s="786" t="s">
        <v>609</v>
      </c>
      <c r="E191" s="805" t="s">
        <v>889</v>
      </c>
      <c r="F191" s="971" t="s">
        <v>42</v>
      </c>
      <c r="G191" s="1165" t="s">
        <v>789</v>
      </c>
      <c r="H191" s="1163"/>
      <c r="I191" s="1163"/>
      <c r="J191" s="1163"/>
      <c r="K191" s="1163"/>
      <c r="L191" s="1163"/>
      <c r="M191" s="1163"/>
      <c r="N191" s="1163"/>
      <c r="O191" s="1163"/>
      <c r="P191" s="1163"/>
      <c r="Q191" s="1163"/>
      <c r="R191" s="1163"/>
      <c r="S191" s="1163"/>
      <c r="T191" s="1163"/>
      <c r="U191" s="1163"/>
      <c r="V191" s="1164"/>
      <c r="W191" s="930" t="s">
        <v>436</v>
      </c>
      <c r="X191" s="786" t="s">
        <v>421</v>
      </c>
      <c r="Y191" s="786" t="s">
        <v>628</v>
      </c>
      <c r="Z191" s="786" t="s">
        <v>11</v>
      </c>
      <c r="AA191" s="786" t="s">
        <v>12</v>
      </c>
      <c r="AB191" s="786" t="s">
        <v>13</v>
      </c>
      <c r="AC191" s="786" t="s">
        <v>449</v>
      </c>
      <c r="AD191" s="971" t="s">
        <v>610</v>
      </c>
      <c r="AE191" s="1161"/>
    </row>
    <row r="192" spans="1:31" s="1169" customFormat="1" ht="47.25" customHeight="1" thickBot="1" x14ac:dyDescent="0.25">
      <c r="A192" s="804"/>
      <c r="B192" s="806"/>
      <c r="C192" s="787"/>
      <c r="D192" s="787"/>
      <c r="E192" s="806"/>
      <c r="F192" s="787"/>
      <c r="G192" s="1186" t="s">
        <v>432</v>
      </c>
      <c r="H192" s="1186" t="s">
        <v>1380</v>
      </c>
      <c r="I192" s="1200" t="s">
        <v>1381</v>
      </c>
      <c r="J192" s="1200" t="s">
        <v>1382</v>
      </c>
      <c r="K192" s="1200" t="s">
        <v>433</v>
      </c>
      <c r="L192" s="1200" t="s">
        <v>1383</v>
      </c>
      <c r="M192" s="1200" t="s">
        <v>1386</v>
      </c>
      <c r="N192" s="1200" t="s">
        <v>1387</v>
      </c>
      <c r="O192" s="1200" t="s">
        <v>434</v>
      </c>
      <c r="P192" s="1200" t="s">
        <v>1384</v>
      </c>
      <c r="Q192" s="1200" t="s">
        <v>1388</v>
      </c>
      <c r="R192" s="1200" t="s">
        <v>1389</v>
      </c>
      <c r="S192" s="1200" t="s">
        <v>435</v>
      </c>
      <c r="T192" s="1200" t="s">
        <v>1385</v>
      </c>
      <c r="U192" s="1200" t="s">
        <v>1390</v>
      </c>
      <c r="V192" s="1200" t="s">
        <v>1391</v>
      </c>
      <c r="W192" s="787"/>
      <c r="X192" s="787"/>
      <c r="Y192" s="787"/>
      <c r="Z192" s="787"/>
      <c r="AA192" s="787"/>
      <c r="AB192" s="787"/>
      <c r="AC192" s="787"/>
      <c r="AD192" s="972"/>
      <c r="AE192" s="1162"/>
    </row>
    <row r="193" spans="1:31" s="1169" customFormat="1" x14ac:dyDescent="0.2">
      <c r="A193" s="1176"/>
      <c r="B193" s="1173"/>
      <c r="C193" s="1171"/>
      <c r="D193" s="1173"/>
      <c r="E193" s="1173"/>
      <c r="F193" s="1179"/>
      <c r="G193" s="1173"/>
      <c r="H193" s="1173"/>
      <c r="I193" s="1173"/>
      <c r="J193" s="1173"/>
      <c r="K193" s="1173"/>
      <c r="L193" s="1173"/>
      <c r="M193" s="1173"/>
      <c r="N193" s="1173"/>
      <c r="O193" s="1173"/>
      <c r="P193" s="1173"/>
      <c r="Q193" s="1173"/>
      <c r="R193" s="1173"/>
      <c r="S193" s="1173"/>
      <c r="T193" s="1173"/>
      <c r="U193" s="1173"/>
      <c r="V193" s="1173"/>
      <c r="W193" s="1173"/>
      <c r="X193" s="1173"/>
      <c r="Y193" s="1173"/>
      <c r="Z193" s="1173"/>
      <c r="AA193" s="1173"/>
      <c r="AB193" s="1173"/>
      <c r="AC193" s="1183"/>
      <c r="AD193" s="796"/>
      <c r="AE193" s="797"/>
    </row>
    <row r="194" spans="1:31" s="1169" customFormat="1" x14ac:dyDescent="0.2">
      <c r="A194" s="1177"/>
      <c r="B194" s="1174"/>
      <c r="C194" s="1170"/>
      <c r="D194" s="1174"/>
      <c r="E194" s="1174"/>
      <c r="F194" s="1180"/>
      <c r="G194" s="1174"/>
      <c r="H194" s="1174"/>
      <c r="I194" s="1174"/>
      <c r="J194" s="1174"/>
      <c r="K194" s="1174"/>
      <c r="L194" s="1174"/>
      <c r="M194" s="1174"/>
      <c r="N194" s="1174"/>
      <c r="O194" s="1174"/>
      <c r="P194" s="1174"/>
      <c r="Q194" s="1174"/>
      <c r="R194" s="1174"/>
      <c r="S194" s="1174"/>
      <c r="T194" s="1174"/>
      <c r="U194" s="1174"/>
      <c r="V194" s="1174"/>
      <c r="W194" s="1174"/>
      <c r="X194" s="1174"/>
      <c r="Y194" s="1174"/>
      <c r="Z194" s="1174"/>
      <c r="AA194" s="1174"/>
      <c r="AB194" s="1174"/>
      <c r="AC194" s="1184"/>
      <c r="AD194" s="798"/>
      <c r="AE194" s="799"/>
    </row>
    <row r="195" spans="1:31" s="1169" customFormat="1" x14ac:dyDescent="0.2">
      <c r="A195" s="1177"/>
      <c r="B195" s="1174"/>
      <c r="C195" s="1170"/>
      <c r="D195" s="1174"/>
      <c r="E195" s="1174"/>
      <c r="F195" s="1180"/>
      <c r="G195" s="1174"/>
      <c r="H195" s="1174"/>
      <c r="I195" s="1174"/>
      <c r="J195" s="1174"/>
      <c r="K195" s="1174"/>
      <c r="L195" s="1174"/>
      <c r="M195" s="1174"/>
      <c r="N195" s="1174"/>
      <c r="O195" s="1174"/>
      <c r="P195" s="1174"/>
      <c r="Q195" s="1174"/>
      <c r="R195" s="1174"/>
      <c r="S195" s="1174"/>
      <c r="T195" s="1174"/>
      <c r="U195" s="1174"/>
      <c r="V195" s="1174"/>
      <c r="W195" s="1174"/>
      <c r="X195" s="1174"/>
      <c r="Y195" s="1174"/>
      <c r="Z195" s="1174"/>
      <c r="AA195" s="1174"/>
      <c r="AB195" s="1174"/>
      <c r="AC195" s="1184"/>
      <c r="AD195" s="798"/>
      <c r="AE195" s="799"/>
    </row>
    <row r="196" spans="1:31" s="1169" customFormat="1" x14ac:dyDescent="0.2">
      <c r="A196" s="1177"/>
      <c r="B196" s="1174"/>
      <c r="C196" s="1170"/>
      <c r="D196" s="1174"/>
      <c r="E196" s="1174"/>
      <c r="F196" s="1180"/>
      <c r="G196" s="1174"/>
      <c r="H196" s="1174"/>
      <c r="I196" s="1174"/>
      <c r="J196" s="1174"/>
      <c r="K196" s="1174"/>
      <c r="L196" s="1174"/>
      <c r="M196" s="1174"/>
      <c r="N196" s="1174"/>
      <c r="O196" s="1174"/>
      <c r="P196" s="1174"/>
      <c r="Q196" s="1174"/>
      <c r="R196" s="1174"/>
      <c r="S196" s="1174"/>
      <c r="T196" s="1174"/>
      <c r="U196" s="1174"/>
      <c r="V196" s="1174"/>
      <c r="W196" s="1174"/>
      <c r="X196" s="1174"/>
      <c r="Y196" s="1174"/>
      <c r="Z196" s="1174"/>
      <c r="AA196" s="1174"/>
      <c r="AB196" s="1174"/>
      <c r="AC196" s="1184"/>
      <c r="AD196" s="798"/>
      <c r="AE196" s="799"/>
    </row>
    <row r="197" spans="1:31" s="1169" customFormat="1" x14ac:dyDescent="0.2">
      <c r="A197" s="1177"/>
      <c r="B197" s="1174"/>
      <c r="C197" s="1170"/>
      <c r="D197" s="1174"/>
      <c r="E197" s="1174"/>
      <c r="F197" s="1180"/>
      <c r="G197" s="1174"/>
      <c r="H197" s="1174"/>
      <c r="I197" s="1174"/>
      <c r="J197" s="1174"/>
      <c r="K197" s="1174"/>
      <c r="L197" s="1174"/>
      <c r="M197" s="1174"/>
      <c r="N197" s="1174"/>
      <c r="O197" s="1174"/>
      <c r="P197" s="1174"/>
      <c r="Q197" s="1174"/>
      <c r="R197" s="1174"/>
      <c r="S197" s="1174"/>
      <c r="T197" s="1174"/>
      <c r="U197" s="1174"/>
      <c r="V197" s="1174"/>
      <c r="W197" s="1174"/>
      <c r="X197" s="1174"/>
      <c r="Y197" s="1174"/>
      <c r="Z197" s="1174"/>
      <c r="AA197" s="1174"/>
      <c r="AB197" s="1174"/>
      <c r="AC197" s="1184"/>
      <c r="AD197" s="798"/>
      <c r="AE197" s="799"/>
    </row>
    <row r="198" spans="1:31" s="1169" customFormat="1" ht="16.5" thickBot="1" x14ac:dyDescent="0.25">
      <c r="A198" s="1178"/>
      <c r="B198" s="1175"/>
      <c r="C198" s="1172"/>
      <c r="D198" s="1175"/>
      <c r="E198" s="1175"/>
      <c r="F198" s="1181"/>
      <c r="G198" s="1175"/>
      <c r="H198" s="1175"/>
      <c r="I198" s="1175"/>
      <c r="J198" s="1175"/>
      <c r="K198" s="1175"/>
      <c r="L198" s="1175"/>
      <c r="M198" s="1175"/>
      <c r="N198" s="1175"/>
      <c r="O198" s="1175"/>
      <c r="P198" s="1175"/>
      <c r="Q198" s="1175"/>
      <c r="R198" s="1175"/>
      <c r="S198" s="1175"/>
      <c r="T198" s="1175"/>
      <c r="U198" s="1175"/>
      <c r="V198" s="1175"/>
      <c r="W198" s="1175"/>
      <c r="X198" s="1175"/>
      <c r="Y198" s="1175"/>
      <c r="Z198" s="1175"/>
      <c r="AA198" s="1175"/>
      <c r="AB198" s="1175"/>
      <c r="AC198" s="1185"/>
      <c r="AD198" s="792"/>
      <c r="AE198" s="793"/>
    </row>
    <row r="199" spans="1:31" s="218" customFormat="1" x14ac:dyDescent="0.2">
      <c r="F199" s="337"/>
      <c r="G199" s="337"/>
      <c r="H199" s="337"/>
      <c r="I199" s="337"/>
    </row>
    <row r="200" spans="1:31" s="218" customFormat="1" x14ac:dyDescent="0.2">
      <c r="F200" s="337"/>
      <c r="G200" s="337"/>
      <c r="H200" s="337"/>
      <c r="I200" s="337"/>
    </row>
    <row r="201" spans="1:31" s="218" customFormat="1" ht="16.5" thickBot="1" x14ac:dyDescent="0.25">
      <c r="F201" s="337"/>
      <c r="G201" s="337"/>
      <c r="H201" s="337"/>
      <c r="I201" s="337"/>
    </row>
    <row r="202" spans="1:31" ht="16.5" thickBot="1" x14ac:dyDescent="0.25">
      <c r="A202" s="555" t="s">
        <v>454</v>
      </c>
      <c r="B202" s="556" t="s">
        <v>455</v>
      </c>
    </row>
    <row r="203" spans="1:31" x14ac:dyDescent="0.2">
      <c r="A203" s="450" t="s">
        <v>456</v>
      </c>
      <c r="B203" s="557" t="s">
        <v>51</v>
      </c>
    </row>
    <row r="204" spans="1:31" x14ac:dyDescent="0.2">
      <c r="A204" s="558" t="s">
        <v>65</v>
      </c>
      <c r="B204" s="559" t="s">
        <v>51</v>
      </c>
    </row>
    <row r="205" spans="1:31" x14ac:dyDescent="0.2">
      <c r="A205" s="558" t="s">
        <v>257</v>
      </c>
      <c r="B205" s="559" t="s">
        <v>51</v>
      </c>
    </row>
    <row r="206" spans="1:31" x14ac:dyDescent="0.2">
      <c r="A206" s="558" t="s">
        <v>258</v>
      </c>
      <c r="B206" s="559" t="s">
        <v>51</v>
      </c>
    </row>
    <row r="207" spans="1:31" x14ac:dyDescent="0.2">
      <c r="A207" s="558" t="s">
        <v>259</v>
      </c>
      <c r="B207" s="559" t="s">
        <v>53</v>
      </c>
    </row>
    <row r="208" spans="1:31" x14ac:dyDescent="0.2">
      <c r="A208" s="558" t="s">
        <v>281</v>
      </c>
      <c r="B208" s="559" t="s">
        <v>53</v>
      </c>
    </row>
    <row r="209" spans="1:9" x14ac:dyDescent="0.2">
      <c r="A209" s="560" t="s">
        <v>279</v>
      </c>
      <c r="B209" s="559" t="s">
        <v>53</v>
      </c>
    </row>
    <row r="210" spans="1:9" x14ac:dyDescent="0.2">
      <c r="A210" s="560" t="s">
        <v>457</v>
      </c>
      <c r="B210" s="559" t="s">
        <v>53</v>
      </c>
    </row>
    <row r="211" spans="1:9" ht="16.5" thickBot="1" x14ac:dyDescent="0.25">
      <c r="A211" s="561" t="s">
        <v>460</v>
      </c>
      <c r="B211" s="562" t="s">
        <v>51</v>
      </c>
      <c r="F211" s="69"/>
      <c r="G211" s="69"/>
      <c r="H211" s="69"/>
      <c r="I211" s="69"/>
    </row>
  </sheetData>
  <sheetProtection formatCells="0" formatColumns="0" formatRows="0" insertColumns="0" insertRows="0" deleteColumns="0" deleteRows="0" sort="0" autoFilter="0"/>
  <autoFilter ref="A34:AB34" xr:uid="{00000000-0009-0000-0000-000005000000}"/>
  <dataConsolidate>
    <dataRefs count="2">
      <dataRef ref="B9" sheet="APPENDIX B-1  (FE - USWC)"/>
      <dataRef ref="A14:A18" sheet="APPENDIX B-1  (FE - USWC)"/>
    </dataRefs>
  </dataConsolidate>
  <mergeCells count="258">
    <mergeCell ref="X191:X192"/>
    <mergeCell ref="Y191:Y192"/>
    <mergeCell ref="Z191:Z192"/>
    <mergeCell ref="AA191:AA192"/>
    <mergeCell ref="AB191:AB192"/>
    <mergeCell ref="AC191:AC192"/>
    <mergeCell ref="AD191:AE192"/>
    <mergeCell ref="B102:D102"/>
    <mergeCell ref="E102:G102"/>
    <mergeCell ref="B99:D99"/>
    <mergeCell ref="E99:G99"/>
    <mergeCell ref="B116:D116"/>
    <mergeCell ref="E116:G116"/>
    <mergeCell ref="B168:I168"/>
    <mergeCell ref="A145:F145"/>
    <mergeCell ref="B167:I167"/>
    <mergeCell ref="B163:I163"/>
    <mergeCell ref="B162:I162"/>
    <mergeCell ref="B103:D103"/>
    <mergeCell ref="E103:G103"/>
    <mergeCell ref="B107:D107"/>
    <mergeCell ref="E107:G107"/>
    <mergeCell ref="B105:D105"/>
    <mergeCell ref="E105:G105"/>
    <mergeCell ref="B122:D122"/>
    <mergeCell ref="E122:G122"/>
    <mergeCell ref="B114:D114"/>
    <mergeCell ref="E114:G114"/>
    <mergeCell ref="B123:D123"/>
    <mergeCell ref="E123:G123"/>
    <mergeCell ref="B120:D120"/>
    <mergeCell ref="M180:N180"/>
    <mergeCell ref="M181:N181"/>
    <mergeCell ref="M182:N182"/>
    <mergeCell ref="B165:I165"/>
    <mergeCell ref="G178:G179"/>
    <mergeCell ref="E191:E192"/>
    <mergeCell ref="A188:G188"/>
    <mergeCell ref="A190:H190"/>
    <mergeCell ref="A191:A192"/>
    <mergeCell ref="B191:B192"/>
    <mergeCell ref="B178:B179"/>
    <mergeCell ref="B169:I169"/>
    <mergeCell ref="C178:C179"/>
    <mergeCell ref="D178:D179"/>
    <mergeCell ref="E178:E179"/>
    <mergeCell ref="F178:F179"/>
    <mergeCell ref="A177:E177"/>
    <mergeCell ref="I178:I179"/>
    <mergeCell ref="H178:H179"/>
    <mergeCell ref="M178:N179"/>
    <mergeCell ref="J178:J179"/>
    <mergeCell ref="A173:B173"/>
    <mergeCell ref="C191:C192"/>
    <mergeCell ref="D191:D192"/>
    <mergeCell ref="AD198:AE198"/>
    <mergeCell ref="M185:N185"/>
    <mergeCell ref="AD193:AE193"/>
    <mergeCell ref="AD194:AE194"/>
    <mergeCell ref="AD195:AE195"/>
    <mergeCell ref="AD196:AE196"/>
    <mergeCell ref="AD197:AE197"/>
    <mergeCell ref="G191:V191"/>
    <mergeCell ref="W191:W192"/>
    <mergeCell ref="F191:F192"/>
    <mergeCell ref="M183:N183"/>
    <mergeCell ref="L178:L179"/>
    <mergeCell ref="A175:G175"/>
    <mergeCell ref="A178:A179"/>
    <mergeCell ref="L128:L129"/>
    <mergeCell ref="J128:J129"/>
    <mergeCell ref="K128:K129"/>
    <mergeCell ref="M184:N184"/>
    <mergeCell ref="I135:I136"/>
    <mergeCell ref="A143:E143"/>
    <mergeCell ref="B161:I161"/>
    <mergeCell ref="B160:I160"/>
    <mergeCell ref="B158:I158"/>
    <mergeCell ref="A146:F146"/>
    <mergeCell ref="B156:I156"/>
    <mergeCell ref="A135:D135"/>
    <mergeCell ref="E135:E136"/>
    <mergeCell ref="G135:G136"/>
    <mergeCell ref="H135:H136"/>
    <mergeCell ref="B157:I157"/>
    <mergeCell ref="B159:I159"/>
    <mergeCell ref="A147:F147"/>
    <mergeCell ref="A153:I153"/>
    <mergeCell ref="E124:G124"/>
    <mergeCell ref="E128:E129"/>
    <mergeCell ref="I128:I129"/>
    <mergeCell ref="A125:I125"/>
    <mergeCell ref="A128:D128"/>
    <mergeCell ref="B124:D124"/>
    <mergeCell ref="G128:G129"/>
    <mergeCell ref="F128:F129"/>
    <mergeCell ref="H128:H129"/>
    <mergeCell ref="A126:I126"/>
    <mergeCell ref="B155:I155"/>
    <mergeCell ref="M135:M136"/>
    <mergeCell ref="J135:J136"/>
    <mergeCell ref="L135:L136"/>
    <mergeCell ref="K135:K136"/>
    <mergeCell ref="F135:F136"/>
    <mergeCell ref="K178:K179"/>
    <mergeCell ref="B164:I164"/>
    <mergeCell ref="B166:I166"/>
    <mergeCell ref="E120:G120"/>
    <mergeCell ref="B121:D121"/>
    <mergeCell ref="E121:G121"/>
    <mergeCell ref="E119:G119"/>
    <mergeCell ref="B118:D118"/>
    <mergeCell ref="B119:D119"/>
    <mergeCell ref="E118:G118"/>
    <mergeCell ref="B111:D111"/>
    <mergeCell ref="E111:G111"/>
    <mergeCell ref="B112:D112"/>
    <mergeCell ref="A12:J12"/>
    <mergeCell ref="B13:I13"/>
    <mergeCell ref="J13:K13"/>
    <mergeCell ref="B17:I17"/>
    <mergeCell ref="B115:D115"/>
    <mergeCell ref="E115:G115"/>
    <mergeCell ref="A34:A35"/>
    <mergeCell ref="C43:C44"/>
    <mergeCell ref="D52:D53"/>
    <mergeCell ref="C52:C53"/>
    <mergeCell ref="D43:D44"/>
    <mergeCell ref="J52:J53"/>
    <mergeCell ref="G52:G53"/>
    <mergeCell ref="B52:B53"/>
    <mergeCell ref="F52:F53"/>
    <mergeCell ref="H94:H96"/>
    <mergeCell ref="E110:G110"/>
    <mergeCell ref="A95:G95"/>
    <mergeCell ref="B113:D113"/>
    <mergeCell ref="B14:I14"/>
    <mergeCell ref="J15:K15"/>
    <mergeCell ref="J14:K14"/>
    <mergeCell ref="F43:F44"/>
    <mergeCell ref="B104:D104"/>
    <mergeCell ref="B86:D86"/>
    <mergeCell ref="B117:D117"/>
    <mergeCell ref="B101:D101"/>
    <mergeCell ref="E101:G101"/>
    <mergeCell ref="B110:D110"/>
    <mergeCell ref="K94:K96"/>
    <mergeCell ref="A91:I91"/>
    <mergeCell ref="E98:G98"/>
    <mergeCell ref="E117:G117"/>
    <mergeCell ref="B98:D98"/>
    <mergeCell ref="B97:D97"/>
    <mergeCell ref="E97:G97"/>
    <mergeCell ref="E113:G113"/>
    <mergeCell ref="B100:D100"/>
    <mergeCell ref="E100:G100"/>
    <mergeCell ref="B108:D108"/>
    <mergeCell ref="E108:G108"/>
    <mergeCell ref="B109:D109"/>
    <mergeCell ref="E109:G109"/>
    <mergeCell ref="E112:G112"/>
    <mergeCell ref="B106:D106"/>
    <mergeCell ref="E106:G106"/>
    <mergeCell ref="E104:G104"/>
    <mergeCell ref="B92:I92"/>
    <mergeCell ref="B16:I16"/>
    <mergeCell ref="J16:K16"/>
    <mergeCell ref="B21:H21"/>
    <mergeCell ref="B34:B35"/>
    <mergeCell ref="B28:H28"/>
    <mergeCell ref="L14:M14"/>
    <mergeCell ref="L34:L35"/>
    <mergeCell ref="L17:M17"/>
    <mergeCell ref="J17:K17"/>
    <mergeCell ref="G34:G35"/>
    <mergeCell ref="H34:H35"/>
    <mergeCell ref="I34:I35"/>
    <mergeCell ref="E34:E35"/>
    <mergeCell ref="B23:H23"/>
    <mergeCell ref="B24:H24"/>
    <mergeCell ref="B27:H27"/>
    <mergeCell ref="B22:H22"/>
    <mergeCell ref="L15:M15"/>
    <mergeCell ref="B15:I15"/>
    <mergeCell ref="B20:H20"/>
    <mergeCell ref="B26:H26"/>
    <mergeCell ref="B25:H25"/>
    <mergeCell ref="L94:L96"/>
    <mergeCell ref="A1:B1"/>
    <mergeCell ref="C1:F1"/>
    <mergeCell ref="A2:B2"/>
    <mergeCell ref="C2:F2"/>
    <mergeCell ref="A5:B5"/>
    <mergeCell ref="C5:F5"/>
    <mergeCell ref="A6:B6"/>
    <mergeCell ref="A8:B8"/>
    <mergeCell ref="A3:B3"/>
    <mergeCell ref="C3:F3"/>
    <mergeCell ref="A4:B4"/>
    <mergeCell ref="C4:F4"/>
    <mergeCell ref="A7:B7"/>
    <mergeCell ref="C7:F7"/>
    <mergeCell ref="C8:F8"/>
    <mergeCell ref="C6:F6"/>
    <mergeCell ref="G43:G44"/>
    <mergeCell ref="H52:H53"/>
    <mergeCell ref="B43:B44"/>
    <mergeCell ref="L13:M13"/>
    <mergeCell ref="M52:M53"/>
    <mergeCell ref="A51:D51"/>
    <mergeCell ref="L16:M16"/>
    <mergeCell ref="AA34:AA35"/>
    <mergeCell ref="AA43:AA44"/>
    <mergeCell ref="X34:X35"/>
    <mergeCell ref="Y34:Y35"/>
    <mergeCell ref="Z34:Z35"/>
    <mergeCell ref="Y43:Y44"/>
    <mergeCell ref="Z43:Z44"/>
    <mergeCell ref="K43:K44"/>
    <mergeCell ref="X43:X44"/>
    <mergeCell ref="E52:E53"/>
    <mergeCell ref="K52:K53"/>
    <mergeCell ref="L52:L53"/>
    <mergeCell ref="E43:E44"/>
    <mergeCell ref="C34:C35"/>
    <mergeCell ref="D34:D35"/>
    <mergeCell ref="J34:J35"/>
    <mergeCell ref="K34:K35"/>
    <mergeCell ref="A52:A53"/>
    <mergeCell ref="A43:A44"/>
    <mergeCell ref="H43:H44"/>
    <mergeCell ref="I43:I44"/>
    <mergeCell ref="F34:F35"/>
    <mergeCell ref="J43:J44"/>
    <mergeCell ref="AC52:AC53"/>
    <mergeCell ref="AA52:AA53"/>
    <mergeCell ref="AB52:AB53"/>
    <mergeCell ref="A96:G96"/>
    <mergeCell ref="J94:J96"/>
    <mergeCell ref="A90:I90"/>
    <mergeCell ref="I94:I96"/>
    <mergeCell ref="A94:G94"/>
    <mergeCell ref="B72:D72"/>
    <mergeCell ref="B71:D71"/>
    <mergeCell ref="A77:C77"/>
    <mergeCell ref="B88:D88"/>
    <mergeCell ref="B73:D73"/>
    <mergeCell ref="B84:D84"/>
    <mergeCell ref="B85:D85"/>
    <mergeCell ref="M94:M96"/>
    <mergeCell ref="A76:C76"/>
    <mergeCell ref="B87:D87"/>
    <mergeCell ref="B70:D70"/>
    <mergeCell ref="Z52:Z53"/>
    <mergeCell ref="I52:I53"/>
    <mergeCell ref="B69:D69"/>
    <mergeCell ref="A62:C62"/>
    <mergeCell ref="A61:C61"/>
  </mergeCells>
  <phoneticPr fontId="11" type="noConversion"/>
  <dataValidations count="33">
    <dataValidation type="list" allowBlank="1" showInputMessage="1" showErrorMessage="1" sqref="B203:B211" xr:uid="{00000000-0002-0000-0500-000000000000}">
      <formula1>Autom</formula1>
    </dataValidation>
    <dataValidation type="list" showInputMessage="1" showErrorMessage="1" sqref="C180:C185 C193:C198" xr:uid="{00000000-0002-0000-0500-000001000000}">
      <formula1>IF($B180="I",DDTARIFFUS,DDTARIFF)</formula1>
    </dataValidation>
    <dataValidation type="list" allowBlank="1" showInputMessage="1" showErrorMessage="1" sqref="B193:B198 B180:B185" xr:uid="{00000000-0002-0000-0500-000002000000}">
      <formula1>EXPIMP</formula1>
    </dataValidation>
    <dataValidation type="list" allowBlank="1" showInputMessage="1" showErrorMessage="1" sqref="W193:W198 F180:F185" xr:uid="{00000000-0002-0000-0500-000003000000}">
      <formula1>EQTYPE</formula1>
    </dataValidation>
    <dataValidation type="list" allowBlank="1" showInputMessage="1" showErrorMessage="1" sqref="X193:X198 G180:G185" xr:uid="{00000000-0002-0000-0500-000004000000}">
      <formula1>OPREEFER</formula1>
    </dataValidation>
    <dataValidation type="list" allowBlank="1" showInputMessage="1" showErrorMessage="1" sqref="F193:F198" xr:uid="{C0FFCE2D-59E3-42D5-B3CA-3BCF8F31C305}">
      <formula1>CURRENCY</formula1>
    </dataValidation>
    <dataValidation type="whole" allowBlank="1" showInputMessage="1" showErrorMessage="1" error="Only whole numbers can be entered into this field" sqref="D193:D198 D180:D185" xr:uid="{00000000-0002-0000-0500-000006000000}">
      <formula1>1</formula1>
      <formula2>99</formula2>
    </dataValidation>
    <dataValidation type="list" showInputMessage="1" showErrorMessage="1" sqref="E193:E198 E180:E185" xr:uid="{00000000-0002-0000-0500-000007000000}">
      <formula1>DAYS</formula1>
    </dataValidation>
    <dataValidation type="whole" allowBlank="1" showInputMessage="1" showErrorMessage="1" error="Only whole numbers may be entered into this field_x000a_" sqref="G193:G198 S193:S198 O193:O198 K193:K198" xr:uid="{E87DBDC2-22BF-4F78-A33C-7C4C3F094C19}">
      <formula1>1</formula1>
      <formula2>99</formula2>
    </dataValidation>
    <dataValidation type="decimal" allowBlank="1" showInputMessage="1" showErrorMessage="1" error="Only numbers may be entered into this field" sqref="H193:J198 L193:N198 P193:R198 T193:V198" xr:uid="{F43146B4-0893-43EC-B732-0B9DA9FC6A84}">
      <formula1>1</formula1>
      <formula2>1000000000</formula2>
    </dataValidation>
    <dataValidation type="list" showInputMessage="1" showErrorMessage="1" sqref="K130:K133 K137:K140 N70:N73 A45:A48 A54:A57 A36:A39 N85:N88" xr:uid="{00000000-0002-0000-0500-00000A000000}">
      <formula1>$A$14:$A$18</formula1>
    </dataValidation>
    <dataValidation type="list" allowBlank="1" showInputMessage="1" showErrorMessage="1" sqref="J130:J133 J137:J140" xr:uid="{00000000-0002-0000-0500-00000B000000}">
      <formula1>GRIPSS</formula1>
    </dataValidation>
    <dataValidation type="decimal" allowBlank="1" showInputMessage="1" showErrorMessage="1" sqref="F137:I140 F130:I133 I36:L39 I45:K48 J85:M88 I54:L57" xr:uid="{00000000-0002-0000-0500-00000C000000}">
      <formula1>0</formula1>
      <formula2>999999999999999</formula2>
    </dataValidation>
    <dataValidation type="list" allowBlank="1" showInputMessage="1" showErrorMessage="1" sqref="E130:E133 E137:E140" xr:uid="{00000000-0002-0000-0500-00000D000000}">
      <formula1>GRIPSS_EQ</formula1>
    </dataValidation>
    <dataValidation type="list" showInputMessage="1" showErrorMessage="1" sqref="A180:A185 A193:A198" xr:uid="{00000000-0002-0000-0500-00000E000000}">
      <formula1>BULLET</formula1>
    </dataValidation>
    <dataValidation type="date" allowBlank="1" showInputMessage="1" showErrorMessage="1" sqref="X36:Y39 J97:K124" xr:uid="{00000000-0002-0000-0500-00000F000000}">
      <formula1>10101</formula1>
      <formula2>311299</formula2>
    </dataValidation>
    <dataValidation type="list" showDropDown="1" showErrorMessage="1" sqref="O69:P69 O84:P84" xr:uid="{00000000-0002-0000-0500-000010000000}">
      <formula1>Charges</formula1>
    </dataValidation>
    <dataValidation type="list" allowBlank="1" showInputMessage="1" showErrorMessage="1" sqref="O70:P73 O85:P88" xr:uid="{00000000-0002-0000-0500-000011000000}">
      <formula1 xml:space="preserve"> droppull</formula1>
    </dataValidation>
    <dataValidation type="list" allowBlank="1" showInputMessage="1" showErrorMessage="1" sqref="L45:L48 G70:G73 P54:P57 N45:N48 G85:G88" xr:uid="{00000000-0002-0000-0500-000012000000}">
      <formula1>YesNo</formula1>
    </dataValidation>
    <dataValidation type="list" allowBlank="1" showInputMessage="1" showErrorMessage="1" sqref="M54:M57" xr:uid="{00000000-0002-0000-0500-000013000000}">
      <formula1>Equip</formula1>
    </dataValidation>
    <dataValidation type="list" allowBlank="1" showInputMessage="1" showErrorMessage="1" sqref="F70:F73 F85:F88" xr:uid="{00000000-0002-0000-0500-000014000000}">
      <formula1>ArbMode</formula1>
    </dataValidation>
    <dataValidation type="list" allowBlank="1" showInputMessage="1" showErrorMessage="1" sqref="G45:G48 G54:G57 G36:G39" xr:uid="{00000000-0002-0000-0500-000015000000}">
      <formula1>SDD</formula1>
    </dataValidation>
    <dataValidation type="list" allowBlank="1" showInputMessage="1" showErrorMessage="1" sqref="M35:W35 Q53:Y53" xr:uid="{00000000-0002-0000-0500-000016000000}">
      <formula1>Container</formula1>
    </dataValidation>
    <dataValidation type="list" allowBlank="1" showInputMessage="1" showErrorMessage="1" sqref="O44:W44" xr:uid="{00000000-0002-0000-0500-000017000000}">
      <formula1>Reefer</formula1>
    </dataValidation>
    <dataValidation type="list" allowBlank="1" showInputMessage="1" showErrorMessage="1" sqref="F36:F39 F54:F57 F45:F48" xr:uid="{00000000-0002-0000-0500-000018000000}">
      <formula1>Mode</formula1>
    </dataValidation>
    <dataValidation type="list" allowBlank="1" showInputMessage="1" showErrorMessage="1" sqref="M45:M48 O54:O57" xr:uid="{00000000-0002-0000-0500-000019000000}">
      <formula1>ShipperOwn</formula1>
    </dataValidation>
    <dataValidation type="list" allowBlank="1" showInputMessage="1" showErrorMessage="1" sqref="N54:N57" xr:uid="{00000000-0002-0000-0500-00001A000000}">
      <formula1>OOG</formula1>
    </dataValidation>
    <dataValidation type="list" allowBlank="1" showErrorMessage="1" sqref="M34:W34 Q52:Y52 O43:W43" xr:uid="{00000000-0002-0000-0500-00001B000000}">
      <formula1>Exceptions</formula1>
    </dataValidation>
    <dataValidation type="list" allowBlank="1" showInputMessage="1" showErrorMessage="1" sqref="AA36:AA39 AC54:AC57 AA45:AA48" xr:uid="{00000000-0002-0000-0500-00001C000000}">
      <formula1>CST</formula1>
    </dataValidation>
    <dataValidation type="list" allowBlank="1" showInputMessage="1" showErrorMessage="1" sqref="I97:I124" xr:uid="{00000000-0002-0000-0500-00001D000000}">
      <formula1>$A$14:$A$18</formula1>
    </dataValidation>
    <dataValidation type="list" allowBlank="1" showErrorMessage="1" sqref="A97:A124" xr:uid="{00000000-0002-0000-0500-00001E000000}">
      <formula1>Charges</formula1>
    </dataValidation>
    <dataValidation allowBlank="1" showInputMessage="1" showErrorMessage="1" promptTitle="Acceptable Values:" prompt="- Applicable _x000a_- Not applicable _x000a_- Included_x000a_- Amount and OSPF for cases of fixed per D40 OSPF_x000a_    (example-  &quot;375 OSPF&quot;)" sqref="E97:G124" xr:uid="{00000000-0002-0000-0500-00001F000000}"/>
    <dataValidation type="list" allowBlank="1" showInputMessage="1" showErrorMessage="1" errorTitle="Pick up the list" promptTitle="Blank = ALL" sqref="H97:H124" xr:uid="{00000000-0002-0000-0500-000020000000}">
      <formula1>Type_note2</formula1>
    </dataValidation>
  </dataValidations>
  <pageMargins left="0.25" right="0.25" top="0.25" bottom="0.25" header="0.5" footer="0"/>
  <pageSetup scale="28" fitToHeight="0" orientation="landscape" r:id="rId1"/>
  <headerFooter alignWithMargins="0"/>
  <rowBreaks count="1" manualBreakCount="1">
    <brk id="92" max="16383" man="1"/>
  </rowBreaks>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3">
    <tabColor indexed="46"/>
    <pageSetUpPr fitToPage="1"/>
  </sheetPr>
  <dimension ref="A1:BB217"/>
  <sheetViews>
    <sheetView showGridLines="0" topLeftCell="A169" zoomScale="75" zoomScaleNormal="75" zoomScaleSheetLayoutView="75" workbookViewId="0">
      <selection activeCell="G197" sqref="A197:XFD204"/>
    </sheetView>
  </sheetViews>
  <sheetFormatPr defaultColWidth="9.140625" defaultRowHeight="15.75" x14ac:dyDescent="0.2"/>
  <cols>
    <col min="1" max="1" width="25.140625" style="69" customWidth="1"/>
    <col min="2" max="2" width="18.5703125" style="69" customWidth="1"/>
    <col min="3" max="3" width="18.28515625" style="69" customWidth="1"/>
    <col min="4" max="4" width="17.42578125" style="69" customWidth="1"/>
    <col min="5" max="5" width="19.28515625" style="69" customWidth="1"/>
    <col min="6" max="6" width="12.140625" style="211" customWidth="1"/>
    <col min="7" max="8" width="17.42578125" style="211" customWidth="1"/>
    <col min="9" max="9" width="17.7109375" style="211" customWidth="1"/>
    <col min="10" max="10" width="17.85546875" style="69" customWidth="1"/>
    <col min="11" max="11" width="16.5703125" style="69" customWidth="1"/>
    <col min="12" max="12" width="18.5703125" style="69" customWidth="1"/>
    <col min="13" max="13" width="17.28515625" style="69" customWidth="1"/>
    <col min="14" max="14" width="17.7109375" style="69" customWidth="1"/>
    <col min="15" max="16" width="16.5703125" style="69" customWidth="1"/>
    <col min="17" max="17" width="17.5703125" style="69" customWidth="1"/>
    <col min="18" max="18" width="15.85546875" style="69" customWidth="1"/>
    <col min="19" max="19" width="16.7109375" style="69" customWidth="1"/>
    <col min="20" max="20" width="16.5703125" style="69" customWidth="1"/>
    <col min="21" max="21" width="16.7109375" style="69" customWidth="1"/>
    <col min="22" max="22" width="17.5703125" style="69" customWidth="1"/>
    <col min="23" max="23" width="18" style="69" customWidth="1"/>
    <col min="24" max="24" width="12.7109375" style="69" customWidth="1"/>
    <col min="25" max="25" width="16.85546875" style="69" customWidth="1"/>
    <col min="26" max="26" width="9.7109375" style="69" customWidth="1"/>
    <col min="27" max="27" width="14.140625" style="69" customWidth="1"/>
    <col min="28" max="28" width="9.7109375" style="69" customWidth="1"/>
    <col min="29" max="29" width="14.140625" style="69" customWidth="1"/>
    <col min="30" max="16384" width="9.140625" style="69"/>
  </cols>
  <sheetData>
    <row r="1" spans="1:54" x14ac:dyDescent="0.2">
      <c r="A1" s="835" t="s">
        <v>511</v>
      </c>
      <c r="B1" s="837"/>
      <c r="C1" s="902" t="str">
        <f>Cover!B1</f>
        <v>22-XXXX</v>
      </c>
      <c r="D1" s="903"/>
      <c r="E1" s="903"/>
      <c r="F1" s="904"/>
      <c r="G1" s="627"/>
      <c r="H1" s="69"/>
      <c r="I1" s="69"/>
    </row>
    <row r="2" spans="1:54" x14ac:dyDescent="0.2">
      <c r="A2" s="885" t="s">
        <v>1236</v>
      </c>
      <c r="B2" s="886"/>
      <c r="C2" s="887"/>
      <c r="D2" s="888"/>
      <c r="E2" s="888"/>
      <c r="F2" s="889"/>
      <c r="G2" s="69"/>
      <c r="H2" s="69"/>
      <c r="I2" s="69"/>
    </row>
    <row r="3" spans="1:54" x14ac:dyDescent="0.2">
      <c r="A3" s="885" t="s">
        <v>522</v>
      </c>
      <c r="B3" s="886"/>
      <c r="C3" s="905">
        <f>Cover!B2</f>
        <v>0</v>
      </c>
      <c r="D3" s="906"/>
      <c r="E3" s="906"/>
      <c r="F3" s="907"/>
      <c r="G3" s="69"/>
      <c r="H3" s="69"/>
      <c r="I3" s="69"/>
    </row>
    <row r="4" spans="1:54" x14ac:dyDescent="0.2">
      <c r="A4" s="885" t="s">
        <v>1229</v>
      </c>
      <c r="B4" s="886"/>
      <c r="C4" s="884">
        <f>Cover!B7</f>
        <v>0</v>
      </c>
      <c r="D4" s="817"/>
      <c r="E4" s="817"/>
      <c r="F4" s="818"/>
      <c r="G4" s="69"/>
      <c r="H4" s="69"/>
      <c r="I4" s="69"/>
    </row>
    <row r="5" spans="1:54" x14ac:dyDescent="0.2">
      <c r="A5" s="885" t="s">
        <v>528</v>
      </c>
      <c r="B5" s="886"/>
      <c r="C5" s="887" t="s">
        <v>531</v>
      </c>
      <c r="D5" s="888"/>
      <c r="E5" s="888"/>
      <c r="F5" s="889"/>
      <c r="G5" s="69"/>
      <c r="H5" s="69"/>
      <c r="I5" s="69"/>
    </row>
    <row r="6" spans="1:54" ht="15.75" customHeight="1" x14ac:dyDescent="0.2">
      <c r="A6" s="885" t="s">
        <v>512</v>
      </c>
      <c r="B6" s="886"/>
      <c r="C6" s="887" t="s">
        <v>569</v>
      </c>
      <c r="D6" s="888"/>
      <c r="E6" s="888"/>
      <c r="F6" s="889"/>
      <c r="G6" s="69"/>
      <c r="H6" s="69"/>
      <c r="I6" s="69"/>
    </row>
    <row r="7" spans="1:54" ht="15.75" customHeight="1" x14ac:dyDescent="0.2">
      <c r="A7" s="885" t="s">
        <v>612</v>
      </c>
      <c r="B7" s="886"/>
      <c r="C7" s="887" t="s">
        <v>183</v>
      </c>
      <c r="D7" s="888"/>
      <c r="E7" s="888"/>
      <c r="F7" s="889"/>
      <c r="G7" s="69"/>
      <c r="H7" s="69"/>
      <c r="I7" s="69"/>
    </row>
    <row r="8" spans="1:54" ht="2.25" customHeight="1" thickBot="1" x14ac:dyDescent="0.25">
      <c r="A8" s="900"/>
      <c r="B8" s="901"/>
      <c r="C8" s="894"/>
      <c r="D8" s="895"/>
      <c r="E8" s="895"/>
      <c r="F8" s="896"/>
      <c r="G8" s="69"/>
      <c r="H8" s="69"/>
      <c r="I8" s="69"/>
    </row>
    <row r="9" spans="1:54" s="73" customFormat="1" x14ac:dyDescent="0.2">
      <c r="A9" s="442">
        <v>39</v>
      </c>
      <c r="B9" s="443" t="s">
        <v>614</v>
      </c>
      <c r="D9" s="444"/>
      <c r="E9" s="444"/>
      <c r="F9" s="445"/>
    </row>
    <row r="10" spans="1:54" s="73" customFormat="1" ht="16.5" thickBot="1" x14ac:dyDescent="0.25">
      <c r="A10" s="446"/>
      <c r="D10" s="444"/>
      <c r="E10" s="444"/>
      <c r="F10" s="445"/>
      <c r="G10" s="447"/>
      <c r="H10" s="444"/>
      <c r="I10" s="444"/>
      <c r="J10" s="444"/>
    </row>
    <row r="11" spans="1:54" ht="19.5" thickBot="1" x14ac:dyDescent="0.25">
      <c r="A11" s="448" t="s">
        <v>613</v>
      </c>
      <c r="B11" s="449"/>
      <c r="C11" s="73"/>
      <c r="D11" s="444"/>
      <c r="E11" s="444"/>
      <c r="F11" s="445"/>
      <c r="G11" s="447"/>
      <c r="H11" s="444"/>
      <c r="I11" s="444"/>
      <c r="J11" s="444"/>
    </row>
    <row r="12" spans="1:54" s="78" customFormat="1" ht="16.5" thickBot="1" x14ac:dyDescent="0.25">
      <c r="A12" s="897" t="s">
        <v>616</v>
      </c>
      <c r="B12" s="898"/>
      <c r="C12" s="898"/>
      <c r="D12" s="898"/>
      <c r="E12" s="898"/>
      <c r="F12" s="898"/>
      <c r="G12" s="898"/>
      <c r="H12" s="898"/>
      <c r="I12" s="898"/>
      <c r="J12" s="899"/>
    </row>
    <row r="13" spans="1:54" ht="17.25" customHeight="1" x14ac:dyDescent="0.2">
      <c r="A13" s="450" t="s">
        <v>617</v>
      </c>
      <c r="B13" s="881" t="s">
        <v>618</v>
      </c>
      <c r="C13" s="881"/>
      <c r="D13" s="881"/>
      <c r="E13" s="881"/>
      <c r="F13" s="881"/>
      <c r="G13" s="881"/>
      <c r="H13" s="881"/>
      <c r="I13" s="881"/>
      <c r="J13" s="882" t="s">
        <v>622</v>
      </c>
      <c r="K13" s="883"/>
      <c r="L13" s="890" t="s">
        <v>623</v>
      </c>
      <c r="M13" s="891"/>
      <c r="N13" s="350" t="s">
        <v>4</v>
      </c>
    </row>
    <row r="14" spans="1:54" s="81" customFormat="1" x14ac:dyDescent="0.2">
      <c r="A14" s="451"/>
      <c r="B14" s="862"/>
      <c r="C14" s="892"/>
      <c r="D14" s="892"/>
      <c r="E14" s="892"/>
      <c r="F14" s="892"/>
      <c r="G14" s="892"/>
      <c r="H14" s="892"/>
      <c r="I14" s="892"/>
      <c r="J14" s="870"/>
      <c r="K14" s="855"/>
      <c r="L14" s="893"/>
      <c r="M14" s="871"/>
      <c r="N14" s="349" t="str">
        <f>IF($A14&gt;0,$A14,"")</f>
        <v/>
      </c>
    </row>
    <row r="15" spans="1:54" s="453" customFormat="1" x14ac:dyDescent="0.2">
      <c r="A15" s="452"/>
      <c r="B15" s="879"/>
      <c r="C15" s="880"/>
      <c r="D15" s="880"/>
      <c r="E15" s="880"/>
      <c r="F15" s="880"/>
      <c r="G15" s="880"/>
      <c r="H15" s="880"/>
      <c r="I15" s="880"/>
      <c r="J15" s="870"/>
      <c r="K15" s="855"/>
      <c r="L15" s="870"/>
      <c r="M15" s="871"/>
      <c r="N15" s="349" t="str">
        <f>IF($A15&gt;0,$A15,"")</f>
        <v/>
      </c>
      <c r="BB15" s="81"/>
    </row>
    <row r="16" spans="1:54" s="453" customFormat="1" x14ac:dyDescent="0.2">
      <c r="A16" s="452"/>
      <c r="B16" s="879"/>
      <c r="C16" s="880"/>
      <c r="D16" s="880"/>
      <c r="E16" s="880"/>
      <c r="F16" s="880"/>
      <c r="G16" s="880"/>
      <c r="H16" s="880"/>
      <c r="I16" s="880"/>
      <c r="J16" s="870"/>
      <c r="K16" s="855"/>
      <c r="L16" s="870"/>
      <c r="M16" s="871"/>
      <c r="N16" s="349" t="str">
        <f>IF($A16&gt;0,$A16,"")</f>
        <v/>
      </c>
      <c r="BB16" s="81"/>
    </row>
    <row r="17" spans="1:54" s="453" customFormat="1" ht="16.5" thickBot="1" x14ac:dyDescent="0.25">
      <c r="A17" s="454"/>
      <c r="B17" s="864"/>
      <c r="C17" s="865"/>
      <c r="D17" s="865"/>
      <c r="E17" s="865"/>
      <c r="F17" s="865"/>
      <c r="G17" s="865"/>
      <c r="H17" s="865"/>
      <c r="I17" s="865"/>
      <c r="J17" s="866"/>
      <c r="K17" s="867"/>
      <c r="L17" s="857"/>
      <c r="M17" s="858"/>
      <c r="N17" s="349" t="str">
        <f>IF($A17&gt;0,$A17,"")</f>
        <v/>
      </c>
      <c r="BB17" s="81"/>
    </row>
    <row r="18" spans="1:54" s="462" customFormat="1" ht="16.5" thickBot="1" x14ac:dyDescent="0.25">
      <c r="A18" s="455"/>
      <c r="B18" s="456"/>
      <c r="C18" s="457"/>
      <c r="D18" s="458"/>
      <c r="E18" s="458"/>
      <c r="F18" s="459"/>
      <c r="G18" s="459"/>
      <c r="H18" s="460"/>
      <c r="I18" s="461"/>
      <c r="J18" s="461"/>
      <c r="K18" s="457"/>
      <c r="L18" s="457"/>
      <c r="M18" s="457"/>
      <c r="N18" s="349" t="str">
        <f>IF($A18&gt;0,$A18,"")</f>
        <v/>
      </c>
      <c r="O18" s="457"/>
      <c r="P18" s="457"/>
      <c r="Q18" s="457"/>
      <c r="BB18" s="81"/>
    </row>
    <row r="19" spans="1:54" s="462" customFormat="1" ht="19.5" thickBot="1" x14ac:dyDescent="0.25">
      <c r="A19" s="448" t="s">
        <v>419</v>
      </c>
      <c r="B19" s="463"/>
      <c r="I19" s="461"/>
      <c r="J19" s="461"/>
      <c r="K19" s="457"/>
      <c r="L19" s="457"/>
      <c r="M19" s="457"/>
      <c r="N19" s="457"/>
      <c r="O19" s="457"/>
      <c r="P19" s="457"/>
      <c r="Q19" s="457"/>
    </row>
    <row r="20" spans="1:54" s="462" customFormat="1" x14ac:dyDescent="0.2">
      <c r="A20" s="464" t="s">
        <v>419</v>
      </c>
      <c r="B20" s="859" t="s">
        <v>618</v>
      </c>
      <c r="C20" s="860"/>
      <c r="D20" s="860"/>
      <c r="E20" s="860"/>
      <c r="F20" s="860"/>
      <c r="G20" s="860"/>
      <c r="H20" s="861"/>
      <c r="I20" s="461"/>
      <c r="J20" s="461"/>
      <c r="K20" s="457"/>
      <c r="L20" s="457"/>
      <c r="M20" s="457"/>
      <c r="N20" s="457"/>
      <c r="O20" s="457"/>
      <c r="P20" s="457"/>
      <c r="Q20" s="457"/>
    </row>
    <row r="21" spans="1:54" s="467" customFormat="1" ht="15.75" customHeight="1" x14ac:dyDescent="0.2">
      <c r="A21" s="451" t="s">
        <v>1011</v>
      </c>
      <c r="B21" s="955" t="s">
        <v>1343</v>
      </c>
      <c r="C21" s="955"/>
      <c r="D21" s="955"/>
      <c r="E21" s="955"/>
      <c r="F21" s="955"/>
      <c r="G21" s="955"/>
      <c r="H21" s="956"/>
      <c r="I21" s="220"/>
      <c r="J21" s="465"/>
      <c r="K21" s="466"/>
      <c r="L21" s="466"/>
      <c r="M21" s="466"/>
      <c r="N21" s="466"/>
      <c r="O21" s="466"/>
      <c r="P21" s="466"/>
      <c r="Q21" s="466"/>
    </row>
    <row r="22" spans="1:54" s="467" customFormat="1" ht="15.75" customHeight="1" x14ac:dyDescent="0.2">
      <c r="A22" s="602" t="s">
        <v>1012</v>
      </c>
      <c r="B22" s="862" t="s">
        <v>478</v>
      </c>
      <c r="C22" s="862"/>
      <c r="D22" s="862"/>
      <c r="E22" s="862"/>
      <c r="F22" s="862"/>
      <c r="G22" s="862"/>
      <c r="H22" s="863"/>
      <c r="I22" s="465"/>
      <c r="J22" s="465"/>
      <c r="K22" s="466"/>
      <c r="L22" s="466"/>
      <c r="M22" s="466"/>
      <c r="N22" s="466"/>
      <c r="O22" s="466"/>
      <c r="P22" s="466"/>
      <c r="Q22" s="466"/>
    </row>
    <row r="23" spans="1:54" s="467" customFormat="1" ht="15.75" customHeight="1" x14ac:dyDescent="0.2">
      <c r="A23" s="602" t="s">
        <v>1344</v>
      </c>
      <c r="B23" s="862" t="s">
        <v>1345</v>
      </c>
      <c r="C23" s="862"/>
      <c r="D23" s="862"/>
      <c r="E23" s="862"/>
      <c r="F23" s="862"/>
      <c r="G23" s="862"/>
      <c r="H23" s="863"/>
      <c r="I23" s="465"/>
      <c r="J23" s="465"/>
      <c r="K23" s="466"/>
      <c r="L23" s="466"/>
      <c r="M23" s="466"/>
      <c r="N23" s="466"/>
      <c r="O23" s="466"/>
      <c r="P23" s="466"/>
      <c r="Q23" s="466"/>
    </row>
    <row r="24" spans="1:54" s="467" customFormat="1" x14ac:dyDescent="0.2">
      <c r="A24" s="602" t="s">
        <v>1013</v>
      </c>
      <c r="B24" s="862" t="s">
        <v>1014</v>
      </c>
      <c r="C24" s="862"/>
      <c r="D24" s="862"/>
      <c r="E24" s="862"/>
      <c r="F24" s="862"/>
      <c r="G24" s="862"/>
      <c r="H24" s="863"/>
      <c r="I24" s="465"/>
      <c r="J24" s="465"/>
      <c r="K24" s="466"/>
      <c r="L24" s="466"/>
      <c r="M24" s="466"/>
      <c r="N24" s="466"/>
      <c r="O24" s="466"/>
      <c r="P24" s="466"/>
      <c r="Q24" s="466"/>
    </row>
    <row r="25" spans="1:54" s="467" customFormat="1" x14ac:dyDescent="0.2">
      <c r="A25" s="602" t="s">
        <v>1015</v>
      </c>
      <c r="B25" s="954" t="s">
        <v>1019</v>
      </c>
      <c r="C25" s="855"/>
      <c r="D25" s="855"/>
      <c r="E25" s="855"/>
      <c r="F25" s="855"/>
      <c r="G25" s="855"/>
      <c r="H25" s="856"/>
      <c r="I25" s="465"/>
      <c r="J25" s="465"/>
      <c r="K25" s="466"/>
      <c r="L25" s="466"/>
      <c r="M25" s="466"/>
      <c r="N25" s="466"/>
      <c r="O25" s="466"/>
      <c r="P25" s="466"/>
      <c r="Q25" s="466"/>
    </row>
    <row r="26" spans="1:54" s="467" customFormat="1" x14ac:dyDescent="0.2">
      <c r="A26" s="602" t="s">
        <v>1016</v>
      </c>
      <c r="B26" s="954" t="s">
        <v>1018</v>
      </c>
      <c r="C26" s="855"/>
      <c r="D26" s="855"/>
      <c r="E26" s="855"/>
      <c r="F26" s="855"/>
      <c r="G26" s="855"/>
      <c r="H26" s="856"/>
      <c r="I26" s="465"/>
      <c r="J26" s="465"/>
      <c r="K26" s="466"/>
      <c r="L26" s="466"/>
      <c r="M26" s="466"/>
      <c r="N26" s="466"/>
      <c r="O26" s="466"/>
      <c r="P26" s="466"/>
      <c r="Q26" s="466"/>
    </row>
    <row r="27" spans="1:54" s="467" customFormat="1" x14ac:dyDescent="0.2">
      <c r="A27" s="602" t="s">
        <v>1017</v>
      </c>
      <c r="B27" s="954" t="s">
        <v>1348</v>
      </c>
      <c r="C27" s="855"/>
      <c r="D27" s="855"/>
      <c r="E27" s="855"/>
      <c r="F27" s="855"/>
      <c r="G27" s="855"/>
      <c r="H27" s="856"/>
      <c r="I27" s="465"/>
      <c r="J27" s="465"/>
      <c r="K27" s="466"/>
      <c r="L27" s="466"/>
      <c r="M27" s="466"/>
      <c r="N27" s="466"/>
      <c r="O27" s="466"/>
      <c r="P27" s="466"/>
      <c r="Q27" s="466"/>
    </row>
    <row r="28" spans="1:54" s="467" customFormat="1" x14ac:dyDescent="0.2">
      <c r="A28" s="602" t="s">
        <v>1346</v>
      </c>
      <c r="B28" s="954" t="s">
        <v>1347</v>
      </c>
      <c r="C28" s="855"/>
      <c r="D28" s="855"/>
      <c r="E28" s="855"/>
      <c r="F28" s="855"/>
      <c r="G28" s="855"/>
      <c r="H28" s="856"/>
      <c r="I28" s="465"/>
      <c r="J28" s="465"/>
      <c r="K28" s="466"/>
      <c r="L28" s="466"/>
      <c r="M28" s="466"/>
      <c r="N28" s="466"/>
      <c r="O28" s="466"/>
      <c r="P28" s="466"/>
      <c r="Q28" s="466"/>
    </row>
    <row r="29" spans="1:54" s="467" customFormat="1" ht="16.5" thickBot="1" x14ac:dyDescent="0.25">
      <c r="A29" s="469"/>
      <c r="B29" s="877"/>
      <c r="C29" s="867"/>
      <c r="D29" s="867"/>
      <c r="E29" s="867"/>
      <c r="F29" s="867"/>
      <c r="G29" s="867"/>
      <c r="H29" s="878"/>
      <c r="I29" s="465"/>
      <c r="J29" s="465"/>
      <c r="K29" s="466"/>
      <c r="L29" s="466"/>
      <c r="M29" s="466"/>
      <c r="N29" s="466"/>
      <c r="O29" s="466"/>
      <c r="P29" s="466"/>
      <c r="Q29" s="466"/>
    </row>
    <row r="30" spans="1:54" s="462" customFormat="1" ht="16.5" thickBot="1" x14ac:dyDescent="0.25">
      <c r="A30" s="456"/>
      <c r="B30" s="95"/>
      <c r="C30" s="95"/>
      <c r="D30" s="95"/>
      <c r="E30" s="95"/>
      <c r="F30" s="95"/>
      <c r="G30" s="95"/>
      <c r="H30" s="95"/>
      <c r="I30" s="461"/>
      <c r="J30" s="461"/>
      <c r="K30" s="457"/>
      <c r="L30" s="457"/>
      <c r="M30" s="457"/>
      <c r="N30" s="457"/>
      <c r="O30" s="457"/>
      <c r="P30" s="457"/>
      <c r="Q30" s="457"/>
      <c r="R30" s="457"/>
      <c r="S30" s="457"/>
      <c r="T30" s="457"/>
      <c r="U30" s="457"/>
    </row>
    <row r="31" spans="1:54" s="462" customFormat="1" ht="19.5" thickBot="1" x14ac:dyDescent="0.25">
      <c r="A31" s="448" t="s">
        <v>624</v>
      </c>
      <c r="B31" s="449"/>
      <c r="I31" s="461"/>
      <c r="J31" s="461"/>
      <c r="K31" s="457"/>
      <c r="L31" s="457"/>
      <c r="M31" s="457"/>
      <c r="N31" s="457"/>
      <c r="O31" s="457"/>
      <c r="P31" s="457"/>
      <c r="Q31" s="457"/>
      <c r="R31" s="457"/>
      <c r="S31" s="457"/>
      <c r="T31" s="457"/>
      <c r="U31" s="457"/>
    </row>
    <row r="32" spans="1:54" s="462" customFormat="1" x14ac:dyDescent="0.2">
      <c r="A32" s="223" t="s">
        <v>886</v>
      </c>
      <c r="B32" s="470"/>
      <c r="C32" s="471"/>
      <c r="D32" s="472"/>
      <c r="E32" s="472"/>
      <c r="F32" s="473"/>
      <c r="G32" s="473"/>
      <c r="H32" s="473"/>
      <c r="I32" s="474"/>
      <c r="J32" s="475"/>
      <c r="K32" s="476"/>
      <c r="L32" s="457"/>
      <c r="M32" s="457"/>
      <c r="N32" s="457"/>
      <c r="O32" s="457"/>
      <c r="P32" s="457"/>
      <c r="Q32" s="457"/>
      <c r="R32" s="457"/>
      <c r="S32" s="457"/>
      <c r="T32" s="457"/>
      <c r="U32" s="457"/>
      <c r="V32" s="457"/>
    </row>
    <row r="33" spans="1:27" s="462" customFormat="1" x14ac:dyDescent="0.2">
      <c r="A33" s="96" t="s">
        <v>626</v>
      </c>
      <c r="B33" s="214"/>
      <c r="C33" s="477"/>
      <c r="D33" s="478"/>
      <c r="E33" s="478"/>
      <c r="F33" s="479"/>
      <c r="G33" s="479"/>
      <c r="H33" s="479"/>
      <c r="I33" s="480"/>
      <c r="J33" s="481"/>
      <c r="K33" s="482"/>
      <c r="L33" s="457"/>
      <c r="M33" s="457"/>
      <c r="N33" s="457"/>
      <c r="O33" s="457"/>
      <c r="P33" s="457"/>
      <c r="Q33" s="457"/>
      <c r="R33" s="457"/>
    </row>
    <row r="34" spans="1:27" s="462" customFormat="1" ht="16.5" thickBot="1" x14ac:dyDescent="0.25">
      <c r="A34" s="110" t="s">
        <v>172</v>
      </c>
      <c r="B34" s="483"/>
      <c r="C34" s="484"/>
      <c r="D34" s="485"/>
      <c r="E34" s="485"/>
      <c r="F34" s="486"/>
      <c r="G34" s="486"/>
      <c r="H34" s="486"/>
      <c r="I34" s="487"/>
      <c r="J34" s="488"/>
      <c r="K34" s="489"/>
      <c r="L34" s="457"/>
      <c r="M34" s="457"/>
      <c r="N34" s="457"/>
      <c r="O34" s="457"/>
      <c r="P34" s="457"/>
      <c r="Q34" s="457"/>
      <c r="R34" s="457"/>
      <c r="S34" s="118"/>
      <c r="T34" s="118"/>
      <c r="U34" s="118"/>
      <c r="V34" s="457"/>
      <c r="W34" s="457"/>
      <c r="X34" s="457"/>
    </row>
    <row r="35" spans="1:27" s="491" customFormat="1" ht="32.25" customHeight="1" x14ac:dyDescent="0.2">
      <c r="A35" s="875" t="s">
        <v>627</v>
      </c>
      <c r="B35" s="868" t="s">
        <v>628</v>
      </c>
      <c r="C35" s="868" t="s">
        <v>11</v>
      </c>
      <c r="D35" s="868" t="s">
        <v>12</v>
      </c>
      <c r="E35" s="868" t="s">
        <v>13</v>
      </c>
      <c r="F35" s="868" t="s">
        <v>14</v>
      </c>
      <c r="G35" s="868" t="s">
        <v>15</v>
      </c>
      <c r="H35" s="868" t="s">
        <v>16</v>
      </c>
      <c r="I35" s="868" t="s">
        <v>17</v>
      </c>
      <c r="J35" s="868" t="s">
        <v>18</v>
      </c>
      <c r="K35" s="868" t="s">
        <v>19</v>
      </c>
      <c r="L35" s="868" t="s">
        <v>20</v>
      </c>
      <c r="M35" s="490"/>
      <c r="N35" s="490"/>
      <c r="O35" s="490"/>
      <c r="P35" s="490"/>
      <c r="Q35" s="490"/>
      <c r="R35" s="490"/>
      <c r="S35" s="490"/>
      <c r="T35" s="490"/>
      <c r="U35" s="490"/>
      <c r="V35" s="490"/>
      <c r="W35" s="490"/>
      <c r="X35" s="868" t="s">
        <v>22</v>
      </c>
      <c r="Y35" s="868" t="s">
        <v>23</v>
      </c>
      <c r="Z35" s="868" t="s">
        <v>24</v>
      </c>
      <c r="AA35" s="922" t="s">
        <v>352</v>
      </c>
    </row>
    <row r="36" spans="1:27" s="491" customFormat="1" ht="16.5" thickBot="1" x14ac:dyDescent="0.25">
      <c r="A36" s="876"/>
      <c r="B36" s="869"/>
      <c r="C36" s="869"/>
      <c r="D36" s="869"/>
      <c r="E36" s="869"/>
      <c r="F36" s="869"/>
      <c r="G36" s="872"/>
      <c r="H36" s="869"/>
      <c r="I36" s="869"/>
      <c r="J36" s="869"/>
      <c r="K36" s="869"/>
      <c r="L36" s="869"/>
      <c r="M36" s="492"/>
      <c r="N36" s="492"/>
      <c r="O36" s="492"/>
      <c r="P36" s="492"/>
      <c r="Q36" s="492"/>
      <c r="R36" s="492"/>
      <c r="S36" s="492"/>
      <c r="T36" s="492"/>
      <c r="U36" s="492"/>
      <c r="V36" s="492"/>
      <c r="W36" s="492"/>
      <c r="X36" s="869"/>
      <c r="Y36" s="869"/>
      <c r="Z36" s="869"/>
      <c r="AA36" s="923"/>
    </row>
    <row r="37" spans="1:27" s="136" customFormat="1" x14ac:dyDescent="0.2">
      <c r="A37" s="493"/>
      <c r="B37" s="49"/>
      <c r="C37" s="225"/>
      <c r="D37" s="225"/>
      <c r="E37" s="225"/>
      <c r="F37" s="225"/>
      <c r="G37" s="120"/>
      <c r="H37" s="225"/>
      <c r="I37" s="263"/>
      <c r="J37" s="263"/>
      <c r="K37" s="263"/>
      <c r="L37" s="263"/>
      <c r="M37" s="120"/>
      <c r="N37" s="120"/>
      <c r="O37" s="120"/>
      <c r="P37" s="226"/>
      <c r="Q37" s="226"/>
      <c r="R37" s="226"/>
      <c r="S37" s="120"/>
      <c r="T37" s="120"/>
      <c r="U37" s="120"/>
      <c r="V37" s="120"/>
      <c r="W37" s="120"/>
      <c r="X37" s="227"/>
      <c r="Y37" s="227"/>
      <c r="Z37" s="120"/>
      <c r="AA37" s="121"/>
    </row>
    <row r="38" spans="1:27" s="136" customFormat="1" x14ac:dyDescent="0.2">
      <c r="A38" s="494"/>
      <c r="B38" s="123"/>
      <c r="C38" s="123"/>
      <c r="D38" s="123"/>
      <c r="E38" s="123"/>
      <c r="F38" s="123"/>
      <c r="G38" s="124"/>
      <c r="H38" s="123"/>
      <c r="I38" s="255"/>
      <c r="J38" s="255"/>
      <c r="K38" s="255"/>
      <c r="L38" s="255"/>
      <c r="M38" s="125"/>
      <c r="N38" s="124"/>
      <c r="O38" s="124"/>
      <c r="P38" s="125"/>
      <c r="Q38" s="125"/>
      <c r="R38" s="125"/>
      <c r="S38" s="124"/>
      <c r="T38" s="124"/>
      <c r="U38" s="124"/>
      <c r="V38" s="124"/>
      <c r="W38" s="124"/>
      <c r="X38" s="126"/>
      <c r="Y38" s="126"/>
      <c r="Z38" s="124"/>
      <c r="AA38" s="127"/>
    </row>
    <row r="39" spans="1:27" s="136" customFormat="1" x14ac:dyDescent="0.2">
      <c r="A39" s="494"/>
      <c r="B39" s="123"/>
      <c r="C39" s="123"/>
      <c r="D39" s="123"/>
      <c r="E39" s="123"/>
      <c r="F39" s="123"/>
      <c r="G39" s="124"/>
      <c r="H39" s="123"/>
      <c r="I39" s="255"/>
      <c r="J39" s="255"/>
      <c r="K39" s="255"/>
      <c r="L39" s="255"/>
      <c r="M39" s="125"/>
      <c r="N39" s="124"/>
      <c r="O39" s="124"/>
      <c r="P39" s="125"/>
      <c r="Q39" s="125"/>
      <c r="R39" s="125"/>
      <c r="S39" s="124"/>
      <c r="T39" s="124"/>
      <c r="U39" s="124"/>
      <c r="V39" s="124"/>
      <c r="W39" s="124"/>
      <c r="X39" s="126"/>
      <c r="Y39" s="126"/>
      <c r="Z39" s="124"/>
      <c r="AA39" s="127"/>
    </row>
    <row r="40" spans="1:27" s="136" customFormat="1" ht="16.5" thickBot="1" x14ac:dyDescent="0.25">
      <c r="A40" s="495"/>
      <c r="B40" s="128"/>
      <c r="C40" s="128"/>
      <c r="D40" s="128"/>
      <c r="E40" s="128"/>
      <c r="F40" s="128"/>
      <c r="G40" s="129"/>
      <c r="H40" s="128"/>
      <c r="I40" s="256"/>
      <c r="J40" s="256"/>
      <c r="K40" s="256"/>
      <c r="L40" s="256"/>
      <c r="M40" s="129"/>
      <c r="N40" s="129"/>
      <c r="O40" s="129"/>
      <c r="P40" s="130"/>
      <c r="Q40" s="130"/>
      <c r="R40" s="130"/>
      <c r="S40" s="129"/>
      <c r="T40" s="129"/>
      <c r="U40" s="129"/>
      <c r="V40" s="129"/>
      <c r="W40" s="129"/>
      <c r="X40" s="131"/>
      <c r="Y40" s="131"/>
      <c r="Z40" s="129"/>
      <c r="AA40" s="132"/>
    </row>
    <row r="41" spans="1:27" s="73" customFormat="1" x14ac:dyDescent="0.2">
      <c r="A41" s="133"/>
      <c r="B41" s="133"/>
      <c r="C41" s="133"/>
      <c r="D41" s="133"/>
      <c r="E41" s="133"/>
      <c r="F41" s="133"/>
      <c r="G41" s="118"/>
      <c r="H41" s="118"/>
      <c r="I41" s="118"/>
      <c r="J41" s="118"/>
      <c r="K41" s="118"/>
      <c r="L41" s="118"/>
      <c r="M41" s="134"/>
      <c r="N41" s="118"/>
      <c r="O41" s="159"/>
      <c r="P41" s="159"/>
      <c r="Q41" s="159"/>
      <c r="R41" s="159"/>
      <c r="S41" s="159"/>
      <c r="T41" s="159"/>
      <c r="U41" s="159"/>
      <c r="V41" s="159"/>
      <c r="W41" s="466"/>
    </row>
    <row r="42" spans="1:27" s="73" customFormat="1" ht="16.5" thickBot="1" x14ac:dyDescent="0.25">
      <c r="A42" s="133"/>
      <c r="B42" s="133"/>
      <c r="C42" s="133"/>
      <c r="D42" s="133"/>
      <c r="E42" s="133"/>
      <c r="F42" s="133"/>
      <c r="G42" s="118"/>
      <c r="H42" s="118"/>
      <c r="I42" s="118"/>
      <c r="J42" s="118"/>
      <c r="K42" s="118"/>
      <c r="N42" s="118"/>
      <c r="O42" s="159"/>
      <c r="P42" s="159"/>
      <c r="Q42" s="159"/>
      <c r="R42" s="159"/>
      <c r="S42" s="159"/>
      <c r="T42" s="159"/>
      <c r="U42" s="159"/>
      <c r="V42" s="159"/>
      <c r="W42" s="467"/>
    </row>
    <row r="43" spans="1:27" s="73" customFormat="1" ht="16.5" thickBot="1" x14ac:dyDescent="0.25">
      <c r="A43" s="496" t="s">
        <v>25</v>
      </c>
      <c r="B43" s="133"/>
      <c r="C43" s="133"/>
      <c r="D43" s="133"/>
      <c r="E43" s="133"/>
      <c r="F43" s="133"/>
      <c r="G43" s="118"/>
      <c r="H43" s="118"/>
      <c r="I43" s="118"/>
      <c r="J43" s="118"/>
      <c r="K43" s="118"/>
      <c r="M43" s="118"/>
      <c r="N43" s="118"/>
      <c r="O43" s="159"/>
      <c r="P43" s="136"/>
      <c r="Q43" s="136"/>
      <c r="R43" s="136"/>
      <c r="S43" s="466"/>
      <c r="T43" s="466"/>
      <c r="U43" s="466"/>
      <c r="V43" s="466"/>
      <c r="W43" s="159"/>
    </row>
    <row r="44" spans="1:27" s="73" customFormat="1" ht="15.75" customHeight="1" x14ac:dyDescent="0.2">
      <c r="A44" s="875" t="s">
        <v>627</v>
      </c>
      <c r="B44" s="868" t="s">
        <v>628</v>
      </c>
      <c r="C44" s="868" t="s">
        <v>11</v>
      </c>
      <c r="D44" s="868" t="s">
        <v>12</v>
      </c>
      <c r="E44" s="868" t="s">
        <v>13</v>
      </c>
      <c r="F44" s="868" t="s">
        <v>14</v>
      </c>
      <c r="G44" s="868" t="s">
        <v>15</v>
      </c>
      <c r="H44" s="868" t="s">
        <v>16</v>
      </c>
      <c r="I44" s="868" t="s">
        <v>26</v>
      </c>
      <c r="J44" s="868" t="s">
        <v>27</v>
      </c>
      <c r="K44" s="945" t="s">
        <v>295</v>
      </c>
      <c r="L44" s="497" t="s">
        <v>63</v>
      </c>
      <c r="M44" s="498" t="s">
        <v>64</v>
      </c>
      <c r="N44" s="499" t="s">
        <v>65</v>
      </c>
      <c r="O44" s="490"/>
      <c r="P44" s="490"/>
      <c r="Q44" s="490"/>
      <c r="R44" s="490"/>
      <c r="S44" s="490"/>
      <c r="T44" s="490"/>
      <c r="U44" s="490"/>
      <c r="V44" s="490"/>
      <c r="W44" s="490"/>
      <c r="X44" s="868" t="s">
        <v>22</v>
      </c>
      <c r="Y44" s="868" t="s">
        <v>23</v>
      </c>
      <c r="Z44" s="868" t="s">
        <v>24</v>
      </c>
      <c r="AA44" s="922" t="s">
        <v>352</v>
      </c>
    </row>
    <row r="45" spans="1:27" s="73" customFormat="1" ht="31.7" customHeight="1" thickBot="1" x14ac:dyDescent="0.25">
      <c r="A45" s="876"/>
      <c r="B45" s="869"/>
      <c r="C45" s="869"/>
      <c r="D45" s="869"/>
      <c r="E45" s="869"/>
      <c r="F45" s="869"/>
      <c r="G45" s="872"/>
      <c r="H45" s="869"/>
      <c r="I45" s="869"/>
      <c r="J45" s="869"/>
      <c r="K45" s="946"/>
      <c r="L45" s="500" t="s">
        <v>66</v>
      </c>
      <c r="M45" s="501" t="s">
        <v>67</v>
      </c>
      <c r="N45" s="502" t="s">
        <v>68</v>
      </c>
      <c r="O45" s="503"/>
      <c r="P45" s="492"/>
      <c r="Q45" s="492"/>
      <c r="R45" s="492"/>
      <c r="S45" s="492"/>
      <c r="T45" s="492"/>
      <c r="U45" s="492"/>
      <c r="V45" s="492"/>
      <c r="W45" s="492"/>
      <c r="X45" s="869"/>
      <c r="Y45" s="869"/>
      <c r="Z45" s="869"/>
      <c r="AA45" s="923"/>
    </row>
    <row r="46" spans="1:27" s="136" customFormat="1" x14ac:dyDescent="0.2">
      <c r="A46" s="493"/>
      <c r="B46" s="225"/>
      <c r="C46" s="225"/>
      <c r="D46" s="225"/>
      <c r="E46" s="225"/>
      <c r="F46" s="225"/>
      <c r="G46" s="120"/>
      <c r="H46" s="225"/>
      <c r="I46" s="263"/>
      <c r="J46" s="263"/>
      <c r="K46" s="265"/>
      <c r="L46" s="268"/>
      <c r="M46" s="120"/>
      <c r="N46" s="121"/>
      <c r="O46" s="269"/>
      <c r="P46" s="226"/>
      <c r="Q46" s="226"/>
      <c r="R46" s="226"/>
      <c r="S46" s="120"/>
      <c r="T46" s="120"/>
      <c r="U46" s="120"/>
      <c r="V46" s="120"/>
      <c r="W46" s="120"/>
      <c r="X46" s="227"/>
      <c r="Y46" s="227"/>
      <c r="Z46" s="120"/>
      <c r="AA46" s="121"/>
    </row>
    <row r="47" spans="1:27" s="136" customFormat="1" x14ac:dyDescent="0.2">
      <c r="A47" s="494"/>
      <c r="B47" s="123"/>
      <c r="C47" s="123"/>
      <c r="D47" s="123"/>
      <c r="E47" s="123"/>
      <c r="F47" s="123"/>
      <c r="G47" s="124"/>
      <c r="H47" s="123"/>
      <c r="I47" s="255"/>
      <c r="J47" s="255"/>
      <c r="K47" s="266"/>
      <c r="L47" s="259"/>
      <c r="M47" s="124"/>
      <c r="N47" s="127"/>
      <c r="O47" s="248"/>
      <c r="P47" s="125"/>
      <c r="Q47" s="125"/>
      <c r="R47" s="125"/>
      <c r="S47" s="124"/>
      <c r="T47" s="124"/>
      <c r="U47" s="124"/>
      <c r="V47" s="124"/>
      <c r="W47" s="124"/>
      <c r="X47" s="126"/>
      <c r="Y47" s="126"/>
      <c r="Z47" s="124"/>
      <c r="AA47" s="127"/>
    </row>
    <row r="48" spans="1:27" s="136" customFormat="1" x14ac:dyDescent="0.2">
      <c r="A48" s="494"/>
      <c r="B48" s="123"/>
      <c r="C48" s="123"/>
      <c r="D48" s="123"/>
      <c r="E48" s="123"/>
      <c r="F48" s="123"/>
      <c r="G48" s="124"/>
      <c r="H48" s="123"/>
      <c r="I48" s="255"/>
      <c r="J48" s="255"/>
      <c r="K48" s="266"/>
      <c r="L48" s="259"/>
      <c r="M48" s="124"/>
      <c r="N48" s="127"/>
      <c r="O48" s="248"/>
      <c r="P48" s="125"/>
      <c r="Q48" s="125"/>
      <c r="R48" s="125"/>
      <c r="S48" s="124"/>
      <c r="T48" s="124"/>
      <c r="U48" s="124"/>
      <c r="V48" s="124"/>
      <c r="W48" s="124"/>
      <c r="X48" s="126"/>
      <c r="Y48" s="126"/>
      <c r="Z48" s="124"/>
      <c r="AA48" s="127"/>
    </row>
    <row r="49" spans="1:29" s="136" customFormat="1" ht="16.5" thickBot="1" x14ac:dyDescent="0.25">
      <c r="A49" s="495"/>
      <c r="B49" s="128"/>
      <c r="C49" s="128"/>
      <c r="D49" s="128"/>
      <c r="E49" s="128"/>
      <c r="F49" s="128"/>
      <c r="G49" s="129"/>
      <c r="H49" s="128"/>
      <c r="I49" s="256"/>
      <c r="J49" s="256"/>
      <c r="K49" s="267"/>
      <c r="L49" s="137"/>
      <c r="M49" s="129"/>
      <c r="N49" s="132"/>
      <c r="O49" s="137"/>
      <c r="P49" s="129"/>
      <c r="Q49" s="129"/>
      <c r="R49" s="129"/>
      <c r="S49" s="129"/>
      <c r="T49" s="129"/>
      <c r="U49" s="129"/>
      <c r="V49" s="129"/>
      <c r="W49" s="129"/>
      <c r="X49" s="131"/>
      <c r="Y49" s="131"/>
      <c r="Z49" s="129"/>
      <c r="AA49" s="132"/>
    </row>
    <row r="50" spans="1:29" s="73" customFormat="1" x14ac:dyDescent="0.2">
      <c r="A50" s="133"/>
      <c r="B50" s="133"/>
      <c r="C50" s="133"/>
      <c r="D50" s="133"/>
      <c r="E50" s="133"/>
      <c r="F50" s="133"/>
      <c r="G50" s="118"/>
      <c r="H50" s="118"/>
      <c r="I50" s="118"/>
      <c r="J50" s="118"/>
      <c r="K50" s="118"/>
      <c r="L50" s="118"/>
      <c r="M50" s="118"/>
      <c r="N50" s="118"/>
      <c r="O50" s="160"/>
      <c r="P50" s="159"/>
      <c r="Q50" s="159"/>
      <c r="R50" s="159"/>
      <c r="S50" s="136"/>
      <c r="T50" s="136"/>
      <c r="U50" s="136"/>
      <c r="V50" s="136"/>
      <c r="W50" s="136"/>
      <c r="X50" s="118"/>
    </row>
    <row r="51" spans="1:29" s="73" customFormat="1" ht="16.5" thickBot="1" x14ac:dyDescent="0.25">
      <c r="A51" s="133"/>
      <c r="B51" s="133"/>
      <c r="C51" s="133"/>
      <c r="D51" s="133"/>
      <c r="E51" s="133"/>
      <c r="F51" s="133"/>
      <c r="G51" s="118"/>
      <c r="H51" s="118"/>
      <c r="I51" s="118"/>
      <c r="J51" s="118"/>
      <c r="K51" s="118"/>
      <c r="L51" s="118"/>
      <c r="M51" s="118"/>
      <c r="N51" s="118"/>
      <c r="O51" s="160"/>
      <c r="P51" s="159"/>
      <c r="Q51" s="159"/>
      <c r="R51" s="159"/>
      <c r="S51" s="136"/>
      <c r="T51" s="136"/>
      <c r="U51" s="136"/>
      <c r="V51" s="136"/>
      <c r="W51" s="136"/>
      <c r="X51" s="118"/>
    </row>
    <row r="52" spans="1:29" s="73" customFormat="1" ht="16.5" thickBot="1" x14ac:dyDescent="0.25">
      <c r="A52" s="822" t="s">
        <v>307</v>
      </c>
      <c r="B52" s="873"/>
      <c r="C52" s="873"/>
      <c r="D52" s="874"/>
      <c r="E52" s="133"/>
      <c r="F52" s="133"/>
      <c r="G52" s="118"/>
      <c r="H52" s="118"/>
      <c r="I52" s="118"/>
      <c r="J52" s="118"/>
      <c r="K52" s="118"/>
      <c r="L52" s="118"/>
      <c r="M52" s="118"/>
      <c r="N52" s="118"/>
      <c r="O52" s="136"/>
      <c r="P52" s="159"/>
      <c r="Q52" s="159"/>
      <c r="R52" s="159"/>
      <c r="S52" s="466"/>
      <c r="T52" s="466"/>
      <c r="U52" s="466"/>
      <c r="V52" s="466"/>
      <c r="W52" s="159"/>
      <c r="X52" s="118"/>
      <c r="Y52" s="118"/>
    </row>
    <row r="53" spans="1:29" s="73" customFormat="1" ht="15.75" customHeight="1" x14ac:dyDescent="0.2">
      <c r="A53" s="875" t="s">
        <v>627</v>
      </c>
      <c r="B53" s="868" t="s">
        <v>628</v>
      </c>
      <c r="C53" s="868" t="s">
        <v>11</v>
      </c>
      <c r="D53" s="868" t="s">
        <v>12</v>
      </c>
      <c r="E53" s="868" t="s">
        <v>13</v>
      </c>
      <c r="F53" s="868" t="s">
        <v>14</v>
      </c>
      <c r="G53" s="868" t="s">
        <v>15</v>
      </c>
      <c r="H53" s="868" t="s">
        <v>16</v>
      </c>
      <c r="I53" s="868">
        <v>20</v>
      </c>
      <c r="J53" s="868">
        <v>40</v>
      </c>
      <c r="K53" s="868" t="s">
        <v>19</v>
      </c>
      <c r="L53" s="922" t="s">
        <v>20</v>
      </c>
      <c r="M53" s="943" t="s">
        <v>28</v>
      </c>
      <c r="N53" s="504" t="s">
        <v>69</v>
      </c>
      <c r="O53" s="498" t="s">
        <v>64</v>
      </c>
      <c r="P53" s="499" t="s">
        <v>65</v>
      </c>
      <c r="Q53" s="490" t="s">
        <v>147</v>
      </c>
      <c r="R53" s="490" t="s">
        <v>71</v>
      </c>
      <c r="S53" s="490"/>
      <c r="T53" s="490"/>
      <c r="U53" s="490"/>
      <c r="V53" s="490"/>
      <c r="W53" s="490"/>
      <c r="X53" s="490"/>
      <c r="Y53" s="490"/>
      <c r="Z53" s="868" t="s">
        <v>22</v>
      </c>
      <c r="AA53" s="868" t="s">
        <v>23</v>
      </c>
      <c r="AB53" s="868" t="s">
        <v>24</v>
      </c>
      <c r="AC53" s="922" t="s">
        <v>352</v>
      </c>
    </row>
    <row r="54" spans="1:29" s="73" customFormat="1" ht="48" thickBot="1" x14ac:dyDescent="0.25">
      <c r="A54" s="876"/>
      <c r="B54" s="869"/>
      <c r="C54" s="869"/>
      <c r="D54" s="869"/>
      <c r="E54" s="869"/>
      <c r="F54" s="869"/>
      <c r="G54" s="872"/>
      <c r="H54" s="869"/>
      <c r="I54" s="869"/>
      <c r="J54" s="869"/>
      <c r="K54" s="869"/>
      <c r="L54" s="923"/>
      <c r="M54" s="944"/>
      <c r="N54" s="505" t="s">
        <v>70</v>
      </c>
      <c r="O54" s="501" t="s">
        <v>67</v>
      </c>
      <c r="P54" s="502" t="s">
        <v>68</v>
      </c>
      <c r="Q54" s="503" t="s">
        <v>84</v>
      </c>
      <c r="R54" s="492" t="s">
        <v>84</v>
      </c>
      <c r="S54" s="492"/>
      <c r="T54" s="492"/>
      <c r="U54" s="492"/>
      <c r="V54" s="492"/>
      <c r="W54" s="492"/>
      <c r="X54" s="492"/>
      <c r="Y54" s="492"/>
      <c r="Z54" s="924"/>
      <c r="AA54" s="924"/>
      <c r="AB54" s="924"/>
      <c r="AC54" s="923"/>
    </row>
    <row r="55" spans="1:29" s="136" customFormat="1" x14ac:dyDescent="0.2">
      <c r="A55" s="493"/>
      <c r="B55" s="225"/>
      <c r="C55" s="225"/>
      <c r="D55" s="225"/>
      <c r="E55" s="225"/>
      <c r="F55" s="225"/>
      <c r="G55" s="120"/>
      <c r="H55" s="225"/>
      <c r="I55" s="263"/>
      <c r="J55" s="263"/>
      <c r="K55" s="263"/>
      <c r="L55" s="265"/>
      <c r="M55" s="270"/>
      <c r="N55" s="268"/>
      <c r="O55" s="120"/>
      <c r="P55" s="121"/>
      <c r="Q55" s="269"/>
      <c r="R55" s="226"/>
      <c r="S55" s="226"/>
      <c r="T55" s="226"/>
      <c r="U55" s="226"/>
      <c r="V55" s="226"/>
      <c r="W55" s="120"/>
      <c r="X55" s="120"/>
      <c r="Y55" s="120"/>
      <c r="Z55" s="227"/>
      <c r="AA55" s="227"/>
      <c r="AB55" s="120"/>
      <c r="AC55" s="121"/>
    </row>
    <row r="56" spans="1:29" s="136" customFormat="1" x14ac:dyDescent="0.2">
      <c r="A56" s="494"/>
      <c r="B56" s="123"/>
      <c r="C56" s="123"/>
      <c r="D56" s="123"/>
      <c r="E56" s="123"/>
      <c r="F56" s="123"/>
      <c r="G56" s="124"/>
      <c r="H56" s="123"/>
      <c r="I56" s="255"/>
      <c r="J56" s="255"/>
      <c r="K56" s="255"/>
      <c r="L56" s="266"/>
      <c r="M56" s="271"/>
      <c r="N56" s="259"/>
      <c r="O56" s="124"/>
      <c r="P56" s="127"/>
      <c r="Q56" s="248"/>
      <c r="R56" s="125"/>
      <c r="S56" s="125"/>
      <c r="T56" s="125"/>
      <c r="U56" s="125"/>
      <c r="V56" s="125"/>
      <c r="W56" s="124"/>
      <c r="X56" s="124"/>
      <c r="Y56" s="124"/>
      <c r="Z56" s="126"/>
      <c r="AA56" s="126"/>
      <c r="AB56" s="124"/>
      <c r="AC56" s="127"/>
    </row>
    <row r="57" spans="1:29" s="136" customFormat="1" x14ac:dyDescent="0.2">
      <c r="A57" s="494"/>
      <c r="B57" s="123"/>
      <c r="C57" s="123"/>
      <c r="D57" s="123"/>
      <c r="E57" s="123"/>
      <c r="F57" s="123"/>
      <c r="G57" s="124"/>
      <c r="H57" s="123"/>
      <c r="I57" s="255"/>
      <c r="J57" s="255"/>
      <c r="K57" s="255"/>
      <c r="L57" s="266"/>
      <c r="M57" s="271"/>
      <c r="N57" s="259"/>
      <c r="O57" s="124"/>
      <c r="P57" s="127"/>
      <c r="Q57" s="248"/>
      <c r="R57" s="125"/>
      <c r="S57" s="125"/>
      <c r="T57" s="125"/>
      <c r="U57" s="125"/>
      <c r="V57" s="125"/>
      <c r="W57" s="124"/>
      <c r="X57" s="124"/>
      <c r="Y57" s="124"/>
      <c r="Z57" s="126"/>
      <c r="AA57" s="126"/>
      <c r="AB57" s="124"/>
      <c r="AC57" s="127"/>
    </row>
    <row r="58" spans="1:29" s="136" customFormat="1" ht="16.5" thickBot="1" x14ac:dyDescent="0.25">
      <c r="A58" s="495"/>
      <c r="B58" s="128"/>
      <c r="C58" s="128"/>
      <c r="D58" s="128"/>
      <c r="E58" s="128"/>
      <c r="F58" s="128"/>
      <c r="G58" s="129"/>
      <c r="H58" s="128"/>
      <c r="I58" s="256"/>
      <c r="J58" s="256"/>
      <c r="K58" s="256"/>
      <c r="L58" s="267"/>
      <c r="M58" s="161"/>
      <c r="N58" s="137"/>
      <c r="O58" s="129"/>
      <c r="P58" s="132"/>
      <c r="Q58" s="137"/>
      <c r="R58" s="129"/>
      <c r="S58" s="129"/>
      <c r="T58" s="129"/>
      <c r="U58" s="129"/>
      <c r="V58" s="129"/>
      <c r="W58" s="129"/>
      <c r="X58" s="129"/>
      <c r="Y58" s="129"/>
      <c r="Z58" s="131"/>
      <c r="AA58" s="131"/>
      <c r="AB58" s="129"/>
      <c r="AC58" s="132"/>
    </row>
    <row r="59" spans="1:29" s="73" customFormat="1" x14ac:dyDescent="0.2">
      <c r="A59" s="133"/>
      <c r="B59" s="133"/>
      <c r="C59" s="133"/>
      <c r="D59" s="133"/>
      <c r="E59" s="133"/>
      <c r="F59" s="133"/>
      <c r="G59" s="118"/>
      <c r="H59" s="118"/>
      <c r="I59" s="118"/>
      <c r="J59" s="118"/>
      <c r="K59" s="118"/>
      <c r="M59" s="118"/>
      <c r="V59" s="118"/>
      <c r="W59" s="118"/>
    </row>
    <row r="60" spans="1:29" s="73" customFormat="1" x14ac:dyDescent="0.2">
      <c r="A60" s="133"/>
      <c r="B60" s="133"/>
      <c r="C60" s="133"/>
      <c r="D60" s="133"/>
      <c r="E60" s="133"/>
      <c r="F60" s="118"/>
      <c r="G60" s="118"/>
      <c r="H60" s="118"/>
      <c r="I60" s="118"/>
      <c r="J60" s="118"/>
      <c r="K60" s="134"/>
      <c r="L60" s="118"/>
      <c r="M60" s="118"/>
      <c r="N60" s="118"/>
      <c r="S60" s="118"/>
      <c r="T60" s="118"/>
      <c r="U60" s="118"/>
    </row>
    <row r="61" spans="1:29" s="456" customFormat="1" ht="16.5" thickBot="1" x14ac:dyDescent="0.25">
      <c r="A61" s="133"/>
      <c r="B61" s="133"/>
      <c r="C61" s="133"/>
      <c r="D61" s="133"/>
      <c r="E61" s="118"/>
      <c r="F61" s="118"/>
      <c r="G61" s="118"/>
      <c r="H61" s="118"/>
      <c r="I61" s="118"/>
      <c r="J61" s="134"/>
      <c r="K61" s="134"/>
      <c r="L61" s="134"/>
      <c r="M61" s="134"/>
      <c r="R61" s="134"/>
    </row>
    <row r="62" spans="1:29" s="456" customFormat="1" ht="19.5" thickBot="1" x14ac:dyDescent="0.25">
      <c r="A62" s="938" t="s">
        <v>29</v>
      </c>
      <c r="B62" s="939"/>
      <c r="C62" s="940"/>
      <c r="D62" s="133"/>
      <c r="E62" s="133"/>
      <c r="F62" s="118"/>
      <c r="G62" s="118"/>
      <c r="H62" s="118"/>
      <c r="I62" s="118"/>
      <c r="J62" s="118"/>
      <c r="K62" s="134"/>
      <c r="L62" s="134"/>
      <c r="M62" s="134"/>
      <c r="N62" s="134"/>
      <c r="S62" s="134"/>
      <c r="T62" s="134"/>
      <c r="U62" s="134"/>
    </row>
    <row r="63" spans="1:29" s="456" customFormat="1" ht="16.5" thickBot="1" x14ac:dyDescent="0.25">
      <c r="A63" s="800" t="s">
        <v>625</v>
      </c>
      <c r="B63" s="801"/>
      <c r="C63" s="802"/>
      <c r="D63" s="133"/>
      <c r="E63" s="133"/>
      <c r="F63" s="133"/>
      <c r="G63" s="118"/>
      <c r="H63" s="118"/>
      <c r="I63" s="118"/>
      <c r="J63" s="118"/>
      <c r="K63" s="118"/>
      <c r="L63" s="134"/>
      <c r="N63" s="134"/>
      <c r="O63" s="134"/>
      <c r="V63" s="134"/>
    </row>
    <row r="64" spans="1:29" s="456" customFormat="1" x14ac:dyDescent="0.2">
      <c r="A64" s="506" t="s">
        <v>30</v>
      </c>
      <c r="B64" s="507"/>
      <c r="C64" s="508" t="s">
        <v>155</v>
      </c>
      <c r="D64" s="509"/>
      <c r="E64" s="509"/>
      <c r="F64" s="510"/>
      <c r="G64" s="510"/>
      <c r="H64" s="509"/>
      <c r="I64" s="510"/>
      <c r="J64" s="509"/>
      <c r="K64" s="143"/>
      <c r="L64" s="144"/>
      <c r="N64" s="134"/>
      <c r="O64" s="134"/>
      <c r="P64" s="134"/>
    </row>
    <row r="65" spans="1:24" s="456" customFormat="1" x14ac:dyDescent="0.2">
      <c r="A65" s="96" t="s">
        <v>626</v>
      </c>
      <c r="B65" s="511"/>
      <c r="C65" s="511"/>
      <c r="D65" s="512"/>
      <c r="E65" s="512"/>
      <c r="F65" s="215"/>
      <c r="G65" s="215"/>
      <c r="H65" s="512"/>
      <c r="I65" s="215"/>
      <c r="J65" s="512"/>
      <c r="K65" s="149"/>
      <c r="L65" s="150"/>
      <c r="N65" s="134"/>
      <c r="O65" s="134"/>
      <c r="P65" s="134"/>
    </row>
    <row r="66" spans="1:24" s="456" customFormat="1" x14ac:dyDescent="0.2">
      <c r="A66" s="96" t="s">
        <v>173</v>
      </c>
      <c r="B66" s="511"/>
      <c r="C66" s="511"/>
      <c r="D66" s="512"/>
      <c r="E66" s="512"/>
      <c r="F66" s="215"/>
      <c r="G66" s="215"/>
      <c r="H66" s="512"/>
      <c r="I66" s="215"/>
      <c r="J66" s="512"/>
      <c r="K66" s="149"/>
      <c r="L66" s="150"/>
      <c r="N66" s="134"/>
      <c r="O66" s="134"/>
      <c r="P66" s="134"/>
    </row>
    <row r="67" spans="1:24" s="456" customFormat="1" x14ac:dyDescent="0.2">
      <c r="A67" s="96" t="s">
        <v>987</v>
      </c>
      <c r="B67" s="511"/>
      <c r="C67" s="511"/>
      <c r="D67" s="512"/>
      <c r="E67" s="512"/>
      <c r="F67" s="215"/>
      <c r="G67" s="215"/>
      <c r="H67" s="512"/>
      <c r="I67" s="215"/>
      <c r="J67" s="512"/>
      <c r="K67" s="149"/>
      <c r="L67" s="150"/>
      <c r="N67" s="134"/>
      <c r="O67" s="134"/>
      <c r="P67" s="134"/>
    </row>
    <row r="68" spans="1:24" s="456" customFormat="1" ht="16.5" thickBot="1" x14ac:dyDescent="0.25">
      <c r="A68" s="110" t="s">
        <v>988</v>
      </c>
      <c r="B68" s="513"/>
      <c r="C68" s="513"/>
      <c r="D68" s="514"/>
      <c r="E68" s="514"/>
      <c r="F68" s="515"/>
      <c r="G68" s="515"/>
      <c r="H68" s="514"/>
      <c r="I68" s="515"/>
      <c r="J68" s="514"/>
      <c r="K68" s="154"/>
      <c r="L68" s="155"/>
      <c r="N68" s="134"/>
      <c r="O68" s="134"/>
      <c r="P68" s="134"/>
    </row>
    <row r="69" spans="1:24" s="456" customFormat="1" ht="16.5" thickBot="1" x14ac:dyDescent="0.25">
      <c r="A69" s="516"/>
      <c r="B69" s="517"/>
      <c r="C69" s="134"/>
      <c r="D69" s="133"/>
      <c r="E69" s="133"/>
      <c r="F69" s="133"/>
      <c r="G69" s="133"/>
      <c r="H69" s="118"/>
      <c r="I69" s="118"/>
      <c r="J69" s="118"/>
      <c r="K69" s="118"/>
      <c r="L69" s="118"/>
      <c r="M69" s="134"/>
      <c r="O69" s="134"/>
      <c r="P69" s="134"/>
      <c r="Q69" s="118"/>
    </row>
    <row r="70" spans="1:24" s="14" customFormat="1" ht="48" thickBot="1" x14ac:dyDescent="0.25">
      <c r="A70" s="518" t="s">
        <v>31</v>
      </c>
      <c r="B70" s="932" t="s">
        <v>628</v>
      </c>
      <c r="C70" s="933"/>
      <c r="D70" s="934"/>
      <c r="E70" s="519" t="s">
        <v>11</v>
      </c>
      <c r="F70" s="519" t="s">
        <v>14</v>
      </c>
      <c r="G70" s="519" t="s">
        <v>287</v>
      </c>
      <c r="H70" s="519" t="s">
        <v>32</v>
      </c>
      <c r="I70" s="519" t="s">
        <v>16</v>
      </c>
      <c r="J70" s="519" t="s">
        <v>17</v>
      </c>
      <c r="K70" s="519" t="s">
        <v>18</v>
      </c>
      <c r="L70" s="519" t="s">
        <v>19</v>
      </c>
      <c r="M70" s="519" t="s">
        <v>20</v>
      </c>
      <c r="N70" s="520" t="s">
        <v>123</v>
      </c>
      <c r="O70" s="519" t="s">
        <v>96</v>
      </c>
      <c r="P70" s="521" t="s">
        <v>809</v>
      </c>
    </row>
    <row r="71" spans="1:24" s="303" customFormat="1" x14ac:dyDescent="0.2">
      <c r="A71" s="269"/>
      <c r="B71" s="925"/>
      <c r="C71" s="926"/>
      <c r="D71" s="926"/>
      <c r="E71" s="226"/>
      <c r="F71" s="226"/>
      <c r="G71" s="226"/>
      <c r="H71" s="226"/>
      <c r="I71" s="226"/>
      <c r="J71" s="273"/>
      <c r="K71" s="263"/>
      <c r="L71" s="263"/>
      <c r="M71" s="306"/>
      <c r="N71" s="49"/>
      <c r="O71" s="226"/>
      <c r="P71" s="274"/>
      <c r="Q71" s="159"/>
      <c r="R71" s="159"/>
      <c r="S71" s="159"/>
      <c r="T71" s="159"/>
      <c r="U71" s="159"/>
      <c r="V71" s="160"/>
      <c r="W71" s="160"/>
      <c r="X71" s="160"/>
    </row>
    <row r="72" spans="1:24" s="303" customFormat="1" x14ac:dyDescent="0.2">
      <c r="A72" s="248"/>
      <c r="B72" s="927"/>
      <c r="C72" s="928"/>
      <c r="D72" s="928"/>
      <c r="E72" s="125"/>
      <c r="F72" s="125"/>
      <c r="G72" s="125"/>
      <c r="H72" s="125"/>
      <c r="I72" s="125"/>
      <c r="J72" s="275"/>
      <c r="K72" s="255"/>
      <c r="L72" s="255"/>
      <c r="M72" s="307"/>
      <c r="N72" s="21"/>
      <c r="O72" s="125"/>
      <c r="P72" s="276"/>
      <c r="Q72" s="159"/>
      <c r="R72" s="159"/>
      <c r="S72" s="159"/>
      <c r="T72" s="159"/>
      <c r="U72" s="159"/>
      <c r="V72" s="160"/>
      <c r="W72" s="160"/>
      <c r="X72" s="160"/>
    </row>
    <row r="73" spans="1:24" s="303" customFormat="1" x14ac:dyDescent="0.2">
      <c r="A73" s="248"/>
      <c r="B73" s="927"/>
      <c r="C73" s="928"/>
      <c r="D73" s="928"/>
      <c r="E73" s="125"/>
      <c r="F73" s="125"/>
      <c r="G73" s="125"/>
      <c r="H73" s="125"/>
      <c r="I73" s="125"/>
      <c r="J73" s="275"/>
      <c r="K73" s="255"/>
      <c r="L73" s="255"/>
      <c r="M73" s="307"/>
      <c r="N73" s="21"/>
      <c r="O73" s="125"/>
      <c r="P73" s="276"/>
      <c r="Q73" s="159"/>
      <c r="R73" s="159"/>
      <c r="S73" s="159"/>
      <c r="T73" s="159"/>
      <c r="U73" s="159"/>
      <c r="V73" s="160"/>
      <c r="W73" s="160"/>
      <c r="X73" s="160"/>
    </row>
    <row r="74" spans="1:24" s="303" customFormat="1" ht="16.5" thickBot="1" x14ac:dyDescent="0.25">
      <c r="A74" s="304"/>
      <c r="B74" s="912"/>
      <c r="C74" s="913"/>
      <c r="D74" s="913"/>
      <c r="E74" s="130"/>
      <c r="F74" s="130"/>
      <c r="G74" s="130"/>
      <c r="H74" s="130"/>
      <c r="I74" s="130"/>
      <c r="J74" s="258"/>
      <c r="K74" s="256"/>
      <c r="L74" s="256"/>
      <c r="M74" s="305"/>
      <c r="N74" s="29"/>
      <c r="O74" s="129"/>
      <c r="P74" s="132"/>
      <c r="Q74" s="159"/>
      <c r="R74" s="159"/>
      <c r="S74" s="159"/>
      <c r="T74" s="159"/>
      <c r="U74" s="159"/>
      <c r="V74" s="160"/>
      <c r="W74" s="160"/>
      <c r="X74" s="160"/>
    </row>
    <row r="75" spans="1:24" s="456" customFormat="1" x14ac:dyDescent="0.2">
      <c r="A75" s="134"/>
      <c r="B75" s="134"/>
      <c r="C75" s="522"/>
      <c r="D75" s="522"/>
      <c r="E75" s="134"/>
      <c r="F75" s="134"/>
      <c r="G75" s="134"/>
      <c r="H75" s="134"/>
      <c r="I75" s="134"/>
      <c r="J75" s="134"/>
      <c r="K75" s="134"/>
      <c r="L75" s="134"/>
      <c r="M75" s="134"/>
      <c r="O75" s="118"/>
      <c r="P75" s="118"/>
      <c r="Q75" s="118"/>
      <c r="R75" s="118"/>
      <c r="S75" s="118"/>
      <c r="T75" s="118"/>
      <c r="U75" s="118"/>
      <c r="V75" s="134"/>
      <c r="W75" s="134"/>
      <c r="X75" s="134"/>
    </row>
    <row r="76" spans="1:24" s="456" customFormat="1" ht="16.5" thickBot="1" x14ac:dyDescent="0.25">
      <c r="A76" s="133"/>
      <c r="B76" s="133"/>
      <c r="C76" s="133"/>
      <c r="D76" s="133"/>
      <c r="E76" s="133"/>
      <c r="F76" s="133"/>
      <c r="G76" s="133"/>
      <c r="H76" s="133"/>
      <c r="I76" s="118"/>
      <c r="J76" s="118"/>
      <c r="K76" s="118"/>
      <c r="L76" s="118"/>
      <c r="M76" s="118"/>
      <c r="N76" s="134"/>
      <c r="O76" s="134"/>
      <c r="P76" s="134"/>
      <c r="Q76" s="134"/>
      <c r="R76" s="134"/>
      <c r="S76" s="134"/>
      <c r="T76" s="134"/>
      <c r="U76" s="134"/>
      <c r="V76" s="134"/>
      <c r="W76" s="118"/>
    </row>
    <row r="77" spans="1:24" s="456" customFormat="1" ht="19.5" thickBot="1" x14ac:dyDescent="0.25">
      <c r="A77" s="938" t="s">
        <v>34</v>
      </c>
      <c r="B77" s="939"/>
      <c r="C77" s="940"/>
      <c r="D77" s="523"/>
      <c r="E77" s="133"/>
      <c r="F77" s="133"/>
      <c r="G77" s="133"/>
      <c r="H77" s="133"/>
      <c r="I77" s="118"/>
      <c r="J77" s="118"/>
      <c r="K77" s="118"/>
      <c r="L77" s="118"/>
      <c r="M77" s="118"/>
      <c r="N77" s="134"/>
      <c r="O77" s="134"/>
      <c r="P77" s="134"/>
      <c r="Q77" s="134"/>
      <c r="R77" s="134"/>
      <c r="S77" s="134"/>
      <c r="T77" s="134"/>
      <c r="U77" s="134"/>
      <c r="V77" s="134"/>
      <c r="W77" s="118"/>
    </row>
    <row r="78" spans="1:24" s="456" customFormat="1" ht="16.5" thickBot="1" x14ac:dyDescent="0.25">
      <c r="A78" s="800" t="s">
        <v>625</v>
      </c>
      <c r="B78" s="801"/>
      <c r="C78" s="802"/>
      <c r="D78" s="200"/>
      <c r="E78" s="200"/>
      <c r="F78" s="200"/>
      <c r="G78" s="200"/>
      <c r="H78" s="194"/>
      <c r="I78" s="194"/>
      <c r="J78" s="200"/>
      <c r="K78" s="194"/>
      <c r="L78" s="200"/>
      <c r="M78" s="118"/>
      <c r="N78" s="134"/>
      <c r="O78" s="134"/>
      <c r="P78" s="134"/>
      <c r="Q78" s="134"/>
      <c r="R78" s="134"/>
      <c r="S78" s="134"/>
      <c r="T78" s="134"/>
      <c r="U78" s="134"/>
      <c r="V78" s="134"/>
      <c r="W78" s="118"/>
    </row>
    <row r="79" spans="1:24" s="456" customFormat="1" x14ac:dyDescent="0.2">
      <c r="A79" s="506" t="s">
        <v>30</v>
      </c>
      <c r="B79" s="470"/>
      <c r="C79" s="508" t="s">
        <v>155</v>
      </c>
      <c r="D79" s="508"/>
      <c r="E79" s="509"/>
      <c r="F79" s="509"/>
      <c r="G79" s="509"/>
      <c r="H79" s="510"/>
      <c r="I79" s="510"/>
      <c r="J79" s="509"/>
      <c r="K79" s="510"/>
      <c r="L79" s="524"/>
      <c r="M79" s="118"/>
      <c r="N79" s="134"/>
      <c r="O79" s="134"/>
      <c r="P79" s="134"/>
      <c r="Q79" s="134"/>
      <c r="R79" s="134"/>
      <c r="S79" s="134"/>
      <c r="T79" s="134"/>
      <c r="U79" s="134"/>
      <c r="V79" s="134"/>
      <c r="W79" s="118"/>
    </row>
    <row r="80" spans="1:24" s="456" customFormat="1" x14ac:dyDescent="0.2">
      <c r="A80" s="96" t="s">
        <v>35</v>
      </c>
      <c r="B80" s="512"/>
      <c r="C80" s="512"/>
      <c r="D80" s="512"/>
      <c r="E80" s="512"/>
      <c r="F80" s="512"/>
      <c r="G80" s="512"/>
      <c r="H80" s="215"/>
      <c r="I80" s="215"/>
      <c r="J80" s="512"/>
      <c r="K80" s="215"/>
      <c r="L80" s="525"/>
      <c r="M80" s="118"/>
      <c r="N80" s="134"/>
      <c r="O80" s="134"/>
      <c r="P80" s="134"/>
      <c r="Q80" s="134"/>
      <c r="R80" s="134"/>
      <c r="S80" s="134"/>
      <c r="T80" s="134"/>
      <c r="U80" s="134"/>
      <c r="V80" s="134"/>
      <c r="W80" s="118"/>
    </row>
    <row r="81" spans="1:23" s="456" customFormat="1" x14ac:dyDescent="0.2">
      <c r="A81" s="96" t="s">
        <v>174</v>
      </c>
      <c r="B81" s="512"/>
      <c r="C81" s="512"/>
      <c r="D81" s="512"/>
      <c r="E81" s="512"/>
      <c r="F81" s="512"/>
      <c r="G81" s="512"/>
      <c r="H81" s="215"/>
      <c r="I81" s="215"/>
      <c r="J81" s="512"/>
      <c r="K81" s="215"/>
      <c r="L81" s="525"/>
      <c r="M81" s="118"/>
      <c r="N81" s="134"/>
      <c r="O81" s="134"/>
      <c r="P81" s="134"/>
      <c r="Q81" s="134"/>
      <c r="R81" s="134"/>
      <c r="S81" s="134"/>
      <c r="T81" s="134"/>
      <c r="U81" s="134"/>
      <c r="V81" s="134"/>
      <c r="W81" s="118"/>
    </row>
    <row r="82" spans="1:23" s="456" customFormat="1" x14ac:dyDescent="0.2">
      <c r="A82" s="96" t="s">
        <v>987</v>
      </c>
      <c r="B82" s="512"/>
      <c r="C82" s="512"/>
      <c r="D82" s="512"/>
      <c r="E82" s="512"/>
      <c r="F82" s="512"/>
      <c r="G82" s="512"/>
      <c r="H82" s="215"/>
      <c r="I82" s="215"/>
      <c r="J82" s="512"/>
      <c r="K82" s="215"/>
      <c r="L82" s="525"/>
      <c r="M82" s="118"/>
      <c r="N82" s="134"/>
      <c r="O82" s="134"/>
      <c r="P82" s="134"/>
      <c r="Q82" s="134"/>
      <c r="R82" s="134"/>
      <c r="S82" s="134"/>
      <c r="T82" s="134"/>
      <c r="U82" s="134"/>
      <c r="V82" s="134"/>
      <c r="W82" s="118"/>
    </row>
    <row r="83" spans="1:23" s="456" customFormat="1" ht="16.5" thickBot="1" x14ac:dyDescent="0.25">
      <c r="A83" s="110" t="s">
        <v>988</v>
      </c>
      <c r="B83" s="514"/>
      <c r="C83" s="514"/>
      <c r="D83" s="514"/>
      <c r="E83" s="514"/>
      <c r="F83" s="514"/>
      <c r="G83" s="514"/>
      <c r="H83" s="515"/>
      <c r="I83" s="515"/>
      <c r="J83" s="514"/>
      <c r="K83" s="515"/>
      <c r="L83" s="526"/>
      <c r="M83" s="118"/>
      <c r="N83" s="134"/>
      <c r="O83" s="134"/>
      <c r="P83" s="134"/>
      <c r="Q83" s="134"/>
      <c r="R83" s="134"/>
      <c r="S83" s="134"/>
      <c r="T83" s="134"/>
      <c r="U83" s="134"/>
      <c r="V83" s="134"/>
      <c r="W83" s="118"/>
    </row>
    <row r="84" spans="1:23" s="456" customFormat="1" ht="16.5" thickBot="1" x14ac:dyDescent="0.25">
      <c r="A84" s="527"/>
      <c r="E84" s="200"/>
      <c r="F84" s="200"/>
      <c r="G84" s="200"/>
      <c r="H84" s="194"/>
      <c r="I84" s="517"/>
      <c r="J84" s="200"/>
      <c r="K84" s="194"/>
      <c r="L84" s="200"/>
      <c r="M84" s="118"/>
      <c r="N84" s="134"/>
      <c r="O84" s="134"/>
      <c r="P84" s="134"/>
      <c r="Q84" s="134"/>
      <c r="R84" s="118"/>
      <c r="V84" s="528"/>
      <c r="W84" s="528"/>
    </row>
    <row r="85" spans="1:23" s="14" customFormat="1" ht="32.25" thickBot="1" x14ac:dyDescent="0.25">
      <c r="A85" s="518" t="s">
        <v>31</v>
      </c>
      <c r="B85" s="932" t="s">
        <v>13</v>
      </c>
      <c r="C85" s="933"/>
      <c r="D85" s="934"/>
      <c r="E85" s="519" t="s">
        <v>12</v>
      </c>
      <c r="F85" s="519" t="s">
        <v>14</v>
      </c>
      <c r="G85" s="519" t="s">
        <v>276</v>
      </c>
      <c r="H85" s="519" t="s">
        <v>32</v>
      </c>
      <c r="I85" s="519" t="s">
        <v>16</v>
      </c>
      <c r="J85" s="519" t="s">
        <v>17</v>
      </c>
      <c r="K85" s="519" t="s">
        <v>18</v>
      </c>
      <c r="L85" s="519" t="s">
        <v>19</v>
      </c>
      <c r="M85" s="519" t="s">
        <v>20</v>
      </c>
      <c r="N85" s="520" t="s">
        <v>123</v>
      </c>
      <c r="O85" s="519" t="s">
        <v>94</v>
      </c>
      <c r="P85" s="521" t="s">
        <v>807</v>
      </c>
      <c r="W85" s="13"/>
    </row>
    <row r="86" spans="1:23" s="303" customFormat="1" x14ac:dyDescent="0.2">
      <c r="A86" s="269"/>
      <c r="B86" s="925"/>
      <c r="C86" s="926"/>
      <c r="D86" s="926"/>
      <c r="E86" s="226"/>
      <c r="F86" s="226"/>
      <c r="G86" s="226"/>
      <c r="H86" s="226"/>
      <c r="I86" s="226"/>
      <c r="J86" s="263"/>
      <c r="K86" s="263"/>
      <c r="L86" s="263"/>
      <c r="M86" s="263"/>
      <c r="N86" s="49"/>
      <c r="O86" s="226"/>
      <c r="P86" s="274"/>
      <c r="Q86" s="160"/>
      <c r="R86" s="160"/>
      <c r="S86" s="160"/>
      <c r="T86" s="160"/>
      <c r="U86" s="160"/>
      <c r="V86" s="160"/>
      <c r="W86" s="159"/>
    </row>
    <row r="87" spans="1:23" s="303" customFormat="1" x14ac:dyDescent="0.2">
      <c r="A87" s="248"/>
      <c r="B87" s="927"/>
      <c r="C87" s="928"/>
      <c r="D87" s="928"/>
      <c r="E87" s="125"/>
      <c r="F87" s="125"/>
      <c r="G87" s="125"/>
      <c r="H87" s="125"/>
      <c r="I87" s="125"/>
      <c r="J87" s="255"/>
      <c r="K87" s="255"/>
      <c r="L87" s="255"/>
      <c r="M87" s="255"/>
      <c r="N87" s="21"/>
      <c r="O87" s="125"/>
      <c r="P87" s="276"/>
      <c r="Q87" s="160"/>
      <c r="R87" s="160"/>
      <c r="S87" s="160"/>
      <c r="T87" s="160"/>
      <c r="U87" s="160"/>
      <c r="V87" s="160"/>
      <c r="W87" s="159"/>
    </row>
    <row r="88" spans="1:23" s="303" customFormat="1" x14ac:dyDescent="0.2">
      <c r="A88" s="248"/>
      <c r="B88" s="927"/>
      <c r="C88" s="928"/>
      <c r="D88" s="928"/>
      <c r="E88" s="125"/>
      <c r="F88" s="125"/>
      <c r="G88" s="125"/>
      <c r="H88" s="125"/>
      <c r="I88" s="125"/>
      <c r="J88" s="255"/>
      <c r="K88" s="255"/>
      <c r="L88" s="255"/>
      <c r="M88" s="255"/>
      <c r="N88" s="21"/>
      <c r="O88" s="125"/>
      <c r="P88" s="276"/>
      <c r="Q88" s="160"/>
      <c r="R88" s="160"/>
      <c r="S88" s="160"/>
      <c r="T88" s="160"/>
      <c r="U88" s="160"/>
      <c r="V88" s="160"/>
      <c r="W88" s="159"/>
    </row>
    <row r="89" spans="1:23" s="303" customFormat="1" ht="16.5" thickBot="1" x14ac:dyDescent="0.25">
      <c r="A89" s="304"/>
      <c r="B89" s="912"/>
      <c r="C89" s="913"/>
      <c r="D89" s="913"/>
      <c r="E89" s="130"/>
      <c r="F89" s="130"/>
      <c r="G89" s="130"/>
      <c r="H89" s="130"/>
      <c r="I89" s="130"/>
      <c r="J89" s="256"/>
      <c r="K89" s="256"/>
      <c r="L89" s="256"/>
      <c r="M89" s="256"/>
      <c r="N89" s="29"/>
      <c r="O89" s="129"/>
      <c r="P89" s="132"/>
      <c r="Q89" s="160"/>
      <c r="R89" s="160"/>
      <c r="S89" s="160"/>
      <c r="T89" s="160"/>
      <c r="U89" s="160"/>
      <c r="V89" s="160"/>
      <c r="W89" s="159"/>
    </row>
    <row r="90" spans="1:23" s="456" customFormat="1" ht="16.5" thickBot="1" x14ac:dyDescent="0.25">
      <c r="A90" s="133"/>
      <c r="B90" s="133"/>
      <c r="C90" s="133"/>
      <c r="D90" s="133"/>
      <c r="E90" s="133"/>
      <c r="F90" s="133"/>
      <c r="G90" s="133"/>
      <c r="H90" s="118"/>
      <c r="I90" s="118"/>
      <c r="J90" s="118"/>
      <c r="K90" s="118"/>
      <c r="L90" s="118"/>
      <c r="M90" s="134"/>
      <c r="N90" s="134"/>
      <c r="O90" s="134"/>
      <c r="P90" s="134"/>
      <c r="Q90" s="134"/>
      <c r="R90" s="134"/>
      <c r="S90" s="134"/>
      <c r="T90" s="134"/>
      <c r="U90" s="134"/>
      <c r="V90" s="118"/>
    </row>
    <row r="91" spans="1:23" s="73" customFormat="1" ht="16.5" thickBot="1" x14ac:dyDescent="0.25">
      <c r="A91" s="822" t="s">
        <v>36</v>
      </c>
      <c r="B91" s="823"/>
      <c r="C91" s="823"/>
      <c r="D91" s="823"/>
      <c r="E91" s="823"/>
      <c r="F91" s="823"/>
      <c r="G91" s="823"/>
      <c r="H91" s="823"/>
      <c r="I91" s="824"/>
      <c r="J91" s="169"/>
      <c r="K91" s="118"/>
      <c r="L91" s="134"/>
      <c r="M91" s="134"/>
      <c r="N91" s="134"/>
      <c r="O91" s="134"/>
      <c r="P91" s="134"/>
      <c r="Q91" s="134"/>
      <c r="R91" s="134"/>
      <c r="S91" s="118"/>
      <c r="T91" s="118"/>
      <c r="U91" s="118"/>
    </row>
    <row r="92" spans="1:23" s="73" customFormat="1" ht="16.5" thickBot="1" x14ac:dyDescent="0.25">
      <c r="A92" s="935" t="s">
        <v>37</v>
      </c>
      <c r="B92" s="936"/>
      <c r="C92" s="936"/>
      <c r="D92" s="936"/>
      <c r="E92" s="936"/>
      <c r="F92" s="936"/>
      <c r="G92" s="936"/>
      <c r="H92" s="936"/>
      <c r="I92" s="937"/>
      <c r="J92" s="170"/>
      <c r="K92" s="118"/>
      <c r="L92" s="134"/>
      <c r="M92" s="134"/>
      <c r="N92" s="134"/>
      <c r="O92" s="134"/>
      <c r="P92" s="134"/>
      <c r="Q92" s="134"/>
      <c r="R92" s="134"/>
      <c r="S92" s="118"/>
      <c r="T92" s="118"/>
      <c r="U92" s="118"/>
    </row>
    <row r="93" spans="1:23" s="308" customFormat="1" ht="15.75" customHeight="1" thickBot="1" x14ac:dyDescent="0.25">
      <c r="A93" s="665" t="s">
        <v>296</v>
      </c>
      <c r="B93" s="909" t="s">
        <v>1129</v>
      </c>
      <c r="C93" s="910"/>
      <c r="D93" s="910"/>
      <c r="E93" s="910"/>
      <c r="F93" s="910"/>
      <c r="G93" s="910"/>
      <c r="H93" s="910"/>
      <c r="I93" s="911"/>
      <c r="J93" s="171"/>
      <c r="K93" s="172"/>
      <c r="L93" s="173"/>
      <c r="M93" s="173"/>
      <c r="N93" s="173"/>
      <c r="O93" s="173"/>
      <c r="P93" s="173"/>
      <c r="Q93" s="173"/>
      <c r="R93" s="173"/>
      <c r="S93" s="172"/>
      <c r="T93" s="172"/>
      <c r="U93" s="172"/>
    </row>
    <row r="94" spans="1:23" s="73" customFormat="1" ht="16.5" thickBot="1" x14ac:dyDescent="0.25">
      <c r="A94" s="196"/>
      <c r="B94" s="169"/>
      <c r="C94" s="169"/>
      <c r="D94" s="169"/>
      <c r="E94" s="169"/>
      <c r="F94" s="176"/>
      <c r="G94" s="176"/>
      <c r="H94" s="176"/>
      <c r="I94" s="176"/>
      <c r="J94" s="176"/>
      <c r="K94" s="118"/>
      <c r="L94" s="134"/>
      <c r="M94" s="134"/>
      <c r="N94" s="134"/>
      <c r="O94" s="134"/>
      <c r="P94" s="134"/>
      <c r="Q94" s="118"/>
    </row>
    <row r="95" spans="1:23" s="73" customFormat="1" ht="16.5" customHeight="1" thickBot="1" x14ac:dyDescent="0.25">
      <c r="A95" s="917" t="s">
        <v>214</v>
      </c>
      <c r="B95" s="918"/>
      <c r="C95" s="918"/>
      <c r="D95" s="918"/>
      <c r="E95" s="918"/>
      <c r="F95" s="918"/>
      <c r="G95" s="918"/>
      <c r="H95" s="930" t="s">
        <v>226</v>
      </c>
      <c r="I95" s="786" t="s">
        <v>627</v>
      </c>
      <c r="J95" s="786" t="s">
        <v>215</v>
      </c>
      <c r="K95" s="786" t="s">
        <v>23</v>
      </c>
      <c r="L95" s="786" t="s">
        <v>302</v>
      </c>
      <c r="M95" s="788" t="s">
        <v>83</v>
      </c>
      <c r="N95" s="134"/>
      <c r="O95" s="118"/>
      <c r="P95" s="456"/>
      <c r="Q95" s="528"/>
      <c r="R95" s="528"/>
    </row>
    <row r="96" spans="1:23" s="446" customFormat="1" ht="16.5" thickBot="1" x14ac:dyDescent="0.25">
      <c r="A96" s="919" t="s">
        <v>887</v>
      </c>
      <c r="B96" s="920"/>
      <c r="C96" s="920"/>
      <c r="D96" s="920"/>
      <c r="E96" s="920"/>
      <c r="F96" s="920"/>
      <c r="G96" s="921"/>
      <c r="H96" s="931"/>
      <c r="I96" s="908"/>
      <c r="J96" s="908"/>
      <c r="K96" s="908"/>
      <c r="L96" s="908"/>
      <c r="M96" s="929"/>
      <c r="N96" s="177"/>
      <c r="O96" s="177"/>
      <c r="P96" s="177"/>
      <c r="Q96" s="177"/>
      <c r="R96" s="177"/>
    </row>
    <row r="97" spans="1:18" s="446" customFormat="1" ht="15.75" customHeight="1" thickBot="1" x14ac:dyDescent="0.25">
      <c r="A97" s="914" t="s">
        <v>353</v>
      </c>
      <c r="B97" s="915"/>
      <c r="C97" s="915"/>
      <c r="D97" s="915"/>
      <c r="E97" s="915"/>
      <c r="F97" s="915"/>
      <c r="G97" s="916"/>
      <c r="H97" s="931"/>
      <c r="I97" s="908"/>
      <c r="J97" s="908"/>
      <c r="K97" s="908"/>
      <c r="L97" s="908"/>
      <c r="M97" s="929"/>
      <c r="N97" s="177"/>
      <c r="O97" s="177"/>
      <c r="P97" s="177"/>
      <c r="Q97" s="177"/>
      <c r="R97" s="177"/>
    </row>
    <row r="98" spans="1:18" s="136" customFormat="1" ht="15.75" customHeight="1" x14ac:dyDescent="0.2">
      <c r="A98" s="178" t="s">
        <v>346</v>
      </c>
      <c r="B98" s="942" t="str">
        <f>IF($A98="","",VLOOKUP($A98,Listes!$A$3:$C$193,2,FALSE))</f>
        <v>Aden Gulf Surcharge</v>
      </c>
      <c r="C98" s="942"/>
      <c r="D98" s="942"/>
      <c r="E98" s="941" t="s">
        <v>53</v>
      </c>
      <c r="F98" s="941"/>
      <c r="G98" s="941"/>
      <c r="H98" s="614"/>
      <c r="I98" s="529"/>
      <c r="J98" s="529"/>
      <c r="K98" s="529"/>
      <c r="L98" s="529"/>
      <c r="M98" s="530"/>
      <c r="N98" s="160"/>
      <c r="O98" s="160"/>
      <c r="P98" s="160"/>
      <c r="Q98" s="160"/>
      <c r="R98" s="159"/>
    </row>
    <row r="99" spans="1:18" s="136" customFormat="1" ht="15.75" customHeight="1" x14ac:dyDescent="0.2">
      <c r="A99" s="182" t="s">
        <v>234</v>
      </c>
      <c r="B99" s="813" t="str">
        <f>IF($A99="","",VLOOKUP($A99,Listes!$A$3:$C$193,2,FALSE))</f>
        <v>Bunker Adjustment Factor</v>
      </c>
      <c r="C99" s="813"/>
      <c r="D99" s="813"/>
      <c r="E99" s="814" t="s">
        <v>51</v>
      </c>
      <c r="F99" s="814"/>
      <c r="G99" s="814"/>
      <c r="H99" s="612"/>
      <c r="I99" s="531"/>
      <c r="J99" s="531"/>
      <c r="K99" s="531"/>
      <c r="L99" s="531"/>
      <c r="M99" s="532"/>
      <c r="N99" s="160"/>
      <c r="O99" s="160"/>
      <c r="P99" s="160"/>
      <c r="Q99" s="160"/>
      <c r="R99" s="159"/>
    </row>
    <row r="100" spans="1:18" s="136" customFormat="1" ht="15.75" customHeight="1" x14ac:dyDescent="0.2">
      <c r="A100" s="182" t="s">
        <v>557</v>
      </c>
      <c r="B100" s="813" t="str">
        <f>IF($A100="","",VLOOKUP($A100,Listes!$A$3:$C$193,2,FALSE))</f>
        <v>Cargo Facility Charge</v>
      </c>
      <c r="C100" s="813"/>
      <c r="D100" s="813"/>
      <c r="E100" s="814" t="s">
        <v>51</v>
      </c>
      <c r="F100" s="814"/>
      <c r="G100" s="814"/>
      <c r="H100" s="612"/>
      <c r="I100" s="531"/>
      <c r="J100" s="531"/>
      <c r="K100" s="531"/>
      <c r="L100" s="531"/>
      <c r="M100" s="532"/>
      <c r="N100" s="160"/>
      <c r="O100" s="160"/>
      <c r="P100" s="160"/>
      <c r="Q100" s="160"/>
      <c r="R100" s="159"/>
    </row>
    <row r="101" spans="1:18" s="136" customFormat="1" ht="15.75" customHeight="1" x14ac:dyDescent="0.2">
      <c r="A101" s="182" t="s">
        <v>1105</v>
      </c>
      <c r="B101" s="813" t="str">
        <f>IF($A101="","",VLOOKUP($A101,Listes!$A$3:$C$193,2,FALSE))</f>
        <v>Chassis Administration Fee On-Carriage</v>
      </c>
      <c r="C101" s="813"/>
      <c r="D101" s="813"/>
      <c r="E101" s="814" t="s">
        <v>51</v>
      </c>
      <c r="F101" s="814"/>
      <c r="G101" s="814"/>
      <c r="H101" s="647"/>
      <c r="I101" s="531"/>
      <c r="J101" s="531"/>
      <c r="K101" s="531"/>
      <c r="L101" s="531"/>
      <c r="M101" s="532"/>
      <c r="N101" s="160"/>
      <c r="O101" s="160"/>
      <c r="P101" s="160"/>
      <c r="Q101" s="160"/>
      <c r="R101" s="159"/>
    </row>
    <row r="102" spans="1:18" s="136" customFormat="1" ht="15.75" customHeight="1" x14ac:dyDescent="0.2">
      <c r="A102" s="182" t="s">
        <v>551</v>
      </c>
      <c r="B102" s="813" t="str">
        <f>IF($A102="","",VLOOKUP($A102,Listes!$A$3:$C$193,2,FALSE))</f>
        <v>Chassis Provision Charge</v>
      </c>
      <c r="C102" s="813"/>
      <c r="D102" s="813"/>
      <c r="E102" s="814" t="s">
        <v>51</v>
      </c>
      <c r="F102" s="814"/>
      <c r="G102" s="814"/>
      <c r="H102" s="612"/>
      <c r="I102" s="531"/>
      <c r="J102" s="531"/>
      <c r="K102" s="531"/>
      <c r="L102" s="531"/>
      <c r="M102" s="532"/>
      <c r="N102" s="160"/>
      <c r="O102" s="160"/>
      <c r="P102" s="160"/>
      <c r="Q102" s="160"/>
      <c r="R102" s="159"/>
    </row>
    <row r="103" spans="1:18" s="136" customFormat="1" ht="15.75" customHeight="1" x14ac:dyDescent="0.2">
      <c r="A103" s="182" t="s">
        <v>263</v>
      </c>
      <c r="B103" s="813" t="str">
        <f>IF($A103="","",VLOOKUP($A103,Listes!$A$3:$C$193,2,FALSE))</f>
        <v>Carrier Security Charge</v>
      </c>
      <c r="C103" s="813"/>
      <c r="D103" s="813"/>
      <c r="E103" s="814" t="s">
        <v>51</v>
      </c>
      <c r="F103" s="814"/>
      <c r="G103" s="814"/>
      <c r="H103" s="612"/>
      <c r="I103" s="531"/>
      <c r="J103" s="531"/>
      <c r="K103" s="531"/>
      <c r="L103" s="531"/>
      <c r="M103" s="532"/>
      <c r="N103" s="160"/>
      <c r="O103" s="160"/>
      <c r="P103" s="160"/>
      <c r="Q103" s="160"/>
      <c r="R103" s="159"/>
    </row>
    <row r="104" spans="1:18" s="136" customFormat="1" ht="15.75" customHeight="1" x14ac:dyDescent="0.2">
      <c r="A104" s="182" t="s">
        <v>1262</v>
      </c>
      <c r="B104" s="813" t="str">
        <f>IF($A104="","",VLOOKUP($A104,Listes!$A$3:$C$193,2,FALSE))</f>
        <v>Container Maintenance Charge Destination</v>
      </c>
      <c r="C104" s="813"/>
      <c r="D104" s="813"/>
      <c r="E104" s="814" t="s">
        <v>51</v>
      </c>
      <c r="F104" s="814"/>
      <c r="G104" s="814"/>
      <c r="H104" s="647"/>
      <c r="I104" s="531"/>
      <c r="J104" s="531"/>
      <c r="K104" s="531"/>
      <c r="L104" s="531"/>
      <c r="M104" s="532"/>
      <c r="N104" s="160"/>
      <c r="O104" s="160"/>
      <c r="P104" s="160"/>
      <c r="Q104" s="160"/>
      <c r="R104" s="159"/>
    </row>
    <row r="105" spans="1:18" s="136" customFormat="1" ht="15.75" customHeight="1" x14ac:dyDescent="0.2">
      <c r="A105" s="182" t="s">
        <v>230</v>
      </c>
      <c r="B105" s="813" t="str">
        <f>IF($A105="","",VLOOKUP($A105,Listes!$A$3:$C$193,2,FALSE))</f>
        <v>Destination THC / Destination Receiving Charge</v>
      </c>
      <c r="C105" s="813"/>
      <c r="D105" s="813"/>
      <c r="E105" s="814" t="s">
        <v>53</v>
      </c>
      <c r="F105" s="814"/>
      <c r="G105" s="814"/>
      <c r="H105" s="612"/>
      <c r="I105" s="531"/>
      <c r="J105" s="531"/>
      <c r="K105" s="531"/>
      <c r="L105" s="531"/>
      <c r="M105" s="532"/>
      <c r="N105" s="160"/>
      <c r="O105" s="160"/>
      <c r="P105" s="160"/>
      <c r="Q105" s="160"/>
      <c r="R105" s="159"/>
    </row>
    <row r="106" spans="1:18" s="136" customFormat="1" ht="15.75" customHeight="1" x14ac:dyDescent="0.2">
      <c r="A106" s="182" t="s">
        <v>874</v>
      </c>
      <c r="B106" s="813" t="str">
        <f>IF($A106="","",VLOOKUP($A106,Listes!$A$3:$C$193,2,FALSE))</f>
        <v>Export Documentation Fees - Carrier</v>
      </c>
      <c r="C106" s="813"/>
      <c r="D106" s="813"/>
      <c r="E106" s="814" t="s">
        <v>51</v>
      </c>
      <c r="F106" s="814"/>
      <c r="G106" s="814"/>
      <c r="H106" s="612"/>
      <c r="I106" s="531"/>
      <c r="J106" s="531"/>
      <c r="K106" s="531"/>
      <c r="L106" s="531"/>
      <c r="M106" s="532"/>
      <c r="N106" s="160"/>
      <c r="O106" s="160"/>
      <c r="P106" s="160"/>
      <c r="Q106" s="160"/>
      <c r="R106" s="159"/>
    </row>
    <row r="107" spans="1:18" s="136" customFormat="1" ht="15.75" customHeight="1" x14ac:dyDescent="0.2">
      <c r="A107" s="182" t="s">
        <v>854</v>
      </c>
      <c r="B107" s="813" t="str">
        <f>IF($A107="","",VLOOKUP($A107,Listes!$A$3:$C$193,2,FALSE))</f>
        <v>Export Declaration Surcharge</v>
      </c>
      <c r="C107" s="813"/>
      <c r="D107" s="813"/>
      <c r="E107" s="814" t="s">
        <v>51</v>
      </c>
      <c r="F107" s="814"/>
      <c r="G107" s="814"/>
      <c r="H107" s="612"/>
      <c r="I107" s="531"/>
      <c r="J107" s="531"/>
      <c r="K107" s="531"/>
      <c r="L107" s="531"/>
      <c r="M107" s="532"/>
      <c r="N107" s="160"/>
      <c r="O107" s="160"/>
      <c r="P107" s="160"/>
      <c r="Q107" s="160"/>
      <c r="R107" s="159"/>
    </row>
    <row r="108" spans="1:18" s="136" customFormat="1" ht="15.75" customHeight="1" x14ac:dyDescent="0.2">
      <c r="A108" s="182" t="s">
        <v>1320</v>
      </c>
      <c r="B108" s="813" t="str">
        <f>IF($A108="","",VLOOKUP($A108,Listes!$A$3:$C$193,2,FALSE))</f>
        <v>Export Seal Fee</v>
      </c>
      <c r="C108" s="813"/>
      <c r="D108" s="813"/>
      <c r="E108" s="814" t="s">
        <v>51</v>
      </c>
      <c r="F108" s="814"/>
      <c r="G108" s="814"/>
      <c r="H108" s="686"/>
      <c r="I108" s="531"/>
      <c r="J108" s="531"/>
      <c r="K108" s="531"/>
      <c r="L108" s="531"/>
      <c r="M108" s="532"/>
      <c r="N108" s="160"/>
      <c r="O108" s="160"/>
      <c r="P108" s="160"/>
      <c r="Q108" s="160"/>
      <c r="R108" s="159"/>
    </row>
    <row r="109" spans="1:18" s="136" customFormat="1" ht="15.75" customHeight="1" x14ac:dyDescent="0.2">
      <c r="A109" s="182" t="s">
        <v>82</v>
      </c>
      <c r="B109" s="813" t="str">
        <f>IF($A109="","",VLOOKUP($A109,Listes!$A$3:$C$193,2,FALSE))</f>
        <v>General Rate Increase</v>
      </c>
      <c r="C109" s="813"/>
      <c r="D109" s="813"/>
      <c r="E109" s="814" t="s">
        <v>51</v>
      </c>
      <c r="F109" s="814"/>
      <c r="G109" s="814"/>
      <c r="H109" s="612"/>
      <c r="I109" s="531"/>
      <c r="J109" s="531"/>
      <c r="K109" s="531"/>
      <c r="L109" s="531"/>
      <c r="M109" s="532"/>
      <c r="N109" s="160"/>
      <c r="O109" s="160"/>
      <c r="P109" s="160"/>
      <c r="Q109" s="160"/>
      <c r="R109" s="159"/>
    </row>
    <row r="110" spans="1:18" s="136" customFormat="1" ht="15.75" customHeight="1" x14ac:dyDescent="0.2">
      <c r="A110" s="182" t="s">
        <v>260</v>
      </c>
      <c r="B110" s="813" t="str">
        <f>IF($A110="","",VLOOKUP($A110,Listes!$A$3:$C$193,2,FALSE))</f>
        <v>Hazardous Fees (Ocean)</v>
      </c>
      <c r="C110" s="813"/>
      <c r="D110" s="813"/>
      <c r="E110" s="814" t="s">
        <v>51</v>
      </c>
      <c r="F110" s="814"/>
      <c r="G110" s="814"/>
      <c r="H110" s="612"/>
      <c r="I110" s="531"/>
      <c r="J110" s="531"/>
      <c r="K110" s="531"/>
      <c r="L110" s="531"/>
      <c r="M110" s="532"/>
      <c r="N110" s="160"/>
      <c r="O110" s="160"/>
      <c r="P110" s="160"/>
      <c r="Q110" s="160"/>
      <c r="R110" s="159"/>
    </row>
    <row r="111" spans="1:18" s="136" customFormat="1" ht="15.75" customHeight="1" x14ac:dyDescent="0.2">
      <c r="A111" s="182" t="s">
        <v>898</v>
      </c>
      <c r="B111" s="813" t="str">
        <f>IF($A111="","",VLOOKUP($A111,Listes!$A$3:$C$193,2,FALSE))</f>
        <v>Oncarriage Additional Intermodal Door Delivery Surcharge</v>
      </c>
      <c r="C111" s="813"/>
      <c r="D111" s="813"/>
      <c r="E111" s="814" t="s">
        <v>51</v>
      </c>
      <c r="F111" s="814"/>
      <c r="G111" s="814"/>
      <c r="H111" s="612"/>
      <c r="I111" s="531"/>
      <c r="J111" s="531"/>
      <c r="K111" s="531"/>
      <c r="L111" s="531"/>
      <c r="M111" s="532"/>
      <c r="N111" s="160"/>
      <c r="O111" s="160"/>
      <c r="P111" s="160"/>
      <c r="Q111" s="160"/>
      <c r="R111" s="159"/>
    </row>
    <row r="112" spans="1:18" s="136" customFormat="1" ht="15.75" customHeight="1" x14ac:dyDescent="0.2">
      <c r="A112" s="182" t="s">
        <v>94</v>
      </c>
      <c r="B112" s="813" t="str">
        <f>IF($A112="","",VLOOKUP($A112,Listes!$A$3:$C$193,2,FALSE))</f>
        <v>Oncarriage Inland Fuel Charge</v>
      </c>
      <c r="C112" s="813"/>
      <c r="D112" s="813"/>
      <c r="E112" s="814" t="s">
        <v>51</v>
      </c>
      <c r="F112" s="814"/>
      <c r="G112" s="814"/>
      <c r="H112" s="612"/>
      <c r="I112" s="531"/>
      <c r="J112" s="531"/>
      <c r="K112" s="531"/>
      <c r="L112" s="531"/>
      <c r="M112" s="532"/>
      <c r="N112" s="160"/>
      <c r="O112" s="160"/>
      <c r="P112" s="160"/>
      <c r="Q112" s="160"/>
      <c r="R112" s="159"/>
    </row>
    <row r="113" spans="1:18" s="136" customFormat="1" ht="15.75" customHeight="1" x14ac:dyDescent="0.2">
      <c r="A113" s="182" t="s">
        <v>1290</v>
      </c>
      <c r="B113" s="813" t="str">
        <f>IF($A113="","",VLOOKUP($A113,Listes!$A$3:$C$193,2,FALSE))</f>
        <v>Local Port Charge Destination Sanitary Fee</v>
      </c>
      <c r="C113" s="813"/>
      <c r="D113" s="813"/>
      <c r="E113" s="814" t="s">
        <v>51</v>
      </c>
      <c r="F113" s="814"/>
      <c r="G113" s="814"/>
      <c r="H113" s="675"/>
      <c r="I113" s="531"/>
      <c r="J113" s="531"/>
      <c r="K113" s="531"/>
      <c r="L113" s="531"/>
      <c r="M113" s="532"/>
      <c r="N113" s="160"/>
      <c r="O113" s="160"/>
      <c r="P113" s="160"/>
      <c r="Q113" s="160"/>
      <c r="R113" s="159"/>
    </row>
    <row r="114" spans="1:18" s="136" customFormat="1" ht="15.75" customHeight="1" x14ac:dyDescent="0.2">
      <c r="A114" s="182" t="s">
        <v>1292</v>
      </c>
      <c r="B114" s="813" t="str">
        <f>IF($A114="","",VLOOKUP($A114,Listes!$A$3:$C$193,2,FALSE))</f>
        <v>Local Port Charge Origin Sanitary Fee</v>
      </c>
      <c r="C114" s="813"/>
      <c r="D114" s="813"/>
      <c r="E114" s="814" t="s">
        <v>51</v>
      </c>
      <c r="F114" s="814"/>
      <c r="G114" s="814"/>
      <c r="H114" s="675"/>
      <c r="I114" s="531"/>
      <c r="J114" s="531"/>
      <c r="K114" s="531"/>
      <c r="L114" s="531"/>
      <c r="M114" s="532"/>
      <c r="N114" s="160"/>
      <c r="O114" s="160"/>
      <c r="P114" s="160"/>
      <c r="Q114" s="160"/>
      <c r="R114" s="159"/>
    </row>
    <row r="115" spans="1:18" s="136" customFormat="1" ht="15.75" customHeight="1" x14ac:dyDescent="0.2">
      <c r="A115" s="182" t="s">
        <v>199</v>
      </c>
      <c r="B115" s="813" t="str">
        <f>IF($A115="","",VLOOKUP($A115,Listes!$A$3:$C$193,2,FALSE))</f>
        <v>Low Sulfur Surcharge</v>
      </c>
      <c r="C115" s="813"/>
      <c r="D115" s="813"/>
      <c r="E115" s="814" t="s">
        <v>53</v>
      </c>
      <c r="F115" s="814"/>
      <c r="G115" s="814"/>
      <c r="H115" s="612"/>
      <c r="I115" s="531"/>
      <c r="J115" s="531"/>
      <c r="K115" s="531"/>
      <c r="L115" s="531"/>
      <c r="M115" s="532"/>
      <c r="N115" s="160"/>
      <c r="O115" s="160"/>
      <c r="P115" s="160"/>
      <c r="Q115" s="160"/>
      <c r="R115" s="159"/>
    </row>
    <row r="116" spans="1:18" s="136" customFormat="1" ht="15.75" customHeight="1" x14ac:dyDescent="0.2">
      <c r="A116" s="182" t="s">
        <v>1124</v>
      </c>
      <c r="B116" s="813" t="str">
        <f>IF($A116="","",VLOOKUP($A116,Listes!$A$3:$C$193,2,FALSE))</f>
        <v>Low Sulfur Surcharge IMO2020</v>
      </c>
      <c r="C116" s="813"/>
      <c r="D116" s="813"/>
      <c r="E116" s="814" t="s">
        <v>53</v>
      </c>
      <c r="F116" s="814"/>
      <c r="G116" s="814"/>
      <c r="H116" s="666"/>
      <c r="I116" s="531"/>
      <c r="J116" s="531"/>
      <c r="K116" s="531"/>
      <c r="L116" s="531"/>
      <c r="M116" s="532"/>
      <c r="N116" s="160"/>
      <c r="O116" s="160"/>
      <c r="P116" s="160"/>
      <c r="Q116" s="160"/>
      <c r="R116" s="159"/>
    </row>
    <row r="117" spans="1:18" s="136" customFormat="1" x14ac:dyDescent="0.2">
      <c r="A117" s="182" t="s">
        <v>1059</v>
      </c>
      <c r="B117" s="813" t="str">
        <f>IF($A117="","",VLOOKUP($A117,Listes!$A$3:$C$193,2,FALSE))</f>
        <v>On-Carriage Emergency Inland Fuel Surcharge</v>
      </c>
      <c r="C117" s="813"/>
      <c r="D117" s="813"/>
      <c r="E117" s="814" t="s">
        <v>51</v>
      </c>
      <c r="F117" s="814"/>
      <c r="G117" s="814"/>
      <c r="H117" s="645"/>
      <c r="I117" s="531"/>
      <c r="J117" s="531"/>
      <c r="K117" s="531"/>
      <c r="L117" s="531"/>
      <c r="M117" s="532"/>
      <c r="N117" s="160"/>
      <c r="O117" s="160"/>
      <c r="P117" s="160"/>
      <c r="Q117" s="160"/>
      <c r="R117" s="159"/>
    </row>
    <row r="118" spans="1:18" s="136" customFormat="1" ht="31.5" x14ac:dyDescent="0.2">
      <c r="A118" s="182" t="s">
        <v>1088</v>
      </c>
      <c r="B118" s="813" t="str">
        <f>IF($A118="","",VLOOKUP($A118,Listes!$A$3:$C$193,2,FALSE))</f>
        <v>On-Carriage Emergency Intermodal Surcharge</v>
      </c>
      <c r="C118" s="813"/>
      <c r="D118" s="813"/>
      <c r="E118" s="814" t="s">
        <v>51</v>
      </c>
      <c r="F118" s="814"/>
      <c r="G118" s="814"/>
      <c r="H118" s="647"/>
      <c r="I118" s="531"/>
      <c r="J118" s="531"/>
      <c r="K118" s="531"/>
      <c r="L118" s="531"/>
      <c r="M118" s="532"/>
      <c r="N118" s="160"/>
      <c r="O118" s="160"/>
      <c r="P118" s="160"/>
      <c r="Q118" s="160"/>
      <c r="R118" s="159"/>
    </row>
    <row r="119" spans="1:18" s="136" customFormat="1" ht="15.75" customHeight="1" x14ac:dyDescent="0.2">
      <c r="A119" s="182" t="s">
        <v>497</v>
      </c>
      <c r="B119" s="813" t="str">
        <f>IF($A119="","",VLOOKUP($A119,Listes!$A$3:$C$193,2,FALSE))</f>
        <v>Inland Hazardous Charge Oncarriage</v>
      </c>
      <c r="C119" s="813"/>
      <c r="D119" s="813"/>
      <c r="E119" s="814" t="s">
        <v>51</v>
      </c>
      <c r="F119" s="814"/>
      <c r="G119" s="814"/>
      <c r="H119" s="612"/>
      <c r="I119" s="531"/>
      <c r="J119" s="531"/>
      <c r="K119" s="531"/>
      <c r="L119" s="531"/>
      <c r="M119" s="532"/>
      <c r="N119" s="160"/>
      <c r="O119" s="160"/>
      <c r="P119" s="160"/>
      <c r="Q119" s="160"/>
      <c r="R119" s="159"/>
    </row>
    <row r="120" spans="1:18" s="136" customFormat="1" x14ac:dyDescent="0.2">
      <c r="A120" s="182" t="s">
        <v>89</v>
      </c>
      <c r="B120" s="813" t="str">
        <f>IF($A120="","",VLOOKUP($A120,Listes!$A$3:$C$193,2,FALSE))</f>
        <v>Origin THC / Origin Receiving Charge</v>
      </c>
      <c r="C120" s="813"/>
      <c r="D120" s="813"/>
      <c r="E120" s="814" t="s">
        <v>51</v>
      </c>
      <c r="F120" s="814"/>
      <c r="G120" s="814"/>
      <c r="H120" s="612"/>
      <c r="I120" s="531"/>
      <c r="J120" s="531"/>
      <c r="K120" s="531"/>
      <c r="L120" s="531"/>
      <c r="M120" s="532"/>
      <c r="N120" s="160"/>
      <c r="O120" s="160"/>
      <c r="P120" s="160"/>
      <c r="Q120" s="160"/>
      <c r="R120" s="159"/>
    </row>
    <row r="121" spans="1:18" s="136" customFormat="1" ht="15.75" customHeight="1" x14ac:dyDescent="0.2">
      <c r="A121" s="182" t="s">
        <v>97</v>
      </c>
      <c r="B121" s="813" t="str">
        <f>IF($A121="","",VLOOKUP($A121,Listes!$A$3:$C$193,2,FALSE))</f>
        <v>Panama Canal Surcharge</v>
      </c>
      <c r="C121" s="813"/>
      <c r="D121" s="813"/>
      <c r="E121" s="814" t="s">
        <v>53</v>
      </c>
      <c r="F121" s="814"/>
      <c r="G121" s="814"/>
      <c r="H121" s="612"/>
      <c r="I121" s="531"/>
      <c r="J121" s="531"/>
      <c r="K121" s="531"/>
      <c r="L121" s="531"/>
      <c r="M121" s="532"/>
      <c r="N121" s="160"/>
      <c r="O121" s="160"/>
      <c r="P121" s="160"/>
      <c r="Q121" s="160"/>
      <c r="R121" s="159"/>
    </row>
    <row r="122" spans="1:18" s="136" customFormat="1" ht="15.75" customHeight="1" x14ac:dyDescent="0.2">
      <c r="A122" s="182" t="s">
        <v>1257</v>
      </c>
      <c r="B122" s="813" t="str">
        <f>IF($A122="","",VLOOKUP($A122,Listes!$A$3:$C$193,2,FALSE))</f>
        <v>Panama Canal Adj Factor</v>
      </c>
      <c r="C122" s="813"/>
      <c r="D122" s="813"/>
      <c r="E122" s="814" t="s">
        <v>51</v>
      </c>
      <c r="F122" s="814"/>
      <c r="G122" s="814"/>
      <c r="H122" s="670"/>
      <c r="I122" s="531"/>
      <c r="J122" s="531"/>
      <c r="K122" s="531"/>
      <c r="L122" s="531"/>
      <c r="M122" s="532"/>
      <c r="N122" s="160"/>
      <c r="O122" s="160"/>
      <c r="P122" s="160"/>
      <c r="Q122" s="160"/>
      <c r="R122" s="159"/>
    </row>
    <row r="123" spans="1:18" s="136" customFormat="1" ht="15.75" customHeight="1" x14ac:dyDescent="0.2">
      <c r="A123" s="182" t="s">
        <v>500</v>
      </c>
      <c r="B123" s="813" t="str">
        <f>IF($A123="","",VLOOKUP($A123,Listes!$A$3:$C$193,2,FALSE))</f>
        <v>Inland Hazardous Charge Precarriage</v>
      </c>
      <c r="C123" s="813"/>
      <c r="D123" s="813"/>
      <c r="E123" s="814" t="s">
        <v>51</v>
      </c>
      <c r="F123" s="814"/>
      <c r="G123" s="814"/>
      <c r="H123" s="612"/>
      <c r="I123" s="531"/>
      <c r="J123" s="531"/>
      <c r="K123" s="531"/>
      <c r="L123" s="531"/>
      <c r="M123" s="532"/>
      <c r="N123" s="160"/>
      <c r="O123" s="160"/>
      <c r="P123" s="160"/>
      <c r="Q123" s="160"/>
      <c r="R123" s="159"/>
    </row>
    <row r="124" spans="1:18" s="136" customFormat="1" ht="15.75" customHeight="1" x14ac:dyDescent="0.2">
      <c r="A124" s="182" t="s">
        <v>87</v>
      </c>
      <c r="B124" s="813" t="str">
        <f>IF($A124="","",VLOOKUP($A124,Listes!$A$3:$C$193,2,FALSE))</f>
        <v>Peak Season</v>
      </c>
      <c r="C124" s="813"/>
      <c r="D124" s="813"/>
      <c r="E124" s="814" t="s">
        <v>51</v>
      </c>
      <c r="F124" s="814"/>
      <c r="G124" s="814"/>
      <c r="H124" s="612"/>
      <c r="I124" s="531"/>
      <c r="J124" s="531"/>
      <c r="K124" s="531"/>
      <c r="L124" s="531"/>
      <c r="M124" s="532"/>
      <c r="N124" s="160"/>
      <c r="O124" s="160"/>
      <c r="P124" s="160"/>
      <c r="Q124" s="160"/>
      <c r="R124" s="159"/>
    </row>
    <row r="125" spans="1:18" s="136" customFormat="1" ht="15.75" customHeight="1" x14ac:dyDescent="0.2">
      <c r="A125" s="182" t="s">
        <v>859</v>
      </c>
      <c r="B125" s="813" t="str">
        <f>IF($A125="","",VLOOKUP($A125,Listes!$A$3:$C$193,2,FALSE))</f>
        <v>Peak Season Surcharge 2</v>
      </c>
      <c r="C125" s="813"/>
      <c r="D125" s="813"/>
      <c r="E125" s="814" t="s">
        <v>51</v>
      </c>
      <c r="F125" s="814"/>
      <c r="G125" s="814"/>
      <c r="H125" s="629"/>
      <c r="I125" s="531"/>
      <c r="J125" s="531"/>
      <c r="K125" s="531"/>
      <c r="L125" s="531"/>
      <c r="M125" s="532"/>
      <c r="N125" s="160"/>
      <c r="O125" s="160"/>
      <c r="P125" s="160"/>
      <c r="Q125" s="160"/>
      <c r="R125" s="159"/>
    </row>
    <row r="126" spans="1:18" s="136" customFormat="1" ht="15.75" customHeight="1" x14ac:dyDescent="0.2">
      <c r="A126" s="182" t="s">
        <v>1038</v>
      </c>
      <c r="B126" s="813" t="str">
        <f>IF($A126="","",VLOOKUP($A126,Listes!$A$3:$C$193,2,FALSE))</f>
        <v>Peak Season Surcharge 3</v>
      </c>
      <c r="C126" s="813"/>
      <c r="D126" s="813"/>
      <c r="E126" s="814" t="s">
        <v>51</v>
      </c>
      <c r="F126" s="814"/>
      <c r="G126" s="814"/>
      <c r="H126" s="612"/>
      <c r="I126" s="531"/>
      <c r="J126" s="531"/>
      <c r="K126" s="531"/>
      <c r="L126" s="531"/>
      <c r="M126" s="532"/>
      <c r="N126" s="160"/>
      <c r="O126" s="160"/>
      <c r="P126" s="160"/>
      <c r="Q126" s="160"/>
      <c r="R126" s="159"/>
    </row>
    <row r="127" spans="1:18" s="136" customFormat="1" ht="15.75" customHeight="1" x14ac:dyDescent="0.2">
      <c r="A127" s="182" t="s">
        <v>278</v>
      </c>
      <c r="B127" s="813" t="str">
        <f>IF($A127="","",VLOOKUP($A127,Listes!$A$3:$C$193,2,FALSE))</f>
        <v>Destination Terminal Security Charge</v>
      </c>
      <c r="C127" s="813"/>
      <c r="D127" s="813"/>
      <c r="E127" s="814" t="s">
        <v>51</v>
      </c>
      <c r="F127" s="814"/>
      <c r="G127" s="814"/>
      <c r="H127" s="612"/>
      <c r="I127" s="531"/>
      <c r="J127" s="531"/>
      <c r="K127" s="531"/>
      <c r="L127" s="531"/>
      <c r="M127" s="532"/>
      <c r="N127" s="160"/>
      <c r="O127" s="160"/>
      <c r="P127" s="160"/>
      <c r="Q127" s="160"/>
      <c r="R127" s="159"/>
    </row>
    <row r="128" spans="1:18" s="136" customFormat="1" ht="15.75" customHeight="1" x14ac:dyDescent="0.2">
      <c r="A128" s="182" t="s">
        <v>361</v>
      </c>
      <c r="B128" s="813" t="str">
        <f>IF($A128="","",VLOOKUP($A128,Listes!$A$3:$C$193,2,FALSE))</f>
        <v>Suez Canal Surcharge</v>
      </c>
      <c r="C128" s="813"/>
      <c r="D128" s="813"/>
      <c r="E128" s="814" t="s">
        <v>53</v>
      </c>
      <c r="F128" s="814"/>
      <c r="G128" s="814"/>
      <c r="H128" s="648"/>
      <c r="I128" s="531"/>
      <c r="J128" s="531"/>
      <c r="K128" s="531"/>
      <c r="L128" s="531"/>
      <c r="M128" s="532"/>
      <c r="N128" s="160"/>
      <c r="O128" s="160"/>
      <c r="P128" s="160"/>
      <c r="Q128" s="160"/>
      <c r="R128" s="159"/>
    </row>
    <row r="129" spans="1:23" s="136" customFormat="1" ht="31.5" x14ac:dyDescent="0.2">
      <c r="A129" s="182" t="s">
        <v>367</v>
      </c>
      <c r="B129" s="813" t="str">
        <f>IF($A129="","",VLOOKUP($A129,Listes!$A$3:$C$193,2,FALSE))</f>
        <v>Tri-Axle / Super Chassis Oncarriage Surcharge</v>
      </c>
      <c r="C129" s="813"/>
      <c r="D129" s="813"/>
      <c r="E129" s="814" t="s">
        <v>51</v>
      </c>
      <c r="F129" s="814"/>
      <c r="G129" s="814"/>
      <c r="H129" s="612"/>
      <c r="I129" s="531"/>
      <c r="J129" s="531"/>
      <c r="K129" s="531"/>
      <c r="L129" s="531"/>
      <c r="M129" s="532"/>
      <c r="N129" s="160"/>
      <c r="O129" s="160"/>
      <c r="P129" s="160"/>
      <c r="Q129" s="160"/>
      <c r="R129" s="159"/>
    </row>
    <row r="130" spans="1:23" s="136" customFormat="1" ht="16.5" thickBot="1" x14ac:dyDescent="0.25">
      <c r="A130" s="185" t="s">
        <v>742</v>
      </c>
      <c r="B130" s="812" t="str">
        <f>IF($A130="","",VLOOKUP($A130,Listes!$A$3:$C$193,2,FALSE))</f>
        <v>Wharfage (Destination)</v>
      </c>
      <c r="C130" s="812"/>
      <c r="D130" s="812"/>
      <c r="E130" s="815" t="s">
        <v>51</v>
      </c>
      <c r="F130" s="815"/>
      <c r="G130" s="815"/>
      <c r="H130" s="613"/>
      <c r="I130" s="533"/>
      <c r="J130" s="533"/>
      <c r="K130" s="533"/>
      <c r="L130" s="533"/>
      <c r="M130" s="534"/>
      <c r="N130" s="160"/>
      <c r="O130" s="160"/>
      <c r="P130" s="160"/>
      <c r="Q130" s="160"/>
      <c r="R130" s="159"/>
    </row>
    <row r="131" spans="1:23" s="73" customFormat="1" ht="16.5" thickBot="1" x14ac:dyDescent="0.25">
      <c r="A131" s="850" t="s">
        <v>216</v>
      </c>
      <c r="B131" s="851"/>
      <c r="C131" s="851"/>
      <c r="D131" s="851"/>
      <c r="E131" s="852"/>
      <c r="F131" s="852"/>
      <c r="G131" s="852"/>
      <c r="H131" s="852"/>
      <c r="I131" s="853"/>
      <c r="J131" s="169"/>
      <c r="K131" s="118"/>
      <c r="L131" s="134"/>
      <c r="M131" s="134"/>
      <c r="N131" s="134"/>
      <c r="O131" s="134"/>
      <c r="P131" s="134"/>
      <c r="Q131" s="118"/>
    </row>
    <row r="132" spans="1:23" s="73" customFormat="1" ht="16.5" thickBot="1" x14ac:dyDescent="0.25">
      <c r="A132" s="849" t="s">
        <v>597</v>
      </c>
      <c r="B132" s="833"/>
      <c r="C132" s="833"/>
      <c r="D132" s="833"/>
      <c r="E132" s="833"/>
      <c r="F132" s="833"/>
      <c r="G132" s="833"/>
      <c r="H132" s="833"/>
      <c r="I132" s="834"/>
      <c r="J132" s="169"/>
      <c r="K132" s="134"/>
      <c r="L132" s="134"/>
      <c r="M132" s="134"/>
      <c r="N132" s="134"/>
      <c r="O132" s="118"/>
    </row>
    <row r="133" spans="1:23" s="73" customFormat="1" ht="16.5" thickBot="1" x14ac:dyDescent="0.25">
      <c r="A133" s="187"/>
      <c r="B133" s="187"/>
      <c r="C133" s="188"/>
      <c r="D133" s="189"/>
      <c r="E133" s="170"/>
      <c r="F133" s="170"/>
      <c r="G133" s="170"/>
      <c r="H133" s="170"/>
      <c r="I133" s="170"/>
      <c r="J133" s="189"/>
      <c r="K133" s="169"/>
      <c r="L133" s="118"/>
      <c r="M133" s="134"/>
      <c r="N133" s="134"/>
      <c r="O133" s="134"/>
      <c r="P133" s="134"/>
      <c r="Q133" s="134"/>
      <c r="R133" s="118"/>
    </row>
    <row r="134" spans="1:23" s="73" customFormat="1" ht="15.6" customHeight="1" x14ac:dyDescent="0.2">
      <c r="A134" s="830" t="s">
        <v>523</v>
      </c>
      <c r="B134" s="831"/>
      <c r="C134" s="831"/>
      <c r="D134" s="831"/>
      <c r="E134" s="842" t="s">
        <v>288</v>
      </c>
      <c r="F134" s="842">
        <v>20</v>
      </c>
      <c r="G134" s="842">
        <v>40</v>
      </c>
      <c r="H134" s="842" t="s">
        <v>19</v>
      </c>
      <c r="I134" s="842" t="s">
        <v>20</v>
      </c>
      <c r="J134" s="848" t="s">
        <v>297</v>
      </c>
      <c r="K134" s="848" t="s">
        <v>33</v>
      </c>
      <c r="L134" s="846" t="s">
        <v>217</v>
      </c>
      <c r="M134" s="189"/>
      <c r="N134" s="134"/>
      <c r="O134" s="134"/>
      <c r="P134" s="134"/>
      <c r="Q134" s="134"/>
      <c r="R134" s="134"/>
      <c r="S134" s="134"/>
      <c r="T134" s="134"/>
      <c r="U134" s="134"/>
    </row>
    <row r="135" spans="1:23" s="73" customFormat="1" x14ac:dyDescent="0.2">
      <c r="A135" s="537" t="s">
        <v>218</v>
      </c>
      <c r="B135" s="538" t="s">
        <v>11</v>
      </c>
      <c r="C135" s="538" t="s">
        <v>12</v>
      </c>
      <c r="D135" s="538" t="s">
        <v>219</v>
      </c>
      <c r="E135" s="843"/>
      <c r="F135" s="843"/>
      <c r="G135" s="843"/>
      <c r="H135" s="843"/>
      <c r="I135" s="843"/>
      <c r="J135" s="843"/>
      <c r="K135" s="843"/>
      <c r="L135" s="847"/>
      <c r="M135" s="189"/>
      <c r="N135" s="134"/>
      <c r="O135" s="134"/>
      <c r="P135" s="134"/>
      <c r="Q135" s="134"/>
      <c r="R135" s="134"/>
      <c r="S135" s="134"/>
      <c r="T135" s="134"/>
      <c r="U135" s="134"/>
    </row>
    <row r="136" spans="1:23" s="136" customFormat="1" x14ac:dyDescent="0.2">
      <c r="A136" s="539"/>
      <c r="B136" s="540"/>
      <c r="C136" s="540"/>
      <c r="D136" s="540"/>
      <c r="E136" s="540"/>
      <c r="F136" s="255"/>
      <c r="G136" s="255"/>
      <c r="H136" s="255"/>
      <c r="I136" s="255"/>
      <c r="J136" s="540"/>
      <c r="K136" s="21"/>
      <c r="L136" s="541"/>
      <c r="M136" s="190"/>
      <c r="N136" s="160"/>
      <c r="O136" s="160"/>
      <c r="P136" s="160"/>
      <c r="Q136" s="160"/>
      <c r="R136" s="160"/>
      <c r="S136" s="160"/>
      <c r="T136" s="160"/>
      <c r="U136" s="160"/>
    </row>
    <row r="137" spans="1:23" s="136" customFormat="1" x14ac:dyDescent="0.2">
      <c r="A137" s="542"/>
      <c r="B137" s="540"/>
      <c r="C137" s="540"/>
      <c r="D137" s="540"/>
      <c r="E137" s="540"/>
      <c r="F137" s="255"/>
      <c r="G137" s="255"/>
      <c r="H137" s="255"/>
      <c r="I137" s="255"/>
      <c r="J137" s="24"/>
      <c r="K137" s="21"/>
      <c r="L137" s="25"/>
      <c r="M137" s="191"/>
      <c r="N137" s="160"/>
      <c r="O137" s="160"/>
      <c r="P137" s="160"/>
      <c r="Q137" s="160"/>
      <c r="R137" s="160"/>
      <c r="S137" s="160"/>
      <c r="T137" s="160"/>
      <c r="U137" s="160"/>
    </row>
    <row r="138" spans="1:23" s="136" customFormat="1" x14ac:dyDescent="0.2">
      <c r="A138" s="542"/>
      <c r="B138" s="540"/>
      <c r="C138" s="540"/>
      <c r="D138" s="540"/>
      <c r="E138" s="540"/>
      <c r="F138" s="255"/>
      <c r="G138" s="255"/>
      <c r="H138" s="255"/>
      <c r="I138" s="255"/>
      <c r="J138" s="24"/>
      <c r="K138" s="21"/>
      <c r="L138" s="25"/>
      <c r="M138" s="191"/>
      <c r="N138" s="160"/>
      <c r="O138" s="160"/>
      <c r="P138" s="160"/>
      <c r="Q138" s="160"/>
      <c r="R138" s="160"/>
      <c r="S138" s="160"/>
      <c r="T138" s="160"/>
      <c r="U138" s="160"/>
    </row>
    <row r="139" spans="1:23" s="136" customFormat="1" ht="16.5" thickBot="1" x14ac:dyDescent="0.25">
      <c r="A139" s="543"/>
      <c r="B139" s="544"/>
      <c r="C139" s="544"/>
      <c r="D139" s="544"/>
      <c r="E139" s="544"/>
      <c r="F139" s="256"/>
      <c r="G139" s="256"/>
      <c r="H139" s="256"/>
      <c r="I139" s="256"/>
      <c r="J139" s="28"/>
      <c r="K139" s="29"/>
      <c r="L139" s="30"/>
      <c r="M139" s="191"/>
      <c r="N139" s="160"/>
      <c r="O139" s="160"/>
      <c r="P139" s="160"/>
      <c r="Q139" s="160"/>
      <c r="R139" s="160"/>
      <c r="S139" s="160"/>
      <c r="T139" s="160"/>
      <c r="U139" s="160"/>
    </row>
    <row r="140" spans="1:23" s="136" customFormat="1" x14ac:dyDescent="0.2">
      <c r="A140" s="173"/>
      <c r="B140" s="545"/>
      <c r="C140" s="545"/>
      <c r="D140" s="545"/>
      <c r="E140" s="545"/>
      <c r="F140" s="545"/>
      <c r="G140" s="545"/>
      <c r="H140" s="545"/>
      <c r="I140" s="545"/>
      <c r="J140" s="33"/>
      <c r="K140" s="33"/>
      <c r="L140" s="34"/>
      <c r="M140" s="191"/>
      <c r="N140" s="160"/>
      <c r="O140" s="160"/>
      <c r="P140" s="160"/>
      <c r="Q140" s="160"/>
      <c r="R140" s="160"/>
      <c r="S140" s="160"/>
      <c r="T140" s="160"/>
      <c r="U140" s="160"/>
    </row>
    <row r="141" spans="1:23" s="73" customFormat="1" ht="15.6" customHeight="1" x14ac:dyDescent="0.2">
      <c r="A141" s="841" t="s">
        <v>596</v>
      </c>
      <c r="B141" s="840"/>
      <c r="C141" s="840"/>
      <c r="D141" s="840"/>
      <c r="E141" s="840" t="s">
        <v>288</v>
      </c>
      <c r="F141" s="840">
        <v>20</v>
      </c>
      <c r="G141" s="840">
        <v>40</v>
      </c>
      <c r="H141" s="840" t="s">
        <v>19</v>
      </c>
      <c r="I141" s="840" t="s">
        <v>20</v>
      </c>
      <c r="J141" s="845" t="s">
        <v>297</v>
      </c>
      <c r="K141" s="845" t="s">
        <v>33</v>
      </c>
      <c r="L141" s="844" t="s">
        <v>217</v>
      </c>
      <c r="M141" s="844" t="s">
        <v>23</v>
      </c>
      <c r="N141" s="169"/>
      <c r="O141" s="118"/>
      <c r="P141" s="134"/>
      <c r="Q141" s="134"/>
      <c r="R141" s="134"/>
      <c r="S141" s="134"/>
      <c r="T141" s="134"/>
      <c r="U141" s="134"/>
      <c r="V141" s="134"/>
      <c r="W141" s="134"/>
    </row>
    <row r="142" spans="1:23" s="73" customFormat="1" x14ac:dyDescent="0.2">
      <c r="A142" s="546" t="s">
        <v>218</v>
      </c>
      <c r="B142" s="546" t="s">
        <v>11</v>
      </c>
      <c r="C142" s="546" t="s">
        <v>12</v>
      </c>
      <c r="D142" s="546" t="s">
        <v>219</v>
      </c>
      <c r="E142" s="840"/>
      <c r="F142" s="840"/>
      <c r="G142" s="840"/>
      <c r="H142" s="840"/>
      <c r="I142" s="840"/>
      <c r="J142" s="840"/>
      <c r="K142" s="840"/>
      <c r="L142" s="844"/>
      <c r="M142" s="844"/>
      <c r="N142" s="169"/>
      <c r="O142" s="118"/>
      <c r="P142" s="134"/>
      <c r="Q142" s="134"/>
      <c r="R142" s="134"/>
      <c r="S142" s="134"/>
      <c r="T142" s="134"/>
      <c r="U142" s="134"/>
      <c r="V142" s="134"/>
      <c r="W142" s="134"/>
    </row>
    <row r="143" spans="1:23" s="136" customFormat="1" x14ac:dyDescent="0.2">
      <c r="A143" s="372"/>
      <c r="B143" s="547"/>
      <c r="C143" s="547"/>
      <c r="D143" s="547"/>
      <c r="E143" s="547"/>
      <c r="F143" s="368"/>
      <c r="G143" s="368"/>
      <c r="H143" s="368"/>
      <c r="I143" s="368"/>
      <c r="J143" s="369"/>
      <c r="K143" s="370"/>
      <c r="L143" s="548"/>
      <c r="M143" s="548"/>
      <c r="N143" s="192"/>
      <c r="O143" s="159"/>
      <c r="P143" s="160"/>
      <c r="Q143" s="160"/>
      <c r="R143" s="160"/>
      <c r="S143" s="160"/>
      <c r="T143" s="160"/>
      <c r="U143" s="160"/>
      <c r="V143" s="160"/>
      <c r="W143" s="160"/>
    </row>
    <row r="144" spans="1:23" s="136" customFormat="1" x14ac:dyDescent="0.2">
      <c r="A144" s="372"/>
      <c r="B144" s="547"/>
      <c r="C144" s="547"/>
      <c r="D144" s="547"/>
      <c r="E144" s="547"/>
      <c r="F144" s="368"/>
      <c r="G144" s="368"/>
      <c r="H144" s="368"/>
      <c r="I144" s="368"/>
      <c r="J144" s="369"/>
      <c r="K144" s="370"/>
      <c r="L144" s="548"/>
      <c r="M144" s="548"/>
      <c r="N144" s="192"/>
      <c r="O144" s="159"/>
      <c r="P144" s="160"/>
      <c r="Q144" s="160"/>
      <c r="R144" s="160"/>
      <c r="S144" s="160"/>
      <c r="T144" s="160"/>
      <c r="U144" s="160"/>
      <c r="V144" s="160"/>
      <c r="W144" s="160"/>
    </row>
    <row r="145" spans="1:23" s="136" customFormat="1" x14ac:dyDescent="0.2">
      <c r="A145" s="372"/>
      <c r="B145" s="547"/>
      <c r="C145" s="547"/>
      <c r="D145" s="547"/>
      <c r="E145" s="547"/>
      <c r="F145" s="368"/>
      <c r="G145" s="368"/>
      <c r="H145" s="368"/>
      <c r="I145" s="368"/>
      <c r="J145" s="369"/>
      <c r="K145" s="370"/>
      <c r="L145" s="548"/>
      <c r="M145" s="548"/>
      <c r="N145" s="192"/>
      <c r="O145" s="159"/>
      <c r="P145" s="160"/>
      <c r="Q145" s="160"/>
      <c r="R145" s="160"/>
      <c r="S145" s="160"/>
      <c r="T145" s="160"/>
      <c r="U145" s="160"/>
      <c r="V145" s="160"/>
      <c r="W145" s="160"/>
    </row>
    <row r="146" spans="1:23" s="136" customFormat="1" x14ac:dyDescent="0.2">
      <c r="A146" s="372"/>
      <c r="B146" s="547"/>
      <c r="C146" s="547"/>
      <c r="D146" s="547"/>
      <c r="E146" s="547"/>
      <c r="F146" s="368"/>
      <c r="G146" s="368"/>
      <c r="H146" s="368"/>
      <c r="I146" s="368"/>
      <c r="J146" s="369"/>
      <c r="K146" s="370"/>
      <c r="L146" s="373"/>
      <c r="M146" s="373"/>
      <c r="N146" s="191"/>
      <c r="O146" s="159"/>
      <c r="P146" s="160"/>
      <c r="Q146" s="160"/>
      <c r="R146" s="160"/>
      <c r="S146" s="160"/>
      <c r="T146" s="160"/>
      <c r="U146" s="160"/>
      <c r="V146" s="160"/>
      <c r="W146" s="160"/>
    </row>
    <row r="147" spans="1:23" s="73" customFormat="1" x14ac:dyDescent="0.2">
      <c r="A147" s="456"/>
      <c r="B147" s="549"/>
      <c r="C147" s="549"/>
      <c r="D147" s="549"/>
      <c r="E147" s="549"/>
      <c r="F147" s="194"/>
      <c r="G147" s="522"/>
      <c r="H147" s="195"/>
      <c r="I147" s="195"/>
      <c r="J147" s="176"/>
      <c r="K147" s="118"/>
      <c r="L147" s="134"/>
      <c r="M147" s="134"/>
      <c r="N147" s="134"/>
      <c r="O147" s="134"/>
      <c r="P147" s="134"/>
      <c r="Q147" s="134"/>
    </row>
    <row r="148" spans="1:23" s="456" customFormat="1" ht="16.5" thickBot="1" x14ac:dyDescent="0.25">
      <c r="A148" s="196"/>
      <c r="B148" s="197"/>
      <c r="C148" s="198"/>
      <c r="D148" s="198"/>
      <c r="E148" s="169"/>
      <c r="F148" s="176"/>
      <c r="G148" s="176"/>
      <c r="H148" s="176"/>
      <c r="I148" s="176"/>
      <c r="J148" s="170"/>
      <c r="K148" s="118"/>
      <c r="L148" s="134"/>
      <c r="M148" s="134"/>
      <c r="N148" s="134"/>
      <c r="O148" s="134"/>
      <c r="P148" s="134"/>
      <c r="Q148" s="134"/>
      <c r="R148" s="134"/>
      <c r="S148" s="118"/>
      <c r="T148" s="118"/>
      <c r="U148" s="118"/>
    </row>
    <row r="149" spans="1:23" s="456" customFormat="1" ht="16.5" thickBot="1" x14ac:dyDescent="0.25">
      <c r="A149" s="822" t="s">
        <v>220</v>
      </c>
      <c r="B149" s="823"/>
      <c r="C149" s="823"/>
      <c r="D149" s="823"/>
      <c r="E149" s="824"/>
      <c r="F149" s="176"/>
      <c r="G149" s="176"/>
      <c r="H149" s="176"/>
      <c r="I149" s="176"/>
      <c r="J149" s="170"/>
      <c r="K149" s="118"/>
      <c r="L149" s="134"/>
      <c r="M149" s="134"/>
      <c r="N149" s="134"/>
      <c r="O149" s="134"/>
      <c r="P149" s="134"/>
      <c r="Q149" s="134"/>
      <c r="R149" s="134"/>
      <c r="S149" s="118"/>
      <c r="T149" s="118"/>
      <c r="U149" s="118"/>
    </row>
    <row r="150" spans="1:23" s="73" customFormat="1" ht="16.5" thickBot="1" x14ac:dyDescent="0.25">
      <c r="A150" s="550"/>
      <c r="B150" s="456"/>
      <c r="C150" s="456"/>
      <c r="D150" s="456"/>
      <c r="E150" s="456"/>
      <c r="F150" s="194"/>
      <c r="G150" s="456"/>
      <c r="H150" s="200"/>
      <c r="I150" s="194"/>
      <c r="J150" s="194"/>
      <c r="K150" s="118"/>
      <c r="L150" s="134"/>
      <c r="M150" s="134"/>
      <c r="N150" s="134"/>
      <c r="O150" s="134"/>
      <c r="P150" s="134"/>
      <c r="Q150" s="134"/>
      <c r="R150" s="134"/>
      <c r="S150" s="118"/>
      <c r="T150" s="118"/>
      <c r="U150" s="118"/>
    </row>
    <row r="151" spans="1:23" s="73" customFormat="1" ht="16.5" thickBot="1" x14ac:dyDescent="0.25">
      <c r="A151" s="825" t="s">
        <v>221</v>
      </c>
      <c r="B151" s="838"/>
      <c r="C151" s="838"/>
      <c r="D151" s="838"/>
      <c r="E151" s="838"/>
      <c r="F151" s="839"/>
      <c r="G151" s="456"/>
      <c r="H151" s="200"/>
      <c r="I151" s="194"/>
      <c r="J151" s="194"/>
      <c r="K151" s="118"/>
      <c r="L151" s="134"/>
      <c r="M151" s="134"/>
      <c r="N151" s="134"/>
      <c r="O151" s="134"/>
      <c r="P151" s="134"/>
      <c r="Q151" s="134"/>
      <c r="R151" s="134"/>
      <c r="S151" s="118"/>
      <c r="T151" s="118"/>
      <c r="U151" s="118"/>
    </row>
    <row r="152" spans="1:23" s="73" customFormat="1" ht="16.5" customHeight="1" x14ac:dyDescent="0.2">
      <c r="A152" s="835" t="s">
        <v>222</v>
      </c>
      <c r="B152" s="836"/>
      <c r="C152" s="836"/>
      <c r="D152" s="836"/>
      <c r="E152" s="836"/>
      <c r="F152" s="837"/>
      <c r="G152" s="456"/>
      <c r="H152" s="201"/>
      <c r="I152" s="170"/>
      <c r="J152" s="170"/>
      <c r="K152" s="118"/>
      <c r="L152" s="134"/>
      <c r="M152" s="134"/>
      <c r="N152" s="134"/>
      <c r="O152" s="134"/>
      <c r="P152" s="134"/>
      <c r="Q152" s="134"/>
      <c r="R152" s="134"/>
      <c r="S152" s="118"/>
      <c r="T152" s="118"/>
      <c r="U152" s="118"/>
    </row>
    <row r="153" spans="1:23" ht="16.5" thickBot="1" x14ac:dyDescent="0.25">
      <c r="A153" s="832" t="s">
        <v>223</v>
      </c>
      <c r="B153" s="833"/>
      <c r="C153" s="833"/>
      <c r="D153" s="833"/>
      <c r="E153" s="833"/>
      <c r="F153" s="834"/>
      <c r="G153" s="176"/>
      <c r="H153" s="176"/>
      <c r="I153" s="176"/>
      <c r="J153" s="169"/>
      <c r="K153" s="169"/>
      <c r="L153" s="169"/>
      <c r="M153" s="169"/>
      <c r="N153" s="169"/>
      <c r="O153" s="169"/>
      <c r="P153" s="169"/>
      <c r="Q153" s="169"/>
      <c r="R153" s="169"/>
      <c r="S153" s="169"/>
      <c r="T153" s="169"/>
      <c r="U153" s="169"/>
    </row>
    <row r="154" spans="1:23" x14ac:dyDescent="0.2">
      <c r="A154" s="551" t="s">
        <v>224</v>
      </c>
      <c r="B154" s="450" t="s">
        <v>225</v>
      </c>
      <c r="C154" s="552" t="s">
        <v>226</v>
      </c>
      <c r="D154" s="553" t="s">
        <v>227</v>
      </c>
      <c r="E154" s="176"/>
      <c r="F154" s="176"/>
      <c r="G154" s="176"/>
      <c r="H154" s="169"/>
      <c r="I154" s="169"/>
      <c r="J154" s="169"/>
      <c r="K154" s="169"/>
      <c r="L154" s="169"/>
      <c r="M154" s="169"/>
      <c r="N154" s="169"/>
      <c r="O154" s="169"/>
      <c r="P154" s="169"/>
      <c r="Q154" s="169"/>
      <c r="R154" s="169"/>
    </row>
    <row r="155" spans="1:23" s="192" customFormat="1" x14ac:dyDescent="0.2">
      <c r="A155" s="203"/>
      <c r="B155" s="204" t="s">
        <v>344</v>
      </c>
      <c r="C155" s="205" t="s">
        <v>62</v>
      </c>
      <c r="D155" s="206">
        <v>0.9</v>
      </c>
      <c r="E155" s="191"/>
      <c r="F155" s="191"/>
      <c r="G155" s="191"/>
    </row>
    <row r="156" spans="1:23" s="192" customFormat="1" x14ac:dyDescent="0.2">
      <c r="A156" s="203"/>
      <c r="B156" s="204" t="s">
        <v>344</v>
      </c>
      <c r="C156" s="205" t="s">
        <v>417</v>
      </c>
      <c r="D156" s="206">
        <v>1</v>
      </c>
      <c r="E156" s="191"/>
      <c r="F156" s="191"/>
      <c r="G156" s="191"/>
    </row>
    <row r="157" spans="1:23" s="192" customFormat="1" ht="16.5" thickBot="1" x14ac:dyDescent="0.25">
      <c r="A157" s="207"/>
      <c r="B157" s="208" t="s">
        <v>344</v>
      </c>
      <c r="C157" s="209" t="s">
        <v>418</v>
      </c>
      <c r="D157" s="210">
        <v>1.266</v>
      </c>
      <c r="E157" s="191"/>
      <c r="F157" s="191"/>
      <c r="G157" s="191"/>
    </row>
    <row r="158" spans="1:23" ht="16.5" thickBot="1" x14ac:dyDescent="0.25"/>
    <row r="159" spans="1:23" s="73" customFormat="1" ht="16.5" thickBot="1" x14ac:dyDescent="0.25">
      <c r="A159" s="822" t="s">
        <v>228</v>
      </c>
      <c r="B159" s="823"/>
      <c r="C159" s="823"/>
      <c r="D159" s="823"/>
      <c r="E159" s="823"/>
      <c r="F159" s="823"/>
      <c r="G159" s="823"/>
      <c r="H159" s="823"/>
      <c r="I159" s="824"/>
      <c r="J159" s="169"/>
      <c r="K159" s="118"/>
      <c r="L159" s="134"/>
      <c r="M159" s="134"/>
      <c r="N159" s="134"/>
      <c r="O159" s="134"/>
      <c r="P159" s="134"/>
      <c r="Q159" s="134"/>
      <c r="R159" s="134"/>
      <c r="S159" s="118"/>
      <c r="T159" s="118"/>
      <c r="U159" s="118"/>
    </row>
    <row r="160" spans="1:23" s="73" customFormat="1" ht="16.5" thickBot="1" x14ac:dyDescent="0.25">
      <c r="A160" s="554" t="s">
        <v>229</v>
      </c>
      <c r="B160" s="213"/>
      <c r="C160" s="214"/>
      <c r="D160" s="214"/>
      <c r="E160" s="214"/>
      <c r="F160" s="214"/>
      <c r="G160" s="215"/>
      <c r="H160" s="216"/>
      <c r="I160" s="217"/>
      <c r="J160" s="170"/>
      <c r="K160" s="118"/>
      <c r="L160" s="134"/>
      <c r="M160" s="134"/>
      <c r="N160" s="134"/>
      <c r="O160" s="134"/>
      <c r="P160" s="134"/>
      <c r="Q160" s="134"/>
      <c r="R160" s="134"/>
      <c r="S160" s="118"/>
      <c r="T160" s="118"/>
      <c r="U160" s="118"/>
    </row>
    <row r="161" spans="1:21" s="308" customFormat="1" x14ac:dyDescent="0.2">
      <c r="A161" s="228"/>
      <c r="B161" s="949"/>
      <c r="C161" s="950"/>
      <c r="D161" s="950"/>
      <c r="E161" s="950"/>
      <c r="F161" s="950"/>
      <c r="G161" s="950"/>
      <c r="H161" s="950"/>
      <c r="I161" s="951"/>
      <c r="J161" s="171"/>
      <c r="K161" s="172"/>
      <c r="L161" s="173"/>
      <c r="M161" s="173"/>
      <c r="N161" s="173"/>
      <c r="O161" s="173"/>
      <c r="P161" s="173"/>
      <c r="Q161" s="173"/>
      <c r="R161" s="173"/>
      <c r="S161" s="172"/>
      <c r="T161" s="172"/>
      <c r="U161" s="172"/>
    </row>
    <row r="162" spans="1:21" s="218" customFormat="1" x14ac:dyDescent="0.2">
      <c r="A162" s="281"/>
      <c r="B162" s="816"/>
      <c r="C162" s="817"/>
      <c r="D162" s="817"/>
      <c r="E162" s="817"/>
      <c r="F162" s="817"/>
      <c r="G162" s="817"/>
      <c r="H162" s="817"/>
      <c r="I162" s="818"/>
    </row>
    <row r="163" spans="1:21" s="218" customFormat="1" x14ac:dyDescent="0.2">
      <c r="A163" s="281"/>
      <c r="B163" s="816"/>
      <c r="C163" s="817"/>
      <c r="D163" s="817"/>
      <c r="E163" s="817"/>
      <c r="F163" s="817"/>
      <c r="G163" s="817"/>
      <c r="H163" s="817"/>
      <c r="I163" s="818"/>
    </row>
    <row r="164" spans="1:21" s="218" customFormat="1" x14ac:dyDescent="0.2">
      <c r="A164" s="281"/>
      <c r="B164" s="816"/>
      <c r="C164" s="817"/>
      <c r="D164" s="817"/>
      <c r="E164" s="817"/>
      <c r="F164" s="817"/>
      <c r="G164" s="817"/>
      <c r="H164" s="817"/>
      <c r="I164" s="818"/>
    </row>
    <row r="165" spans="1:21" s="218" customFormat="1" x14ac:dyDescent="0.2">
      <c r="A165" s="281"/>
      <c r="B165" s="816"/>
      <c r="C165" s="817"/>
      <c r="D165" s="817"/>
      <c r="E165" s="817"/>
      <c r="F165" s="817"/>
      <c r="G165" s="817"/>
      <c r="H165" s="817"/>
      <c r="I165" s="818"/>
    </row>
    <row r="166" spans="1:21" s="218" customFormat="1" x14ac:dyDescent="0.2">
      <c r="A166" s="281"/>
      <c r="B166" s="816"/>
      <c r="C166" s="817"/>
      <c r="D166" s="817"/>
      <c r="E166" s="817"/>
      <c r="F166" s="817"/>
      <c r="G166" s="817"/>
      <c r="H166" s="817"/>
      <c r="I166" s="818"/>
    </row>
    <row r="167" spans="1:21" s="218" customFormat="1" x14ac:dyDescent="0.2">
      <c r="A167" s="281"/>
      <c r="B167" s="816"/>
      <c r="C167" s="817"/>
      <c r="D167" s="817"/>
      <c r="E167" s="817"/>
      <c r="F167" s="817"/>
      <c r="G167" s="817"/>
      <c r="H167" s="817"/>
      <c r="I167" s="818"/>
    </row>
    <row r="168" spans="1:21" s="218" customFormat="1" x14ac:dyDescent="0.2">
      <c r="A168" s="281"/>
      <c r="B168" s="816"/>
      <c r="C168" s="817"/>
      <c r="D168" s="817"/>
      <c r="E168" s="817"/>
      <c r="F168" s="817"/>
      <c r="G168" s="817"/>
      <c r="H168" s="817"/>
      <c r="I168" s="818"/>
    </row>
    <row r="169" spans="1:21" s="218" customFormat="1" x14ac:dyDescent="0.2">
      <c r="A169" s="281"/>
      <c r="B169" s="816"/>
      <c r="C169" s="817"/>
      <c r="D169" s="817"/>
      <c r="E169" s="817"/>
      <c r="F169" s="817"/>
      <c r="G169" s="817"/>
      <c r="H169" s="817"/>
      <c r="I169" s="818"/>
    </row>
    <row r="170" spans="1:21" s="218" customFormat="1" x14ac:dyDescent="0.2">
      <c r="A170" s="281"/>
      <c r="B170" s="816"/>
      <c r="C170" s="817"/>
      <c r="D170" s="817"/>
      <c r="E170" s="817"/>
      <c r="F170" s="817"/>
      <c r="G170" s="817"/>
      <c r="H170" s="817"/>
      <c r="I170" s="818"/>
    </row>
    <row r="171" spans="1:21" s="218" customFormat="1" x14ac:dyDescent="0.2">
      <c r="A171" s="281"/>
      <c r="B171" s="816"/>
      <c r="C171" s="817"/>
      <c r="D171" s="817"/>
      <c r="E171" s="817"/>
      <c r="F171" s="817"/>
      <c r="G171" s="817"/>
      <c r="H171" s="817"/>
      <c r="I171" s="818"/>
    </row>
    <row r="172" spans="1:21" s="218" customFormat="1" x14ac:dyDescent="0.2">
      <c r="A172" s="281"/>
      <c r="B172" s="816"/>
      <c r="C172" s="817"/>
      <c r="D172" s="817"/>
      <c r="E172" s="817"/>
      <c r="F172" s="817"/>
      <c r="G172" s="817"/>
      <c r="H172" s="817"/>
      <c r="I172" s="818"/>
    </row>
    <row r="173" spans="1:21" s="218" customFormat="1" x14ac:dyDescent="0.2">
      <c r="A173" s="281"/>
      <c r="B173" s="816"/>
      <c r="C173" s="817"/>
      <c r="D173" s="817"/>
      <c r="E173" s="817"/>
      <c r="F173" s="817"/>
      <c r="G173" s="817"/>
      <c r="H173" s="817"/>
      <c r="I173" s="818"/>
    </row>
    <row r="174" spans="1:21" s="218" customFormat="1" x14ac:dyDescent="0.2">
      <c r="A174" s="281"/>
      <c r="B174" s="816"/>
      <c r="C174" s="817"/>
      <c r="D174" s="817"/>
      <c r="E174" s="817"/>
      <c r="F174" s="817"/>
      <c r="G174" s="817"/>
      <c r="H174" s="817"/>
      <c r="I174" s="818"/>
    </row>
    <row r="175" spans="1:21" s="218" customFormat="1" ht="16.5" thickBot="1" x14ac:dyDescent="0.25">
      <c r="A175" s="282"/>
      <c r="B175" s="819"/>
      <c r="C175" s="820"/>
      <c r="D175" s="820"/>
      <c r="E175" s="820"/>
      <c r="F175" s="820"/>
      <c r="G175" s="820"/>
      <c r="H175" s="820"/>
      <c r="I175" s="821"/>
    </row>
    <row r="177" spans="1:14" s="218" customFormat="1" x14ac:dyDescent="0.2">
      <c r="F177" s="337"/>
      <c r="G177" s="337"/>
      <c r="H177" s="337"/>
      <c r="I177" s="337"/>
    </row>
    <row r="178" spans="1:14" s="218" customFormat="1" ht="16.5" thickBot="1" x14ac:dyDescent="0.25">
      <c r="F178" s="337"/>
      <c r="G178" s="337"/>
      <c r="H178" s="337"/>
      <c r="I178" s="337"/>
    </row>
    <row r="179" spans="1:14" s="218" customFormat="1" ht="16.5" thickBot="1" x14ac:dyDescent="0.25">
      <c r="A179" s="825" t="s">
        <v>3</v>
      </c>
      <c r="B179" s="826"/>
      <c r="F179" s="337"/>
      <c r="G179" s="337"/>
      <c r="H179" s="337"/>
      <c r="I179" s="337"/>
    </row>
    <row r="180" spans="1:14" s="347" customFormat="1" ht="16.5" thickBot="1" x14ac:dyDescent="0.25">
      <c r="A180" s="338"/>
      <c r="B180" s="338"/>
      <c r="F180" s="348"/>
      <c r="G180" s="348"/>
      <c r="H180" s="348"/>
      <c r="I180" s="348"/>
    </row>
    <row r="181" spans="1:14" s="218" customFormat="1" ht="15.75" customHeight="1" thickBot="1" x14ac:dyDescent="0.25">
      <c r="A181" s="800" t="s">
        <v>2</v>
      </c>
      <c r="B181" s="801"/>
      <c r="C181" s="801"/>
      <c r="D181" s="801"/>
      <c r="E181" s="801"/>
      <c r="F181" s="801"/>
      <c r="G181" s="802"/>
      <c r="H181" s="337"/>
      <c r="I181" s="337"/>
    </row>
    <row r="182" spans="1:14" s="347" customFormat="1" ht="15.75" customHeight="1" thickBot="1" x14ac:dyDescent="0.25">
      <c r="A182" s="338"/>
      <c r="B182" s="338"/>
      <c r="C182" s="338"/>
      <c r="D182" s="338"/>
      <c r="E182" s="338"/>
      <c r="F182" s="338"/>
      <c r="G182" s="338"/>
      <c r="H182" s="348"/>
      <c r="I182" s="348"/>
    </row>
    <row r="183" spans="1:14" s="218" customFormat="1" ht="15.75" customHeight="1" thickBot="1" x14ac:dyDescent="0.25">
      <c r="A183" s="807" t="s">
        <v>1</v>
      </c>
      <c r="B183" s="808"/>
      <c r="C183" s="808"/>
      <c r="D183" s="808"/>
      <c r="E183" s="809"/>
      <c r="F183" s="339"/>
      <c r="G183" s="339"/>
      <c r="H183" s="337"/>
      <c r="I183" s="337"/>
    </row>
    <row r="184" spans="1:14" s="218" customFormat="1" x14ac:dyDescent="0.2">
      <c r="A184" s="803" t="s">
        <v>627</v>
      </c>
      <c r="B184" s="805" t="s">
        <v>888</v>
      </c>
      <c r="C184" s="786" t="s">
        <v>0</v>
      </c>
      <c r="D184" s="786" t="s">
        <v>609</v>
      </c>
      <c r="E184" s="805" t="s">
        <v>889</v>
      </c>
      <c r="F184" s="786" t="s">
        <v>436</v>
      </c>
      <c r="G184" s="786" t="s">
        <v>421</v>
      </c>
      <c r="H184" s="786" t="s">
        <v>628</v>
      </c>
      <c r="I184" s="786" t="s">
        <v>11</v>
      </c>
      <c r="J184" s="786" t="s">
        <v>12</v>
      </c>
      <c r="K184" s="786" t="s">
        <v>13</v>
      </c>
      <c r="L184" s="786" t="s">
        <v>449</v>
      </c>
      <c r="M184" s="786" t="s">
        <v>610</v>
      </c>
      <c r="N184" s="788"/>
    </row>
    <row r="185" spans="1:14" s="218" customFormat="1" ht="32.25" customHeight="1" thickBot="1" x14ac:dyDescent="0.25">
      <c r="A185" s="804"/>
      <c r="B185" s="806"/>
      <c r="C185" s="787"/>
      <c r="D185" s="787"/>
      <c r="E185" s="806"/>
      <c r="F185" s="787"/>
      <c r="G185" s="787"/>
      <c r="H185" s="787"/>
      <c r="I185" s="787"/>
      <c r="J185" s="787"/>
      <c r="K185" s="787"/>
      <c r="L185" s="787"/>
      <c r="M185" s="787"/>
      <c r="N185" s="789"/>
    </row>
    <row r="186" spans="1:14" s="218" customFormat="1" x14ac:dyDescent="0.2">
      <c r="A186" s="344"/>
      <c r="B186" s="340"/>
      <c r="C186" s="394"/>
      <c r="D186" s="340"/>
      <c r="E186" s="340"/>
      <c r="F186" s="340"/>
      <c r="G186" s="340"/>
      <c r="H186" s="340"/>
      <c r="I186" s="340"/>
      <c r="J186" s="340"/>
      <c r="K186" s="340"/>
      <c r="L186" s="661"/>
      <c r="M186" s="810"/>
      <c r="N186" s="811"/>
    </row>
    <row r="187" spans="1:14" s="218" customFormat="1" x14ac:dyDescent="0.2">
      <c r="A187" s="345"/>
      <c r="B187" s="341"/>
      <c r="C187" s="392"/>
      <c r="D187" s="341"/>
      <c r="E187" s="341"/>
      <c r="F187" s="341"/>
      <c r="G187" s="341"/>
      <c r="H187" s="341"/>
      <c r="I187" s="341"/>
      <c r="J187" s="341"/>
      <c r="K187" s="341"/>
      <c r="L187" s="662"/>
      <c r="M187" s="790"/>
      <c r="N187" s="791"/>
    </row>
    <row r="188" spans="1:14" s="218" customFormat="1" x14ac:dyDescent="0.2">
      <c r="A188" s="345"/>
      <c r="B188" s="341"/>
      <c r="C188" s="392"/>
      <c r="D188" s="341"/>
      <c r="E188" s="341"/>
      <c r="F188" s="341"/>
      <c r="G188" s="341"/>
      <c r="H188" s="341"/>
      <c r="I188" s="341"/>
      <c r="J188" s="341"/>
      <c r="K188" s="341"/>
      <c r="L188" s="662"/>
      <c r="M188" s="790"/>
      <c r="N188" s="791"/>
    </row>
    <row r="189" spans="1:14" s="218" customFormat="1" x14ac:dyDescent="0.2">
      <c r="A189" s="345"/>
      <c r="B189" s="341"/>
      <c r="C189" s="392"/>
      <c r="D189" s="341"/>
      <c r="E189" s="341"/>
      <c r="F189" s="341"/>
      <c r="G189" s="341"/>
      <c r="H189" s="341"/>
      <c r="I189" s="341"/>
      <c r="J189" s="341"/>
      <c r="K189" s="341"/>
      <c r="L189" s="662"/>
      <c r="M189" s="790"/>
      <c r="N189" s="791"/>
    </row>
    <row r="190" spans="1:14" s="218" customFormat="1" x14ac:dyDescent="0.2">
      <c r="A190" s="345"/>
      <c r="B190" s="341"/>
      <c r="C190" s="392"/>
      <c r="D190" s="341"/>
      <c r="E190" s="341"/>
      <c r="F190" s="341"/>
      <c r="G190" s="341"/>
      <c r="H190" s="341"/>
      <c r="I190" s="341"/>
      <c r="J190" s="341"/>
      <c r="K190" s="341"/>
      <c r="L190" s="662"/>
      <c r="M190" s="790"/>
      <c r="N190" s="791"/>
    </row>
    <row r="191" spans="1:14" s="218" customFormat="1" ht="16.5" thickBot="1" x14ac:dyDescent="0.25">
      <c r="A191" s="346"/>
      <c r="B191" s="342"/>
      <c r="C191" s="336"/>
      <c r="D191" s="342"/>
      <c r="E191" s="342"/>
      <c r="F191" s="342"/>
      <c r="G191" s="342"/>
      <c r="H191" s="342"/>
      <c r="I191" s="342"/>
      <c r="J191" s="342"/>
      <c r="K191" s="342"/>
      <c r="L191" s="663"/>
      <c r="M191" s="794"/>
      <c r="N191" s="795"/>
    </row>
    <row r="192" spans="1:14" s="218" customFormat="1" x14ac:dyDescent="0.2">
      <c r="F192" s="337"/>
      <c r="G192" s="337"/>
      <c r="H192" s="337"/>
      <c r="I192" s="337"/>
    </row>
    <row r="193" spans="1:31" s="218" customFormat="1" ht="16.5" thickBot="1" x14ac:dyDescent="0.25">
      <c r="F193" s="337"/>
      <c r="G193" s="337"/>
      <c r="H193" s="337"/>
      <c r="I193" s="337"/>
    </row>
    <row r="194" spans="1:31" s="218" customFormat="1" ht="16.5" thickBot="1" x14ac:dyDescent="0.25">
      <c r="A194" s="800" t="s">
        <v>790</v>
      </c>
      <c r="B194" s="801"/>
      <c r="C194" s="801"/>
      <c r="D194" s="801"/>
      <c r="E194" s="801"/>
      <c r="F194" s="801"/>
      <c r="G194" s="802"/>
      <c r="H194" s="337"/>
      <c r="I194" s="337"/>
    </row>
    <row r="195" spans="1:31" s="192" customFormat="1" ht="16.5" thickBot="1" x14ac:dyDescent="0.25">
      <c r="F195" s="191"/>
      <c r="G195" s="191"/>
      <c r="H195" s="191"/>
      <c r="I195" s="191"/>
    </row>
    <row r="196" spans="1:31" s="218" customFormat="1" ht="16.5" thickBot="1" x14ac:dyDescent="0.25">
      <c r="A196" s="807" t="s">
        <v>1</v>
      </c>
      <c r="B196" s="808"/>
      <c r="C196" s="808"/>
      <c r="D196" s="808"/>
      <c r="E196" s="808"/>
      <c r="F196" s="808"/>
      <c r="G196" s="808"/>
      <c r="H196" s="809"/>
      <c r="I196" s="337"/>
    </row>
    <row r="197" spans="1:31" s="1187" customFormat="1" ht="16.5" customHeight="1" thickBot="1" x14ac:dyDescent="0.25">
      <c r="A197" s="803" t="s">
        <v>627</v>
      </c>
      <c r="B197" s="805" t="s">
        <v>888</v>
      </c>
      <c r="C197" s="786" t="s">
        <v>0</v>
      </c>
      <c r="D197" s="786" t="s">
        <v>609</v>
      </c>
      <c r="E197" s="805" t="s">
        <v>889</v>
      </c>
      <c r="F197" s="971" t="s">
        <v>42</v>
      </c>
      <c r="G197" s="1165" t="s">
        <v>789</v>
      </c>
      <c r="H197" s="1163"/>
      <c r="I197" s="1163"/>
      <c r="J197" s="1163"/>
      <c r="K197" s="1163"/>
      <c r="L197" s="1163"/>
      <c r="M197" s="1163"/>
      <c r="N197" s="1163"/>
      <c r="O197" s="1163"/>
      <c r="P197" s="1163"/>
      <c r="Q197" s="1163"/>
      <c r="R197" s="1163"/>
      <c r="S197" s="1163"/>
      <c r="T197" s="1163"/>
      <c r="U197" s="1163"/>
      <c r="V197" s="1164"/>
      <c r="W197" s="930" t="s">
        <v>436</v>
      </c>
      <c r="X197" s="786" t="s">
        <v>421</v>
      </c>
      <c r="Y197" s="786" t="s">
        <v>628</v>
      </c>
      <c r="Z197" s="786" t="s">
        <v>11</v>
      </c>
      <c r="AA197" s="786" t="s">
        <v>12</v>
      </c>
      <c r="AB197" s="786" t="s">
        <v>13</v>
      </c>
      <c r="AC197" s="786" t="s">
        <v>449</v>
      </c>
      <c r="AD197" s="971" t="s">
        <v>610</v>
      </c>
      <c r="AE197" s="1161"/>
    </row>
    <row r="198" spans="1:31" s="1187" customFormat="1" ht="47.25" customHeight="1" thickBot="1" x14ac:dyDescent="0.25">
      <c r="A198" s="804"/>
      <c r="B198" s="806"/>
      <c r="C198" s="787"/>
      <c r="D198" s="787"/>
      <c r="E198" s="806"/>
      <c r="F198" s="787"/>
      <c r="G198" s="1204" t="s">
        <v>432</v>
      </c>
      <c r="H198" s="1204" t="s">
        <v>1380</v>
      </c>
      <c r="I198" s="1200" t="s">
        <v>1381</v>
      </c>
      <c r="J198" s="1200" t="s">
        <v>1382</v>
      </c>
      <c r="K198" s="1200" t="s">
        <v>433</v>
      </c>
      <c r="L198" s="1200" t="s">
        <v>1383</v>
      </c>
      <c r="M198" s="1200" t="s">
        <v>1386</v>
      </c>
      <c r="N198" s="1200" t="s">
        <v>1387</v>
      </c>
      <c r="O198" s="1200" t="s">
        <v>434</v>
      </c>
      <c r="P198" s="1200" t="s">
        <v>1384</v>
      </c>
      <c r="Q198" s="1200" t="s">
        <v>1388</v>
      </c>
      <c r="R198" s="1200" t="s">
        <v>1389</v>
      </c>
      <c r="S198" s="1200" t="s">
        <v>435</v>
      </c>
      <c r="T198" s="1200" t="s">
        <v>1385</v>
      </c>
      <c r="U198" s="1200" t="s">
        <v>1390</v>
      </c>
      <c r="V198" s="1200" t="s">
        <v>1391</v>
      </c>
      <c r="W198" s="787"/>
      <c r="X198" s="787"/>
      <c r="Y198" s="787"/>
      <c r="Z198" s="787"/>
      <c r="AA198" s="787"/>
      <c r="AB198" s="787"/>
      <c r="AC198" s="787"/>
      <c r="AD198" s="972"/>
      <c r="AE198" s="1162"/>
    </row>
    <row r="199" spans="1:31" s="1187" customFormat="1" x14ac:dyDescent="0.2">
      <c r="A199" s="1194"/>
      <c r="B199" s="1191"/>
      <c r="C199" s="1189"/>
      <c r="D199" s="1191"/>
      <c r="E199" s="1191"/>
      <c r="F199" s="1197"/>
      <c r="G199" s="1191"/>
      <c r="H199" s="1191"/>
      <c r="I199" s="1191"/>
      <c r="J199" s="1191"/>
      <c r="K199" s="1191"/>
      <c r="L199" s="1191"/>
      <c r="M199" s="1191"/>
      <c r="N199" s="1191"/>
      <c r="O199" s="1191"/>
      <c r="P199" s="1191"/>
      <c r="Q199" s="1191"/>
      <c r="R199" s="1191"/>
      <c r="S199" s="1191"/>
      <c r="T199" s="1191"/>
      <c r="U199" s="1191"/>
      <c r="V199" s="1191"/>
      <c r="W199" s="1191"/>
      <c r="X199" s="1191"/>
      <c r="Y199" s="1191"/>
      <c r="Z199" s="1191"/>
      <c r="AA199" s="1191"/>
      <c r="AB199" s="1191"/>
      <c r="AC199" s="1201"/>
      <c r="AD199" s="796"/>
      <c r="AE199" s="797"/>
    </row>
    <row r="200" spans="1:31" s="1187" customFormat="1" x14ac:dyDescent="0.2">
      <c r="A200" s="1195"/>
      <c r="B200" s="1192"/>
      <c r="C200" s="1188"/>
      <c r="D200" s="1192"/>
      <c r="E200" s="1192"/>
      <c r="F200" s="1198"/>
      <c r="G200" s="1192"/>
      <c r="H200" s="1192"/>
      <c r="I200" s="1192"/>
      <c r="J200" s="1192"/>
      <c r="K200" s="1192"/>
      <c r="L200" s="1192"/>
      <c r="M200" s="1192"/>
      <c r="N200" s="1192"/>
      <c r="O200" s="1192"/>
      <c r="P200" s="1192"/>
      <c r="Q200" s="1192"/>
      <c r="R200" s="1192"/>
      <c r="S200" s="1192"/>
      <c r="T200" s="1192"/>
      <c r="U200" s="1192"/>
      <c r="V200" s="1192"/>
      <c r="W200" s="1192"/>
      <c r="X200" s="1192"/>
      <c r="Y200" s="1192"/>
      <c r="Z200" s="1192"/>
      <c r="AA200" s="1192"/>
      <c r="AB200" s="1192"/>
      <c r="AC200" s="1202"/>
      <c r="AD200" s="798"/>
      <c r="AE200" s="799"/>
    </row>
    <row r="201" spans="1:31" s="1187" customFormat="1" x14ac:dyDescent="0.2">
      <c r="A201" s="1195"/>
      <c r="B201" s="1192"/>
      <c r="C201" s="1188"/>
      <c r="D201" s="1192"/>
      <c r="E201" s="1192"/>
      <c r="F201" s="1198"/>
      <c r="G201" s="1192"/>
      <c r="H201" s="1192"/>
      <c r="I201" s="1192"/>
      <c r="J201" s="1192"/>
      <c r="K201" s="1192"/>
      <c r="L201" s="1192"/>
      <c r="M201" s="1192"/>
      <c r="N201" s="1192"/>
      <c r="O201" s="1192"/>
      <c r="P201" s="1192"/>
      <c r="Q201" s="1192"/>
      <c r="R201" s="1192"/>
      <c r="S201" s="1192"/>
      <c r="T201" s="1192"/>
      <c r="U201" s="1192"/>
      <c r="V201" s="1192"/>
      <c r="W201" s="1192"/>
      <c r="X201" s="1192"/>
      <c r="Y201" s="1192"/>
      <c r="Z201" s="1192"/>
      <c r="AA201" s="1192"/>
      <c r="AB201" s="1192"/>
      <c r="AC201" s="1202"/>
      <c r="AD201" s="798"/>
      <c r="AE201" s="799"/>
    </row>
    <row r="202" spans="1:31" s="1187" customFormat="1" x14ac:dyDescent="0.2">
      <c r="A202" s="1195"/>
      <c r="B202" s="1192"/>
      <c r="C202" s="1188"/>
      <c r="D202" s="1192"/>
      <c r="E202" s="1192"/>
      <c r="F202" s="1198"/>
      <c r="G202" s="1192"/>
      <c r="H202" s="1192"/>
      <c r="I202" s="1192"/>
      <c r="J202" s="1192"/>
      <c r="K202" s="1192"/>
      <c r="L202" s="1192"/>
      <c r="M202" s="1192"/>
      <c r="N202" s="1192"/>
      <c r="O202" s="1192"/>
      <c r="P202" s="1192"/>
      <c r="Q202" s="1192"/>
      <c r="R202" s="1192"/>
      <c r="S202" s="1192"/>
      <c r="T202" s="1192"/>
      <c r="U202" s="1192"/>
      <c r="V202" s="1192"/>
      <c r="W202" s="1192"/>
      <c r="X202" s="1192"/>
      <c r="Y202" s="1192"/>
      <c r="Z202" s="1192"/>
      <c r="AA202" s="1192"/>
      <c r="AB202" s="1192"/>
      <c r="AC202" s="1202"/>
      <c r="AD202" s="798"/>
      <c r="AE202" s="799"/>
    </row>
    <row r="203" spans="1:31" s="1187" customFormat="1" x14ac:dyDescent="0.2">
      <c r="A203" s="1195"/>
      <c r="B203" s="1192"/>
      <c r="C203" s="1188"/>
      <c r="D203" s="1192"/>
      <c r="E203" s="1192"/>
      <c r="F203" s="1198"/>
      <c r="G203" s="1192"/>
      <c r="H203" s="1192"/>
      <c r="I203" s="1192"/>
      <c r="J203" s="1192"/>
      <c r="K203" s="1192"/>
      <c r="L203" s="1192"/>
      <c r="M203" s="1192"/>
      <c r="N203" s="1192"/>
      <c r="O203" s="1192"/>
      <c r="P203" s="1192"/>
      <c r="Q203" s="1192"/>
      <c r="R203" s="1192"/>
      <c r="S203" s="1192"/>
      <c r="T203" s="1192"/>
      <c r="U203" s="1192"/>
      <c r="V203" s="1192"/>
      <c r="W203" s="1192"/>
      <c r="X203" s="1192"/>
      <c r="Y203" s="1192"/>
      <c r="Z203" s="1192"/>
      <c r="AA203" s="1192"/>
      <c r="AB203" s="1192"/>
      <c r="AC203" s="1202"/>
      <c r="AD203" s="798"/>
      <c r="AE203" s="799"/>
    </row>
    <row r="204" spans="1:31" s="1187" customFormat="1" ht="16.5" thickBot="1" x14ac:dyDescent="0.25">
      <c r="A204" s="1196"/>
      <c r="B204" s="1193"/>
      <c r="C204" s="1190"/>
      <c r="D204" s="1193"/>
      <c r="E204" s="1193"/>
      <c r="F204" s="1199"/>
      <c r="G204" s="1193"/>
      <c r="H204" s="1193"/>
      <c r="I204" s="1193"/>
      <c r="J204" s="1193"/>
      <c r="K204" s="1193"/>
      <c r="L204" s="1193"/>
      <c r="M204" s="1193"/>
      <c r="N204" s="1193"/>
      <c r="O204" s="1193"/>
      <c r="P204" s="1193"/>
      <c r="Q204" s="1193"/>
      <c r="R204" s="1193"/>
      <c r="S204" s="1193"/>
      <c r="T204" s="1193"/>
      <c r="U204" s="1193"/>
      <c r="V204" s="1193"/>
      <c r="W204" s="1193"/>
      <c r="X204" s="1193"/>
      <c r="Y204" s="1193"/>
      <c r="Z204" s="1193"/>
      <c r="AA204" s="1193"/>
      <c r="AB204" s="1193"/>
      <c r="AC204" s="1203"/>
      <c r="AD204" s="792"/>
      <c r="AE204" s="793"/>
    </row>
    <row r="205" spans="1:31" s="218" customFormat="1" x14ac:dyDescent="0.2">
      <c r="F205" s="337"/>
      <c r="G205" s="337"/>
      <c r="H205" s="337"/>
      <c r="I205" s="337"/>
    </row>
    <row r="206" spans="1:31" s="218" customFormat="1" x14ac:dyDescent="0.2">
      <c r="F206" s="337"/>
      <c r="G206" s="337"/>
      <c r="H206" s="337"/>
      <c r="I206" s="337"/>
    </row>
    <row r="207" spans="1:31" s="218" customFormat="1" ht="16.5" thickBot="1" x14ac:dyDescent="0.25">
      <c r="F207" s="337"/>
      <c r="G207" s="337"/>
      <c r="H207" s="337"/>
      <c r="I207" s="337"/>
    </row>
    <row r="208" spans="1:31" ht="16.5" thickBot="1" x14ac:dyDescent="0.25">
      <c r="A208" s="555" t="s">
        <v>454</v>
      </c>
      <c r="B208" s="556" t="s">
        <v>455</v>
      </c>
    </row>
    <row r="209" spans="1:9" x14ac:dyDescent="0.2">
      <c r="A209" s="450" t="s">
        <v>456</v>
      </c>
      <c r="B209" s="557" t="s">
        <v>51</v>
      </c>
    </row>
    <row r="210" spans="1:9" x14ac:dyDescent="0.2">
      <c r="A210" s="558" t="s">
        <v>65</v>
      </c>
      <c r="B210" s="559" t="s">
        <v>51</v>
      </c>
    </row>
    <row r="211" spans="1:9" x14ac:dyDescent="0.2">
      <c r="A211" s="558" t="s">
        <v>257</v>
      </c>
      <c r="B211" s="559" t="s">
        <v>51</v>
      </c>
    </row>
    <row r="212" spans="1:9" x14ac:dyDescent="0.2">
      <c r="A212" s="558" t="s">
        <v>258</v>
      </c>
      <c r="B212" s="559" t="s">
        <v>51</v>
      </c>
      <c r="F212" s="69"/>
      <c r="G212" s="69"/>
      <c r="H212" s="69"/>
      <c r="I212" s="69"/>
    </row>
    <row r="213" spans="1:9" x14ac:dyDescent="0.2">
      <c r="A213" s="558" t="s">
        <v>259</v>
      </c>
      <c r="B213" s="559" t="s">
        <v>53</v>
      </c>
      <c r="F213" s="69"/>
      <c r="G213" s="69"/>
      <c r="H213" s="69"/>
      <c r="I213" s="69"/>
    </row>
    <row r="214" spans="1:9" x14ac:dyDescent="0.2">
      <c r="A214" s="558" t="s">
        <v>281</v>
      </c>
      <c r="B214" s="559" t="s">
        <v>53</v>
      </c>
      <c r="F214" s="69"/>
      <c r="G214" s="69"/>
      <c r="H214" s="69"/>
      <c r="I214" s="69"/>
    </row>
    <row r="215" spans="1:9" x14ac:dyDescent="0.2">
      <c r="A215" s="560" t="s">
        <v>279</v>
      </c>
      <c r="B215" s="559" t="s">
        <v>53</v>
      </c>
      <c r="F215" s="69"/>
      <c r="G215" s="69"/>
      <c r="H215" s="69"/>
      <c r="I215" s="69"/>
    </row>
    <row r="216" spans="1:9" x14ac:dyDescent="0.2">
      <c r="A216" s="560" t="s">
        <v>457</v>
      </c>
      <c r="B216" s="559" t="s">
        <v>53</v>
      </c>
      <c r="F216" s="69"/>
      <c r="G216" s="69"/>
      <c r="H216" s="69"/>
      <c r="I216" s="69"/>
    </row>
    <row r="217" spans="1:9" ht="16.5" thickBot="1" x14ac:dyDescent="0.25">
      <c r="A217" s="561" t="s">
        <v>460</v>
      </c>
      <c r="B217" s="562" t="s">
        <v>51</v>
      </c>
      <c r="F217" s="69"/>
      <c r="G217" s="69"/>
      <c r="H217" s="69"/>
      <c r="I217" s="69"/>
    </row>
  </sheetData>
  <sheetProtection formatCells="0" formatColumns="0" formatRows="0" insertColumns="0" insertRows="0" deleteColumns="0" deleteRows="0" sort="0" autoFilter="0"/>
  <autoFilter ref="A35:AB35" xr:uid="{00000000-0009-0000-0000-000006000000}"/>
  <dataConsolidate>
    <dataRefs count="2">
      <dataRef ref="B9" sheet="APPENDIX B-1  (FE - USWC)"/>
      <dataRef ref="A14:A18" sheet="APPENDIX B-1  (FE - USWC)"/>
    </dataRefs>
  </dataConsolidate>
  <mergeCells count="269">
    <mergeCell ref="AD199:AE199"/>
    <mergeCell ref="AD200:AE200"/>
    <mergeCell ref="AD201:AE201"/>
    <mergeCell ref="AD202:AE202"/>
    <mergeCell ref="AD203:AE203"/>
    <mergeCell ref="AD204:AE204"/>
    <mergeCell ref="G197:V197"/>
    <mergeCell ref="W197:W198"/>
    <mergeCell ref="X197:X198"/>
    <mergeCell ref="Y197:Y198"/>
    <mergeCell ref="Z197:Z198"/>
    <mergeCell ref="AA197:AA198"/>
    <mergeCell ref="AB197:AB198"/>
    <mergeCell ref="AC197:AC198"/>
    <mergeCell ref="AD197:AE198"/>
    <mergeCell ref="B27:H27"/>
    <mergeCell ref="B113:D113"/>
    <mergeCell ref="E113:G113"/>
    <mergeCell ref="B114:D114"/>
    <mergeCell ref="E114:G114"/>
    <mergeCell ref="E110:G110"/>
    <mergeCell ref="B111:D111"/>
    <mergeCell ref="E101:G101"/>
    <mergeCell ref="B104:D104"/>
    <mergeCell ref="E104:G104"/>
    <mergeCell ref="B109:D109"/>
    <mergeCell ref="E109:G109"/>
    <mergeCell ref="B107:D107"/>
    <mergeCell ref="E107:G107"/>
    <mergeCell ref="B105:D105"/>
    <mergeCell ref="B108:D108"/>
    <mergeCell ref="E108:G108"/>
    <mergeCell ref="E35:E36"/>
    <mergeCell ref="E44:E45"/>
    <mergeCell ref="B35:B36"/>
    <mergeCell ref="C35:C36"/>
    <mergeCell ref="B29:H29"/>
    <mergeCell ref="B100:D100"/>
    <mergeCell ref="B102:D102"/>
    <mergeCell ref="AC53:AC54"/>
    <mergeCell ref="AA53:AA54"/>
    <mergeCell ref="H95:H97"/>
    <mergeCell ref="A91:I91"/>
    <mergeCell ref="B74:D74"/>
    <mergeCell ref="B89:D89"/>
    <mergeCell ref="A78:C78"/>
    <mergeCell ref="I95:I97"/>
    <mergeCell ref="B88:D88"/>
    <mergeCell ref="A96:G96"/>
    <mergeCell ref="A97:G97"/>
    <mergeCell ref="B86:D86"/>
    <mergeCell ref="A92:I92"/>
    <mergeCell ref="B87:D87"/>
    <mergeCell ref="A95:G95"/>
    <mergeCell ref="E53:E54"/>
    <mergeCell ref="F53:F54"/>
    <mergeCell ref="A62:C62"/>
    <mergeCell ref="B93:I93"/>
    <mergeCell ref="B53:B54"/>
    <mergeCell ref="C53:C54"/>
    <mergeCell ref="K53:K54"/>
    <mergeCell ref="L53:L54"/>
    <mergeCell ref="AB53:AB54"/>
    <mergeCell ref="G53:G54"/>
    <mergeCell ref="D44:D45"/>
    <mergeCell ref="D35:D36"/>
    <mergeCell ref="G44:G45"/>
    <mergeCell ref="H35:H36"/>
    <mergeCell ref="AA35:AA36"/>
    <mergeCell ref="AA44:AA45"/>
    <mergeCell ref="I35:I36"/>
    <mergeCell ref="J44:J45"/>
    <mergeCell ref="Z35:Z36"/>
    <mergeCell ref="Z44:Z45"/>
    <mergeCell ref="Z53:Z54"/>
    <mergeCell ref="H44:H45"/>
    <mergeCell ref="I44:I45"/>
    <mergeCell ref="K35:K36"/>
    <mergeCell ref="J35:J36"/>
    <mergeCell ref="Y35:Y36"/>
    <mergeCell ref="Y44:Y45"/>
    <mergeCell ref="A35:A36"/>
    <mergeCell ref="F35:F36"/>
    <mergeCell ref="L35:L36"/>
    <mergeCell ref="G35:G36"/>
    <mergeCell ref="X35:X36"/>
    <mergeCell ref="B73:D73"/>
    <mergeCell ref="B70:D70"/>
    <mergeCell ref="B71:D71"/>
    <mergeCell ref="A1:B1"/>
    <mergeCell ref="C1:F1"/>
    <mergeCell ref="A2:B2"/>
    <mergeCell ref="C2:F2"/>
    <mergeCell ref="A3:B3"/>
    <mergeCell ref="A4:B4"/>
    <mergeCell ref="C3:F3"/>
    <mergeCell ref="C4:F4"/>
    <mergeCell ref="B14:I14"/>
    <mergeCell ref="A5:B5"/>
    <mergeCell ref="C5:F5"/>
    <mergeCell ref="A6:B6"/>
    <mergeCell ref="C6:F6"/>
    <mergeCell ref="A7:B7"/>
    <mergeCell ref="C7:F7"/>
    <mergeCell ref="C8:F8"/>
    <mergeCell ref="A12:J12"/>
    <mergeCell ref="J13:K13"/>
    <mergeCell ref="A8:B8"/>
    <mergeCell ref="J16:K16"/>
    <mergeCell ref="J15:K15"/>
    <mergeCell ref="B13:I13"/>
    <mergeCell ref="B15:I15"/>
    <mergeCell ref="B16:I16"/>
    <mergeCell ref="L15:M15"/>
    <mergeCell ref="L13:M13"/>
    <mergeCell ref="B22:H22"/>
    <mergeCell ref="L14:M14"/>
    <mergeCell ref="L17:M17"/>
    <mergeCell ref="J17:K17"/>
    <mergeCell ref="L16:M16"/>
    <mergeCell ref="B21:H21"/>
    <mergeCell ref="J14:K14"/>
    <mergeCell ref="B20:H20"/>
    <mergeCell ref="B17:I17"/>
    <mergeCell ref="B23:H23"/>
    <mergeCell ref="B24:H24"/>
    <mergeCell ref="B28:H28"/>
    <mergeCell ref="B26:H26"/>
    <mergeCell ref="B25:H25"/>
    <mergeCell ref="J141:J142"/>
    <mergeCell ref="J53:J54"/>
    <mergeCell ref="J95:J97"/>
    <mergeCell ref="H53:H54"/>
    <mergeCell ref="B44:B45"/>
    <mergeCell ref="F44:F45"/>
    <mergeCell ref="D53:D54"/>
    <mergeCell ref="A63:C63"/>
    <mergeCell ref="A77:C77"/>
    <mergeCell ref="A53:A54"/>
    <mergeCell ref="I53:I54"/>
    <mergeCell ref="B85:D85"/>
    <mergeCell ref="C44:C45"/>
    <mergeCell ref="A52:D52"/>
    <mergeCell ref="A44:A45"/>
    <mergeCell ref="B72:D72"/>
    <mergeCell ref="J134:J135"/>
    <mergeCell ref="E119:G119"/>
    <mergeCell ref="B121:D121"/>
    <mergeCell ref="K134:K135"/>
    <mergeCell ref="M95:M97"/>
    <mergeCell ref="K44:K45"/>
    <mergeCell ref="K95:K97"/>
    <mergeCell ref="L95:L97"/>
    <mergeCell ref="L141:L142"/>
    <mergeCell ref="X44:X45"/>
    <mergeCell ref="K141:K142"/>
    <mergeCell ref="L134:L135"/>
    <mergeCell ref="M141:M142"/>
    <mergeCell ref="M53:M54"/>
    <mergeCell ref="B123:D123"/>
    <mergeCell ref="E111:G111"/>
    <mergeCell ref="B119:D119"/>
    <mergeCell ref="B112:D112"/>
    <mergeCell ref="B126:D126"/>
    <mergeCell ref="E123:G123"/>
    <mergeCell ref="B124:D124"/>
    <mergeCell ref="E124:G124"/>
    <mergeCell ref="E126:G126"/>
    <mergeCell ref="E120:G120"/>
    <mergeCell ref="E115:G115"/>
    <mergeCell ref="B115:D115"/>
    <mergeCell ref="E112:G112"/>
    <mergeCell ref="B125:D125"/>
    <mergeCell ref="E125:G125"/>
    <mergeCell ref="B122:D122"/>
    <mergeCell ref="E122:G122"/>
    <mergeCell ref="B116:D116"/>
    <mergeCell ref="E116:G116"/>
    <mergeCell ref="B118:D118"/>
    <mergeCell ref="E118:G118"/>
    <mergeCell ref="B117:D117"/>
    <mergeCell ref="E117:G117"/>
    <mergeCell ref="B120:D120"/>
    <mergeCell ref="E102:G102"/>
    <mergeCell ref="B106:D106"/>
    <mergeCell ref="E106:G106"/>
    <mergeCell ref="E105:G105"/>
    <mergeCell ref="B110:D110"/>
    <mergeCell ref="E100:G100"/>
    <mergeCell ref="B103:D103"/>
    <mergeCell ref="B98:D98"/>
    <mergeCell ref="E98:G98"/>
    <mergeCell ref="E99:G99"/>
    <mergeCell ref="B99:D99"/>
    <mergeCell ref="E103:G103"/>
    <mergeCell ref="B101:D101"/>
    <mergeCell ref="B164:I164"/>
    <mergeCell ref="E130:G130"/>
    <mergeCell ref="A141:D141"/>
    <mergeCell ref="A152:F152"/>
    <mergeCell ref="I141:I142"/>
    <mergeCell ref="A151:F151"/>
    <mergeCell ref="F141:F142"/>
    <mergeCell ref="A149:E149"/>
    <mergeCell ref="E141:E142"/>
    <mergeCell ref="G134:G135"/>
    <mergeCell ref="B130:D130"/>
    <mergeCell ref="H134:H135"/>
    <mergeCell ref="A153:F153"/>
    <mergeCell ref="H141:H142"/>
    <mergeCell ref="A131:I131"/>
    <mergeCell ref="A159:I159"/>
    <mergeCell ref="E121:G121"/>
    <mergeCell ref="A183:E183"/>
    <mergeCell ref="A181:G181"/>
    <mergeCell ref="B174:I174"/>
    <mergeCell ref="M190:N190"/>
    <mergeCell ref="F197:F198"/>
    <mergeCell ref="I184:I185"/>
    <mergeCell ref="J184:J185"/>
    <mergeCell ref="K184:K185"/>
    <mergeCell ref="F184:F185"/>
    <mergeCell ref="A197:A198"/>
    <mergeCell ref="B128:D128"/>
    <mergeCell ref="E128:G128"/>
    <mergeCell ref="B127:D127"/>
    <mergeCell ref="E127:G127"/>
    <mergeCell ref="B129:D129"/>
    <mergeCell ref="G141:G142"/>
    <mergeCell ref="B161:I161"/>
    <mergeCell ref="A134:D134"/>
    <mergeCell ref="E134:E135"/>
    <mergeCell ref="F134:F135"/>
    <mergeCell ref="E129:G129"/>
    <mergeCell ref="A132:I132"/>
    <mergeCell ref="I134:I135"/>
    <mergeCell ref="A179:B179"/>
    <mergeCell ref="A184:A185"/>
    <mergeCell ref="D184:D185"/>
    <mergeCell ref="B184:B185"/>
    <mergeCell ref="M187:N187"/>
    <mergeCell ref="M188:N188"/>
    <mergeCell ref="M189:N189"/>
    <mergeCell ref="A194:G194"/>
    <mergeCell ref="A196:H196"/>
    <mergeCell ref="B197:B198"/>
    <mergeCell ref="C197:C198"/>
    <mergeCell ref="D197:D198"/>
    <mergeCell ref="E197:E198"/>
    <mergeCell ref="M184:N185"/>
    <mergeCell ref="M186:N186"/>
    <mergeCell ref="B162:I162"/>
    <mergeCell ref="B163:I163"/>
    <mergeCell ref="B166:I166"/>
    <mergeCell ref="B165:I165"/>
    <mergeCell ref="L184:L185"/>
    <mergeCell ref="B169:I169"/>
    <mergeCell ref="M191:N191"/>
    <mergeCell ref="B173:I173"/>
    <mergeCell ref="C184:C185"/>
    <mergeCell ref="B167:I167"/>
    <mergeCell ref="B168:I168"/>
    <mergeCell ref="B175:I175"/>
    <mergeCell ref="B172:I172"/>
    <mergeCell ref="B170:I170"/>
    <mergeCell ref="B171:I171"/>
    <mergeCell ref="G184:G185"/>
    <mergeCell ref="H184:H185"/>
    <mergeCell ref="E184:E185"/>
  </mergeCells>
  <phoneticPr fontId="11" type="noConversion"/>
  <dataValidations count="33">
    <dataValidation type="list" allowBlank="1" showInputMessage="1" showErrorMessage="1" sqref="B209:B217" xr:uid="{00000000-0002-0000-0600-000000000000}">
      <formula1>Autom</formula1>
    </dataValidation>
    <dataValidation type="list" showInputMessage="1" showErrorMessage="1" sqref="C186:C191 C199:C204" xr:uid="{00000000-0002-0000-0600-000001000000}">
      <formula1>IF($B186="I",DDTARIFFUS,DDTARIFF)</formula1>
    </dataValidation>
    <dataValidation type="list" allowBlank="1" showInputMessage="1" showErrorMessage="1" sqref="B186:B191 B199:B204" xr:uid="{00000000-0002-0000-0600-000002000000}">
      <formula1>EXPIMP</formula1>
    </dataValidation>
    <dataValidation type="list" allowBlank="1" showInputMessage="1" showErrorMessage="1" sqref="F186:F191 W199:W204" xr:uid="{00000000-0002-0000-0600-000003000000}">
      <formula1>EQTYPE</formula1>
    </dataValidation>
    <dataValidation type="list" allowBlank="1" showInputMessage="1" showErrorMessage="1" sqref="G186:G191 X199:X204" xr:uid="{00000000-0002-0000-0600-000004000000}">
      <formula1>OPREEFER</formula1>
    </dataValidation>
    <dataValidation type="list" allowBlank="1" showInputMessage="1" showErrorMessage="1" sqref="F199:F204" xr:uid="{EC8AF75B-4FFD-43B4-9CF4-0A97362F4EE8}">
      <formula1>CURRENCY</formula1>
    </dataValidation>
    <dataValidation type="whole" allowBlank="1" showInputMessage="1" showErrorMessage="1" error="Only whole numbers can be entered into this field" sqref="D186:D191 D199:D204" xr:uid="{00000000-0002-0000-0600-000006000000}">
      <formula1>1</formula1>
      <formula2>99</formula2>
    </dataValidation>
    <dataValidation type="list" showInputMessage="1" showErrorMessage="1" sqref="E186:E191 E199:E204" xr:uid="{00000000-0002-0000-0600-000007000000}">
      <formula1>DAYS</formula1>
    </dataValidation>
    <dataValidation type="whole" allowBlank="1" showInputMessage="1" showErrorMessage="1" error="Only whole numbers may be entered into this field_x000a_" sqref="G199:G204 S199:S204 O199:O204 K199:K204" xr:uid="{1F3BE004-42D0-48CC-91A3-4FBF7D9506A0}">
      <formula1>1</formula1>
      <formula2>99</formula2>
    </dataValidation>
    <dataValidation type="decimal" allowBlank="1" showInputMessage="1" showErrorMessage="1" error="Only numbers may be entered into this field" sqref="H199:J204 L199:N204 P199:R204 T199:V204" xr:uid="{ACF53F7A-0E45-46F6-AB23-DCFA785FF825}">
      <formula1>1</formula1>
      <formula2>1000000000</formula2>
    </dataValidation>
    <dataValidation type="list" showInputMessage="1" showErrorMessage="1" sqref="K136:K139 K143:K146 N86:N89 A37:A40 A55:A58 A46:A49 N71:N74" xr:uid="{00000000-0002-0000-0600-00000A000000}">
      <formula1>$A$14:$A$18</formula1>
    </dataValidation>
    <dataValidation type="list" allowBlank="1" showInputMessage="1" showErrorMessage="1" sqref="J136:J139 J143:J146" xr:uid="{00000000-0002-0000-0600-00000B000000}">
      <formula1>GRIPSS</formula1>
    </dataValidation>
    <dataValidation type="decimal" allowBlank="1" showInputMessage="1" showErrorMessage="1" sqref="F143:I146 F136:I139 I55:L58 J86:M89 I46:K49 I37:L40" xr:uid="{00000000-0002-0000-0600-00000C000000}">
      <formula1>0</formula1>
      <formula2>999999999999999</formula2>
    </dataValidation>
    <dataValidation type="list" allowBlank="1" showInputMessage="1" showErrorMessage="1" sqref="E136:E139 E143:E146" xr:uid="{00000000-0002-0000-0600-00000D000000}">
      <formula1>GRIPSS_EQ</formula1>
    </dataValidation>
    <dataValidation type="list" showInputMessage="1" showErrorMessage="1" sqref="A186:A191 A199:A204" xr:uid="{00000000-0002-0000-0600-00000E000000}">
      <formula1>BULLET</formula1>
    </dataValidation>
    <dataValidation type="date" allowBlank="1" showInputMessage="1" showErrorMessage="1" sqref="X37:Y40 J98:K130" xr:uid="{00000000-0002-0000-0600-00000F000000}">
      <formula1>10101</formula1>
      <formula2>311299</formula2>
    </dataValidation>
    <dataValidation type="list" showDropDown="1" showErrorMessage="1" sqref="O70:P70 O85:P85" xr:uid="{00000000-0002-0000-0600-000010000000}">
      <formula1>Charges</formula1>
    </dataValidation>
    <dataValidation type="list" allowBlank="1" showInputMessage="1" showErrorMessage="1" sqref="O71:P74 O86:P89" xr:uid="{00000000-0002-0000-0600-000011000000}">
      <formula1 xml:space="preserve"> droppull</formula1>
    </dataValidation>
    <dataValidation type="list" allowBlank="1" showInputMessage="1" showErrorMessage="1" sqref="L46:L49 G86:G89 N46:N49 P55:P58 G71:G74" xr:uid="{00000000-0002-0000-0600-000012000000}">
      <formula1>YesNo</formula1>
    </dataValidation>
    <dataValidation type="list" allowBlank="1" showInputMessage="1" showErrorMessage="1" sqref="M55:M58" xr:uid="{00000000-0002-0000-0600-000013000000}">
      <formula1>Equip</formula1>
    </dataValidation>
    <dataValidation type="list" allowBlank="1" showInputMessage="1" showErrorMessage="1" sqref="F71:F74 F86:F89" xr:uid="{00000000-0002-0000-0600-000014000000}">
      <formula1>ArbMode</formula1>
    </dataValidation>
    <dataValidation type="list" allowBlank="1" showInputMessage="1" showErrorMessage="1" sqref="G46:G49 G37:G40 G55:G58" xr:uid="{00000000-0002-0000-0600-000015000000}">
      <formula1>SDD</formula1>
    </dataValidation>
    <dataValidation type="list" allowBlank="1" showInputMessage="1" showErrorMessage="1" sqref="M36:W36 Q54:Y54" xr:uid="{00000000-0002-0000-0600-000016000000}">
      <formula1>Container</formula1>
    </dataValidation>
    <dataValidation type="list" allowBlank="1" showInputMessage="1" showErrorMessage="1" sqref="O45:W45" xr:uid="{00000000-0002-0000-0600-000017000000}">
      <formula1>Reefer</formula1>
    </dataValidation>
    <dataValidation type="list" allowBlank="1" showInputMessage="1" showErrorMessage="1" sqref="F37:F40 F46:F49 F55:F58" xr:uid="{00000000-0002-0000-0600-000018000000}">
      <formula1>Mode</formula1>
    </dataValidation>
    <dataValidation type="list" allowBlank="1" showInputMessage="1" showErrorMessage="1" sqref="M46:M49 O55:O58" xr:uid="{00000000-0002-0000-0600-000019000000}">
      <formula1>ShipperOwn</formula1>
    </dataValidation>
    <dataValidation type="list" allowBlank="1" showInputMessage="1" showErrorMessage="1" sqref="N55:N58" xr:uid="{00000000-0002-0000-0600-00001A000000}">
      <formula1>OOG</formula1>
    </dataValidation>
    <dataValidation type="list" allowBlank="1" showErrorMessage="1" sqref="M35:W35 O44:W44 Q53:Y53" xr:uid="{00000000-0002-0000-0600-00001B000000}">
      <formula1>Exceptions</formula1>
    </dataValidation>
    <dataValidation type="list" allowBlank="1" showInputMessage="1" showErrorMessage="1" sqref="AA37:AA40 AA46:AA49 AC55:AC58" xr:uid="{00000000-0002-0000-0600-00001C000000}">
      <formula1>CST</formula1>
    </dataValidation>
    <dataValidation type="list" allowBlank="1" showInputMessage="1" showErrorMessage="1" sqref="I98:I130" xr:uid="{00000000-0002-0000-0600-00001D000000}">
      <formula1>$A$14:$A$18</formula1>
    </dataValidation>
    <dataValidation type="list" allowBlank="1" showErrorMessage="1" sqref="A98:A130" xr:uid="{00000000-0002-0000-0600-00001E000000}">
      <formula1>Charges</formula1>
    </dataValidation>
    <dataValidation allowBlank="1" showInputMessage="1" showErrorMessage="1" promptTitle="Acceptable Values:" prompt="- Applicable _x000a_- Not applicable _x000a_- Included_x000a_- Amount and OSPF for cases of fixed per D40 OSPF_x000a_    (example-  &quot;375 OSPF&quot;)" sqref="E98:G130" xr:uid="{00000000-0002-0000-0600-00001F000000}"/>
    <dataValidation type="list" allowBlank="1" showInputMessage="1" showErrorMessage="1" errorTitle="Pick up the list" promptTitle="Blank = ALL" sqref="H98:H130" xr:uid="{00000000-0002-0000-0600-000020000000}">
      <formula1>Type_note2</formula1>
    </dataValidation>
  </dataValidations>
  <pageMargins left="0.25" right="0.25" top="0.25" bottom="0.25" header="0.5" footer="0"/>
  <pageSetup scale="28" fitToHeight="0" orientation="landscape" r:id="rId1"/>
  <headerFooter alignWithMargins="0"/>
  <rowBreaks count="1" manualBreakCount="1">
    <brk id="93" max="16383" man="1"/>
  </rowBreaks>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6">
    <tabColor indexed="12"/>
    <pageSetUpPr fitToPage="1"/>
  </sheetPr>
  <dimension ref="A1:BB224"/>
  <sheetViews>
    <sheetView showGridLines="0" topLeftCell="A190" zoomScale="75" zoomScaleNormal="75" zoomScaleSheetLayoutView="75" workbookViewId="0">
      <selection activeCell="G204" sqref="A204:XFD211"/>
    </sheetView>
  </sheetViews>
  <sheetFormatPr defaultColWidth="9.140625" defaultRowHeight="15.75" x14ac:dyDescent="0.2"/>
  <cols>
    <col min="1" max="1" width="31.42578125" style="69" customWidth="1"/>
    <col min="2" max="2" width="18.5703125" style="69" customWidth="1"/>
    <col min="3" max="3" width="18.28515625" style="69" customWidth="1"/>
    <col min="4" max="4" width="17.42578125" style="69" customWidth="1"/>
    <col min="5" max="5" width="19.28515625" style="69" customWidth="1"/>
    <col min="6" max="6" width="12.140625" style="211" customWidth="1"/>
    <col min="7" max="8" width="17.42578125" style="211" customWidth="1"/>
    <col min="9" max="9" width="17.7109375" style="211" customWidth="1"/>
    <col min="10" max="10" width="23.42578125" style="69" bestFit="1" customWidth="1"/>
    <col min="11" max="11" width="20.85546875" style="69" bestFit="1" customWidth="1"/>
    <col min="12" max="12" width="18.5703125" style="69" customWidth="1"/>
    <col min="13" max="13" width="17.28515625" style="69" customWidth="1"/>
    <col min="14" max="14" width="17.7109375" style="69" customWidth="1"/>
    <col min="15" max="16" width="16.5703125" style="69" customWidth="1"/>
    <col min="17" max="17" width="17.5703125" style="69" customWidth="1"/>
    <col min="18" max="18" width="15.85546875" style="69" customWidth="1"/>
    <col min="19" max="19" width="16.7109375" style="69" customWidth="1"/>
    <col min="20" max="20" width="16.5703125" style="69" customWidth="1"/>
    <col min="21" max="21" width="16.7109375" style="69" customWidth="1"/>
    <col min="22" max="22" width="17.5703125" style="69" customWidth="1"/>
    <col min="23" max="23" width="18" style="69" customWidth="1"/>
    <col min="24" max="24" width="12.7109375" style="69" customWidth="1"/>
    <col min="25" max="25" width="16.85546875" style="69" customWidth="1"/>
    <col min="26" max="26" width="9.7109375" style="69" customWidth="1"/>
    <col min="27" max="27" width="14.140625" style="69" customWidth="1"/>
    <col min="28" max="28" width="9.7109375" style="69" customWidth="1"/>
    <col min="29" max="29" width="14.140625" style="69" customWidth="1"/>
    <col min="30" max="16384" width="9.140625" style="69"/>
  </cols>
  <sheetData>
    <row r="1" spans="1:54" x14ac:dyDescent="0.2">
      <c r="A1" s="835" t="s">
        <v>511</v>
      </c>
      <c r="B1" s="837"/>
      <c r="C1" s="902" t="str">
        <f>Cover!B1</f>
        <v>22-XXXX</v>
      </c>
      <c r="D1" s="903"/>
      <c r="E1" s="903"/>
      <c r="F1" s="904"/>
      <c r="G1" s="69"/>
      <c r="H1" s="69"/>
      <c r="I1" s="69"/>
    </row>
    <row r="2" spans="1:54" x14ac:dyDescent="0.2">
      <c r="A2" s="885" t="s">
        <v>1236</v>
      </c>
      <c r="B2" s="886"/>
      <c r="C2" s="887"/>
      <c r="D2" s="888"/>
      <c r="E2" s="888"/>
      <c r="F2" s="889"/>
      <c r="G2" s="69"/>
      <c r="H2" s="69"/>
      <c r="I2" s="69"/>
    </row>
    <row r="3" spans="1:54" x14ac:dyDescent="0.2">
      <c r="A3" s="885" t="s">
        <v>522</v>
      </c>
      <c r="B3" s="886"/>
      <c r="C3" s="905">
        <f>Cover!B2</f>
        <v>0</v>
      </c>
      <c r="D3" s="906"/>
      <c r="E3" s="906"/>
      <c r="F3" s="907"/>
      <c r="G3" s="69"/>
      <c r="H3" s="69"/>
      <c r="I3" s="69"/>
    </row>
    <row r="4" spans="1:54" x14ac:dyDescent="0.2">
      <c r="A4" s="885" t="s">
        <v>1229</v>
      </c>
      <c r="B4" s="886"/>
      <c r="C4" s="884">
        <f>Cover!B7</f>
        <v>0</v>
      </c>
      <c r="D4" s="817"/>
      <c r="E4" s="817"/>
      <c r="F4" s="818"/>
      <c r="G4" s="69"/>
      <c r="H4" s="69"/>
      <c r="I4" s="69"/>
    </row>
    <row r="5" spans="1:54" x14ac:dyDescent="0.2">
      <c r="A5" s="885" t="s">
        <v>528</v>
      </c>
      <c r="B5" s="886"/>
      <c r="C5" s="887" t="s">
        <v>543</v>
      </c>
      <c r="D5" s="888"/>
      <c r="E5" s="888"/>
      <c r="F5" s="889"/>
      <c r="G5" s="69"/>
      <c r="H5" s="69"/>
      <c r="I5" s="69"/>
    </row>
    <row r="6" spans="1:54" ht="15.75" customHeight="1" x14ac:dyDescent="0.2">
      <c r="A6" s="885" t="s">
        <v>512</v>
      </c>
      <c r="B6" s="886"/>
      <c r="C6" s="887" t="s">
        <v>603</v>
      </c>
      <c r="D6" s="888"/>
      <c r="E6" s="888"/>
      <c r="F6" s="889"/>
      <c r="G6" s="69"/>
      <c r="H6" s="69"/>
      <c r="I6" s="69"/>
    </row>
    <row r="7" spans="1:54" ht="15.75" customHeight="1" x14ac:dyDescent="0.2">
      <c r="A7" s="885" t="s">
        <v>612</v>
      </c>
      <c r="B7" s="886"/>
      <c r="C7" s="887" t="s">
        <v>121</v>
      </c>
      <c r="D7" s="888"/>
      <c r="E7" s="888"/>
      <c r="F7" s="889"/>
      <c r="G7" s="69"/>
      <c r="H7" s="69"/>
      <c r="I7" s="69"/>
    </row>
    <row r="8" spans="1:54" ht="2.25" customHeight="1" thickBot="1" x14ac:dyDescent="0.25">
      <c r="A8" s="900"/>
      <c r="B8" s="901"/>
      <c r="C8" s="894"/>
      <c r="D8" s="895"/>
      <c r="E8" s="895"/>
      <c r="F8" s="896"/>
      <c r="G8" s="69"/>
      <c r="H8" s="69"/>
      <c r="I8" s="69"/>
    </row>
    <row r="9" spans="1:54" s="73" customFormat="1" x14ac:dyDescent="0.2">
      <c r="A9" s="442">
        <v>39</v>
      </c>
      <c r="B9" s="443" t="s">
        <v>615</v>
      </c>
      <c r="D9" s="444"/>
      <c r="E9" s="444"/>
      <c r="F9" s="445"/>
    </row>
    <row r="10" spans="1:54" s="73" customFormat="1" ht="16.5" thickBot="1" x14ac:dyDescent="0.25">
      <c r="A10" s="446"/>
      <c r="D10" s="444"/>
      <c r="E10" s="444"/>
      <c r="F10" s="445"/>
      <c r="G10" s="447"/>
      <c r="H10" s="444"/>
      <c r="I10" s="444"/>
      <c r="J10" s="444"/>
    </row>
    <row r="11" spans="1:54" ht="19.5" thickBot="1" x14ac:dyDescent="0.25">
      <c r="A11" s="448" t="s">
        <v>613</v>
      </c>
      <c r="B11" s="449"/>
      <c r="C11" s="73"/>
      <c r="D11" s="444"/>
      <c r="E11" s="444"/>
      <c r="F11" s="445"/>
      <c r="G11" s="447"/>
      <c r="H11" s="444"/>
      <c r="I11" s="444"/>
      <c r="J11" s="444"/>
    </row>
    <row r="12" spans="1:54" s="78" customFormat="1" ht="16.5" thickBot="1" x14ac:dyDescent="0.25">
      <c r="A12" s="897" t="s">
        <v>616</v>
      </c>
      <c r="B12" s="898"/>
      <c r="C12" s="898"/>
      <c r="D12" s="898"/>
      <c r="E12" s="898"/>
      <c r="F12" s="898"/>
      <c r="G12" s="898"/>
      <c r="H12" s="898"/>
      <c r="I12" s="898"/>
      <c r="J12" s="899"/>
    </row>
    <row r="13" spans="1:54" ht="17.25" customHeight="1" x14ac:dyDescent="0.2">
      <c r="A13" s="450" t="s">
        <v>617</v>
      </c>
      <c r="B13" s="881" t="s">
        <v>618</v>
      </c>
      <c r="C13" s="881"/>
      <c r="D13" s="881"/>
      <c r="E13" s="881"/>
      <c r="F13" s="881"/>
      <c r="G13" s="881"/>
      <c r="H13" s="881"/>
      <c r="I13" s="881"/>
      <c r="J13" s="882" t="s">
        <v>622</v>
      </c>
      <c r="K13" s="883"/>
      <c r="L13" s="890" t="s">
        <v>623</v>
      </c>
      <c r="M13" s="891"/>
      <c r="N13" s="350" t="s">
        <v>4</v>
      </c>
    </row>
    <row r="14" spans="1:54" s="81" customFormat="1" x14ac:dyDescent="0.2">
      <c r="A14" s="451" t="s">
        <v>503</v>
      </c>
      <c r="B14" s="862" t="s">
        <v>503</v>
      </c>
      <c r="C14" s="892"/>
      <c r="D14" s="892"/>
      <c r="E14" s="892"/>
      <c r="F14" s="892"/>
      <c r="G14" s="892"/>
      <c r="H14" s="892"/>
      <c r="I14" s="892"/>
      <c r="J14" s="870"/>
      <c r="K14" s="855"/>
      <c r="L14" s="893"/>
      <c r="M14" s="871"/>
      <c r="N14" s="349" t="str">
        <f>IF($A14&gt;0,$A14,"")</f>
        <v>FAK</v>
      </c>
    </row>
    <row r="15" spans="1:54" s="453" customFormat="1" x14ac:dyDescent="0.2">
      <c r="A15" s="452"/>
      <c r="B15" s="879"/>
      <c r="C15" s="880"/>
      <c r="D15" s="880"/>
      <c r="E15" s="880"/>
      <c r="F15" s="880"/>
      <c r="G15" s="880"/>
      <c r="H15" s="880"/>
      <c r="I15" s="880"/>
      <c r="J15" s="870"/>
      <c r="K15" s="855"/>
      <c r="L15" s="870"/>
      <c r="M15" s="871"/>
      <c r="N15" s="349" t="str">
        <f>IF($A15&gt;0,$A15,"")</f>
        <v/>
      </c>
      <c r="BB15" s="81"/>
    </row>
    <row r="16" spans="1:54" s="453" customFormat="1" x14ac:dyDescent="0.2">
      <c r="A16" s="452"/>
      <c r="B16" s="879"/>
      <c r="C16" s="880"/>
      <c r="D16" s="880"/>
      <c r="E16" s="880"/>
      <c r="F16" s="880"/>
      <c r="G16" s="880"/>
      <c r="H16" s="880"/>
      <c r="I16" s="880"/>
      <c r="J16" s="870"/>
      <c r="K16" s="855"/>
      <c r="L16" s="870"/>
      <c r="M16" s="871"/>
      <c r="N16" s="349" t="str">
        <f>IF($A16&gt;0,$A16,"")</f>
        <v/>
      </c>
      <c r="BB16" s="81"/>
    </row>
    <row r="17" spans="1:54" s="453" customFormat="1" ht="16.5" thickBot="1" x14ac:dyDescent="0.25">
      <c r="A17" s="454"/>
      <c r="B17" s="864"/>
      <c r="C17" s="865"/>
      <c r="D17" s="865"/>
      <c r="E17" s="865"/>
      <c r="F17" s="865"/>
      <c r="G17" s="865"/>
      <c r="H17" s="865"/>
      <c r="I17" s="865"/>
      <c r="J17" s="866"/>
      <c r="K17" s="867"/>
      <c r="L17" s="857"/>
      <c r="M17" s="858"/>
      <c r="N17" s="349" t="str">
        <f>IF($A17&gt;0,$A17,"")</f>
        <v/>
      </c>
      <c r="BB17" s="81"/>
    </row>
    <row r="18" spans="1:54" s="462" customFormat="1" ht="16.5" thickBot="1" x14ac:dyDescent="0.25">
      <c r="A18" s="455"/>
      <c r="B18" s="456"/>
      <c r="C18" s="457"/>
      <c r="D18" s="458"/>
      <c r="E18" s="458"/>
      <c r="F18" s="459"/>
      <c r="G18" s="459"/>
      <c r="H18" s="460"/>
      <c r="I18" s="461"/>
      <c r="J18" s="461"/>
      <c r="K18" s="457"/>
      <c r="L18" s="457"/>
      <c r="M18" s="457"/>
      <c r="N18" s="349" t="str">
        <f>IF($A18&gt;0,$A18,"")</f>
        <v/>
      </c>
      <c r="O18" s="457"/>
      <c r="P18" s="457"/>
      <c r="Q18" s="457"/>
      <c r="BB18" s="81"/>
    </row>
    <row r="19" spans="1:54" s="462" customFormat="1" ht="19.5" thickBot="1" x14ac:dyDescent="0.25">
      <c r="A19" s="448" t="s">
        <v>419</v>
      </c>
      <c r="B19" s="463"/>
      <c r="I19" s="461"/>
      <c r="J19" s="461"/>
      <c r="K19" s="457"/>
      <c r="L19" s="457"/>
      <c r="M19" s="457"/>
      <c r="N19" s="457"/>
      <c r="O19" s="457"/>
      <c r="P19" s="457"/>
      <c r="Q19" s="457"/>
    </row>
    <row r="20" spans="1:54" s="462" customFormat="1" ht="16.5" thickBot="1" x14ac:dyDescent="0.25">
      <c r="A20" s="464" t="s">
        <v>419</v>
      </c>
      <c r="B20" s="859" t="s">
        <v>618</v>
      </c>
      <c r="C20" s="860"/>
      <c r="D20" s="860"/>
      <c r="E20" s="860"/>
      <c r="F20" s="860"/>
      <c r="G20" s="860"/>
      <c r="H20" s="861"/>
      <c r="I20" s="461"/>
      <c r="J20" s="461"/>
      <c r="K20" s="457"/>
      <c r="L20" s="457"/>
      <c r="M20" s="457"/>
      <c r="N20" s="457"/>
      <c r="O20" s="457"/>
      <c r="P20" s="457"/>
      <c r="Q20" s="457"/>
    </row>
    <row r="21" spans="1:54" s="467" customFormat="1" ht="15.75" customHeight="1" x14ac:dyDescent="0.2">
      <c r="A21" s="563" t="s">
        <v>463</v>
      </c>
      <c r="B21" s="957" t="s">
        <v>914</v>
      </c>
      <c r="C21" s="957"/>
      <c r="D21" s="957"/>
      <c r="E21" s="957"/>
      <c r="F21" s="957"/>
      <c r="G21" s="957"/>
      <c r="H21" s="958"/>
      <c r="I21" s="220"/>
      <c r="J21" s="465"/>
      <c r="K21" s="466"/>
      <c r="L21" s="466"/>
      <c r="M21" s="466"/>
      <c r="N21" s="466"/>
      <c r="O21" s="466"/>
      <c r="P21" s="466"/>
      <c r="Q21" s="466"/>
    </row>
    <row r="22" spans="1:54" s="467" customFormat="1" ht="15.75" customHeight="1" x14ac:dyDescent="0.2">
      <c r="A22" s="468" t="s">
        <v>575</v>
      </c>
      <c r="B22" s="862" t="s">
        <v>1079</v>
      </c>
      <c r="C22" s="862"/>
      <c r="D22" s="862"/>
      <c r="E22" s="862"/>
      <c r="F22" s="862"/>
      <c r="G22" s="862"/>
      <c r="H22" s="863"/>
      <c r="I22" s="465"/>
      <c r="J22" s="465"/>
      <c r="K22" s="466"/>
      <c r="L22" s="466"/>
      <c r="M22" s="466"/>
      <c r="N22" s="466"/>
      <c r="O22" s="466"/>
      <c r="P22" s="466"/>
      <c r="Q22" s="466"/>
    </row>
    <row r="23" spans="1:54" s="467" customFormat="1" x14ac:dyDescent="0.2">
      <c r="A23" s="468" t="s">
        <v>576</v>
      </c>
      <c r="B23" s="862" t="s">
        <v>915</v>
      </c>
      <c r="C23" s="862"/>
      <c r="D23" s="862"/>
      <c r="E23" s="862"/>
      <c r="F23" s="862"/>
      <c r="G23" s="862"/>
      <c r="H23" s="863"/>
      <c r="I23" s="465"/>
      <c r="J23" s="465"/>
      <c r="K23" s="466"/>
      <c r="L23" s="466"/>
      <c r="M23" s="466"/>
      <c r="N23" s="466"/>
      <c r="O23" s="466"/>
      <c r="P23" s="466"/>
      <c r="Q23" s="466"/>
    </row>
    <row r="24" spans="1:54" s="467" customFormat="1" x14ac:dyDescent="0.2">
      <c r="A24" s="468" t="s">
        <v>577</v>
      </c>
      <c r="B24" s="854" t="s">
        <v>1054</v>
      </c>
      <c r="C24" s="855"/>
      <c r="D24" s="855"/>
      <c r="E24" s="855"/>
      <c r="F24" s="855"/>
      <c r="G24" s="855"/>
      <c r="H24" s="856"/>
      <c r="I24" s="465"/>
      <c r="J24" s="465"/>
      <c r="K24" s="466"/>
      <c r="L24" s="466"/>
      <c r="M24" s="466"/>
      <c r="N24" s="466"/>
      <c r="O24" s="466"/>
      <c r="P24" s="466"/>
      <c r="Q24" s="466"/>
    </row>
    <row r="25" spans="1:54" s="467" customFormat="1" x14ac:dyDescent="0.2">
      <c r="A25" s="468" t="s">
        <v>578</v>
      </c>
      <c r="B25" s="854" t="s">
        <v>1080</v>
      </c>
      <c r="C25" s="855"/>
      <c r="D25" s="855"/>
      <c r="E25" s="855"/>
      <c r="F25" s="855"/>
      <c r="G25" s="855"/>
      <c r="H25" s="856"/>
      <c r="I25" s="465"/>
      <c r="J25" s="465"/>
      <c r="K25" s="466"/>
      <c r="L25" s="466"/>
      <c r="M25" s="466"/>
      <c r="N25" s="466"/>
      <c r="O25" s="466"/>
      <c r="P25" s="466"/>
      <c r="Q25" s="466"/>
    </row>
    <row r="26" spans="1:54" s="467" customFormat="1" x14ac:dyDescent="0.2">
      <c r="A26" s="468" t="s">
        <v>579</v>
      </c>
      <c r="B26" s="854" t="s">
        <v>823</v>
      </c>
      <c r="C26" s="855"/>
      <c r="D26" s="855"/>
      <c r="E26" s="855"/>
      <c r="F26" s="855"/>
      <c r="G26" s="855"/>
      <c r="H26" s="856"/>
      <c r="I26" s="465"/>
      <c r="J26" s="465"/>
      <c r="K26" s="466"/>
      <c r="L26" s="466"/>
      <c r="M26" s="466"/>
      <c r="N26" s="466"/>
      <c r="O26" s="466"/>
      <c r="P26" s="466"/>
      <c r="Q26" s="466"/>
    </row>
    <row r="27" spans="1:54" s="467" customFormat="1" x14ac:dyDescent="0.2">
      <c r="A27" s="468" t="s">
        <v>580</v>
      </c>
      <c r="B27" s="854" t="s">
        <v>638</v>
      </c>
      <c r="C27" s="855"/>
      <c r="D27" s="855"/>
      <c r="E27" s="855"/>
      <c r="F27" s="855"/>
      <c r="G27" s="855"/>
      <c r="H27" s="856"/>
      <c r="I27" s="465"/>
      <c r="J27" s="465"/>
      <c r="K27" s="466"/>
      <c r="L27" s="466"/>
      <c r="M27" s="466"/>
      <c r="N27" s="466"/>
      <c r="O27" s="466"/>
      <c r="P27" s="466"/>
      <c r="Q27" s="466"/>
    </row>
    <row r="28" spans="1:54" s="467" customFormat="1" x14ac:dyDescent="0.2">
      <c r="A28" s="468" t="s">
        <v>824</v>
      </c>
      <c r="B28" s="854" t="s">
        <v>639</v>
      </c>
      <c r="C28" s="855"/>
      <c r="D28" s="855"/>
      <c r="E28" s="855"/>
      <c r="F28" s="855"/>
      <c r="G28" s="855"/>
      <c r="H28" s="856"/>
      <c r="I28" s="465"/>
      <c r="J28" s="465"/>
      <c r="K28" s="466"/>
      <c r="L28" s="466"/>
      <c r="M28" s="466"/>
      <c r="N28" s="466"/>
      <c r="O28" s="466"/>
      <c r="P28" s="466"/>
      <c r="Q28" s="466"/>
    </row>
    <row r="29" spans="1:54" s="467" customFormat="1" x14ac:dyDescent="0.2">
      <c r="A29" s="468" t="s">
        <v>825</v>
      </c>
      <c r="B29" s="862" t="s">
        <v>1025</v>
      </c>
      <c r="C29" s="862"/>
      <c r="D29" s="862"/>
      <c r="E29" s="862"/>
      <c r="F29" s="862"/>
      <c r="G29" s="862"/>
      <c r="H29" s="863"/>
      <c r="I29" s="465"/>
      <c r="J29" s="465"/>
      <c r="K29" s="466"/>
      <c r="L29" s="466"/>
      <c r="M29" s="466"/>
      <c r="N29" s="466"/>
      <c r="O29" s="466"/>
      <c r="P29" s="466"/>
      <c r="Q29" s="466"/>
    </row>
    <row r="30" spans="1:54" s="467" customFormat="1" ht="16.5" thickBot="1" x14ac:dyDescent="0.25">
      <c r="A30" s="469"/>
      <c r="B30" s="877"/>
      <c r="C30" s="867"/>
      <c r="D30" s="867"/>
      <c r="E30" s="867"/>
      <c r="F30" s="867"/>
      <c r="G30" s="867"/>
      <c r="H30" s="878"/>
      <c r="I30" s="465"/>
      <c r="J30" s="465"/>
      <c r="K30" s="466"/>
      <c r="L30" s="466"/>
      <c r="M30" s="466"/>
      <c r="N30" s="466"/>
      <c r="O30" s="466"/>
      <c r="P30" s="466"/>
      <c r="Q30" s="466"/>
    </row>
    <row r="31" spans="1:54" s="462" customFormat="1" ht="16.5" thickBot="1" x14ac:dyDescent="0.25">
      <c r="A31" s="456"/>
      <c r="B31" s="95"/>
      <c r="C31" s="95"/>
      <c r="D31" s="95"/>
      <c r="E31" s="95"/>
      <c r="F31" s="95"/>
      <c r="G31" s="95"/>
      <c r="H31" s="95"/>
      <c r="I31" s="461"/>
      <c r="J31" s="461"/>
      <c r="K31" s="457"/>
      <c r="L31" s="457"/>
      <c r="M31" s="457"/>
      <c r="N31" s="457"/>
      <c r="O31" s="457"/>
      <c r="P31" s="457"/>
      <c r="Q31" s="457"/>
      <c r="R31" s="457"/>
      <c r="S31" s="457"/>
      <c r="T31" s="457"/>
      <c r="U31" s="457"/>
    </row>
    <row r="32" spans="1:54" s="462" customFormat="1" ht="19.5" thickBot="1" x14ac:dyDescent="0.25">
      <c r="A32" s="448" t="s">
        <v>624</v>
      </c>
      <c r="B32" s="449"/>
      <c r="I32" s="461"/>
      <c r="J32" s="461"/>
      <c r="K32" s="457"/>
      <c r="L32" s="457"/>
      <c r="M32" s="457"/>
      <c r="N32" s="457"/>
      <c r="O32" s="457"/>
      <c r="P32" s="457"/>
      <c r="Q32" s="457"/>
      <c r="R32" s="457"/>
      <c r="S32" s="457"/>
      <c r="T32" s="457"/>
      <c r="U32" s="457"/>
    </row>
    <row r="33" spans="1:27" s="462" customFormat="1" x14ac:dyDescent="0.2">
      <c r="A33" s="223" t="s">
        <v>886</v>
      </c>
      <c r="B33" s="470"/>
      <c r="C33" s="471"/>
      <c r="D33" s="472"/>
      <c r="E33" s="472"/>
      <c r="F33" s="473"/>
      <c r="G33" s="473"/>
      <c r="H33" s="473"/>
      <c r="I33" s="474"/>
      <c r="J33" s="475"/>
      <c r="K33" s="476"/>
      <c r="L33" s="457"/>
      <c r="M33" s="457"/>
      <c r="N33" s="457"/>
      <c r="O33" s="457"/>
      <c r="P33" s="457"/>
      <c r="Q33" s="457"/>
      <c r="R33" s="457"/>
      <c r="S33" s="457"/>
      <c r="T33" s="457"/>
      <c r="U33" s="457"/>
      <c r="V33" s="457"/>
    </row>
    <row r="34" spans="1:27" s="462" customFormat="1" x14ac:dyDescent="0.2">
      <c r="A34" s="96" t="s">
        <v>626</v>
      </c>
      <c r="B34" s="214"/>
      <c r="C34" s="477"/>
      <c r="D34" s="478"/>
      <c r="E34" s="478"/>
      <c r="F34" s="479"/>
      <c r="G34" s="479"/>
      <c r="H34" s="479"/>
      <c r="I34" s="480"/>
      <c r="J34" s="481"/>
      <c r="K34" s="482"/>
      <c r="L34" s="457"/>
      <c r="M34" s="457"/>
      <c r="N34" s="457"/>
      <c r="O34" s="457"/>
      <c r="P34" s="457"/>
      <c r="Q34" s="457"/>
      <c r="R34" s="457"/>
    </row>
    <row r="35" spans="1:27" s="462" customFormat="1" ht="16.5" thickBot="1" x14ac:dyDescent="0.25">
      <c r="A35" s="110" t="s">
        <v>172</v>
      </c>
      <c r="B35" s="483"/>
      <c r="C35" s="484"/>
      <c r="D35" s="485"/>
      <c r="E35" s="485"/>
      <c r="F35" s="486"/>
      <c r="G35" s="486"/>
      <c r="H35" s="486"/>
      <c r="I35" s="487"/>
      <c r="J35" s="488"/>
      <c r="K35" s="489"/>
      <c r="L35" s="457"/>
      <c r="M35" s="457"/>
      <c r="N35" s="457"/>
      <c r="O35" s="457"/>
      <c r="P35" s="457"/>
      <c r="Q35" s="457"/>
      <c r="R35" s="457"/>
      <c r="S35" s="118"/>
      <c r="T35" s="118"/>
      <c r="U35" s="118"/>
      <c r="V35" s="457"/>
      <c r="W35" s="457"/>
      <c r="X35" s="457"/>
    </row>
    <row r="36" spans="1:27" s="491" customFormat="1" ht="32.25" customHeight="1" x14ac:dyDescent="0.2">
      <c r="A36" s="875" t="s">
        <v>627</v>
      </c>
      <c r="B36" s="868" t="s">
        <v>628</v>
      </c>
      <c r="C36" s="868" t="s">
        <v>11</v>
      </c>
      <c r="D36" s="868" t="s">
        <v>12</v>
      </c>
      <c r="E36" s="868" t="s">
        <v>13</v>
      </c>
      <c r="F36" s="868" t="s">
        <v>14</v>
      </c>
      <c r="G36" s="868" t="s">
        <v>15</v>
      </c>
      <c r="H36" s="868" t="s">
        <v>16</v>
      </c>
      <c r="I36" s="868" t="s">
        <v>17</v>
      </c>
      <c r="J36" s="868" t="s">
        <v>18</v>
      </c>
      <c r="K36" s="868" t="s">
        <v>19</v>
      </c>
      <c r="L36" s="868" t="s">
        <v>20</v>
      </c>
      <c r="M36" s="490"/>
      <c r="N36" s="490"/>
      <c r="O36" s="490"/>
      <c r="P36" s="490"/>
      <c r="Q36" s="490"/>
      <c r="R36" s="490"/>
      <c r="S36" s="490"/>
      <c r="T36" s="490"/>
      <c r="U36" s="490"/>
      <c r="V36" s="490"/>
      <c r="W36" s="490"/>
      <c r="X36" s="868" t="s">
        <v>22</v>
      </c>
      <c r="Y36" s="868" t="s">
        <v>23</v>
      </c>
      <c r="Z36" s="868" t="s">
        <v>24</v>
      </c>
      <c r="AA36" s="922" t="s">
        <v>352</v>
      </c>
    </row>
    <row r="37" spans="1:27" s="491" customFormat="1" ht="16.5" thickBot="1" x14ac:dyDescent="0.25">
      <c r="A37" s="876"/>
      <c r="B37" s="869"/>
      <c r="C37" s="869"/>
      <c r="D37" s="869"/>
      <c r="E37" s="869"/>
      <c r="F37" s="869"/>
      <c r="G37" s="872"/>
      <c r="H37" s="869"/>
      <c r="I37" s="869"/>
      <c r="J37" s="869"/>
      <c r="K37" s="869"/>
      <c r="L37" s="869"/>
      <c r="M37" s="492"/>
      <c r="N37" s="492"/>
      <c r="O37" s="492"/>
      <c r="P37" s="492"/>
      <c r="Q37" s="492"/>
      <c r="R37" s="492"/>
      <c r="S37" s="492"/>
      <c r="T37" s="492"/>
      <c r="U37" s="492"/>
      <c r="V37" s="492"/>
      <c r="W37" s="492"/>
      <c r="X37" s="869"/>
      <c r="Y37" s="869"/>
      <c r="Z37" s="869"/>
      <c r="AA37" s="923"/>
    </row>
    <row r="38" spans="1:27" s="136" customFormat="1" x14ac:dyDescent="0.2">
      <c r="A38" s="493"/>
      <c r="B38" s="49"/>
      <c r="C38" s="225"/>
      <c r="D38" s="225"/>
      <c r="E38" s="225"/>
      <c r="F38" s="225"/>
      <c r="G38" s="120"/>
      <c r="H38" s="225"/>
      <c r="I38" s="263"/>
      <c r="J38" s="263"/>
      <c r="K38" s="263"/>
      <c r="L38" s="263"/>
      <c r="M38" s="120"/>
      <c r="N38" s="120"/>
      <c r="O38" s="120"/>
      <c r="P38" s="226"/>
      <c r="Q38" s="226"/>
      <c r="R38" s="226"/>
      <c r="S38" s="120"/>
      <c r="T38" s="120"/>
      <c r="U38" s="120"/>
      <c r="V38" s="120"/>
      <c r="W38" s="120"/>
      <c r="X38" s="227"/>
      <c r="Y38" s="227"/>
      <c r="Z38" s="120"/>
      <c r="AA38" s="121"/>
    </row>
    <row r="39" spans="1:27" s="136" customFormat="1" x14ac:dyDescent="0.2">
      <c r="A39" s="494"/>
      <c r="B39" s="123"/>
      <c r="C39" s="123"/>
      <c r="D39" s="123"/>
      <c r="E39" s="123"/>
      <c r="F39" s="123"/>
      <c r="G39" s="124"/>
      <c r="H39" s="123"/>
      <c r="I39" s="255"/>
      <c r="J39" s="255"/>
      <c r="K39" s="255"/>
      <c r="L39" s="255"/>
      <c r="M39" s="125"/>
      <c r="N39" s="124"/>
      <c r="O39" s="124"/>
      <c r="P39" s="125"/>
      <c r="Q39" s="125"/>
      <c r="R39" s="125"/>
      <c r="S39" s="124"/>
      <c r="T39" s="124"/>
      <c r="U39" s="124"/>
      <c r="V39" s="124"/>
      <c r="W39" s="124"/>
      <c r="X39" s="126"/>
      <c r="Y39" s="126"/>
      <c r="Z39" s="124"/>
      <c r="AA39" s="127"/>
    </row>
    <row r="40" spans="1:27" s="136" customFormat="1" x14ac:dyDescent="0.2">
      <c r="A40" s="494"/>
      <c r="B40" s="123"/>
      <c r="C40" s="123"/>
      <c r="D40" s="123"/>
      <c r="E40" s="123"/>
      <c r="F40" s="123"/>
      <c r="G40" s="124"/>
      <c r="H40" s="123"/>
      <c r="I40" s="255"/>
      <c r="J40" s="255"/>
      <c r="K40" s="255"/>
      <c r="L40" s="255"/>
      <c r="M40" s="125"/>
      <c r="N40" s="124"/>
      <c r="O40" s="124"/>
      <c r="P40" s="125"/>
      <c r="Q40" s="125"/>
      <c r="R40" s="125"/>
      <c r="S40" s="124"/>
      <c r="T40" s="124"/>
      <c r="U40" s="124"/>
      <c r="V40" s="124"/>
      <c r="W40" s="124"/>
      <c r="X40" s="126"/>
      <c r="Y40" s="126"/>
      <c r="Z40" s="124"/>
      <c r="AA40" s="127"/>
    </row>
    <row r="41" spans="1:27" s="136" customFormat="1" ht="16.5" thickBot="1" x14ac:dyDescent="0.25">
      <c r="A41" s="495"/>
      <c r="B41" s="128"/>
      <c r="C41" s="128"/>
      <c r="D41" s="128"/>
      <c r="E41" s="128"/>
      <c r="F41" s="128"/>
      <c r="G41" s="129"/>
      <c r="H41" s="128"/>
      <c r="I41" s="256"/>
      <c r="J41" s="256"/>
      <c r="K41" s="256"/>
      <c r="L41" s="256"/>
      <c r="M41" s="129"/>
      <c r="N41" s="129"/>
      <c r="O41" s="129"/>
      <c r="P41" s="130"/>
      <c r="Q41" s="130"/>
      <c r="R41" s="130"/>
      <c r="S41" s="129"/>
      <c r="T41" s="129"/>
      <c r="U41" s="129"/>
      <c r="V41" s="129"/>
      <c r="W41" s="129"/>
      <c r="X41" s="131"/>
      <c r="Y41" s="131"/>
      <c r="Z41" s="129"/>
      <c r="AA41" s="132"/>
    </row>
    <row r="42" spans="1:27" s="73" customFormat="1" x14ac:dyDescent="0.2">
      <c r="A42" s="133"/>
      <c r="B42" s="133"/>
      <c r="C42" s="133"/>
      <c r="D42" s="133"/>
      <c r="E42" s="133"/>
      <c r="F42" s="133"/>
      <c r="G42" s="118"/>
      <c r="H42" s="118"/>
      <c r="I42" s="118"/>
      <c r="J42" s="118"/>
      <c r="K42" s="118"/>
      <c r="L42" s="118"/>
      <c r="M42" s="134"/>
      <c r="N42" s="118"/>
      <c r="O42" s="159"/>
      <c r="P42" s="159"/>
      <c r="Q42" s="159"/>
      <c r="R42" s="159"/>
      <c r="S42" s="159"/>
      <c r="T42" s="159"/>
      <c r="U42" s="159"/>
      <c r="V42" s="159"/>
      <c r="W42" s="466"/>
    </row>
    <row r="43" spans="1:27" s="73" customFormat="1" ht="16.5" thickBot="1" x14ac:dyDescent="0.25">
      <c r="A43" s="133"/>
      <c r="B43" s="133"/>
      <c r="C43" s="133"/>
      <c r="D43" s="133"/>
      <c r="E43" s="133"/>
      <c r="F43" s="133"/>
      <c r="G43" s="118"/>
      <c r="H43" s="118"/>
      <c r="I43" s="118"/>
      <c r="J43" s="118"/>
      <c r="K43" s="118"/>
      <c r="N43" s="118"/>
      <c r="O43" s="159"/>
      <c r="P43" s="159"/>
      <c r="Q43" s="159"/>
      <c r="R43" s="159"/>
      <c r="S43" s="159"/>
      <c r="T43" s="159"/>
      <c r="U43" s="159"/>
      <c r="V43" s="159"/>
      <c r="W43" s="467"/>
    </row>
    <row r="44" spans="1:27" s="73" customFormat="1" ht="16.5" thickBot="1" x14ac:dyDescent="0.25">
      <c r="A44" s="496" t="s">
        <v>25</v>
      </c>
      <c r="B44" s="133"/>
      <c r="C44" s="133"/>
      <c r="D44" s="133"/>
      <c r="E44" s="133"/>
      <c r="F44" s="133"/>
      <c r="G44" s="118"/>
      <c r="H44" s="118"/>
      <c r="I44" s="118"/>
      <c r="J44" s="118"/>
      <c r="K44" s="118"/>
      <c r="M44" s="118"/>
      <c r="N44" s="118"/>
      <c r="O44" s="159"/>
      <c r="P44" s="136"/>
      <c r="Q44" s="136"/>
      <c r="R44" s="136"/>
      <c r="S44" s="466"/>
      <c r="T44" s="466"/>
      <c r="U44" s="466"/>
      <c r="V44" s="466"/>
      <c r="W44" s="159"/>
    </row>
    <row r="45" spans="1:27" s="73" customFormat="1" ht="15.75" customHeight="1" x14ac:dyDescent="0.2">
      <c r="A45" s="875" t="s">
        <v>627</v>
      </c>
      <c r="B45" s="868" t="s">
        <v>628</v>
      </c>
      <c r="C45" s="868" t="s">
        <v>11</v>
      </c>
      <c r="D45" s="868" t="s">
        <v>12</v>
      </c>
      <c r="E45" s="868" t="s">
        <v>13</v>
      </c>
      <c r="F45" s="868" t="s">
        <v>14</v>
      </c>
      <c r="G45" s="868" t="s">
        <v>15</v>
      </c>
      <c r="H45" s="868" t="s">
        <v>16</v>
      </c>
      <c r="I45" s="868" t="s">
        <v>26</v>
      </c>
      <c r="J45" s="868" t="s">
        <v>27</v>
      </c>
      <c r="K45" s="945" t="s">
        <v>295</v>
      </c>
      <c r="L45" s="497" t="s">
        <v>63</v>
      </c>
      <c r="M45" s="498" t="s">
        <v>64</v>
      </c>
      <c r="N45" s="499" t="s">
        <v>65</v>
      </c>
      <c r="O45" s="490"/>
      <c r="P45" s="490"/>
      <c r="Q45" s="490"/>
      <c r="R45" s="490"/>
      <c r="S45" s="490"/>
      <c r="T45" s="490"/>
      <c r="U45" s="490"/>
      <c r="V45" s="490"/>
      <c r="W45" s="490"/>
      <c r="X45" s="868" t="s">
        <v>22</v>
      </c>
      <c r="Y45" s="868" t="s">
        <v>23</v>
      </c>
      <c r="Z45" s="868" t="s">
        <v>24</v>
      </c>
      <c r="AA45" s="922" t="s">
        <v>352</v>
      </c>
    </row>
    <row r="46" spans="1:27" s="73" customFormat="1" ht="31.7" customHeight="1" thickBot="1" x14ac:dyDescent="0.25">
      <c r="A46" s="876"/>
      <c r="B46" s="869"/>
      <c r="C46" s="869"/>
      <c r="D46" s="869"/>
      <c r="E46" s="869"/>
      <c r="F46" s="869"/>
      <c r="G46" s="872"/>
      <c r="H46" s="869"/>
      <c r="I46" s="869"/>
      <c r="J46" s="869"/>
      <c r="K46" s="946"/>
      <c r="L46" s="500" t="s">
        <v>66</v>
      </c>
      <c r="M46" s="501" t="s">
        <v>67</v>
      </c>
      <c r="N46" s="502" t="s">
        <v>68</v>
      </c>
      <c r="O46" s="503"/>
      <c r="P46" s="492"/>
      <c r="Q46" s="492"/>
      <c r="R46" s="492"/>
      <c r="S46" s="492"/>
      <c r="T46" s="492"/>
      <c r="U46" s="492"/>
      <c r="V46" s="492"/>
      <c r="W46" s="492"/>
      <c r="X46" s="869"/>
      <c r="Y46" s="869"/>
      <c r="Z46" s="869"/>
      <c r="AA46" s="923"/>
    </row>
    <row r="47" spans="1:27" s="136" customFormat="1" x14ac:dyDescent="0.2">
      <c r="A47" s="493"/>
      <c r="B47" s="225"/>
      <c r="C47" s="225"/>
      <c r="D47" s="225"/>
      <c r="E47" s="225"/>
      <c r="F47" s="225"/>
      <c r="G47" s="120"/>
      <c r="H47" s="225"/>
      <c r="I47" s="263"/>
      <c r="J47" s="263"/>
      <c r="K47" s="265"/>
      <c r="L47" s="268"/>
      <c r="M47" s="120"/>
      <c r="N47" s="121"/>
      <c r="O47" s="269"/>
      <c r="P47" s="226"/>
      <c r="Q47" s="226"/>
      <c r="R47" s="226"/>
      <c r="S47" s="120"/>
      <c r="T47" s="120"/>
      <c r="U47" s="120"/>
      <c r="V47" s="120"/>
      <c r="W47" s="120"/>
      <c r="X47" s="227"/>
      <c r="Y47" s="227"/>
      <c r="Z47" s="120"/>
      <c r="AA47" s="121"/>
    </row>
    <row r="48" spans="1:27" s="136" customFormat="1" x14ac:dyDescent="0.2">
      <c r="A48" s="494"/>
      <c r="B48" s="123"/>
      <c r="C48" s="123"/>
      <c r="D48" s="123"/>
      <c r="E48" s="123"/>
      <c r="F48" s="123"/>
      <c r="G48" s="124"/>
      <c r="H48" s="123"/>
      <c r="I48" s="255"/>
      <c r="J48" s="255"/>
      <c r="K48" s="266"/>
      <c r="L48" s="259"/>
      <c r="M48" s="124"/>
      <c r="N48" s="127"/>
      <c r="O48" s="248"/>
      <c r="P48" s="125"/>
      <c r="Q48" s="125"/>
      <c r="R48" s="125"/>
      <c r="S48" s="124"/>
      <c r="T48" s="124"/>
      <c r="U48" s="124"/>
      <c r="V48" s="124"/>
      <c r="W48" s="124"/>
      <c r="X48" s="126"/>
      <c r="Y48" s="126"/>
      <c r="Z48" s="124"/>
      <c r="AA48" s="127"/>
    </row>
    <row r="49" spans="1:29" s="136" customFormat="1" x14ac:dyDescent="0.2">
      <c r="A49" s="494"/>
      <c r="B49" s="123"/>
      <c r="C49" s="123"/>
      <c r="D49" s="123"/>
      <c r="E49" s="123"/>
      <c r="F49" s="123"/>
      <c r="G49" s="124"/>
      <c r="H49" s="123"/>
      <c r="I49" s="255"/>
      <c r="J49" s="255"/>
      <c r="K49" s="266"/>
      <c r="L49" s="259"/>
      <c r="M49" s="124"/>
      <c r="N49" s="127"/>
      <c r="O49" s="248"/>
      <c r="P49" s="125"/>
      <c r="Q49" s="125"/>
      <c r="R49" s="125"/>
      <c r="S49" s="124"/>
      <c r="T49" s="124"/>
      <c r="U49" s="124"/>
      <c r="V49" s="124"/>
      <c r="W49" s="124"/>
      <c r="X49" s="126"/>
      <c r="Y49" s="126"/>
      <c r="Z49" s="124"/>
      <c r="AA49" s="127"/>
    </row>
    <row r="50" spans="1:29" s="136" customFormat="1" ht="16.5" thickBot="1" x14ac:dyDescent="0.25">
      <c r="A50" s="495"/>
      <c r="B50" s="128"/>
      <c r="C50" s="128"/>
      <c r="D50" s="128"/>
      <c r="E50" s="128"/>
      <c r="F50" s="128"/>
      <c r="G50" s="129"/>
      <c r="H50" s="128"/>
      <c r="I50" s="256"/>
      <c r="J50" s="256"/>
      <c r="K50" s="267"/>
      <c r="L50" s="137"/>
      <c r="M50" s="129"/>
      <c r="N50" s="132"/>
      <c r="O50" s="137"/>
      <c r="P50" s="129"/>
      <c r="Q50" s="129"/>
      <c r="R50" s="129"/>
      <c r="S50" s="129"/>
      <c r="T50" s="129"/>
      <c r="U50" s="129"/>
      <c r="V50" s="129"/>
      <c r="W50" s="129"/>
      <c r="X50" s="131"/>
      <c r="Y50" s="131"/>
      <c r="Z50" s="129"/>
      <c r="AA50" s="132"/>
    </row>
    <row r="51" spans="1:29" s="73" customFormat="1" x14ac:dyDescent="0.2">
      <c r="A51" s="133"/>
      <c r="B51" s="133"/>
      <c r="C51" s="133"/>
      <c r="D51" s="133"/>
      <c r="E51" s="133"/>
      <c r="F51" s="133"/>
      <c r="G51" s="118"/>
      <c r="H51" s="118"/>
      <c r="I51" s="118"/>
      <c r="J51" s="118"/>
      <c r="K51" s="118"/>
      <c r="L51" s="118"/>
      <c r="M51" s="118"/>
      <c r="N51" s="118"/>
      <c r="O51" s="160"/>
      <c r="P51" s="159"/>
      <c r="Q51" s="159"/>
      <c r="R51" s="159"/>
      <c r="S51" s="136"/>
      <c r="T51" s="136"/>
      <c r="U51" s="136"/>
      <c r="V51" s="136"/>
      <c r="W51" s="136"/>
      <c r="X51" s="118"/>
    </row>
    <row r="52" spans="1:29" s="73" customFormat="1" ht="16.5" thickBot="1" x14ac:dyDescent="0.25">
      <c r="A52" s="133"/>
      <c r="B52" s="133"/>
      <c r="C52" s="133"/>
      <c r="D52" s="133"/>
      <c r="E52" s="133"/>
      <c r="F52" s="133"/>
      <c r="G52" s="118"/>
      <c r="H52" s="118"/>
      <c r="I52" s="118"/>
      <c r="J52" s="118"/>
      <c r="K52" s="118"/>
      <c r="L52" s="118"/>
      <c r="M52" s="118"/>
      <c r="N52" s="118"/>
      <c r="O52" s="160"/>
      <c r="P52" s="159"/>
      <c r="Q52" s="159"/>
      <c r="R52" s="159"/>
      <c r="S52" s="136"/>
      <c r="T52" s="136"/>
      <c r="U52" s="136"/>
      <c r="V52" s="136"/>
      <c r="W52" s="136"/>
      <c r="X52" s="118"/>
    </row>
    <row r="53" spans="1:29" s="73" customFormat="1" ht="16.5" thickBot="1" x14ac:dyDescent="0.25">
      <c r="A53" s="822" t="s">
        <v>307</v>
      </c>
      <c r="B53" s="873"/>
      <c r="C53" s="873"/>
      <c r="D53" s="874"/>
      <c r="E53" s="133"/>
      <c r="F53" s="133"/>
      <c r="G53" s="118"/>
      <c r="H53" s="118"/>
      <c r="I53" s="118"/>
      <c r="J53" s="118"/>
      <c r="K53" s="118"/>
      <c r="L53" s="118"/>
      <c r="M53" s="118"/>
      <c r="N53" s="118"/>
      <c r="O53" s="136"/>
      <c r="P53" s="159"/>
      <c r="Q53" s="159"/>
      <c r="R53" s="159"/>
      <c r="S53" s="466"/>
      <c r="T53" s="466"/>
      <c r="U53" s="466"/>
      <c r="V53" s="466"/>
      <c r="W53" s="159"/>
      <c r="X53" s="118"/>
      <c r="Y53" s="118"/>
    </row>
    <row r="54" spans="1:29" s="73" customFormat="1" ht="15.75" customHeight="1" x14ac:dyDescent="0.2">
      <c r="A54" s="875" t="s">
        <v>627</v>
      </c>
      <c r="B54" s="868" t="s">
        <v>628</v>
      </c>
      <c r="C54" s="868" t="s">
        <v>11</v>
      </c>
      <c r="D54" s="868" t="s">
        <v>12</v>
      </c>
      <c r="E54" s="868" t="s">
        <v>13</v>
      </c>
      <c r="F54" s="868" t="s">
        <v>14</v>
      </c>
      <c r="G54" s="868" t="s">
        <v>15</v>
      </c>
      <c r="H54" s="868" t="s">
        <v>16</v>
      </c>
      <c r="I54" s="868">
        <v>20</v>
      </c>
      <c r="J54" s="868">
        <v>40</v>
      </c>
      <c r="K54" s="868" t="s">
        <v>19</v>
      </c>
      <c r="L54" s="922" t="s">
        <v>20</v>
      </c>
      <c r="M54" s="943" t="s">
        <v>28</v>
      </c>
      <c r="N54" s="504" t="s">
        <v>69</v>
      </c>
      <c r="O54" s="498" t="s">
        <v>64</v>
      </c>
      <c r="P54" s="499" t="s">
        <v>65</v>
      </c>
      <c r="Q54" s="490" t="s">
        <v>147</v>
      </c>
      <c r="R54" s="490" t="s">
        <v>71</v>
      </c>
      <c r="S54" s="490"/>
      <c r="T54" s="490"/>
      <c r="U54" s="490"/>
      <c r="V54" s="490"/>
      <c r="W54" s="490"/>
      <c r="X54" s="490"/>
      <c r="Y54" s="490"/>
      <c r="Z54" s="868" t="s">
        <v>22</v>
      </c>
      <c r="AA54" s="868" t="s">
        <v>23</v>
      </c>
      <c r="AB54" s="868" t="s">
        <v>24</v>
      </c>
      <c r="AC54" s="922" t="s">
        <v>352</v>
      </c>
    </row>
    <row r="55" spans="1:29" s="73" customFormat="1" ht="48" thickBot="1" x14ac:dyDescent="0.25">
      <c r="A55" s="876"/>
      <c r="B55" s="869"/>
      <c r="C55" s="869"/>
      <c r="D55" s="869"/>
      <c r="E55" s="869"/>
      <c r="F55" s="869"/>
      <c r="G55" s="872"/>
      <c r="H55" s="869"/>
      <c r="I55" s="869"/>
      <c r="J55" s="869"/>
      <c r="K55" s="869"/>
      <c r="L55" s="923"/>
      <c r="M55" s="944"/>
      <c r="N55" s="505" t="s">
        <v>70</v>
      </c>
      <c r="O55" s="501" t="s">
        <v>67</v>
      </c>
      <c r="P55" s="502" t="s">
        <v>68</v>
      </c>
      <c r="Q55" s="503" t="s">
        <v>84</v>
      </c>
      <c r="R55" s="492" t="s">
        <v>84</v>
      </c>
      <c r="S55" s="492"/>
      <c r="T55" s="492"/>
      <c r="U55" s="492"/>
      <c r="V55" s="492"/>
      <c r="W55" s="492"/>
      <c r="X55" s="492"/>
      <c r="Y55" s="492"/>
      <c r="Z55" s="924"/>
      <c r="AA55" s="924"/>
      <c r="AB55" s="924"/>
      <c r="AC55" s="923"/>
    </row>
    <row r="56" spans="1:29" s="136" customFormat="1" x14ac:dyDescent="0.2">
      <c r="A56" s="493"/>
      <c r="B56" s="225"/>
      <c r="C56" s="225"/>
      <c r="D56" s="225"/>
      <c r="E56" s="225"/>
      <c r="F56" s="225"/>
      <c r="G56" s="120"/>
      <c r="H56" s="225"/>
      <c r="I56" s="263"/>
      <c r="J56" s="263"/>
      <c r="K56" s="263"/>
      <c r="L56" s="265"/>
      <c r="M56" s="270"/>
      <c r="N56" s="268"/>
      <c r="O56" s="120"/>
      <c r="P56" s="121"/>
      <c r="Q56" s="269"/>
      <c r="R56" s="226"/>
      <c r="S56" s="226"/>
      <c r="T56" s="226"/>
      <c r="U56" s="226"/>
      <c r="V56" s="226"/>
      <c r="W56" s="120"/>
      <c r="X56" s="120"/>
      <c r="Y56" s="120"/>
      <c r="Z56" s="227"/>
      <c r="AA56" s="227"/>
      <c r="AB56" s="120"/>
      <c r="AC56" s="121"/>
    </row>
    <row r="57" spans="1:29" s="136" customFormat="1" x14ac:dyDescent="0.2">
      <c r="A57" s="494"/>
      <c r="B57" s="123"/>
      <c r="C57" s="123"/>
      <c r="D57" s="123"/>
      <c r="E57" s="123"/>
      <c r="F57" s="123"/>
      <c r="G57" s="124"/>
      <c r="H57" s="123"/>
      <c r="I57" s="255"/>
      <c r="J57" s="255"/>
      <c r="K57" s="255"/>
      <c r="L57" s="266"/>
      <c r="M57" s="271"/>
      <c r="N57" s="259"/>
      <c r="O57" s="124"/>
      <c r="P57" s="127"/>
      <c r="Q57" s="248"/>
      <c r="R57" s="125"/>
      <c r="S57" s="125"/>
      <c r="T57" s="125"/>
      <c r="U57" s="125"/>
      <c r="V57" s="125"/>
      <c r="W57" s="124"/>
      <c r="X57" s="124"/>
      <c r="Y57" s="124"/>
      <c r="Z57" s="126"/>
      <c r="AA57" s="126"/>
      <c r="AB57" s="124"/>
      <c r="AC57" s="127"/>
    </row>
    <row r="58" spans="1:29" s="136" customFormat="1" x14ac:dyDescent="0.2">
      <c r="A58" s="494"/>
      <c r="B58" s="123"/>
      <c r="C58" s="123"/>
      <c r="D58" s="123"/>
      <c r="E58" s="123"/>
      <c r="F58" s="123"/>
      <c r="G58" s="124"/>
      <c r="H58" s="123"/>
      <c r="I58" s="255"/>
      <c r="J58" s="255"/>
      <c r="K58" s="255"/>
      <c r="L58" s="266"/>
      <c r="M58" s="271"/>
      <c r="N58" s="259"/>
      <c r="O58" s="124"/>
      <c r="P58" s="127"/>
      <c r="Q58" s="248"/>
      <c r="R58" s="125"/>
      <c r="S58" s="125"/>
      <c r="T58" s="125"/>
      <c r="U58" s="125"/>
      <c r="V58" s="125"/>
      <c r="W58" s="124"/>
      <c r="X58" s="124"/>
      <c r="Y58" s="124"/>
      <c r="Z58" s="126"/>
      <c r="AA58" s="126"/>
      <c r="AB58" s="124"/>
      <c r="AC58" s="127"/>
    </row>
    <row r="59" spans="1:29" s="136" customFormat="1" ht="16.5" thickBot="1" x14ac:dyDescent="0.25">
      <c r="A59" s="495"/>
      <c r="B59" s="128"/>
      <c r="C59" s="128"/>
      <c r="D59" s="128"/>
      <c r="E59" s="128"/>
      <c r="F59" s="128"/>
      <c r="G59" s="129"/>
      <c r="H59" s="128"/>
      <c r="I59" s="256"/>
      <c r="J59" s="256"/>
      <c r="K59" s="256"/>
      <c r="L59" s="267"/>
      <c r="M59" s="161"/>
      <c r="N59" s="137"/>
      <c r="O59" s="129"/>
      <c r="P59" s="132"/>
      <c r="Q59" s="137"/>
      <c r="R59" s="129"/>
      <c r="S59" s="129"/>
      <c r="T59" s="129"/>
      <c r="U59" s="129"/>
      <c r="V59" s="129"/>
      <c r="W59" s="129"/>
      <c r="X59" s="129"/>
      <c r="Y59" s="129"/>
      <c r="Z59" s="131"/>
      <c r="AA59" s="131"/>
      <c r="AB59" s="129"/>
      <c r="AC59" s="132"/>
    </row>
    <row r="60" spans="1:29" s="73" customFormat="1" x14ac:dyDescent="0.2">
      <c r="A60" s="133"/>
      <c r="B60" s="133"/>
      <c r="C60" s="133"/>
      <c r="D60" s="133"/>
      <c r="E60" s="133"/>
      <c r="F60" s="133"/>
      <c r="G60" s="118"/>
      <c r="H60" s="118"/>
      <c r="I60" s="118"/>
      <c r="J60" s="118"/>
      <c r="K60" s="118"/>
      <c r="M60" s="118"/>
      <c r="V60" s="118"/>
      <c r="W60" s="118"/>
    </row>
    <row r="61" spans="1:29" s="73" customFormat="1" x14ac:dyDescent="0.2">
      <c r="A61" s="133"/>
      <c r="B61" s="133"/>
      <c r="C61" s="133"/>
      <c r="D61" s="133"/>
      <c r="E61" s="133"/>
      <c r="F61" s="118"/>
      <c r="G61" s="118"/>
      <c r="H61" s="118"/>
      <c r="I61" s="118"/>
      <c r="J61" s="118"/>
      <c r="K61" s="134"/>
      <c r="L61" s="118"/>
      <c r="M61" s="118"/>
      <c r="N61" s="118"/>
      <c r="S61" s="118"/>
      <c r="T61" s="118"/>
      <c r="U61" s="118"/>
    </row>
    <row r="62" spans="1:29" s="456" customFormat="1" ht="16.5" thickBot="1" x14ac:dyDescent="0.25">
      <c r="A62" s="133"/>
      <c r="B62" s="133"/>
      <c r="C62" s="133"/>
      <c r="D62" s="133"/>
      <c r="E62" s="118"/>
      <c r="F62" s="118"/>
      <c r="G62" s="118"/>
      <c r="H62" s="118"/>
      <c r="I62" s="118"/>
      <c r="J62" s="134"/>
      <c r="K62" s="134"/>
      <c r="L62" s="134"/>
      <c r="M62" s="134"/>
      <c r="R62" s="134"/>
    </row>
    <row r="63" spans="1:29" s="456" customFormat="1" ht="19.5" thickBot="1" x14ac:dyDescent="0.25">
      <c r="A63" s="938" t="s">
        <v>29</v>
      </c>
      <c r="B63" s="939"/>
      <c r="C63" s="940"/>
      <c r="D63" s="133"/>
      <c r="E63" s="133"/>
      <c r="F63" s="118"/>
      <c r="G63" s="118"/>
      <c r="H63" s="118"/>
      <c r="I63" s="118"/>
      <c r="J63" s="118"/>
      <c r="K63" s="134"/>
      <c r="L63" s="134"/>
      <c r="M63" s="134"/>
      <c r="N63" s="134"/>
      <c r="S63" s="134"/>
      <c r="T63" s="134"/>
      <c r="U63" s="134"/>
    </row>
    <row r="64" spans="1:29" s="456" customFormat="1" ht="16.5" thickBot="1" x14ac:dyDescent="0.25">
      <c r="A64" s="800" t="s">
        <v>625</v>
      </c>
      <c r="B64" s="801"/>
      <c r="C64" s="802"/>
      <c r="D64" s="133"/>
      <c r="E64" s="133"/>
      <c r="F64" s="133"/>
      <c r="G64" s="118"/>
      <c r="H64" s="118"/>
      <c r="I64" s="118"/>
      <c r="J64" s="118"/>
      <c r="K64" s="118"/>
      <c r="L64" s="134"/>
      <c r="N64" s="134"/>
      <c r="O64" s="134"/>
      <c r="V64" s="134"/>
    </row>
    <row r="65" spans="1:24" s="456" customFormat="1" x14ac:dyDescent="0.2">
      <c r="A65" s="506" t="s">
        <v>30</v>
      </c>
      <c r="B65" s="507"/>
      <c r="C65" s="508" t="s">
        <v>155</v>
      </c>
      <c r="D65" s="509"/>
      <c r="E65" s="509"/>
      <c r="F65" s="510"/>
      <c r="G65" s="510"/>
      <c r="H65" s="509"/>
      <c r="I65" s="510"/>
      <c r="J65" s="509"/>
      <c r="K65" s="143"/>
      <c r="L65" s="144"/>
      <c r="N65" s="134"/>
      <c r="O65" s="134"/>
      <c r="P65" s="134"/>
    </row>
    <row r="66" spans="1:24" s="456" customFormat="1" x14ac:dyDescent="0.2">
      <c r="A66" s="96" t="s">
        <v>626</v>
      </c>
      <c r="B66" s="511"/>
      <c r="C66" s="511"/>
      <c r="D66" s="512"/>
      <c r="E66" s="512"/>
      <c r="F66" s="215"/>
      <c r="G66" s="215"/>
      <c r="H66" s="512"/>
      <c r="I66" s="215"/>
      <c r="J66" s="512"/>
      <c r="K66" s="149"/>
      <c r="L66" s="150"/>
      <c r="N66" s="134"/>
      <c r="O66" s="134"/>
      <c r="P66" s="134"/>
    </row>
    <row r="67" spans="1:24" s="456" customFormat="1" x14ac:dyDescent="0.2">
      <c r="A67" s="96" t="s">
        <v>173</v>
      </c>
      <c r="B67" s="511"/>
      <c r="C67" s="511"/>
      <c r="D67" s="512"/>
      <c r="E67" s="512"/>
      <c r="F67" s="215"/>
      <c r="G67" s="215"/>
      <c r="H67" s="512"/>
      <c r="I67" s="215"/>
      <c r="J67" s="512"/>
      <c r="K67" s="149"/>
      <c r="L67" s="150"/>
      <c r="N67" s="134"/>
      <c r="O67" s="134"/>
      <c r="P67" s="134"/>
    </row>
    <row r="68" spans="1:24" s="456" customFormat="1" x14ac:dyDescent="0.2">
      <c r="A68" s="96" t="s">
        <v>987</v>
      </c>
      <c r="B68" s="511"/>
      <c r="C68" s="511"/>
      <c r="D68" s="512"/>
      <c r="E68" s="512"/>
      <c r="F68" s="215"/>
      <c r="G68" s="215"/>
      <c r="H68" s="512"/>
      <c r="I68" s="215"/>
      <c r="J68" s="512"/>
      <c r="K68" s="149"/>
      <c r="L68" s="150"/>
      <c r="N68" s="134"/>
      <c r="O68" s="134"/>
      <c r="P68" s="134"/>
    </row>
    <row r="69" spans="1:24" s="456" customFormat="1" ht="16.5" thickBot="1" x14ac:dyDescent="0.25">
      <c r="A69" s="110" t="s">
        <v>988</v>
      </c>
      <c r="B69" s="513"/>
      <c r="C69" s="513"/>
      <c r="D69" s="514"/>
      <c r="E69" s="514"/>
      <c r="F69" s="515"/>
      <c r="G69" s="515"/>
      <c r="H69" s="514"/>
      <c r="I69" s="515"/>
      <c r="J69" s="514"/>
      <c r="K69" s="154"/>
      <c r="L69" s="155"/>
      <c r="N69" s="134"/>
      <c r="O69" s="134"/>
      <c r="P69" s="134"/>
    </row>
    <row r="70" spans="1:24" s="456" customFormat="1" ht="16.5" thickBot="1" x14ac:dyDescent="0.25">
      <c r="A70" s="516"/>
      <c r="B70" s="517"/>
      <c r="C70" s="134"/>
      <c r="D70" s="133"/>
      <c r="E70" s="133"/>
      <c r="F70" s="133"/>
      <c r="G70" s="133"/>
      <c r="H70" s="118"/>
      <c r="I70" s="118"/>
      <c r="J70" s="118"/>
      <c r="K70" s="118"/>
      <c r="L70" s="118"/>
      <c r="M70" s="134"/>
      <c r="O70" s="134"/>
      <c r="P70" s="134"/>
      <c r="Q70" s="118"/>
    </row>
    <row r="71" spans="1:24" s="14" customFormat="1" ht="48" thickBot="1" x14ac:dyDescent="0.25">
      <c r="A71" s="518" t="s">
        <v>31</v>
      </c>
      <c r="B71" s="932" t="s">
        <v>628</v>
      </c>
      <c r="C71" s="933"/>
      <c r="D71" s="934"/>
      <c r="E71" s="519" t="s">
        <v>11</v>
      </c>
      <c r="F71" s="519" t="s">
        <v>14</v>
      </c>
      <c r="G71" s="519" t="s">
        <v>287</v>
      </c>
      <c r="H71" s="519" t="s">
        <v>32</v>
      </c>
      <c r="I71" s="519" t="s">
        <v>16</v>
      </c>
      <c r="J71" s="519" t="s">
        <v>17</v>
      </c>
      <c r="K71" s="519" t="s">
        <v>18</v>
      </c>
      <c r="L71" s="519" t="s">
        <v>19</v>
      </c>
      <c r="M71" s="519" t="s">
        <v>20</v>
      </c>
      <c r="N71" s="520" t="s">
        <v>123</v>
      </c>
      <c r="O71" s="519" t="s">
        <v>96</v>
      </c>
      <c r="P71" s="521" t="s">
        <v>809</v>
      </c>
    </row>
    <row r="72" spans="1:24" s="303" customFormat="1" x14ac:dyDescent="0.2">
      <c r="A72" s="269"/>
      <c r="B72" s="925"/>
      <c r="C72" s="926"/>
      <c r="D72" s="926"/>
      <c r="E72" s="226"/>
      <c r="F72" s="226"/>
      <c r="G72" s="226"/>
      <c r="H72" s="226"/>
      <c r="I72" s="226"/>
      <c r="J72" s="273"/>
      <c r="K72" s="263"/>
      <c r="L72" s="263"/>
      <c r="M72" s="306"/>
      <c r="N72" s="49"/>
      <c r="O72" s="226"/>
      <c r="P72" s="274"/>
      <c r="Q72" s="159"/>
      <c r="R72" s="159"/>
      <c r="S72" s="159"/>
      <c r="T72" s="159"/>
      <c r="U72" s="159"/>
      <c r="V72" s="160"/>
      <c r="W72" s="160"/>
      <c r="X72" s="160"/>
    </row>
    <row r="73" spans="1:24" s="303" customFormat="1" x14ac:dyDescent="0.2">
      <c r="A73" s="248"/>
      <c r="B73" s="927"/>
      <c r="C73" s="928"/>
      <c r="D73" s="928"/>
      <c r="E73" s="125"/>
      <c r="F73" s="125"/>
      <c r="G73" s="125"/>
      <c r="H73" s="125"/>
      <c r="I73" s="125"/>
      <c r="J73" s="275"/>
      <c r="K73" s="255"/>
      <c r="L73" s="255"/>
      <c r="M73" s="307"/>
      <c r="N73" s="21"/>
      <c r="O73" s="125"/>
      <c r="P73" s="276"/>
      <c r="Q73" s="159"/>
      <c r="R73" s="159"/>
      <c r="S73" s="159"/>
      <c r="T73" s="159"/>
      <c r="U73" s="159"/>
      <c r="V73" s="160"/>
      <c r="W73" s="160"/>
      <c r="X73" s="160"/>
    </row>
    <row r="74" spans="1:24" s="303" customFormat="1" x14ac:dyDescent="0.2">
      <c r="A74" s="248"/>
      <c r="B74" s="927"/>
      <c r="C74" s="928"/>
      <c r="D74" s="928"/>
      <c r="E74" s="125"/>
      <c r="F74" s="125"/>
      <c r="G74" s="125"/>
      <c r="H74" s="125"/>
      <c r="I74" s="125"/>
      <c r="J74" s="275"/>
      <c r="K74" s="255"/>
      <c r="L74" s="255"/>
      <c r="M74" s="307"/>
      <c r="N74" s="21"/>
      <c r="O74" s="125"/>
      <c r="P74" s="276"/>
      <c r="Q74" s="159"/>
      <c r="R74" s="159"/>
      <c r="S74" s="159"/>
      <c r="T74" s="159"/>
      <c r="U74" s="159"/>
      <c r="V74" s="160"/>
      <c r="W74" s="160"/>
      <c r="X74" s="160"/>
    </row>
    <row r="75" spans="1:24" s="303" customFormat="1" ht="16.5" thickBot="1" x14ac:dyDescent="0.25">
      <c r="A75" s="304"/>
      <c r="B75" s="912"/>
      <c r="C75" s="913"/>
      <c r="D75" s="913"/>
      <c r="E75" s="130"/>
      <c r="F75" s="130"/>
      <c r="G75" s="130"/>
      <c r="H75" s="130"/>
      <c r="I75" s="130"/>
      <c r="J75" s="258"/>
      <c r="K75" s="256"/>
      <c r="L75" s="256"/>
      <c r="M75" s="305"/>
      <c r="N75" s="29"/>
      <c r="O75" s="129"/>
      <c r="P75" s="132"/>
      <c r="Q75" s="159"/>
      <c r="R75" s="159"/>
      <c r="S75" s="159"/>
      <c r="T75" s="159"/>
      <c r="U75" s="159"/>
      <c r="V75" s="160"/>
      <c r="W75" s="160"/>
      <c r="X75" s="160"/>
    </row>
    <row r="76" spans="1:24" s="456" customFormat="1" x14ac:dyDescent="0.2">
      <c r="A76" s="134"/>
      <c r="B76" s="134"/>
      <c r="C76" s="522"/>
      <c r="D76" s="522"/>
      <c r="E76" s="134"/>
      <c r="F76" s="134"/>
      <c r="G76" s="134"/>
      <c r="H76" s="134"/>
      <c r="I76" s="134"/>
      <c r="J76" s="134"/>
      <c r="K76" s="134"/>
      <c r="L76" s="134"/>
      <c r="M76" s="134"/>
      <c r="O76" s="118"/>
      <c r="P76" s="118"/>
      <c r="Q76" s="118"/>
      <c r="R76" s="118"/>
      <c r="S76" s="118"/>
      <c r="T76" s="118"/>
      <c r="U76" s="118"/>
      <c r="V76" s="134"/>
      <c r="W76" s="134"/>
      <c r="X76" s="134"/>
    </row>
    <row r="77" spans="1:24" s="456" customFormat="1" ht="16.5" thickBot="1" x14ac:dyDescent="0.25">
      <c r="A77" s="133"/>
      <c r="B77" s="133"/>
      <c r="C77" s="133"/>
      <c r="D77" s="133"/>
      <c r="E77" s="133"/>
      <c r="F77" s="133"/>
      <c r="G77" s="133"/>
      <c r="H77" s="133"/>
      <c r="I77" s="118"/>
      <c r="J77" s="118"/>
      <c r="K77" s="118"/>
      <c r="L77" s="118"/>
      <c r="M77" s="118"/>
      <c r="N77" s="134"/>
      <c r="O77" s="134"/>
      <c r="P77" s="134"/>
      <c r="Q77" s="134"/>
      <c r="R77" s="134"/>
      <c r="S77" s="134"/>
      <c r="T77" s="134"/>
      <c r="U77" s="134"/>
      <c r="V77" s="134"/>
      <c r="W77" s="118"/>
    </row>
    <row r="78" spans="1:24" s="456" customFormat="1" ht="19.5" thickBot="1" x14ac:dyDescent="0.25">
      <c r="A78" s="938" t="s">
        <v>34</v>
      </c>
      <c r="B78" s="939"/>
      <c r="C78" s="940"/>
      <c r="D78" s="523"/>
      <c r="E78" s="133"/>
      <c r="F78" s="133"/>
      <c r="G78" s="133"/>
      <c r="H78" s="133"/>
      <c r="I78" s="118"/>
      <c r="J78" s="118"/>
      <c r="K78" s="118"/>
      <c r="L78" s="118"/>
      <c r="M78" s="118"/>
      <c r="N78" s="134"/>
      <c r="O78" s="134"/>
      <c r="P78" s="134"/>
      <c r="Q78" s="134"/>
      <c r="R78" s="134"/>
      <c r="S78" s="134"/>
      <c r="T78" s="134"/>
      <c r="U78" s="134"/>
      <c r="V78" s="134"/>
      <c r="W78" s="118"/>
    </row>
    <row r="79" spans="1:24" s="456" customFormat="1" ht="16.5" thickBot="1" x14ac:dyDescent="0.25">
      <c r="A79" s="800" t="s">
        <v>625</v>
      </c>
      <c r="B79" s="801"/>
      <c r="C79" s="802"/>
      <c r="D79" s="200"/>
      <c r="E79" s="200"/>
      <c r="F79" s="200"/>
      <c r="G79" s="200"/>
      <c r="H79" s="194"/>
      <c r="I79" s="194"/>
      <c r="J79" s="200"/>
      <c r="K79" s="194"/>
      <c r="L79" s="200"/>
      <c r="M79" s="118"/>
      <c r="N79" s="134"/>
      <c r="O79" s="134"/>
      <c r="P79" s="134"/>
      <c r="Q79" s="134"/>
      <c r="R79" s="134"/>
      <c r="S79" s="134"/>
      <c r="T79" s="134"/>
      <c r="U79" s="134"/>
      <c r="V79" s="134"/>
      <c r="W79" s="118"/>
    </row>
    <row r="80" spans="1:24" s="456" customFormat="1" x14ac:dyDescent="0.2">
      <c r="A80" s="506" t="s">
        <v>30</v>
      </c>
      <c r="B80" s="470"/>
      <c r="C80" s="508" t="s">
        <v>155</v>
      </c>
      <c r="D80" s="508"/>
      <c r="E80" s="509"/>
      <c r="F80" s="509"/>
      <c r="G80" s="509"/>
      <c r="H80" s="510"/>
      <c r="I80" s="510"/>
      <c r="J80" s="509"/>
      <c r="K80" s="510"/>
      <c r="L80" s="524"/>
      <c r="M80" s="118"/>
      <c r="N80" s="134"/>
      <c r="O80" s="134"/>
      <c r="P80" s="134"/>
      <c r="Q80" s="134"/>
      <c r="R80" s="134"/>
      <c r="S80" s="134"/>
      <c r="T80" s="134"/>
      <c r="U80" s="134"/>
      <c r="V80" s="134"/>
      <c r="W80" s="118"/>
    </row>
    <row r="81" spans="1:23" s="456" customFormat="1" x14ac:dyDescent="0.2">
      <c r="A81" s="96" t="s">
        <v>35</v>
      </c>
      <c r="B81" s="512"/>
      <c r="C81" s="512"/>
      <c r="D81" s="512"/>
      <c r="E81" s="512"/>
      <c r="F81" s="512"/>
      <c r="G81" s="512"/>
      <c r="H81" s="215"/>
      <c r="I81" s="215"/>
      <c r="J81" s="512"/>
      <c r="K81" s="215"/>
      <c r="L81" s="525"/>
      <c r="M81" s="118"/>
      <c r="N81" s="134"/>
      <c r="O81" s="134"/>
      <c r="P81" s="134"/>
      <c r="Q81" s="134"/>
      <c r="R81" s="134"/>
      <c r="S81" s="134"/>
      <c r="T81" s="134"/>
      <c r="U81" s="134"/>
      <c r="V81" s="134"/>
      <c r="W81" s="118"/>
    </row>
    <row r="82" spans="1:23" s="456" customFormat="1" x14ac:dyDescent="0.2">
      <c r="A82" s="96" t="s">
        <v>174</v>
      </c>
      <c r="B82" s="512"/>
      <c r="C82" s="512"/>
      <c r="D82" s="512"/>
      <c r="E82" s="512"/>
      <c r="F82" s="512"/>
      <c r="G82" s="512"/>
      <c r="H82" s="215"/>
      <c r="I82" s="215"/>
      <c r="J82" s="512"/>
      <c r="K82" s="215"/>
      <c r="L82" s="525"/>
      <c r="M82" s="118"/>
      <c r="N82" s="134"/>
      <c r="O82" s="134"/>
      <c r="P82" s="134"/>
      <c r="Q82" s="134"/>
      <c r="R82" s="134"/>
      <c r="S82" s="134"/>
      <c r="T82" s="134"/>
      <c r="U82" s="134"/>
      <c r="V82" s="134"/>
      <c r="W82" s="118"/>
    </row>
    <row r="83" spans="1:23" s="456" customFormat="1" x14ac:dyDescent="0.2">
      <c r="A83" s="96" t="s">
        <v>987</v>
      </c>
      <c r="B83" s="512"/>
      <c r="C83" s="512"/>
      <c r="D83" s="512"/>
      <c r="E83" s="512"/>
      <c r="F83" s="512"/>
      <c r="G83" s="512"/>
      <c r="H83" s="215"/>
      <c r="I83" s="215"/>
      <c r="J83" s="512"/>
      <c r="K83" s="215"/>
      <c r="L83" s="525"/>
      <c r="M83" s="118"/>
      <c r="N83" s="134"/>
      <c r="O83" s="134"/>
      <c r="P83" s="134"/>
      <c r="Q83" s="134"/>
      <c r="R83" s="134"/>
      <c r="S83" s="134"/>
      <c r="T83" s="134"/>
      <c r="U83" s="134"/>
      <c r="V83" s="134"/>
      <c r="W83" s="118"/>
    </row>
    <row r="84" spans="1:23" s="456" customFormat="1" ht="16.5" thickBot="1" x14ac:dyDescent="0.25">
      <c r="A84" s="110" t="s">
        <v>988</v>
      </c>
      <c r="B84" s="514"/>
      <c r="C84" s="514"/>
      <c r="D84" s="514"/>
      <c r="E84" s="514"/>
      <c r="F84" s="514"/>
      <c r="G84" s="514"/>
      <c r="H84" s="515"/>
      <c r="I84" s="515"/>
      <c r="J84" s="514"/>
      <c r="K84" s="515"/>
      <c r="L84" s="526"/>
      <c r="M84" s="118"/>
      <c r="N84" s="134"/>
      <c r="O84" s="134"/>
      <c r="P84" s="134"/>
      <c r="Q84" s="134"/>
      <c r="R84" s="134"/>
      <c r="S84" s="134"/>
      <c r="T84" s="134"/>
      <c r="U84" s="134"/>
      <c r="V84" s="134"/>
      <c r="W84" s="118"/>
    </row>
    <row r="85" spans="1:23" s="456" customFormat="1" ht="16.5" thickBot="1" x14ac:dyDescent="0.25">
      <c r="A85" s="527"/>
      <c r="E85" s="200"/>
      <c r="F85" s="200"/>
      <c r="G85" s="200"/>
      <c r="H85" s="194"/>
      <c r="I85" s="517"/>
      <c r="J85" s="200"/>
      <c r="K85" s="194"/>
      <c r="L85" s="200"/>
      <c r="M85" s="118"/>
      <c r="N85" s="134"/>
      <c r="O85" s="134"/>
      <c r="P85" s="134"/>
      <c r="Q85" s="134"/>
      <c r="R85" s="118"/>
      <c r="V85" s="528"/>
      <c r="W85" s="528"/>
    </row>
    <row r="86" spans="1:23" s="14" customFormat="1" ht="32.25" thickBot="1" x14ac:dyDescent="0.25">
      <c r="A86" s="518" t="s">
        <v>31</v>
      </c>
      <c r="B86" s="932" t="s">
        <v>13</v>
      </c>
      <c r="C86" s="933"/>
      <c r="D86" s="934"/>
      <c r="E86" s="519" t="s">
        <v>12</v>
      </c>
      <c r="F86" s="519" t="s">
        <v>14</v>
      </c>
      <c r="G86" s="519" t="s">
        <v>276</v>
      </c>
      <c r="H86" s="519" t="s">
        <v>32</v>
      </c>
      <c r="I86" s="519" t="s">
        <v>16</v>
      </c>
      <c r="J86" s="519" t="s">
        <v>17</v>
      </c>
      <c r="K86" s="519" t="s">
        <v>18</v>
      </c>
      <c r="L86" s="519" t="s">
        <v>19</v>
      </c>
      <c r="M86" s="519" t="s">
        <v>20</v>
      </c>
      <c r="N86" s="520" t="s">
        <v>123</v>
      </c>
      <c r="O86" s="519" t="s">
        <v>94</v>
      </c>
      <c r="P86" s="521" t="s">
        <v>807</v>
      </c>
      <c r="W86" s="13"/>
    </row>
    <row r="87" spans="1:23" s="303" customFormat="1" x14ac:dyDescent="0.2">
      <c r="A87" s="269"/>
      <c r="B87" s="925"/>
      <c r="C87" s="926"/>
      <c r="D87" s="926"/>
      <c r="E87" s="226"/>
      <c r="F87" s="226"/>
      <c r="G87" s="226"/>
      <c r="H87" s="226"/>
      <c r="I87" s="226"/>
      <c r="J87" s="263"/>
      <c r="K87" s="263"/>
      <c r="L87" s="263"/>
      <c r="M87" s="263"/>
      <c r="N87" s="49"/>
      <c r="O87" s="226"/>
      <c r="P87" s="274"/>
      <c r="Q87" s="160"/>
      <c r="R87" s="160"/>
      <c r="S87" s="160"/>
      <c r="T87" s="160"/>
      <c r="U87" s="160"/>
      <c r="V87" s="160"/>
      <c r="W87" s="159"/>
    </row>
    <row r="88" spans="1:23" s="303" customFormat="1" x14ac:dyDescent="0.2">
      <c r="A88" s="248"/>
      <c r="B88" s="927"/>
      <c r="C88" s="928"/>
      <c r="D88" s="928"/>
      <c r="E88" s="125"/>
      <c r="F88" s="125"/>
      <c r="G88" s="125"/>
      <c r="H88" s="125"/>
      <c r="I88" s="125"/>
      <c r="J88" s="255"/>
      <c r="K88" s="255"/>
      <c r="L88" s="255"/>
      <c r="M88" s="255"/>
      <c r="N88" s="21"/>
      <c r="O88" s="125"/>
      <c r="P88" s="276"/>
      <c r="Q88" s="160"/>
      <c r="R88" s="160"/>
      <c r="S88" s="160"/>
      <c r="T88" s="160"/>
      <c r="U88" s="160"/>
      <c r="V88" s="160"/>
      <c r="W88" s="159"/>
    </row>
    <row r="89" spans="1:23" s="303" customFormat="1" x14ac:dyDescent="0.2">
      <c r="A89" s="248"/>
      <c r="B89" s="927"/>
      <c r="C89" s="928"/>
      <c r="D89" s="928"/>
      <c r="E89" s="125"/>
      <c r="F89" s="125"/>
      <c r="G89" s="125"/>
      <c r="H89" s="125"/>
      <c r="I89" s="125"/>
      <c r="J89" s="255"/>
      <c r="K89" s="255"/>
      <c r="L89" s="255"/>
      <c r="M89" s="255"/>
      <c r="N89" s="21"/>
      <c r="O89" s="125"/>
      <c r="P89" s="276"/>
      <c r="Q89" s="160"/>
      <c r="R89" s="160"/>
      <c r="S89" s="160"/>
      <c r="T89" s="160"/>
      <c r="U89" s="160"/>
      <c r="V89" s="160"/>
      <c r="W89" s="159"/>
    </row>
    <row r="90" spans="1:23" s="303" customFormat="1" ht="16.5" thickBot="1" x14ac:dyDescent="0.25">
      <c r="A90" s="304"/>
      <c r="B90" s="912"/>
      <c r="C90" s="913"/>
      <c r="D90" s="913"/>
      <c r="E90" s="130"/>
      <c r="F90" s="130"/>
      <c r="G90" s="130"/>
      <c r="H90" s="130"/>
      <c r="I90" s="130"/>
      <c r="J90" s="256"/>
      <c r="K90" s="256"/>
      <c r="L90" s="256"/>
      <c r="M90" s="256"/>
      <c r="N90" s="29"/>
      <c r="O90" s="129"/>
      <c r="P90" s="132"/>
      <c r="Q90" s="160"/>
      <c r="R90" s="160"/>
      <c r="S90" s="160"/>
      <c r="T90" s="160"/>
      <c r="U90" s="160"/>
      <c r="V90" s="160"/>
      <c r="W90" s="159"/>
    </row>
    <row r="91" spans="1:23" s="456" customFormat="1" ht="16.5" thickBot="1" x14ac:dyDescent="0.25">
      <c r="A91" s="133"/>
      <c r="B91" s="133"/>
      <c r="C91" s="133"/>
      <c r="D91" s="133"/>
      <c r="E91" s="133"/>
      <c r="F91" s="133"/>
      <c r="G91" s="133"/>
      <c r="H91" s="118"/>
      <c r="I91" s="118"/>
      <c r="J91" s="118"/>
      <c r="K91" s="118"/>
      <c r="L91" s="118"/>
      <c r="M91" s="134"/>
      <c r="N91" s="134"/>
      <c r="O91" s="134"/>
      <c r="P91" s="134"/>
      <c r="Q91" s="134"/>
      <c r="R91" s="134"/>
      <c r="S91" s="134"/>
      <c r="T91" s="134"/>
      <c r="U91" s="134"/>
      <c r="V91" s="118"/>
    </row>
    <row r="92" spans="1:23" s="73" customFormat="1" ht="16.5" thickBot="1" x14ac:dyDescent="0.25">
      <c r="A92" s="822" t="s">
        <v>36</v>
      </c>
      <c r="B92" s="823"/>
      <c r="C92" s="823"/>
      <c r="D92" s="823"/>
      <c r="E92" s="823"/>
      <c r="F92" s="823"/>
      <c r="G92" s="823"/>
      <c r="H92" s="823"/>
      <c r="I92" s="824"/>
      <c r="J92" s="169"/>
      <c r="K92" s="118"/>
      <c r="L92" s="134"/>
      <c r="M92" s="134"/>
      <c r="N92" s="134"/>
      <c r="O92" s="134"/>
      <c r="P92" s="134"/>
      <c r="Q92" s="134"/>
      <c r="R92" s="134"/>
      <c r="S92" s="118"/>
      <c r="T92" s="118"/>
      <c r="U92" s="118"/>
    </row>
    <row r="93" spans="1:23" s="73" customFormat="1" ht="16.5" thickBot="1" x14ac:dyDescent="0.25">
      <c r="A93" s="935" t="s">
        <v>37</v>
      </c>
      <c r="B93" s="936"/>
      <c r="C93" s="936"/>
      <c r="D93" s="936"/>
      <c r="E93" s="936"/>
      <c r="F93" s="936"/>
      <c r="G93" s="936"/>
      <c r="H93" s="936"/>
      <c r="I93" s="937"/>
      <c r="J93" s="170"/>
      <c r="K93" s="118"/>
      <c r="L93" s="134"/>
      <c r="M93" s="134"/>
      <c r="N93" s="134"/>
      <c r="O93" s="134"/>
      <c r="P93" s="134"/>
      <c r="Q93" s="134"/>
      <c r="R93" s="134"/>
      <c r="S93" s="118"/>
      <c r="T93" s="118"/>
      <c r="U93" s="118"/>
    </row>
    <row r="94" spans="1:23" s="308" customFormat="1" ht="15.75" customHeight="1" thickBot="1" x14ac:dyDescent="0.25">
      <c r="A94" s="665" t="s">
        <v>296</v>
      </c>
      <c r="B94" s="909" t="s">
        <v>1129</v>
      </c>
      <c r="C94" s="910"/>
      <c r="D94" s="910"/>
      <c r="E94" s="910"/>
      <c r="F94" s="910"/>
      <c r="G94" s="910"/>
      <c r="H94" s="910"/>
      <c r="I94" s="911"/>
      <c r="J94" s="171"/>
      <c r="K94" s="172"/>
      <c r="L94" s="173"/>
      <c r="M94" s="173"/>
      <c r="N94" s="173"/>
      <c r="O94" s="173"/>
      <c r="P94" s="173"/>
      <c r="Q94" s="173"/>
      <c r="R94" s="173"/>
      <c r="S94" s="172"/>
      <c r="T94" s="172"/>
      <c r="U94" s="172"/>
    </row>
    <row r="95" spans="1:23" s="73" customFormat="1" ht="16.5" thickBot="1" x14ac:dyDescent="0.25">
      <c r="A95" s="196"/>
      <c r="B95" s="169"/>
      <c r="C95" s="169"/>
      <c r="D95" s="169"/>
      <c r="E95" s="169"/>
      <c r="F95" s="176"/>
      <c r="G95" s="176"/>
      <c r="H95" s="176"/>
      <c r="I95" s="176"/>
      <c r="J95" s="176"/>
      <c r="K95" s="118"/>
      <c r="L95" s="134"/>
      <c r="M95" s="134"/>
      <c r="N95" s="134"/>
      <c r="O95" s="134"/>
      <c r="P95" s="134"/>
      <c r="Q95" s="118"/>
    </row>
    <row r="96" spans="1:23" s="73" customFormat="1" ht="16.5" customHeight="1" thickBot="1" x14ac:dyDescent="0.25">
      <c r="A96" s="917" t="s">
        <v>214</v>
      </c>
      <c r="B96" s="918"/>
      <c r="C96" s="918"/>
      <c r="D96" s="918"/>
      <c r="E96" s="918"/>
      <c r="F96" s="918"/>
      <c r="G96" s="918"/>
      <c r="H96" s="930" t="s">
        <v>226</v>
      </c>
      <c r="I96" s="786" t="s">
        <v>627</v>
      </c>
      <c r="J96" s="786" t="s">
        <v>215</v>
      </c>
      <c r="K96" s="786" t="s">
        <v>23</v>
      </c>
      <c r="L96" s="786" t="s">
        <v>302</v>
      </c>
      <c r="M96" s="788" t="s">
        <v>83</v>
      </c>
      <c r="N96" s="134"/>
      <c r="O96" s="118"/>
      <c r="P96" s="456"/>
      <c r="Q96" s="528"/>
      <c r="R96" s="528"/>
    </row>
    <row r="97" spans="1:18" s="446" customFormat="1" ht="16.5" thickBot="1" x14ac:dyDescent="0.25">
      <c r="A97" s="919" t="s">
        <v>887</v>
      </c>
      <c r="B97" s="920"/>
      <c r="C97" s="920"/>
      <c r="D97" s="920"/>
      <c r="E97" s="920"/>
      <c r="F97" s="920"/>
      <c r="G97" s="921"/>
      <c r="H97" s="931"/>
      <c r="I97" s="908"/>
      <c r="J97" s="908"/>
      <c r="K97" s="908"/>
      <c r="L97" s="908"/>
      <c r="M97" s="929"/>
      <c r="N97" s="177"/>
      <c r="O97" s="177"/>
      <c r="P97" s="177"/>
      <c r="Q97" s="177"/>
      <c r="R97" s="177"/>
    </row>
    <row r="98" spans="1:18" s="446" customFormat="1" ht="15.75" customHeight="1" thickBot="1" x14ac:dyDescent="0.25">
      <c r="A98" s="914" t="s">
        <v>353</v>
      </c>
      <c r="B98" s="915"/>
      <c r="C98" s="915"/>
      <c r="D98" s="915"/>
      <c r="E98" s="915"/>
      <c r="F98" s="915"/>
      <c r="G98" s="916"/>
      <c r="H98" s="931"/>
      <c r="I98" s="908"/>
      <c r="J98" s="908"/>
      <c r="K98" s="908"/>
      <c r="L98" s="908"/>
      <c r="M98" s="929"/>
      <c r="N98" s="177"/>
      <c r="O98" s="177"/>
      <c r="P98" s="177"/>
      <c r="Q98" s="177"/>
      <c r="R98" s="177"/>
    </row>
    <row r="99" spans="1:18" s="136" customFormat="1" ht="15.75" customHeight="1" x14ac:dyDescent="0.2">
      <c r="A99" s="178" t="s">
        <v>234</v>
      </c>
      <c r="B99" s="942" t="str">
        <f>IF($A99="","",VLOOKUP($A99,Listes!$A$3:$C$193,2,FALSE))</f>
        <v>Bunker Adjustment Factor</v>
      </c>
      <c r="C99" s="942"/>
      <c r="D99" s="942"/>
      <c r="E99" s="941" t="s">
        <v>51</v>
      </c>
      <c r="F99" s="941"/>
      <c r="G99" s="941"/>
      <c r="H99" s="654"/>
      <c r="I99" s="529"/>
      <c r="J99" s="529"/>
      <c r="K99" s="529"/>
      <c r="L99" s="529"/>
      <c r="M99" s="530"/>
      <c r="N99" s="160"/>
      <c r="O99" s="160"/>
      <c r="P99" s="160"/>
      <c r="Q99" s="160"/>
      <c r="R99" s="159"/>
    </row>
    <row r="100" spans="1:18" s="136" customFormat="1" ht="15.75" customHeight="1" x14ac:dyDescent="0.2">
      <c r="A100" s="182" t="s">
        <v>557</v>
      </c>
      <c r="B100" s="813" t="str">
        <f>IF($A100="","",VLOOKUP($A100,Listes!$A$3:$C$193,2,FALSE))</f>
        <v>Cargo Facility Charge</v>
      </c>
      <c r="C100" s="813"/>
      <c r="D100" s="813"/>
      <c r="E100" s="814" t="s">
        <v>51</v>
      </c>
      <c r="F100" s="814"/>
      <c r="G100" s="814"/>
      <c r="H100" s="653"/>
      <c r="I100" s="531"/>
      <c r="J100" s="531"/>
      <c r="K100" s="531"/>
      <c r="L100" s="531"/>
      <c r="M100" s="532"/>
      <c r="N100" s="160"/>
      <c r="O100" s="160"/>
      <c r="P100" s="160"/>
      <c r="Q100" s="160"/>
      <c r="R100" s="159"/>
    </row>
    <row r="101" spans="1:18" s="136" customFormat="1" ht="15.75" customHeight="1" x14ac:dyDescent="0.2">
      <c r="A101" s="182" t="s">
        <v>202</v>
      </c>
      <c r="B101" s="813" t="str">
        <f>IF($A101="","",VLOOKUP($A101,Listes!$A$3:$C$193,2,FALSE))</f>
        <v>Container Inspection Fee/Survey Fee</v>
      </c>
      <c r="C101" s="813"/>
      <c r="D101" s="813"/>
      <c r="E101" s="814" t="s">
        <v>51</v>
      </c>
      <c r="F101" s="814"/>
      <c r="G101" s="814"/>
      <c r="H101" s="653"/>
      <c r="I101" s="531"/>
      <c r="J101" s="531"/>
      <c r="K101" s="531"/>
      <c r="L101" s="531"/>
      <c r="M101" s="532"/>
      <c r="N101" s="160"/>
      <c r="O101" s="160"/>
      <c r="P101" s="160"/>
      <c r="Q101" s="160"/>
      <c r="R101" s="159"/>
    </row>
    <row r="102" spans="1:18" s="136" customFormat="1" ht="15.75" customHeight="1" x14ac:dyDescent="0.2">
      <c r="A102" s="182" t="s">
        <v>1103</v>
      </c>
      <c r="B102" s="813" t="str">
        <f>IF($A102="","",VLOOKUP($A102,Listes!$A$3:$C$193,2,FALSE))</f>
        <v>Chassis Administration Fee Pre-Carriage</v>
      </c>
      <c r="C102" s="813"/>
      <c r="D102" s="813"/>
      <c r="E102" s="814" t="s">
        <v>51</v>
      </c>
      <c r="F102" s="814"/>
      <c r="G102" s="814"/>
      <c r="H102" s="653"/>
      <c r="I102" s="531"/>
      <c r="J102" s="531"/>
      <c r="K102" s="531"/>
      <c r="L102" s="531"/>
      <c r="M102" s="532"/>
      <c r="N102" s="160"/>
      <c r="O102" s="160"/>
      <c r="P102" s="160"/>
      <c r="Q102" s="160"/>
      <c r="R102" s="159"/>
    </row>
    <row r="103" spans="1:18" s="136" customFormat="1" ht="15.75" customHeight="1" x14ac:dyDescent="0.2">
      <c r="A103" s="182" t="s">
        <v>551</v>
      </c>
      <c r="B103" s="813" t="str">
        <f>IF($A103="","",VLOOKUP($A103,Listes!$A$3:$C$193,2,FALSE))</f>
        <v>Chassis Provision Charge</v>
      </c>
      <c r="C103" s="813"/>
      <c r="D103" s="813"/>
      <c r="E103" s="814" t="s">
        <v>51</v>
      </c>
      <c r="F103" s="814"/>
      <c r="G103" s="814"/>
      <c r="H103" s="653"/>
      <c r="I103" s="531"/>
      <c r="J103" s="531"/>
      <c r="K103" s="531"/>
      <c r="L103" s="531"/>
      <c r="M103" s="532"/>
      <c r="N103" s="160"/>
      <c r="O103" s="160"/>
      <c r="P103" s="160"/>
      <c r="Q103" s="160"/>
      <c r="R103" s="159"/>
    </row>
    <row r="104" spans="1:18" s="136" customFormat="1" ht="15.75" customHeight="1" x14ac:dyDescent="0.2">
      <c r="A104" s="182" t="s">
        <v>263</v>
      </c>
      <c r="B104" s="813" t="str">
        <f>IF($A104="","",VLOOKUP($A104,Listes!$A$3:$C$193,2,FALSE))</f>
        <v>Carrier Security Charge</v>
      </c>
      <c r="C104" s="813"/>
      <c r="D104" s="813"/>
      <c r="E104" s="814" t="s">
        <v>51</v>
      </c>
      <c r="F104" s="814"/>
      <c r="G104" s="814"/>
      <c r="H104" s="653"/>
      <c r="I104" s="531"/>
      <c r="J104" s="531"/>
      <c r="K104" s="531"/>
      <c r="L104" s="531"/>
      <c r="M104" s="532"/>
      <c r="N104" s="160"/>
      <c r="O104" s="160"/>
      <c r="P104" s="160"/>
      <c r="Q104" s="160"/>
      <c r="R104" s="159"/>
    </row>
    <row r="105" spans="1:18" s="136" customFormat="1" ht="15.75" customHeight="1" x14ac:dyDescent="0.2">
      <c r="A105" s="182" t="s">
        <v>1262</v>
      </c>
      <c r="B105" s="813" t="str">
        <f>IF($A105="","",VLOOKUP($A105,Listes!$A$3:$C$193,2,FALSE))</f>
        <v>Container Maintenance Charge Destination</v>
      </c>
      <c r="C105" s="813"/>
      <c r="D105" s="813"/>
      <c r="E105" s="814" t="s">
        <v>51</v>
      </c>
      <c r="F105" s="814"/>
      <c r="G105" s="814"/>
      <c r="H105" s="653"/>
      <c r="I105" s="531"/>
      <c r="J105" s="531"/>
      <c r="K105" s="531"/>
      <c r="L105" s="531"/>
      <c r="M105" s="532"/>
      <c r="N105" s="160"/>
      <c r="O105" s="160"/>
      <c r="P105" s="160"/>
      <c r="Q105" s="160"/>
      <c r="R105" s="159"/>
    </row>
    <row r="106" spans="1:18" s="136" customFormat="1" ht="15.75" customHeight="1" x14ac:dyDescent="0.2">
      <c r="A106" s="182" t="s">
        <v>1003</v>
      </c>
      <c r="B106" s="813" t="str">
        <f>IF($A106="","",VLOOKUP($A106,Listes!$A$3:$C$193,2,FALSE))</f>
        <v>Custom clearance destination</v>
      </c>
      <c r="C106" s="813"/>
      <c r="D106" s="813"/>
      <c r="E106" s="814" t="s">
        <v>51</v>
      </c>
      <c r="F106" s="814"/>
      <c r="G106" s="814"/>
      <c r="H106" s="653"/>
      <c r="I106" s="531"/>
      <c r="J106" s="531"/>
      <c r="K106" s="531"/>
      <c r="L106" s="531"/>
      <c r="M106" s="532"/>
      <c r="N106" s="160"/>
      <c r="O106" s="160"/>
      <c r="P106" s="160"/>
      <c r="Q106" s="160"/>
      <c r="R106" s="159"/>
    </row>
    <row r="107" spans="1:18" s="136" customFormat="1" ht="15.75" customHeight="1" x14ac:dyDescent="0.2">
      <c r="A107" s="182" t="s">
        <v>230</v>
      </c>
      <c r="B107" s="813" t="str">
        <f>IF($A107="","",VLOOKUP($A107,Listes!$A$3:$C$193,2,FALSE))</f>
        <v>Destination THC / Destination Receiving Charge</v>
      </c>
      <c r="C107" s="813"/>
      <c r="D107" s="813"/>
      <c r="E107" s="814" t="s">
        <v>51</v>
      </c>
      <c r="F107" s="814"/>
      <c r="G107" s="814"/>
      <c r="H107" s="653"/>
      <c r="I107" s="531"/>
      <c r="J107" s="531"/>
      <c r="K107" s="531"/>
      <c r="L107" s="531"/>
      <c r="M107" s="532"/>
      <c r="N107" s="160"/>
      <c r="O107" s="160"/>
      <c r="P107" s="160"/>
      <c r="Q107" s="160"/>
      <c r="R107" s="159"/>
    </row>
    <row r="108" spans="1:18" s="136" customFormat="1" ht="15.75" customHeight="1" x14ac:dyDescent="0.2">
      <c r="A108" s="182" t="s">
        <v>1081</v>
      </c>
      <c r="B108" s="813" t="str">
        <f>IF($A108="","",VLOOKUP($A108,Listes!$A$3:$C$193,2,FALSE))</f>
        <v>Equipment Imbalance Surcharge at Origin</v>
      </c>
      <c r="C108" s="813"/>
      <c r="D108" s="813"/>
      <c r="E108" s="814" t="s">
        <v>51</v>
      </c>
      <c r="F108" s="814"/>
      <c r="G108" s="814"/>
      <c r="H108" s="653"/>
      <c r="I108" s="531"/>
      <c r="J108" s="531"/>
      <c r="K108" s="531"/>
      <c r="L108" s="531"/>
      <c r="M108" s="532"/>
      <c r="N108" s="160"/>
      <c r="O108" s="160"/>
      <c r="P108" s="160"/>
      <c r="Q108" s="160"/>
      <c r="R108" s="159"/>
    </row>
    <row r="109" spans="1:18" s="136" customFormat="1" ht="15.75" customHeight="1" x14ac:dyDescent="0.2">
      <c r="A109" s="182" t="s">
        <v>1082</v>
      </c>
      <c r="B109" s="813" t="str">
        <f>IF($A109="","",VLOOKUP($A109,Listes!$A$3:$C$193,2,FALSE))</f>
        <v>Equipment Imbalance Surcharge at Destination</v>
      </c>
      <c r="C109" s="813"/>
      <c r="D109" s="813"/>
      <c r="E109" s="814" t="s">
        <v>51</v>
      </c>
      <c r="F109" s="814"/>
      <c r="G109" s="814"/>
      <c r="H109" s="653"/>
      <c r="I109" s="531"/>
      <c r="J109" s="531"/>
      <c r="K109" s="531"/>
      <c r="L109" s="531"/>
      <c r="M109" s="532"/>
      <c r="N109" s="160"/>
      <c r="O109" s="160"/>
      <c r="P109" s="160"/>
      <c r="Q109" s="160"/>
      <c r="R109" s="159"/>
    </row>
    <row r="110" spans="1:18" s="136" customFormat="1" ht="15.75" customHeight="1" x14ac:dyDescent="0.2">
      <c r="A110" s="182" t="s">
        <v>470</v>
      </c>
      <c r="B110" s="813" t="str">
        <f>IF($A110="","",VLOOKUP($A110,Listes!$A$3:$C$193,2,FALSE))</f>
        <v>Emergency Terminal Congestion Surcharge / Emergency Port Surcharge</v>
      </c>
      <c r="C110" s="813"/>
      <c r="D110" s="813"/>
      <c r="E110" s="814" t="s">
        <v>53</v>
      </c>
      <c r="F110" s="814"/>
      <c r="G110" s="814"/>
      <c r="H110" s="653"/>
      <c r="I110" s="531"/>
      <c r="J110" s="531"/>
      <c r="K110" s="531"/>
      <c r="L110" s="531"/>
      <c r="M110" s="532"/>
      <c r="N110" s="160"/>
      <c r="O110" s="160"/>
      <c r="P110" s="160"/>
      <c r="Q110" s="160"/>
      <c r="R110" s="159"/>
    </row>
    <row r="111" spans="1:18" s="136" customFormat="1" ht="15.75" customHeight="1" x14ac:dyDescent="0.2">
      <c r="A111" s="182" t="s">
        <v>874</v>
      </c>
      <c r="B111" s="813" t="str">
        <f>IF($A111="","",VLOOKUP($A111,Listes!$A$3:$C$193,2,FALSE))</f>
        <v>Export Documentation Fees - Carrier</v>
      </c>
      <c r="C111" s="813"/>
      <c r="D111" s="813"/>
      <c r="E111" s="814" t="s">
        <v>51</v>
      </c>
      <c r="F111" s="814"/>
      <c r="G111" s="814"/>
      <c r="H111" s="653"/>
      <c r="I111" s="531"/>
      <c r="J111" s="531"/>
      <c r="K111" s="531"/>
      <c r="L111" s="531"/>
      <c r="M111" s="532"/>
      <c r="N111" s="160"/>
      <c r="O111" s="160"/>
      <c r="P111" s="160"/>
      <c r="Q111" s="160"/>
      <c r="R111" s="159"/>
    </row>
    <row r="112" spans="1:18" s="136" customFormat="1" ht="15.75" customHeight="1" x14ac:dyDescent="0.2">
      <c r="A112" s="182" t="s">
        <v>854</v>
      </c>
      <c r="B112" s="813" t="str">
        <f>IF($A112="","",VLOOKUP($A112,Listes!$A$3:$C$193,2,FALSE))</f>
        <v>Export Declaration Surcharge</v>
      </c>
      <c r="C112" s="813"/>
      <c r="D112" s="813"/>
      <c r="E112" s="814" t="s">
        <v>51</v>
      </c>
      <c r="F112" s="814"/>
      <c r="G112" s="814"/>
      <c r="H112" s="653"/>
      <c r="I112" s="531"/>
      <c r="J112" s="531"/>
      <c r="K112" s="531"/>
      <c r="L112" s="531"/>
      <c r="M112" s="532"/>
      <c r="N112" s="160"/>
      <c r="O112" s="160"/>
      <c r="P112" s="160"/>
      <c r="Q112" s="160"/>
      <c r="R112" s="159"/>
    </row>
    <row r="113" spans="1:18" s="136" customFormat="1" ht="15.75" customHeight="1" x14ac:dyDescent="0.2">
      <c r="A113" s="182" t="s">
        <v>472</v>
      </c>
      <c r="B113" s="813" t="str">
        <f>IF($A113="","",VLOOKUP($A113,Listes!$A$3:$C$193,2,FALSE))</f>
        <v>Extra Container Handling Charge Destination</v>
      </c>
      <c r="C113" s="813"/>
      <c r="D113" s="813"/>
      <c r="E113" s="814" t="s">
        <v>51</v>
      </c>
      <c r="F113" s="814"/>
      <c r="G113" s="814"/>
      <c r="H113" s="653"/>
      <c r="I113" s="531"/>
      <c r="J113" s="531"/>
      <c r="K113" s="531"/>
      <c r="L113" s="531"/>
      <c r="M113" s="532"/>
      <c r="N113" s="160"/>
      <c r="O113" s="160"/>
      <c r="P113" s="160"/>
      <c r="Q113" s="160"/>
      <c r="R113" s="159"/>
    </row>
    <row r="114" spans="1:18" s="136" customFormat="1" ht="15.75" customHeight="1" x14ac:dyDescent="0.2">
      <c r="A114" s="182" t="s">
        <v>1114</v>
      </c>
      <c r="B114" s="813" t="str">
        <f>IF($A114="","",VLOOKUP($A114,Listes!$A$3:$C$193,2,FALSE))</f>
        <v>Extra Risk Surcharge (Destination)</v>
      </c>
      <c r="C114" s="813"/>
      <c r="D114" s="813"/>
      <c r="E114" s="814" t="s">
        <v>51</v>
      </c>
      <c r="F114" s="814"/>
      <c r="G114" s="814"/>
      <c r="H114" s="653"/>
      <c r="I114" s="531"/>
      <c r="J114" s="531"/>
      <c r="K114" s="531"/>
      <c r="L114" s="531"/>
      <c r="M114" s="532"/>
      <c r="N114" s="160"/>
      <c r="O114" s="160"/>
      <c r="P114" s="160"/>
      <c r="Q114" s="160"/>
      <c r="R114" s="159"/>
    </row>
    <row r="115" spans="1:18" s="136" customFormat="1" ht="15.75" customHeight="1" x14ac:dyDescent="0.2">
      <c r="A115" s="182" t="s">
        <v>82</v>
      </c>
      <c r="B115" s="813" t="str">
        <f>IF($A115="","",VLOOKUP($A115,Listes!$A$3:$C$193,2,FALSE))</f>
        <v>General Rate Increase</v>
      </c>
      <c r="C115" s="813"/>
      <c r="D115" s="813"/>
      <c r="E115" s="814" t="s">
        <v>51</v>
      </c>
      <c r="F115" s="814"/>
      <c r="G115" s="814"/>
      <c r="H115" s="653"/>
      <c r="I115" s="531"/>
      <c r="J115" s="531"/>
      <c r="K115" s="531"/>
      <c r="L115" s="531"/>
      <c r="M115" s="532"/>
      <c r="N115" s="160"/>
      <c r="O115" s="160"/>
      <c r="P115" s="160"/>
      <c r="Q115" s="160"/>
      <c r="R115" s="159"/>
    </row>
    <row r="116" spans="1:18" s="136" customFormat="1" ht="15.75" customHeight="1" x14ac:dyDescent="0.2">
      <c r="A116" s="182" t="s">
        <v>260</v>
      </c>
      <c r="B116" s="813" t="str">
        <f>IF($A116="","",VLOOKUP($A116,Listes!$A$3:$C$193,2,FALSE))</f>
        <v>Hazardous Fees (Ocean)</v>
      </c>
      <c r="C116" s="813"/>
      <c r="D116" s="813"/>
      <c r="E116" s="814" t="s">
        <v>51</v>
      </c>
      <c r="F116" s="814"/>
      <c r="G116" s="814"/>
      <c r="H116" s="653"/>
      <c r="I116" s="531"/>
      <c r="J116" s="531"/>
      <c r="K116" s="531"/>
      <c r="L116" s="531"/>
      <c r="M116" s="532"/>
      <c r="N116" s="160"/>
      <c r="O116" s="160"/>
      <c r="P116" s="160"/>
      <c r="Q116" s="160"/>
      <c r="R116" s="159"/>
    </row>
    <row r="117" spans="1:18" s="136" customFormat="1" ht="15.75" customHeight="1" x14ac:dyDescent="0.2">
      <c r="A117" s="182" t="s">
        <v>897</v>
      </c>
      <c r="B117" s="813" t="str">
        <f>IF($A117="","",VLOOKUP($A117,Listes!$A$3:$C$193,2,FALSE))</f>
        <v xml:space="preserve">Intermodal Door Precarriage Additional for </v>
      </c>
      <c r="C117" s="813"/>
      <c r="D117" s="813"/>
      <c r="E117" s="814" t="s">
        <v>51</v>
      </c>
      <c r="F117" s="814"/>
      <c r="G117" s="814"/>
      <c r="H117" s="653"/>
      <c r="I117" s="531"/>
      <c r="J117" s="531"/>
      <c r="K117" s="531"/>
      <c r="L117" s="531"/>
      <c r="M117" s="532"/>
      <c r="N117" s="160"/>
      <c r="O117" s="160"/>
      <c r="P117" s="160"/>
      <c r="Q117" s="160"/>
      <c r="R117" s="159"/>
    </row>
    <row r="118" spans="1:18" s="136" customFormat="1" ht="15.75" customHeight="1" x14ac:dyDescent="0.2">
      <c r="A118" s="182" t="s">
        <v>96</v>
      </c>
      <c r="B118" s="813" t="str">
        <f>IF($A118="","",VLOOKUP($A118,Listes!$A$3:$C$193,2,FALSE))</f>
        <v xml:space="preserve">Precarriage Inland Fuel Charge </v>
      </c>
      <c r="C118" s="813"/>
      <c r="D118" s="813"/>
      <c r="E118" s="814" t="s">
        <v>51</v>
      </c>
      <c r="F118" s="814"/>
      <c r="G118" s="814"/>
      <c r="H118" s="653"/>
      <c r="I118" s="531"/>
      <c r="J118" s="531"/>
      <c r="K118" s="531"/>
      <c r="L118" s="531"/>
      <c r="M118" s="532"/>
      <c r="N118" s="160"/>
      <c r="O118" s="160"/>
      <c r="P118" s="160"/>
      <c r="Q118" s="160"/>
      <c r="R118" s="159"/>
    </row>
    <row r="119" spans="1:18" s="136" customFormat="1" ht="15.75" customHeight="1" x14ac:dyDescent="0.2">
      <c r="A119" s="182" t="s">
        <v>1006</v>
      </c>
      <c r="B119" s="813" t="str">
        <f>IF($A119="","",VLOOKUP($A119,Listes!$A$3:$C$193,2,FALSE))</f>
        <v>Local Port Charges Destination</v>
      </c>
      <c r="C119" s="813"/>
      <c r="D119" s="813"/>
      <c r="E119" s="814" t="s">
        <v>51</v>
      </c>
      <c r="F119" s="814"/>
      <c r="G119" s="814"/>
      <c r="H119" s="653"/>
      <c r="I119" s="531"/>
      <c r="J119" s="531"/>
      <c r="K119" s="531"/>
      <c r="L119" s="531"/>
      <c r="M119" s="532"/>
      <c r="N119" s="160"/>
      <c r="O119" s="160"/>
      <c r="P119" s="160"/>
      <c r="Q119" s="160"/>
      <c r="R119" s="159"/>
    </row>
    <row r="120" spans="1:18" s="136" customFormat="1" ht="15.75" customHeight="1" x14ac:dyDescent="0.2">
      <c r="A120" s="182" t="s">
        <v>1290</v>
      </c>
      <c r="B120" s="813" t="str">
        <f>IF($A120="","",VLOOKUP($A120,Listes!$A$3:$C$193,2,FALSE))</f>
        <v>Local Port Charge Destination Sanitary Fee</v>
      </c>
      <c r="C120" s="813"/>
      <c r="D120" s="813"/>
      <c r="E120" s="814" t="s">
        <v>51</v>
      </c>
      <c r="F120" s="814"/>
      <c r="G120" s="814"/>
      <c r="H120" s="675"/>
      <c r="I120" s="531"/>
      <c r="J120" s="531"/>
      <c r="K120" s="531"/>
      <c r="L120" s="531"/>
      <c r="M120" s="532"/>
      <c r="N120" s="160"/>
      <c r="O120" s="160"/>
      <c r="P120" s="160"/>
      <c r="Q120" s="160"/>
      <c r="R120" s="159"/>
    </row>
    <row r="121" spans="1:18" s="136" customFormat="1" ht="15.75" customHeight="1" x14ac:dyDescent="0.2">
      <c r="A121" s="182" t="s">
        <v>1292</v>
      </c>
      <c r="B121" s="813" t="str">
        <f>IF($A121="","",VLOOKUP($A121,Listes!$A$3:$C$193,2,FALSE))</f>
        <v>Local Port Charge Origin Sanitary Fee</v>
      </c>
      <c r="C121" s="813"/>
      <c r="D121" s="813"/>
      <c r="E121" s="814" t="s">
        <v>51</v>
      </c>
      <c r="F121" s="814"/>
      <c r="G121" s="814"/>
      <c r="H121" s="675"/>
      <c r="I121" s="531"/>
      <c r="J121" s="531"/>
      <c r="K121" s="531"/>
      <c r="L121" s="531"/>
      <c r="M121" s="532"/>
      <c r="N121" s="160"/>
      <c r="O121" s="160"/>
      <c r="P121" s="160"/>
      <c r="Q121" s="160"/>
      <c r="R121" s="159"/>
    </row>
    <row r="122" spans="1:18" s="136" customFormat="1" ht="15.75" customHeight="1" x14ac:dyDescent="0.2">
      <c r="A122" s="182" t="s">
        <v>199</v>
      </c>
      <c r="B122" s="813" t="str">
        <f>IF($A122="","",VLOOKUP($A122,Listes!$A$3:$C$193,2,FALSE))</f>
        <v>Low Sulfur Surcharge</v>
      </c>
      <c r="C122" s="813"/>
      <c r="D122" s="813"/>
      <c r="E122" s="814" t="s">
        <v>53</v>
      </c>
      <c r="F122" s="814"/>
      <c r="G122" s="814"/>
      <c r="H122" s="653"/>
      <c r="I122" s="531"/>
      <c r="J122" s="531"/>
      <c r="K122" s="531"/>
      <c r="L122" s="531"/>
      <c r="M122" s="532"/>
      <c r="N122" s="160"/>
      <c r="O122" s="160"/>
      <c r="P122" s="160"/>
      <c r="Q122" s="160"/>
      <c r="R122" s="159"/>
    </row>
    <row r="123" spans="1:18" s="136" customFormat="1" ht="15.75" customHeight="1" x14ac:dyDescent="0.2">
      <c r="A123" s="182" t="s">
        <v>1124</v>
      </c>
      <c r="B123" s="813" t="str">
        <f>IF($A123="","",VLOOKUP($A123,Listes!$A$3:$C$193,2,FALSE))</f>
        <v>Low Sulfur Surcharge IMO2020</v>
      </c>
      <c r="C123" s="813"/>
      <c r="D123" s="813"/>
      <c r="E123" s="814" t="s">
        <v>53</v>
      </c>
      <c r="F123" s="814"/>
      <c r="G123" s="814"/>
      <c r="H123" s="667"/>
      <c r="I123" s="531"/>
      <c r="J123" s="531"/>
      <c r="K123" s="531"/>
      <c r="L123" s="531"/>
      <c r="M123" s="532"/>
      <c r="N123" s="160"/>
      <c r="O123" s="160"/>
      <c r="P123" s="160"/>
      <c r="Q123" s="160"/>
      <c r="R123" s="159"/>
    </row>
    <row r="124" spans="1:18" s="136" customFormat="1" ht="15.75" customHeight="1" x14ac:dyDescent="0.2">
      <c r="A124" s="182" t="s">
        <v>497</v>
      </c>
      <c r="B124" s="813" t="str">
        <f>IF($A124="","",VLOOKUP($A124,Listes!$A$3:$C$193,2,FALSE))</f>
        <v>Inland Hazardous Charge Oncarriage</v>
      </c>
      <c r="C124" s="813"/>
      <c r="D124" s="813"/>
      <c r="E124" s="814" t="s">
        <v>51</v>
      </c>
      <c r="F124" s="814"/>
      <c r="G124" s="814"/>
      <c r="H124" s="653"/>
      <c r="I124" s="531"/>
      <c r="J124" s="531"/>
      <c r="K124" s="531"/>
      <c r="L124" s="531"/>
      <c r="M124" s="532"/>
      <c r="N124" s="160"/>
      <c r="O124" s="160"/>
      <c r="P124" s="160"/>
      <c r="Q124" s="160"/>
      <c r="R124" s="159"/>
    </row>
    <row r="125" spans="1:18" s="136" customFormat="1" x14ac:dyDescent="0.2">
      <c r="A125" s="182" t="s">
        <v>89</v>
      </c>
      <c r="B125" s="813" t="str">
        <f>IF($A125="","",VLOOKUP($A125,Listes!$A$3:$C$193,2,FALSE))</f>
        <v>Origin THC / Origin Receiving Charge</v>
      </c>
      <c r="C125" s="813"/>
      <c r="D125" s="813"/>
      <c r="E125" s="814" t="s">
        <v>53</v>
      </c>
      <c r="F125" s="814"/>
      <c r="G125" s="814"/>
      <c r="H125" s="653"/>
      <c r="I125" s="531"/>
      <c r="J125" s="531"/>
      <c r="K125" s="531"/>
      <c r="L125" s="531"/>
      <c r="M125" s="532"/>
      <c r="N125" s="160"/>
      <c r="O125" s="160"/>
      <c r="P125" s="160"/>
      <c r="Q125" s="160"/>
      <c r="R125" s="159"/>
    </row>
    <row r="126" spans="1:18" s="136" customFormat="1" ht="15.75" customHeight="1" x14ac:dyDescent="0.2">
      <c r="A126" s="182" t="s">
        <v>832</v>
      </c>
      <c r="B126" s="813" t="str">
        <f>IF($A126="","",VLOOKUP($A126,Listes!$A$3:$C$193,2,FALSE))</f>
        <v>Port Congestion Surcharge Destination</v>
      </c>
      <c r="C126" s="813"/>
      <c r="D126" s="813"/>
      <c r="E126" s="814" t="s">
        <v>51</v>
      </c>
      <c r="F126" s="814"/>
      <c r="G126" s="814"/>
      <c r="H126" s="653"/>
      <c r="I126" s="531"/>
      <c r="J126" s="531"/>
      <c r="K126" s="531"/>
      <c r="L126" s="531"/>
      <c r="M126" s="532"/>
      <c r="N126" s="160"/>
      <c r="O126" s="160"/>
      <c r="P126" s="160"/>
      <c r="Q126" s="160"/>
      <c r="R126" s="159"/>
    </row>
    <row r="127" spans="1:18" s="136" customFormat="1" x14ac:dyDescent="0.2">
      <c r="A127" s="182" t="s">
        <v>1060</v>
      </c>
      <c r="B127" s="813" t="str">
        <f>IF($A127="","",VLOOKUP($A127,Listes!$A$3:$C$193,2,FALSE))</f>
        <v>Pre-Carriage Emergency Inland Fuel Surcharge</v>
      </c>
      <c r="C127" s="813"/>
      <c r="D127" s="813"/>
      <c r="E127" s="814" t="s">
        <v>51</v>
      </c>
      <c r="F127" s="814"/>
      <c r="G127" s="814"/>
      <c r="H127" s="653"/>
      <c r="I127" s="531"/>
      <c r="J127" s="531"/>
      <c r="K127" s="531"/>
      <c r="L127" s="531"/>
      <c r="M127" s="532"/>
      <c r="N127" s="160"/>
      <c r="O127" s="160"/>
      <c r="P127" s="160"/>
      <c r="Q127" s="160"/>
      <c r="R127" s="159"/>
    </row>
    <row r="128" spans="1:18" s="136" customFormat="1" x14ac:dyDescent="0.2">
      <c r="A128" s="182" t="s">
        <v>1116</v>
      </c>
      <c r="B128" s="813" t="str">
        <f>IF($A128="","",VLOOKUP($A128,Listes!$A$3:$C$193,2,FALSE))</f>
        <v>Port Dues Destination</v>
      </c>
      <c r="C128" s="813"/>
      <c r="D128" s="813"/>
      <c r="E128" s="814" t="s">
        <v>51</v>
      </c>
      <c r="F128" s="814"/>
      <c r="G128" s="814"/>
      <c r="H128" s="688"/>
      <c r="I128" s="531"/>
      <c r="J128" s="531"/>
      <c r="K128" s="531"/>
      <c r="L128" s="531"/>
      <c r="M128" s="532"/>
      <c r="N128" s="160"/>
      <c r="O128" s="160"/>
      <c r="P128" s="160"/>
      <c r="Q128" s="160"/>
      <c r="R128" s="159"/>
    </row>
    <row r="129" spans="1:21" s="136" customFormat="1" ht="31.5" x14ac:dyDescent="0.2">
      <c r="A129" s="182" t="s">
        <v>1046</v>
      </c>
      <c r="B129" s="813" t="str">
        <f>IF($A129="","",VLOOKUP($A129,Listes!$A$3:$C$193,2,FALSE))</f>
        <v>Pre-Carriage Emergency Intermodal Surcharge</v>
      </c>
      <c r="C129" s="813"/>
      <c r="D129" s="813"/>
      <c r="E129" s="814" t="s">
        <v>51</v>
      </c>
      <c r="F129" s="814"/>
      <c r="G129" s="814"/>
      <c r="H129" s="653"/>
      <c r="I129" s="531"/>
      <c r="J129" s="531"/>
      <c r="K129" s="531"/>
      <c r="L129" s="531"/>
      <c r="M129" s="532"/>
      <c r="N129" s="160"/>
      <c r="O129" s="160"/>
      <c r="P129" s="160"/>
      <c r="Q129" s="160"/>
      <c r="R129" s="159"/>
    </row>
    <row r="130" spans="1:21" s="136" customFormat="1" ht="15.75" customHeight="1" x14ac:dyDescent="0.2">
      <c r="A130" s="182" t="s">
        <v>500</v>
      </c>
      <c r="B130" s="813" t="str">
        <f>IF($A130="","",VLOOKUP($A130,Listes!$A$3:$C$193,2,FALSE))</f>
        <v>Inland Hazardous Charge Precarriage</v>
      </c>
      <c r="C130" s="813"/>
      <c r="D130" s="813"/>
      <c r="E130" s="814" t="s">
        <v>51</v>
      </c>
      <c r="F130" s="814"/>
      <c r="G130" s="814"/>
      <c r="H130" s="653"/>
      <c r="I130" s="531"/>
      <c r="J130" s="531"/>
      <c r="K130" s="531"/>
      <c r="L130" s="531"/>
      <c r="M130" s="532"/>
      <c r="N130" s="160"/>
      <c r="O130" s="160"/>
      <c r="P130" s="160"/>
      <c r="Q130" s="160"/>
      <c r="R130" s="159"/>
    </row>
    <row r="131" spans="1:21" s="136" customFormat="1" ht="15.75" customHeight="1" x14ac:dyDescent="0.2">
      <c r="A131" s="182" t="s">
        <v>826</v>
      </c>
      <c r="B131" s="813" t="str">
        <f>IF($A131="","",VLOOKUP($A131,Listes!$A$3:$C$193,2,FALSE))</f>
        <v>Port Service Charge / Port Additional Surcharge Destination</v>
      </c>
      <c r="C131" s="813"/>
      <c r="D131" s="813"/>
      <c r="E131" s="814" t="s">
        <v>53</v>
      </c>
      <c r="F131" s="814"/>
      <c r="G131" s="814"/>
      <c r="H131" s="653"/>
      <c r="I131" s="531"/>
      <c r="J131" s="531"/>
      <c r="K131" s="531"/>
      <c r="L131" s="531"/>
      <c r="M131" s="532"/>
      <c r="N131" s="160"/>
      <c r="O131" s="160"/>
      <c r="P131" s="160"/>
      <c r="Q131" s="160"/>
      <c r="R131" s="159"/>
    </row>
    <row r="132" spans="1:21" s="136" customFormat="1" ht="15.75" customHeight="1" x14ac:dyDescent="0.2">
      <c r="A132" s="182" t="s">
        <v>278</v>
      </c>
      <c r="B132" s="813" t="str">
        <f>IF($A132="","",VLOOKUP($A132,Listes!$A$3:$C$193,2,FALSE))</f>
        <v>Destination Terminal Security Charge</v>
      </c>
      <c r="C132" s="813"/>
      <c r="D132" s="813"/>
      <c r="E132" s="814" t="s">
        <v>51</v>
      </c>
      <c r="F132" s="814"/>
      <c r="G132" s="814"/>
      <c r="H132" s="653"/>
      <c r="I132" s="531"/>
      <c r="J132" s="531"/>
      <c r="K132" s="531"/>
      <c r="L132" s="531"/>
      <c r="M132" s="532"/>
      <c r="N132" s="160"/>
      <c r="O132" s="160"/>
      <c r="P132" s="160"/>
      <c r="Q132" s="160"/>
      <c r="R132" s="159"/>
    </row>
    <row r="133" spans="1:21" s="136" customFormat="1" ht="15.75" customHeight="1" x14ac:dyDescent="0.2">
      <c r="A133" s="182" t="s">
        <v>277</v>
      </c>
      <c r="B133" s="813" t="str">
        <f>IF($A133="","",VLOOKUP($A133,Listes!$A$3:$C$193,2,FALSE))</f>
        <v>Origin Terminal Security Charge</v>
      </c>
      <c r="C133" s="813"/>
      <c r="D133" s="813"/>
      <c r="E133" s="814" t="s">
        <v>51</v>
      </c>
      <c r="F133" s="814"/>
      <c r="G133" s="814"/>
      <c r="H133" s="653"/>
      <c r="I133" s="531"/>
      <c r="J133" s="531"/>
      <c r="K133" s="531"/>
      <c r="L133" s="531"/>
      <c r="M133" s="532"/>
      <c r="N133" s="160"/>
      <c r="O133" s="160"/>
      <c r="P133" s="160"/>
      <c r="Q133" s="160"/>
      <c r="R133" s="159"/>
    </row>
    <row r="134" spans="1:21" s="136" customFormat="1" ht="15.75" customHeight="1" x14ac:dyDescent="0.2">
      <c r="A134" s="182" t="s">
        <v>489</v>
      </c>
      <c r="B134" s="813" t="str">
        <f>IF($A134="","",VLOOKUP($A134,Listes!$A$3:$C$193,2,FALSE))</f>
        <v>Shipper Owned Container Surcharge</v>
      </c>
      <c r="C134" s="813"/>
      <c r="D134" s="813"/>
      <c r="E134" s="814" t="s">
        <v>51</v>
      </c>
      <c r="F134" s="814"/>
      <c r="G134" s="814"/>
      <c r="H134" s="653"/>
      <c r="I134" s="531"/>
      <c r="J134" s="531"/>
      <c r="K134" s="531"/>
      <c r="L134" s="531"/>
      <c r="M134" s="532"/>
      <c r="N134" s="160"/>
      <c r="O134" s="160"/>
      <c r="P134" s="160"/>
      <c r="Q134" s="160"/>
      <c r="R134" s="159"/>
    </row>
    <row r="135" spans="1:21" s="136" customFormat="1" ht="31.5" x14ac:dyDescent="0.2">
      <c r="A135" s="182" t="s">
        <v>368</v>
      </c>
      <c r="B135" s="813" t="str">
        <f>IF($A135="","",VLOOKUP($A135,Listes!$A$3:$C$193,2,FALSE))</f>
        <v>Tri-Axle / Super Chassis Precarriage Surcharge</v>
      </c>
      <c r="C135" s="813"/>
      <c r="D135" s="813"/>
      <c r="E135" s="814" t="s">
        <v>51</v>
      </c>
      <c r="F135" s="814"/>
      <c r="G135" s="814"/>
      <c r="H135" s="653"/>
      <c r="I135" s="531"/>
      <c r="J135" s="531"/>
      <c r="K135" s="531"/>
      <c r="L135" s="531"/>
      <c r="M135" s="532"/>
      <c r="N135" s="160"/>
      <c r="O135" s="160"/>
      <c r="P135" s="160"/>
      <c r="Q135" s="160"/>
      <c r="R135" s="159"/>
    </row>
    <row r="136" spans="1:21" s="136" customFormat="1" ht="15.75" customHeight="1" x14ac:dyDescent="0.2">
      <c r="A136" s="182" t="s">
        <v>742</v>
      </c>
      <c r="B136" s="813" t="str">
        <f>IF($A136="","",VLOOKUP($A136,Listes!$A$3:$C$193,2,FALSE))</f>
        <v>Wharfage (Destination)</v>
      </c>
      <c r="C136" s="813"/>
      <c r="D136" s="813"/>
      <c r="E136" s="814" t="s">
        <v>51</v>
      </c>
      <c r="F136" s="814"/>
      <c r="G136" s="814"/>
      <c r="H136" s="653"/>
      <c r="I136" s="531"/>
      <c r="J136" s="531"/>
      <c r="K136" s="531"/>
      <c r="L136" s="531"/>
      <c r="M136" s="532"/>
      <c r="N136" s="160"/>
      <c r="O136" s="160"/>
      <c r="P136" s="160"/>
      <c r="Q136" s="160"/>
      <c r="R136" s="159"/>
    </row>
    <row r="137" spans="1:21" s="136" customFormat="1" ht="15.75" customHeight="1" thickBot="1" x14ac:dyDescent="0.25">
      <c r="A137" s="185" t="s">
        <v>833</v>
      </c>
      <c r="B137" s="812" t="str">
        <f>IF($A137="","",VLOOKUP($A137,Listes!$A$3:$C$193,2,FALSE))</f>
        <v>Wharfage (Origin)</v>
      </c>
      <c r="C137" s="812"/>
      <c r="D137" s="812"/>
      <c r="E137" s="815" t="s">
        <v>51</v>
      </c>
      <c r="F137" s="815"/>
      <c r="G137" s="815"/>
      <c r="H137" s="655"/>
      <c r="I137" s="533"/>
      <c r="J137" s="533"/>
      <c r="K137" s="533"/>
      <c r="L137" s="533"/>
      <c r="M137" s="534"/>
      <c r="N137" s="160"/>
      <c r="O137" s="160"/>
      <c r="P137" s="160"/>
      <c r="Q137" s="160"/>
      <c r="R137" s="159"/>
    </row>
    <row r="138" spans="1:21" s="73" customFormat="1" ht="16.5" thickBot="1" x14ac:dyDescent="0.25">
      <c r="A138" s="850" t="s">
        <v>216</v>
      </c>
      <c r="B138" s="851"/>
      <c r="C138" s="851"/>
      <c r="D138" s="851"/>
      <c r="E138" s="852"/>
      <c r="F138" s="852"/>
      <c r="G138" s="852"/>
      <c r="H138" s="852"/>
      <c r="I138" s="853"/>
      <c r="J138" s="169"/>
      <c r="K138" s="118"/>
      <c r="L138" s="134"/>
      <c r="M138" s="134"/>
      <c r="N138" s="134"/>
      <c r="O138" s="134"/>
      <c r="P138" s="134"/>
      <c r="Q138" s="118"/>
    </row>
    <row r="139" spans="1:21" s="73" customFormat="1" ht="16.5" thickBot="1" x14ac:dyDescent="0.25">
      <c r="A139" s="849" t="s">
        <v>597</v>
      </c>
      <c r="B139" s="833"/>
      <c r="C139" s="833"/>
      <c r="D139" s="833"/>
      <c r="E139" s="833"/>
      <c r="F139" s="833"/>
      <c r="G139" s="833"/>
      <c r="H139" s="833"/>
      <c r="I139" s="834"/>
      <c r="J139" s="169"/>
      <c r="K139" s="134"/>
      <c r="L139" s="134"/>
      <c r="M139" s="134"/>
      <c r="N139" s="134"/>
      <c r="O139" s="118"/>
    </row>
    <row r="140" spans="1:21" s="73" customFormat="1" ht="16.5" thickBot="1" x14ac:dyDescent="0.25">
      <c r="A140" s="187"/>
      <c r="B140" s="187"/>
      <c r="C140" s="188"/>
      <c r="D140" s="189"/>
      <c r="E140" s="170"/>
      <c r="F140" s="170"/>
      <c r="G140" s="170"/>
      <c r="H140" s="170"/>
      <c r="I140" s="170"/>
      <c r="J140" s="189"/>
      <c r="K140" s="169"/>
      <c r="L140" s="118"/>
      <c r="M140" s="134"/>
      <c r="N140" s="134"/>
      <c r="O140" s="134"/>
      <c r="P140" s="134"/>
      <c r="Q140" s="134"/>
      <c r="R140" s="118"/>
    </row>
    <row r="141" spans="1:21" s="73" customFormat="1" ht="15.6" customHeight="1" x14ac:dyDescent="0.2">
      <c r="A141" s="830" t="s">
        <v>523</v>
      </c>
      <c r="B141" s="831"/>
      <c r="C141" s="831"/>
      <c r="D141" s="831"/>
      <c r="E141" s="842" t="s">
        <v>288</v>
      </c>
      <c r="F141" s="842">
        <v>20</v>
      </c>
      <c r="G141" s="842">
        <v>40</v>
      </c>
      <c r="H141" s="842" t="s">
        <v>19</v>
      </c>
      <c r="I141" s="842" t="s">
        <v>20</v>
      </c>
      <c r="J141" s="848" t="s">
        <v>297</v>
      </c>
      <c r="K141" s="848" t="s">
        <v>33</v>
      </c>
      <c r="L141" s="846" t="s">
        <v>217</v>
      </c>
      <c r="M141" s="189"/>
      <c r="N141" s="134"/>
      <c r="O141" s="134"/>
      <c r="P141" s="134"/>
      <c r="Q141" s="134"/>
      <c r="R141" s="134"/>
      <c r="S141" s="134"/>
      <c r="T141" s="134"/>
      <c r="U141" s="134"/>
    </row>
    <row r="142" spans="1:21" s="73" customFormat="1" x14ac:dyDescent="0.2">
      <c r="A142" s="537" t="s">
        <v>218</v>
      </c>
      <c r="B142" s="538" t="s">
        <v>11</v>
      </c>
      <c r="C142" s="538" t="s">
        <v>12</v>
      </c>
      <c r="D142" s="538" t="s">
        <v>219</v>
      </c>
      <c r="E142" s="843"/>
      <c r="F142" s="843"/>
      <c r="G142" s="843"/>
      <c r="H142" s="843"/>
      <c r="I142" s="843"/>
      <c r="J142" s="843"/>
      <c r="K142" s="843"/>
      <c r="L142" s="847"/>
      <c r="M142" s="189"/>
      <c r="N142" s="134"/>
      <c r="O142" s="134"/>
      <c r="P142" s="134"/>
      <c r="Q142" s="134"/>
      <c r="R142" s="134"/>
      <c r="S142" s="134"/>
      <c r="T142" s="134"/>
      <c r="U142" s="134"/>
    </row>
    <row r="143" spans="1:21" s="136" customFormat="1" x14ac:dyDescent="0.2">
      <c r="A143" s="539"/>
      <c r="B143" s="540"/>
      <c r="C143" s="540"/>
      <c r="D143" s="540"/>
      <c r="E143" s="540"/>
      <c r="F143" s="255"/>
      <c r="G143" s="255"/>
      <c r="H143" s="255"/>
      <c r="I143" s="255"/>
      <c r="J143" s="540"/>
      <c r="K143" s="21"/>
      <c r="L143" s="541"/>
      <c r="M143" s="190"/>
      <c r="N143" s="160"/>
      <c r="O143" s="160"/>
      <c r="P143" s="160"/>
      <c r="Q143" s="160"/>
      <c r="R143" s="160"/>
      <c r="S143" s="160"/>
      <c r="T143" s="160"/>
      <c r="U143" s="160"/>
    </row>
    <row r="144" spans="1:21" s="136" customFormat="1" x14ac:dyDescent="0.2">
      <c r="A144" s="542"/>
      <c r="B144" s="540"/>
      <c r="C144" s="540"/>
      <c r="D144" s="540"/>
      <c r="E144" s="540"/>
      <c r="F144" s="255"/>
      <c r="G144" s="255"/>
      <c r="H144" s="255"/>
      <c r="I144" s="255"/>
      <c r="J144" s="24"/>
      <c r="K144" s="21"/>
      <c r="L144" s="25"/>
      <c r="M144" s="191"/>
      <c r="N144" s="160"/>
      <c r="O144" s="160"/>
      <c r="P144" s="160"/>
      <c r="Q144" s="160"/>
      <c r="R144" s="160"/>
      <c r="S144" s="160"/>
      <c r="T144" s="160"/>
      <c r="U144" s="160"/>
    </row>
    <row r="145" spans="1:23" s="136" customFormat="1" x14ac:dyDescent="0.2">
      <c r="A145" s="542"/>
      <c r="B145" s="540"/>
      <c r="C145" s="540"/>
      <c r="D145" s="540"/>
      <c r="E145" s="540"/>
      <c r="F145" s="255"/>
      <c r="G145" s="255"/>
      <c r="H145" s="255"/>
      <c r="I145" s="255"/>
      <c r="J145" s="24"/>
      <c r="K145" s="21"/>
      <c r="L145" s="25"/>
      <c r="M145" s="191"/>
      <c r="N145" s="160"/>
      <c r="O145" s="160"/>
      <c r="P145" s="160"/>
      <c r="Q145" s="160"/>
      <c r="R145" s="160"/>
      <c r="S145" s="160"/>
      <c r="T145" s="160"/>
      <c r="U145" s="160"/>
    </row>
    <row r="146" spans="1:23" s="136" customFormat="1" ht="16.5" thickBot="1" x14ac:dyDescent="0.25">
      <c r="A146" s="543"/>
      <c r="B146" s="544"/>
      <c r="C146" s="544"/>
      <c r="D146" s="544"/>
      <c r="E146" s="544"/>
      <c r="F146" s="256"/>
      <c r="G146" s="256"/>
      <c r="H146" s="256"/>
      <c r="I146" s="256"/>
      <c r="J146" s="28"/>
      <c r="K146" s="29"/>
      <c r="L146" s="30"/>
      <c r="M146" s="191"/>
      <c r="N146" s="160"/>
      <c r="O146" s="160"/>
      <c r="P146" s="160"/>
      <c r="Q146" s="160"/>
      <c r="R146" s="160"/>
      <c r="S146" s="160"/>
      <c r="T146" s="160"/>
      <c r="U146" s="160"/>
    </row>
    <row r="147" spans="1:23" s="136" customFormat="1" x14ac:dyDescent="0.2">
      <c r="A147" s="173"/>
      <c r="B147" s="545"/>
      <c r="C147" s="545"/>
      <c r="D147" s="545"/>
      <c r="E147" s="545"/>
      <c r="F147" s="545"/>
      <c r="G147" s="545"/>
      <c r="H147" s="545"/>
      <c r="I147" s="545"/>
      <c r="J147" s="33"/>
      <c r="K147" s="33"/>
      <c r="L147" s="34"/>
      <c r="M147" s="191"/>
      <c r="N147" s="160"/>
      <c r="O147" s="160"/>
      <c r="P147" s="160"/>
      <c r="Q147" s="160"/>
      <c r="R147" s="160"/>
      <c r="S147" s="160"/>
      <c r="T147" s="160"/>
      <c r="U147" s="160"/>
    </row>
    <row r="148" spans="1:23" s="73" customFormat="1" ht="15.6" customHeight="1" x14ac:dyDescent="0.2">
      <c r="A148" s="841" t="s">
        <v>596</v>
      </c>
      <c r="B148" s="840"/>
      <c r="C148" s="840"/>
      <c r="D148" s="840"/>
      <c r="E148" s="840" t="s">
        <v>288</v>
      </c>
      <c r="F148" s="840">
        <v>20</v>
      </c>
      <c r="G148" s="840">
        <v>40</v>
      </c>
      <c r="H148" s="840" t="s">
        <v>19</v>
      </c>
      <c r="I148" s="840" t="s">
        <v>20</v>
      </c>
      <c r="J148" s="845" t="s">
        <v>297</v>
      </c>
      <c r="K148" s="845" t="s">
        <v>33</v>
      </c>
      <c r="L148" s="844" t="s">
        <v>217</v>
      </c>
      <c r="M148" s="844" t="s">
        <v>23</v>
      </c>
      <c r="N148" s="169"/>
      <c r="O148" s="118"/>
      <c r="P148" s="134"/>
      <c r="Q148" s="134"/>
      <c r="R148" s="134"/>
      <c r="S148" s="134"/>
      <c r="T148" s="134"/>
      <c r="U148" s="134"/>
      <c r="V148" s="134"/>
      <c r="W148" s="134"/>
    </row>
    <row r="149" spans="1:23" s="73" customFormat="1" x14ac:dyDescent="0.2">
      <c r="A149" s="546" t="s">
        <v>218</v>
      </c>
      <c r="B149" s="546" t="s">
        <v>11</v>
      </c>
      <c r="C149" s="546" t="s">
        <v>12</v>
      </c>
      <c r="D149" s="546" t="s">
        <v>219</v>
      </c>
      <c r="E149" s="840"/>
      <c r="F149" s="840"/>
      <c r="G149" s="840"/>
      <c r="H149" s="840"/>
      <c r="I149" s="840"/>
      <c r="J149" s="840"/>
      <c r="K149" s="840"/>
      <c r="L149" s="844"/>
      <c r="M149" s="844"/>
      <c r="N149" s="169"/>
      <c r="O149" s="118"/>
      <c r="P149" s="134"/>
      <c r="Q149" s="134"/>
      <c r="R149" s="134"/>
      <c r="S149" s="134"/>
      <c r="T149" s="134"/>
      <c r="U149" s="134"/>
      <c r="V149" s="134"/>
      <c r="W149" s="134"/>
    </row>
    <row r="150" spans="1:23" s="136" customFormat="1" x14ac:dyDescent="0.2">
      <c r="A150" s="372"/>
      <c r="B150" s="547"/>
      <c r="C150" s="547"/>
      <c r="D150" s="547"/>
      <c r="E150" s="547"/>
      <c r="F150" s="368"/>
      <c r="G150" s="368"/>
      <c r="H150" s="368"/>
      <c r="I150" s="368"/>
      <c r="J150" s="369"/>
      <c r="K150" s="370"/>
      <c r="L150" s="548"/>
      <c r="M150" s="548"/>
      <c r="N150" s="192"/>
      <c r="O150" s="159"/>
      <c r="P150" s="160"/>
      <c r="Q150" s="160"/>
      <c r="R150" s="160"/>
      <c r="S150" s="160"/>
      <c r="T150" s="160"/>
      <c r="U150" s="160"/>
      <c r="V150" s="160"/>
      <c r="W150" s="160"/>
    </row>
    <row r="151" spans="1:23" s="136" customFormat="1" x14ac:dyDescent="0.2">
      <c r="A151" s="372"/>
      <c r="B151" s="547"/>
      <c r="C151" s="547"/>
      <c r="D151" s="547"/>
      <c r="E151" s="547"/>
      <c r="F151" s="368"/>
      <c r="G151" s="368"/>
      <c r="H151" s="368"/>
      <c r="I151" s="368"/>
      <c r="J151" s="369"/>
      <c r="K151" s="370"/>
      <c r="L151" s="548"/>
      <c r="M151" s="548"/>
      <c r="N151" s="192"/>
      <c r="O151" s="159"/>
      <c r="P151" s="160"/>
      <c r="Q151" s="160"/>
      <c r="R151" s="160"/>
      <c r="S151" s="160"/>
      <c r="T151" s="160"/>
      <c r="U151" s="160"/>
      <c r="V151" s="160"/>
      <c r="W151" s="160"/>
    </row>
    <row r="152" spans="1:23" s="136" customFormat="1" x14ac:dyDescent="0.2">
      <c r="A152" s="372"/>
      <c r="B152" s="547"/>
      <c r="C152" s="547"/>
      <c r="D152" s="547"/>
      <c r="E152" s="547"/>
      <c r="F152" s="368"/>
      <c r="G152" s="368"/>
      <c r="H152" s="368"/>
      <c r="I152" s="368"/>
      <c r="J152" s="369"/>
      <c r="K152" s="370"/>
      <c r="L152" s="548"/>
      <c r="M152" s="548"/>
      <c r="N152" s="192"/>
      <c r="O152" s="159"/>
      <c r="P152" s="160"/>
      <c r="Q152" s="160"/>
      <c r="R152" s="160"/>
      <c r="S152" s="160"/>
      <c r="T152" s="160"/>
      <c r="U152" s="160"/>
      <c r="V152" s="160"/>
      <c r="W152" s="160"/>
    </row>
    <row r="153" spans="1:23" s="136" customFormat="1" x14ac:dyDescent="0.2">
      <c r="A153" s="372"/>
      <c r="B153" s="547"/>
      <c r="C153" s="547"/>
      <c r="D153" s="547"/>
      <c r="E153" s="547"/>
      <c r="F153" s="368"/>
      <c r="G153" s="368"/>
      <c r="H153" s="368"/>
      <c r="I153" s="368"/>
      <c r="J153" s="369"/>
      <c r="K153" s="370"/>
      <c r="L153" s="373"/>
      <c r="M153" s="373"/>
      <c r="N153" s="191"/>
      <c r="O153" s="159"/>
      <c r="P153" s="160"/>
      <c r="Q153" s="160"/>
      <c r="R153" s="160"/>
      <c r="S153" s="160"/>
      <c r="T153" s="160"/>
      <c r="U153" s="160"/>
      <c r="V153" s="160"/>
      <c r="W153" s="160"/>
    </row>
    <row r="154" spans="1:23" s="73" customFormat="1" x14ac:dyDescent="0.2">
      <c r="A154" s="456"/>
      <c r="B154" s="549"/>
      <c r="C154" s="549"/>
      <c r="D154" s="549"/>
      <c r="E154" s="549"/>
      <c r="F154" s="194"/>
      <c r="G154" s="522"/>
      <c r="H154" s="195"/>
      <c r="I154" s="195"/>
      <c r="J154" s="176"/>
      <c r="K154" s="118"/>
      <c r="L154" s="134"/>
      <c r="M154" s="134"/>
      <c r="N154" s="134"/>
      <c r="O154" s="134"/>
      <c r="P154" s="134"/>
      <c r="Q154" s="134"/>
    </row>
    <row r="155" spans="1:23" s="456" customFormat="1" ht="16.5" thickBot="1" x14ac:dyDescent="0.25">
      <c r="A155" s="196"/>
      <c r="B155" s="197"/>
      <c r="C155" s="198"/>
      <c r="D155" s="198"/>
      <c r="E155" s="169"/>
      <c r="F155" s="176"/>
      <c r="G155" s="176"/>
      <c r="H155" s="176"/>
      <c r="I155" s="176"/>
      <c r="J155" s="170"/>
      <c r="K155" s="118"/>
      <c r="L155" s="134"/>
      <c r="M155" s="134"/>
      <c r="N155" s="134"/>
      <c r="O155" s="134"/>
      <c r="P155" s="134"/>
      <c r="Q155" s="134"/>
      <c r="R155" s="134"/>
      <c r="S155" s="118"/>
      <c r="T155" s="118"/>
      <c r="U155" s="118"/>
    </row>
    <row r="156" spans="1:23" s="456" customFormat="1" ht="16.5" thickBot="1" x14ac:dyDescent="0.25">
      <c r="A156" s="822" t="s">
        <v>220</v>
      </c>
      <c r="B156" s="823"/>
      <c r="C156" s="823"/>
      <c r="D156" s="823"/>
      <c r="E156" s="824"/>
      <c r="F156" s="176"/>
      <c r="G156" s="176"/>
      <c r="H156" s="176"/>
      <c r="I156" s="176"/>
      <c r="J156" s="170"/>
      <c r="K156" s="118"/>
      <c r="L156" s="134"/>
      <c r="M156" s="134"/>
      <c r="N156" s="134"/>
      <c r="O156" s="134"/>
      <c r="P156" s="134"/>
      <c r="Q156" s="134"/>
      <c r="R156" s="134"/>
      <c r="S156" s="118"/>
      <c r="T156" s="118"/>
      <c r="U156" s="118"/>
    </row>
    <row r="157" spans="1:23" s="73" customFormat="1" ht="16.5" thickBot="1" x14ac:dyDescent="0.25">
      <c r="A157" s="550"/>
      <c r="B157" s="456"/>
      <c r="C157" s="456"/>
      <c r="D157" s="456"/>
      <c r="E157" s="456"/>
      <c r="F157" s="194"/>
      <c r="G157" s="456"/>
      <c r="H157" s="200"/>
      <c r="I157" s="194"/>
      <c r="J157" s="194"/>
      <c r="K157" s="118"/>
      <c r="L157" s="134"/>
      <c r="M157" s="134"/>
      <c r="N157" s="134"/>
      <c r="O157" s="134"/>
      <c r="P157" s="134"/>
      <c r="Q157" s="134"/>
      <c r="R157" s="134"/>
      <c r="S157" s="118"/>
      <c r="T157" s="118"/>
      <c r="U157" s="118"/>
    </row>
    <row r="158" spans="1:23" s="73" customFormat="1" ht="16.5" thickBot="1" x14ac:dyDescent="0.25">
      <c r="A158" s="825" t="s">
        <v>221</v>
      </c>
      <c r="B158" s="838"/>
      <c r="C158" s="838"/>
      <c r="D158" s="838"/>
      <c r="E158" s="838"/>
      <c r="F158" s="839"/>
      <c r="G158" s="456"/>
      <c r="H158" s="200"/>
      <c r="I158" s="194"/>
      <c r="J158" s="194"/>
      <c r="K158" s="118"/>
      <c r="L158" s="134"/>
      <c r="M158" s="134"/>
      <c r="N158" s="134"/>
      <c r="O158" s="134"/>
      <c r="P158" s="134"/>
      <c r="Q158" s="134"/>
      <c r="R158" s="134"/>
      <c r="S158" s="118"/>
      <c r="T158" s="118"/>
      <c r="U158" s="118"/>
    </row>
    <row r="159" spans="1:23" s="73" customFormat="1" ht="16.5" customHeight="1" x14ac:dyDescent="0.2">
      <c r="A159" s="835" t="s">
        <v>222</v>
      </c>
      <c r="B159" s="836"/>
      <c r="C159" s="836"/>
      <c r="D159" s="836"/>
      <c r="E159" s="836"/>
      <c r="F159" s="837"/>
      <c r="G159" s="456"/>
      <c r="H159" s="201"/>
      <c r="I159" s="170"/>
      <c r="J159" s="170"/>
      <c r="K159" s="118"/>
      <c r="L159" s="134"/>
      <c r="M159" s="134"/>
      <c r="N159" s="134"/>
      <c r="O159" s="134"/>
      <c r="P159" s="134"/>
      <c r="Q159" s="134"/>
      <c r="R159" s="134"/>
      <c r="S159" s="118"/>
      <c r="T159" s="118"/>
      <c r="U159" s="118"/>
    </row>
    <row r="160" spans="1:23" ht="16.5" thickBot="1" x14ac:dyDescent="0.25">
      <c r="A160" s="832" t="s">
        <v>223</v>
      </c>
      <c r="B160" s="833"/>
      <c r="C160" s="833"/>
      <c r="D160" s="833"/>
      <c r="E160" s="833"/>
      <c r="F160" s="834"/>
      <c r="G160" s="176"/>
      <c r="H160" s="176"/>
      <c r="I160" s="176"/>
      <c r="J160" s="169"/>
      <c r="K160" s="169"/>
      <c r="L160" s="169"/>
      <c r="M160" s="169"/>
      <c r="N160" s="169"/>
      <c r="O160" s="169"/>
      <c r="P160" s="169"/>
      <c r="Q160" s="169"/>
      <c r="R160" s="169"/>
      <c r="S160" s="169"/>
      <c r="T160" s="169"/>
      <c r="U160" s="169"/>
    </row>
    <row r="161" spans="1:21" x14ac:dyDescent="0.2">
      <c r="A161" s="551" t="s">
        <v>224</v>
      </c>
      <c r="B161" s="450" t="s">
        <v>225</v>
      </c>
      <c r="C161" s="552" t="s">
        <v>226</v>
      </c>
      <c r="D161" s="553" t="s">
        <v>227</v>
      </c>
      <c r="E161" s="176"/>
      <c r="F161" s="176"/>
      <c r="G161" s="176"/>
      <c r="H161" s="169"/>
      <c r="I161" s="169"/>
      <c r="J161" s="169"/>
      <c r="K161" s="169"/>
      <c r="L161" s="169"/>
      <c r="M161" s="169"/>
      <c r="N161" s="169"/>
      <c r="O161" s="169"/>
      <c r="P161" s="169"/>
      <c r="Q161" s="169"/>
      <c r="R161" s="169"/>
    </row>
    <row r="162" spans="1:21" s="192" customFormat="1" x14ac:dyDescent="0.2">
      <c r="A162" s="203"/>
      <c r="B162" s="204"/>
      <c r="C162" s="205"/>
      <c r="D162" s="206"/>
      <c r="E162" s="191"/>
      <c r="F162" s="191"/>
      <c r="G162" s="191"/>
    </row>
    <row r="163" spans="1:21" s="192" customFormat="1" x14ac:dyDescent="0.2">
      <c r="A163" s="203"/>
      <c r="B163" s="204"/>
      <c r="C163" s="205"/>
      <c r="D163" s="206"/>
      <c r="E163" s="191"/>
      <c r="F163" s="191"/>
      <c r="G163" s="191"/>
    </row>
    <row r="164" spans="1:21" s="192" customFormat="1" ht="16.5" thickBot="1" x14ac:dyDescent="0.25">
      <c r="A164" s="207"/>
      <c r="B164" s="208"/>
      <c r="C164" s="209"/>
      <c r="D164" s="210"/>
      <c r="E164" s="191"/>
      <c r="F164" s="191"/>
      <c r="G164" s="191"/>
    </row>
    <row r="165" spans="1:21" ht="16.5" thickBot="1" x14ac:dyDescent="0.25"/>
    <row r="166" spans="1:21" s="73" customFormat="1" ht="16.5" thickBot="1" x14ac:dyDescent="0.25">
      <c r="A166" s="822" t="s">
        <v>228</v>
      </c>
      <c r="B166" s="823"/>
      <c r="C166" s="823"/>
      <c r="D166" s="823"/>
      <c r="E166" s="823"/>
      <c r="F166" s="823"/>
      <c r="G166" s="823"/>
      <c r="H166" s="823"/>
      <c r="I166" s="824"/>
      <c r="J166" s="169"/>
      <c r="K166" s="118"/>
      <c r="L166" s="134"/>
      <c r="M166" s="134"/>
      <c r="N166" s="134"/>
      <c r="O166" s="134"/>
      <c r="P166" s="134"/>
      <c r="Q166" s="134"/>
      <c r="R166" s="134"/>
      <c r="S166" s="118"/>
      <c r="T166" s="118"/>
      <c r="U166" s="118"/>
    </row>
    <row r="167" spans="1:21" s="73" customFormat="1" ht="16.5" thickBot="1" x14ac:dyDescent="0.25">
      <c r="A167" s="554" t="s">
        <v>229</v>
      </c>
      <c r="B167" s="213"/>
      <c r="C167" s="214"/>
      <c r="D167" s="214"/>
      <c r="E167" s="214"/>
      <c r="F167" s="214"/>
      <c r="G167" s="215"/>
      <c r="H167" s="216"/>
      <c r="I167" s="217"/>
      <c r="J167" s="170"/>
      <c r="K167" s="118"/>
      <c r="L167" s="134"/>
      <c r="M167" s="134"/>
      <c r="N167" s="134"/>
      <c r="O167" s="134"/>
      <c r="P167" s="134"/>
      <c r="Q167" s="134"/>
      <c r="R167" s="134"/>
      <c r="S167" s="118"/>
      <c r="T167" s="118"/>
      <c r="U167" s="118"/>
    </row>
    <row r="168" spans="1:21" s="308" customFormat="1" ht="177.75" customHeight="1" x14ac:dyDescent="0.2">
      <c r="A168" s="228" t="s">
        <v>504</v>
      </c>
      <c r="B168" s="827" t="s">
        <v>1063</v>
      </c>
      <c r="C168" s="828"/>
      <c r="D168" s="828"/>
      <c r="E168" s="828"/>
      <c r="F168" s="828"/>
      <c r="G168" s="828"/>
      <c r="H168" s="828"/>
      <c r="I168" s="829"/>
      <c r="J168" s="171"/>
      <c r="K168" s="172"/>
      <c r="L168" s="173"/>
      <c r="M168" s="173"/>
      <c r="N168" s="173"/>
      <c r="O168" s="173"/>
      <c r="P168" s="173"/>
      <c r="Q168" s="173"/>
      <c r="R168" s="173"/>
      <c r="S168" s="172"/>
    </row>
    <row r="169" spans="1:21" s="218" customFormat="1" x14ac:dyDescent="0.2">
      <c r="A169" s="281"/>
      <c r="B169" s="816"/>
      <c r="C169" s="817"/>
      <c r="D169" s="817"/>
      <c r="E169" s="817"/>
      <c r="F169" s="817"/>
      <c r="G169" s="817"/>
      <c r="H169" s="817"/>
      <c r="I169" s="818"/>
    </row>
    <row r="170" spans="1:21" s="218" customFormat="1" x14ac:dyDescent="0.2">
      <c r="A170" s="281"/>
      <c r="B170" s="816"/>
      <c r="C170" s="817"/>
      <c r="D170" s="817"/>
      <c r="E170" s="817"/>
      <c r="F170" s="817"/>
      <c r="G170" s="817"/>
      <c r="H170" s="817"/>
      <c r="I170" s="818"/>
    </row>
    <row r="171" spans="1:21" s="218" customFormat="1" x14ac:dyDescent="0.2">
      <c r="A171" s="281"/>
      <c r="B171" s="816"/>
      <c r="C171" s="817"/>
      <c r="D171" s="817"/>
      <c r="E171" s="817"/>
      <c r="F171" s="817"/>
      <c r="G171" s="817"/>
      <c r="H171" s="817"/>
      <c r="I171" s="818"/>
    </row>
    <row r="172" spans="1:21" s="218" customFormat="1" x14ac:dyDescent="0.2">
      <c r="A172" s="281"/>
      <c r="B172" s="816"/>
      <c r="C172" s="817"/>
      <c r="D172" s="817"/>
      <c r="E172" s="817"/>
      <c r="F172" s="817"/>
      <c r="G172" s="817"/>
      <c r="H172" s="817"/>
      <c r="I172" s="818"/>
    </row>
    <row r="173" spans="1:21" s="218" customFormat="1" x14ac:dyDescent="0.2">
      <c r="A173" s="281"/>
      <c r="B173" s="816"/>
      <c r="C173" s="817"/>
      <c r="D173" s="817"/>
      <c r="E173" s="817"/>
      <c r="F173" s="817"/>
      <c r="G173" s="817"/>
      <c r="H173" s="817"/>
      <c r="I173" s="818"/>
    </row>
    <row r="174" spans="1:21" s="218" customFormat="1" x14ac:dyDescent="0.2">
      <c r="A174" s="281"/>
      <c r="B174" s="816"/>
      <c r="C174" s="817"/>
      <c r="D174" s="817"/>
      <c r="E174" s="817"/>
      <c r="F174" s="817"/>
      <c r="G174" s="817"/>
      <c r="H174" s="817"/>
      <c r="I174" s="818"/>
    </row>
    <row r="175" spans="1:21" s="218" customFormat="1" x14ac:dyDescent="0.2">
      <c r="A175" s="281"/>
      <c r="B175" s="816"/>
      <c r="C175" s="817"/>
      <c r="D175" s="817"/>
      <c r="E175" s="817"/>
      <c r="F175" s="817"/>
      <c r="G175" s="817"/>
      <c r="H175" s="817"/>
      <c r="I175" s="818"/>
    </row>
    <row r="176" spans="1:21" s="218" customFormat="1" x14ac:dyDescent="0.2">
      <c r="A176" s="281"/>
      <c r="B176" s="816"/>
      <c r="C176" s="817"/>
      <c r="D176" s="817"/>
      <c r="E176" s="817"/>
      <c r="F176" s="817"/>
      <c r="G176" s="817"/>
      <c r="H176" s="817"/>
      <c r="I176" s="818"/>
    </row>
    <row r="177" spans="1:14" s="218" customFormat="1" x14ac:dyDescent="0.2">
      <c r="A177" s="281"/>
      <c r="B177" s="816"/>
      <c r="C177" s="817"/>
      <c r="D177" s="817"/>
      <c r="E177" s="817"/>
      <c r="F177" s="817"/>
      <c r="G177" s="817"/>
      <c r="H177" s="817"/>
      <c r="I177" s="818"/>
    </row>
    <row r="178" spans="1:14" s="218" customFormat="1" x14ac:dyDescent="0.2">
      <c r="A178" s="281"/>
      <c r="B178" s="816"/>
      <c r="C178" s="817"/>
      <c r="D178" s="817"/>
      <c r="E178" s="817"/>
      <c r="F178" s="817"/>
      <c r="G178" s="817"/>
      <c r="H178" s="817"/>
      <c r="I178" s="818"/>
    </row>
    <row r="179" spans="1:14" s="218" customFormat="1" x14ac:dyDescent="0.2">
      <c r="A179" s="281"/>
      <c r="B179" s="816"/>
      <c r="C179" s="817"/>
      <c r="D179" s="817"/>
      <c r="E179" s="817"/>
      <c r="F179" s="817"/>
      <c r="G179" s="817"/>
      <c r="H179" s="817"/>
      <c r="I179" s="818"/>
    </row>
    <row r="180" spans="1:14" s="218" customFormat="1" x14ac:dyDescent="0.2">
      <c r="A180" s="281"/>
      <c r="B180" s="816"/>
      <c r="C180" s="817"/>
      <c r="D180" s="817"/>
      <c r="E180" s="817"/>
      <c r="F180" s="817"/>
      <c r="G180" s="817"/>
      <c r="H180" s="817"/>
      <c r="I180" s="818"/>
    </row>
    <row r="181" spans="1:14" s="218" customFormat="1" x14ac:dyDescent="0.2">
      <c r="A181" s="281"/>
      <c r="B181" s="816"/>
      <c r="C181" s="817"/>
      <c r="D181" s="817"/>
      <c r="E181" s="817"/>
      <c r="F181" s="817"/>
      <c r="G181" s="817"/>
      <c r="H181" s="817"/>
      <c r="I181" s="818"/>
    </row>
    <row r="182" spans="1:14" s="218" customFormat="1" ht="16.5" thickBot="1" x14ac:dyDescent="0.25">
      <c r="A182" s="282"/>
      <c r="B182" s="819"/>
      <c r="C182" s="820"/>
      <c r="D182" s="820"/>
      <c r="E182" s="820"/>
      <c r="F182" s="820"/>
      <c r="G182" s="820"/>
      <c r="H182" s="820"/>
      <c r="I182" s="821"/>
    </row>
    <row r="184" spans="1:14" s="218" customFormat="1" x14ac:dyDescent="0.2">
      <c r="F184" s="337"/>
      <c r="G184" s="337"/>
      <c r="H184" s="337"/>
      <c r="I184" s="337"/>
    </row>
    <row r="185" spans="1:14" s="218" customFormat="1" ht="16.5" thickBot="1" x14ac:dyDescent="0.25">
      <c r="F185" s="337"/>
      <c r="G185" s="337"/>
      <c r="H185" s="337"/>
      <c r="I185" s="337"/>
    </row>
    <row r="186" spans="1:14" s="218" customFormat="1" ht="16.5" thickBot="1" x14ac:dyDescent="0.25">
      <c r="A186" s="825" t="s">
        <v>3</v>
      </c>
      <c r="B186" s="826"/>
      <c r="F186" s="337"/>
      <c r="G186" s="337"/>
      <c r="H186" s="337"/>
      <c r="I186" s="337"/>
    </row>
    <row r="187" spans="1:14" s="347" customFormat="1" ht="16.5" thickBot="1" x14ac:dyDescent="0.25">
      <c r="A187" s="338"/>
      <c r="B187" s="338"/>
      <c r="F187" s="348"/>
      <c r="G187" s="348"/>
      <c r="H187" s="348"/>
      <c r="I187" s="348"/>
    </row>
    <row r="188" spans="1:14" s="218" customFormat="1" ht="15.75" customHeight="1" thickBot="1" x14ac:dyDescent="0.25">
      <c r="A188" s="800" t="s">
        <v>2</v>
      </c>
      <c r="B188" s="801"/>
      <c r="C188" s="801"/>
      <c r="D188" s="801"/>
      <c r="E188" s="801"/>
      <c r="F188" s="801"/>
      <c r="G188" s="802"/>
      <c r="H188" s="337"/>
      <c r="I188" s="337"/>
    </row>
    <row r="189" spans="1:14" s="347" customFormat="1" ht="15.75" customHeight="1" thickBot="1" x14ac:dyDescent="0.25">
      <c r="A189" s="338"/>
      <c r="B189" s="338"/>
      <c r="C189" s="338"/>
      <c r="D189" s="338"/>
      <c r="E189" s="338"/>
      <c r="F189" s="338"/>
      <c r="G189" s="338"/>
      <c r="H189" s="348"/>
      <c r="I189" s="348"/>
    </row>
    <row r="190" spans="1:14" s="218" customFormat="1" ht="15.75" customHeight="1" thickBot="1" x14ac:dyDescent="0.25">
      <c r="A190" s="807" t="s">
        <v>1</v>
      </c>
      <c r="B190" s="808"/>
      <c r="C190" s="808"/>
      <c r="D190" s="808"/>
      <c r="E190" s="809"/>
      <c r="F190" s="339"/>
      <c r="G190" s="339"/>
      <c r="H190" s="337"/>
      <c r="I190" s="337"/>
    </row>
    <row r="191" spans="1:14" s="218" customFormat="1" x14ac:dyDescent="0.2">
      <c r="A191" s="803" t="s">
        <v>627</v>
      </c>
      <c r="B191" s="805" t="s">
        <v>888</v>
      </c>
      <c r="C191" s="786" t="s">
        <v>0</v>
      </c>
      <c r="D191" s="786" t="s">
        <v>609</v>
      </c>
      <c r="E191" s="805" t="s">
        <v>889</v>
      </c>
      <c r="F191" s="786" t="s">
        <v>436</v>
      </c>
      <c r="G191" s="786" t="s">
        <v>421</v>
      </c>
      <c r="H191" s="786" t="s">
        <v>628</v>
      </c>
      <c r="I191" s="786" t="s">
        <v>11</v>
      </c>
      <c r="J191" s="786" t="s">
        <v>12</v>
      </c>
      <c r="K191" s="786" t="s">
        <v>13</v>
      </c>
      <c r="L191" s="786" t="s">
        <v>449</v>
      </c>
      <c r="M191" s="786" t="s">
        <v>610</v>
      </c>
      <c r="N191" s="788"/>
    </row>
    <row r="192" spans="1:14" s="218" customFormat="1" ht="32.25" customHeight="1" thickBot="1" x14ac:dyDescent="0.25">
      <c r="A192" s="804"/>
      <c r="B192" s="806"/>
      <c r="C192" s="787"/>
      <c r="D192" s="787"/>
      <c r="E192" s="806"/>
      <c r="F192" s="787"/>
      <c r="G192" s="787"/>
      <c r="H192" s="787"/>
      <c r="I192" s="787"/>
      <c r="J192" s="787"/>
      <c r="K192" s="787"/>
      <c r="L192" s="787"/>
      <c r="M192" s="787"/>
      <c r="N192" s="789"/>
    </row>
    <row r="193" spans="1:31" s="218" customFormat="1" x14ac:dyDescent="0.2">
      <c r="A193" s="344"/>
      <c r="B193" s="340"/>
      <c r="C193" s="394"/>
      <c r="D193" s="340"/>
      <c r="E193" s="340"/>
      <c r="F193" s="340"/>
      <c r="G193" s="340"/>
      <c r="H193" s="340"/>
      <c r="I193" s="340"/>
      <c r="J193" s="340"/>
      <c r="K193" s="340"/>
      <c r="L193" s="661"/>
      <c r="M193" s="810"/>
      <c r="N193" s="811"/>
    </row>
    <row r="194" spans="1:31" s="218" customFormat="1" x14ac:dyDescent="0.2">
      <c r="A194" s="345"/>
      <c r="B194" s="341"/>
      <c r="C194" s="392"/>
      <c r="D194" s="341"/>
      <c r="E194" s="341"/>
      <c r="F194" s="341"/>
      <c r="G194" s="341"/>
      <c r="H194" s="341"/>
      <c r="I194" s="341"/>
      <c r="J194" s="341"/>
      <c r="K194" s="341"/>
      <c r="L194" s="662"/>
      <c r="M194" s="790"/>
      <c r="N194" s="791"/>
    </row>
    <row r="195" spans="1:31" s="218" customFormat="1" x14ac:dyDescent="0.2">
      <c r="A195" s="345"/>
      <c r="B195" s="341"/>
      <c r="C195" s="392"/>
      <c r="D195" s="341"/>
      <c r="E195" s="341"/>
      <c r="F195" s="341"/>
      <c r="G195" s="341"/>
      <c r="H195" s="341"/>
      <c r="I195" s="341"/>
      <c r="J195" s="341"/>
      <c r="K195" s="341"/>
      <c r="L195" s="662"/>
      <c r="M195" s="790"/>
      <c r="N195" s="791"/>
    </row>
    <row r="196" spans="1:31" s="218" customFormat="1" x14ac:dyDescent="0.2">
      <c r="A196" s="345"/>
      <c r="B196" s="341"/>
      <c r="C196" s="392"/>
      <c r="D196" s="341"/>
      <c r="E196" s="341"/>
      <c r="F196" s="341"/>
      <c r="G196" s="341"/>
      <c r="H196" s="341"/>
      <c r="I196" s="341"/>
      <c r="J196" s="341"/>
      <c r="K196" s="341"/>
      <c r="L196" s="662"/>
      <c r="M196" s="790"/>
      <c r="N196" s="791"/>
    </row>
    <row r="197" spans="1:31" s="218" customFormat="1" x14ac:dyDescent="0.2">
      <c r="A197" s="345"/>
      <c r="B197" s="341"/>
      <c r="C197" s="392"/>
      <c r="D197" s="341"/>
      <c r="E197" s="341"/>
      <c r="F197" s="341"/>
      <c r="G197" s="341"/>
      <c r="H197" s="341"/>
      <c r="I197" s="341"/>
      <c r="J197" s="341"/>
      <c r="K197" s="341"/>
      <c r="L197" s="662"/>
      <c r="M197" s="790"/>
      <c r="N197" s="791"/>
    </row>
    <row r="198" spans="1:31" s="218" customFormat="1" ht="16.5" thickBot="1" x14ac:dyDescent="0.25">
      <c r="A198" s="346"/>
      <c r="B198" s="342"/>
      <c r="C198" s="336"/>
      <c r="D198" s="342"/>
      <c r="E198" s="342"/>
      <c r="F198" s="342"/>
      <c r="G198" s="342"/>
      <c r="H198" s="342"/>
      <c r="I198" s="342"/>
      <c r="J198" s="342"/>
      <c r="K198" s="342"/>
      <c r="L198" s="663"/>
      <c r="M198" s="794"/>
      <c r="N198" s="795"/>
    </row>
    <row r="199" spans="1:31" s="218" customFormat="1" x14ac:dyDescent="0.2">
      <c r="F199" s="337"/>
      <c r="G199" s="337"/>
      <c r="H199" s="337"/>
      <c r="I199" s="337"/>
    </row>
    <row r="200" spans="1:31" s="218" customFormat="1" ht="16.5" thickBot="1" x14ac:dyDescent="0.25">
      <c r="F200" s="337"/>
      <c r="G200" s="337"/>
      <c r="H200" s="337"/>
      <c r="I200" s="337"/>
    </row>
    <row r="201" spans="1:31" s="218" customFormat="1" ht="16.5" thickBot="1" x14ac:dyDescent="0.25">
      <c r="A201" s="800" t="s">
        <v>790</v>
      </c>
      <c r="B201" s="801"/>
      <c r="C201" s="801"/>
      <c r="D201" s="801"/>
      <c r="E201" s="801"/>
      <c r="F201" s="801"/>
      <c r="G201" s="802"/>
      <c r="H201" s="337"/>
      <c r="I201" s="337"/>
    </row>
    <row r="202" spans="1:31" s="192" customFormat="1" ht="16.5" thickBot="1" x14ac:dyDescent="0.25">
      <c r="F202" s="191"/>
      <c r="G202" s="191"/>
      <c r="H202" s="191"/>
      <c r="I202" s="191"/>
    </row>
    <row r="203" spans="1:31" s="218" customFormat="1" ht="16.5" thickBot="1" x14ac:dyDescent="0.25">
      <c r="A203" s="807" t="s">
        <v>1</v>
      </c>
      <c r="B203" s="808"/>
      <c r="C203" s="808"/>
      <c r="D203" s="808"/>
      <c r="E203" s="808"/>
      <c r="F203" s="808"/>
      <c r="G203" s="808"/>
      <c r="H203" s="809"/>
      <c r="I203" s="337"/>
    </row>
    <row r="204" spans="1:31" s="1169" customFormat="1" ht="36.75" customHeight="1" thickBot="1" x14ac:dyDescent="0.25">
      <c r="A204" s="803" t="s">
        <v>627</v>
      </c>
      <c r="B204" s="805" t="s">
        <v>888</v>
      </c>
      <c r="C204" s="786" t="s">
        <v>0</v>
      </c>
      <c r="D204" s="786" t="s">
        <v>609</v>
      </c>
      <c r="E204" s="805" t="s">
        <v>889</v>
      </c>
      <c r="F204" s="971" t="s">
        <v>42</v>
      </c>
      <c r="G204" s="1165" t="s">
        <v>789</v>
      </c>
      <c r="H204" s="1163"/>
      <c r="I204" s="1163"/>
      <c r="J204" s="1163"/>
      <c r="K204" s="1163"/>
      <c r="L204" s="1163"/>
      <c r="M204" s="1163"/>
      <c r="N204" s="1163"/>
      <c r="O204" s="1163"/>
      <c r="P204" s="1163"/>
      <c r="Q204" s="1163"/>
      <c r="R204" s="1163"/>
      <c r="S204" s="1163"/>
      <c r="T204" s="1163"/>
      <c r="U204" s="1163"/>
      <c r="V204" s="1164"/>
      <c r="W204" s="930" t="s">
        <v>436</v>
      </c>
      <c r="X204" s="786" t="s">
        <v>421</v>
      </c>
      <c r="Y204" s="786" t="s">
        <v>628</v>
      </c>
      <c r="Z204" s="786" t="s">
        <v>11</v>
      </c>
      <c r="AA204" s="786" t="s">
        <v>12</v>
      </c>
      <c r="AB204" s="786" t="s">
        <v>13</v>
      </c>
      <c r="AC204" s="786" t="s">
        <v>449</v>
      </c>
      <c r="AD204" s="971" t="s">
        <v>610</v>
      </c>
      <c r="AE204" s="1161"/>
    </row>
    <row r="205" spans="1:31" s="1169" customFormat="1" ht="45.75" customHeight="1" thickBot="1" x14ac:dyDescent="0.25">
      <c r="A205" s="804"/>
      <c r="B205" s="806"/>
      <c r="C205" s="787"/>
      <c r="D205" s="787"/>
      <c r="E205" s="806"/>
      <c r="F205" s="787"/>
      <c r="G205" s="1186" t="s">
        <v>432</v>
      </c>
      <c r="H205" s="1186" t="s">
        <v>1380</v>
      </c>
      <c r="I205" s="1186" t="s">
        <v>1381</v>
      </c>
      <c r="J205" s="1186" t="s">
        <v>1382</v>
      </c>
      <c r="K205" s="1186" t="s">
        <v>433</v>
      </c>
      <c r="L205" s="1186" t="s">
        <v>1383</v>
      </c>
      <c r="M205" s="1182" t="s">
        <v>1386</v>
      </c>
      <c r="N205" s="1182" t="s">
        <v>1387</v>
      </c>
      <c r="O205" s="1186" t="s">
        <v>434</v>
      </c>
      <c r="P205" s="1186" t="s">
        <v>1384</v>
      </c>
      <c r="Q205" s="1182" t="s">
        <v>1388</v>
      </c>
      <c r="R205" s="1182" t="s">
        <v>1389</v>
      </c>
      <c r="S205" s="1186" t="s">
        <v>435</v>
      </c>
      <c r="T205" s="1186" t="s">
        <v>1385</v>
      </c>
      <c r="U205" s="1182" t="s">
        <v>1390</v>
      </c>
      <c r="V205" s="1182" t="s">
        <v>1391</v>
      </c>
      <c r="W205" s="959"/>
      <c r="X205" s="787"/>
      <c r="Y205" s="787"/>
      <c r="Z205" s="787"/>
      <c r="AA205" s="787"/>
      <c r="AB205" s="787"/>
      <c r="AC205" s="787"/>
      <c r="AD205" s="972"/>
      <c r="AE205" s="1162"/>
    </row>
    <row r="206" spans="1:31" s="1169" customFormat="1" x14ac:dyDescent="0.2">
      <c r="A206" s="1176"/>
      <c r="B206" s="1173"/>
      <c r="C206" s="1171"/>
      <c r="D206" s="1173"/>
      <c r="E206" s="1173"/>
      <c r="F206" s="1179"/>
      <c r="G206" s="1173"/>
      <c r="H206" s="1173"/>
      <c r="I206" s="1173"/>
      <c r="J206" s="1173"/>
      <c r="K206" s="1173"/>
      <c r="L206" s="1173"/>
      <c r="M206" s="1173"/>
      <c r="N206" s="1173"/>
      <c r="O206" s="1173"/>
      <c r="P206" s="1173"/>
      <c r="Q206" s="1173"/>
      <c r="R206" s="1173"/>
      <c r="S206" s="1173"/>
      <c r="T206" s="1173"/>
      <c r="U206" s="1173"/>
      <c r="V206" s="1173"/>
      <c r="W206" s="1173"/>
      <c r="X206" s="1173"/>
      <c r="Y206" s="1173"/>
      <c r="Z206" s="1173"/>
      <c r="AA206" s="1173"/>
      <c r="AB206" s="1173"/>
      <c r="AC206" s="1183"/>
      <c r="AD206" s="796"/>
      <c r="AE206" s="797"/>
    </row>
    <row r="207" spans="1:31" s="1169" customFormat="1" x14ac:dyDescent="0.2">
      <c r="A207" s="1177"/>
      <c r="B207" s="1174"/>
      <c r="C207" s="1170"/>
      <c r="D207" s="1174"/>
      <c r="E207" s="1174"/>
      <c r="F207" s="1180"/>
      <c r="G207" s="1174"/>
      <c r="H207" s="1174"/>
      <c r="I207" s="1174"/>
      <c r="J207" s="1174"/>
      <c r="K207" s="1174"/>
      <c r="L207" s="1174"/>
      <c r="M207" s="1174"/>
      <c r="N207" s="1174"/>
      <c r="O207" s="1174"/>
      <c r="P207" s="1174"/>
      <c r="Q207" s="1174"/>
      <c r="R207" s="1174"/>
      <c r="S207" s="1174"/>
      <c r="T207" s="1174"/>
      <c r="U207" s="1174"/>
      <c r="V207" s="1174"/>
      <c r="W207" s="1174"/>
      <c r="X207" s="1174"/>
      <c r="Y207" s="1174"/>
      <c r="Z207" s="1174"/>
      <c r="AA207" s="1174"/>
      <c r="AB207" s="1174"/>
      <c r="AC207" s="1184"/>
      <c r="AD207" s="798"/>
      <c r="AE207" s="799"/>
    </row>
    <row r="208" spans="1:31" s="1169" customFormat="1" x14ac:dyDescent="0.2">
      <c r="A208" s="1177"/>
      <c r="B208" s="1174"/>
      <c r="C208" s="1170"/>
      <c r="D208" s="1174"/>
      <c r="E208" s="1174"/>
      <c r="F208" s="1180"/>
      <c r="G208" s="1174"/>
      <c r="H208" s="1174"/>
      <c r="I208" s="1174"/>
      <c r="J208" s="1174"/>
      <c r="K208" s="1174"/>
      <c r="L208" s="1174"/>
      <c r="M208" s="1174"/>
      <c r="N208" s="1174"/>
      <c r="O208" s="1174"/>
      <c r="P208" s="1174"/>
      <c r="Q208" s="1174"/>
      <c r="R208" s="1174"/>
      <c r="S208" s="1174"/>
      <c r="T208" s="1174"/>
      <c r="U208" s="1174"/>
      <c r="V208" s="1174"/>
      <c r="W208" s="1174"/>
      <c r="X208" s="1174"/>
      <c r="Y208" s="1174"/>
      <c r="Z208" s="1174"/>
      <c r="AA208" s="1174"/>
      <c r="AB208" s="1174"/>
      <c r="AC208" s="1184"/>
      <c r="AD208" s="798"/>
      <c r="AE208" s="799"/>
    </row>
    <row r="209" spans="1:31" s="1169" customFormat="1" x14ac:dyDescent="0.2">
      <c r="A209" s="1177"/>
      <c r="B209" s="1174"/>
      <c r="C209" s="1170"/>
      <c r="D209" s="1174"/>
      <c r="E209" s="1174"/>
      <c r="F209" s="1180"/>
      <c r="G209" s="1174"/>
      <c r="H209" s="1174"/>
      <c r="I209" s="1174"/>
      <c r="J209" s="1174"/>
      <c r="K209" s="1174"/>
      <c r="L209" s="1174"/>
      <c r="M209" s="1174"/>
      <c r="N209" s="1174"/>
      <c r="O209" s="1174"/>
      <c r="P209" s="1174"/>
      <c r="Q209" s="1174"/>
      <c r="R209" s="1174"/>
      <c r="S209" s="1174"/>
      <c r="T209" s="1174"/>
      <c r="U209" s="1174"/>
      <c r="V209" s="1174"/>
      <c r="W209" s="1174"/>
      <c r="X209" s="1174"/>
      <c r="Y209" s="1174"/>
      <c r="Z209" s="1174"/>
      <c r="AA209" s="1174"/>
      <c r="AB209" s="1174"/>
      <c r="AC209" s="1184"/>
      <c r="AD209" s="798"/>
      <c r="AE209" s="799"/>
    </row>
    <row r="210" spans="1:31" s="1169" customFormat="1" x14ac:dyDescent="0.2">
      <c r="A210" s="1177"/>
      <c r="B210" s="1174"/>
      <c r="C210" s="1170"/>
      <c r="D210" s="1174"/>
      <c r="E210" s="1174"/>
      <c r="F210" s="1180"/>
      <c r="G210" s="1174"/>
      <c r="H210" s="1174"/>
      <c r="I210" s="1174"/>
      <c r="J210" s="1174"/>
      <c r="K210" s="1174"/>
      <c r="L210" s="1174"/>
      <c r="M210" s="1174"/>
      <c r="N210" s="1174"/>
      <c r="O210" s="1174"/>
      <c r="P210" s="1174"/>
      <c r="Q210" s="1174"/>
      <c r="R210" s="1174"/>
      <c r="S210" s="1174"/>
      <c r="T210" s="1174"/>
      <c r="U210" s="1174"/>
      <c r="V210" s="1174"/>
      <c r="W210" s="1174"/>
      <c r="X210" s="1174"/>
      <c r="Y210" s="1174"/>
      <c r="Z210" s="1174"/>
      <c r="AA210" s="1174"/>
      <c r="AB210" s="1174"/>
      <c r="AC210" s="1184"/>
      <c r="AD210" s="798"/>
      <c r="AE210" s="799"/>
    </row>
    <row r="211" spans="1:31" s="1169" customFormat="1" ht="16.5" thickBot="1" x14ac:dyDescent="0.25">
      <c r="A211" s="1178"/>
      <c r="B211" s="1175"/>
      <c r="C211" s="1172"/>
      <c r="D211" s="1175"/>
      <c r="E211" s="1175"/>
      <c r="F211" s="1181"/>
      <c r="G211" s="1175"/>
      <c r="H211" s="1175"/>
      <c r="I211" s="1175"/>
      <c r="J211" s="1175"/>
      <c r="K211" s="1175"/>
      <c r="L211" s="1175"/>
      <c r="M211" s="1175"/>
      <c r="N211" s="1175"/>
      <c r="O211" s="1175"/>
      <c r="P211" s="1175"/>
      <c r="Q211" s="1175"/>
      <c r="R211" s="1175"/>
      <c r="S211" s="1175"/>
      <c r="T211" s="1175"/>
      <c r="U211" s="1175"/>
      <c r="V211" s="1175"/>
      <c r="W211" s="1175"/>
      <c r="X211" s="1175"/>
      <c r="Y211" s="1175"/>
      <c r="Z211" s="1175"/>
      <c r="AA211" s="1175"/>
      <c r="AB211" s="1175"/>
      <c r="AC211" s="1185"/>
      <c r="AD211" s="792"/>
      <c r="AE211" s="793"/>
    </row>
    <row r="212" spans="1:31" s="218" customFormat="1" x14ac:dyDescent="0.2">
      <c r="F212" s="337"/>
      <c r="G212" s="337"/>
      <c r="H212" s="337"/>
      <c r="I212" s="337"/>
    </row>
    <row r="213" spans="1:31" s="218" customFormat="1" x14ac:dyDescent="0.2">
      <c r="F213" s="337"/>
      <c r="G213" s="337"/>
      <c r="H213" s="337"/>
      <c r="I213" s="337"/>
    </row>
    <row r="214" spans="1:31" s="218" customFormat="1" ht="16.5" thickBot="1" x14ac:dyDescent="0.25">
      <c r="F214" s="337"/>
      <c r="G214" s="337"/>
      <c r="H214" s="337"/>
      <c r="I214" s="337"/>
    </row>
    <row r="215" spans="1:31" ht="16.5" thickBot="1" x14ac:dyDescent="0.25">
      <c r="A215" s="555" t="s">
        <v>454</v>
      </c>
      <c r="B215" s="556" t="s">
        <v>455</v>
      </c>
      <c r="F215" s="69"/>
      <c r="G215" s="69"/>
      <c r="H215" s="69"/>
      <c r="I215" s="69"/>
    </row>
    <row r="216" spans="1:31" x14ac:dyDescent="0.2">
      <c r="A216" s="450" t="s">
        <v>456</v>
      </c>
      <c r="B216" s="557" t="s">
        <v>51</v>
      </c>
      <c r="F216" s="69"/>
      <c r="G216" s="69"/>
      <c r="H216" s="69"/>
      <c r="I216" s="69"/>
    </row>
    <row r="217" spans="1:31" x14ac:dyDescent="0.2">
      <c r="A217" s="558" t="s">
        <v>65</v>
      </c>
      <c r="B217" s="559" t="s">
        <v>51</v>
      </c>
      <c r="F217" s="69"/>
      <c r="G217" s="69"/>
      <c r="H217" s="69"/>
      <c r="I217" s="69"/>
    </row>
    <row r="218" spans="1:31" x14ac:dyDescent="0.2">
      <c r="A218" s="558" t="s">
        <v>257</v>
      </c>
      <c r="B218" s="559" t="s">
        <v>51</v>
      </c>
      <c r="F218" s="69"/>
      <c r="G218" s="69"/>
      <c r="H218" s="69"/>
      <c r="I218" s="69"/>
    </row>
    <row r="219" spans="1:31" x14ac:dyDescent="0.2">
      <c r="A219" s="558" t="s">
        <v>258</v>
      </c>
      <c r="B219" s="559" t="s">
        <v>51</v>
      </c>
      <c r="F219" s="69"/>
      <c r="G219" s="69"/>
      <c r="H219" s="69"/>
      <c r="I219" s="69"/>
    </row>
    <row r="220" spans="1:31" x14ac:dyDescent="0.2">
      <c r="A220" s="558" t="s">
        <v>259</v>
      </c>
      <c r="B220" s="559" t="s">
        <v>53</v>
      </c>
      <c r="F220" s="69"/>
      <c r="G220" s="69"/>
      <c r="H220" s="69"/>
      <c r="I220" s="69"/>
    </row>
    <row r="221" spans="1:31" x14ac:dyDescent="0.2">
      <c r="A221" s="558" t="s">
        <v>281</v>
      </c>
      <c r="B221" s="559" t="s">
        <v>53</v>
      </c>
      <c r="F221" s="69"/>
      <c r="G221" s="69"/>
      <c r="H221" s="69"/>
      <c r="I221" s="69"/>
    </row>
    <row r="222" spans="1:31" x14ac:dyDescent="0.2">
      <c r="A222" s="560" t="s">
        <v>279</v>
      </c>
      <c r="B222" s="559" t="s">
        <v>53</v>
      </c>
      <c r="F222" s="69"/>
      <c r="G222" s="69"/>
      <c r="H222" s="69"/>
      <c r="I222" s="69"/>
    </row>
    <row r="223" spans="1:31" x14ac:dyDescent="0.2">
      <c r="A223" s="560" t="s">
        <v>457</v>
      </c>
      <c r="B223" s="559" t="s">
        <v>53</v>
      </c>
      <c r="F223" s="69"/>
      <c r="G223" s="69"/>
      <c r="H223" s="69"/>
      <c r="I223" s="69"/>
    </row>
    <row r="224" spans="1:31" ht="16.5" thickBot="1" x14ac:dyDescent="0.25">
      <c r="A224" s="561" t="s">
        <v>460</v>
      </c>
      <c r="B224" s="562" t="s">
        <v>51</v>
      </c>
      <c r="F224" s="69"/>
      <c r="G224" s="69"/>
      <c r="H224" s="69"/>
      <c r="I224" s="69"/>
    </row>
  </sheetData>
  <sheetProtection formatCells="0" formatColumns="0" formatRows="0" insertColumns="0" insertRows="0" deleteColumns="0" deleteRows="0" sort="0" autoFilter="0"/>
  <autoFilter ref="A36:AB36" xr:uid="{00000000-0009-0000-0000-000007000000}"/>
  <sortState xmlns:xlrd2="http://schemas.microsoft.com/office/spreadsheetml/2017/richdata2" ref="A99:N137">
    <sortCondition ref="A95"/>
  </sortState>
  <dataConsolidate>
    <dataRefs count="2">
      <dataRef ref="B9" sheet="APPENDIX B-1  (FE - USWC)"/>
      <dataRef ref="A14:A18" sheet="APPENDIX B-1  (FE - USWC)"/>
    </dataRefs>
  </dataConsolidate>
  <mergeCells count="282">
    <mergeCell ref="AD207:AE207"/>
    <mergeCell ref="AD208:AE208"/>
    <mergeCell ref="AD209:AE209"/>
    <mergeCell ref="AD210:AE210"/>
    <mergeCell ref="AD211:AE211"/>
    <mergeCell ref="W204:W205"/>
    <mergeCell ref="X204:X205"/>
    <mergeCell ref="Y204:Y205"/>
    <mergeCell ref="Z204:Z205"/>
    <mergeCell ref="AA204:AA205"/>
    <mergeCell ref="AB204:AB205"/>
    <mergeCell ref="AC204:AC205"/>
    <mergeCell ref="AD204:AE205"/>
    <mergeCell ref="AD206:AE206"/>
    <mergeCell ref="B128:D128"/>
    <mergeCell ref="E128:G128"/>
    <mergeCell ref="B90:D90"/>
    <mergeCell ref="B114:D114"/>
    <mergeCell ref="E114:G114"/>
    <mergeCell ref="B129:D129"/>
    <mergeCell ref="E129:G129"/>
    <mergeCell ref="J15:K15"/>
    <mergeCell ref="B108:D108"/>
    <mergeCell ref="E108:G108"/>
    <mergeCell ref="I96:I98"/>
    <mergeCell ref="A96:G96"/>
    <mergeCell ref="B100:D100"/>
    <mergeCell ref="E106:G106"/>
    <mergeCell ref="K96:K98"/>
    <mergeCell ref="E127:G127"/>
    <mergeCell ref="A97:G97"/>
    <mergeCell ref="B107:D107"/>
    <mergeCell ref="E107:G107"/>
    <mergeCell ref="A36:A37"/>
    <mergeCell ref="D45:D46"/>
    <mergeCell ref="A45:A46"/>
    <mergeCell ref="B30:H30"/>
    <mergeCell ref="F45:F46"/>
    <mergeCell ref="A63:C63"/>
    <mergeCell ref="B89:D89"/>
    <mergeCell ref="B88:D88"/>
    <mergeCell ref="B74:D74"/>
    <mergeCell ref="H54:H55"/>
    <mergeCell ref="B72:D72"/>
    <mergeCell ref="B54:B55"/>
    <mergeCell ref="B86:D86"/>
    <mergeCell ref="A78:C78"/>
    <mergeCell ref="B71:D71"/>
    <mergeCell ref="B75:D75"/>
    <mergeCell ref="A79:C79"/>
    <mergeCell ref="B94:I94"/>
    <mergeCell ref="A8:B8"/>
    <mergeCell ref="B13:I13"/>
    <mergeCell ref="C8:F8"/>
    <mergeCell ref="D36:D37"/>
    <mergeCell ref="I45:I46"/>
    <mergeCell ref="A1:B1"/>
    <mergeCell ref="C1:F1"/>
    <mergeCell ref="A2:B2"/>
    <mergeCell ref="C2:F2"/>
    <mergeCell ref="A5:B5"/>
    <mergeCell ref="C5:F5"/>
    <mergeCell ref="A3:B3"/>
    <mergeCell ref="C3:F3"/>
    <mergeCell ref="A4:B4"/>
    <mergeCell ref="C4:F4"/>
    <mergeCell ref="A6:B6"/>
    <mergeCell ref="C6:F6"/>
    <mergeCell ref="A12:J12"/>
    <mergeCell ref="B14:I14"/>
    <mergeCell ref="J14:K14"/>
    <mergeCell ref="A7:B7"/>
    <mergeCell ref="C7:F7"/>
    <mergeCell ref="A92:I92"/>
    <mergeCell ref="B15:I15"/>
    <mergeCell ref="J16:K16"/>
    <mergeCell ref="AC54:AC55"/>
    <mergeCell ref="AA54:AA55"/>
    <mergeCell ref="AB54:AB55"/>
    <mergeCell ref="Z45:Z46"/>
    <mergeCell ref="J54:J55"/>
    <mergeCell ref="M54:M55"/>
    <mergeCell ref="Z54:Z55"/>
    <mergeCell ref="K54:K55"/>
    <mergeCell ref="L54:L55"/>
    <mergeCell ref="AA45:AA46"/>
    <mergeCell ref="AA36:AA37"/>
    <mergeCell ref="Z36:Z37"/>
    <mergeCell ref="Y36:Y37"/>
    <mergeCell ref="X45:X46"/>
    <mergeCell ref="Y45:Y46"/>
    <mergeCell ref="J45:J46"/>
    <mergeCell ref="K36:K37"/>
    <mergeCell ref="L36:L37"/>
    <mergeCell ref="J36:J37"/>
    <mergeCell ref="X36:X37"/>
    <mergeCell ref="M96:M98"/>
    <mergeCell ref="L96:L98"/>
    <mergeCell ref="B22:H22"/>
    <mergeCell ref="G54:G55"/>
    <mergeCell ref="B27:H27"/>
    <mergeCell ref="G45:G46"/>
    <mergeCell ref="E36:E37"/>
    <mergeCell ref="C36:C37"/>
    <mergeCell ref="B23:H23"/>
    <mergeCell ref="B24:H24"/>
    <mergeCell ref="D54:D55"/>
    <mergeCell ref="B73:D73"/>
    <mergeCell ref="I54:I55"/>
    <mergeCell ref="A53:D53"/>
    <mergeCell ref="F36:F37"/>
    <mergeCell ref="A54:A55"/>
    <mergeCell ref="E54:E55"/>
    <mergeCell ref="F54:F55"/>
    <mergeCell ref="A64:C64"/>
    <mergeCell ref="C54:C55"/>
    <mergeCell ref="B87:D87"/>
    <mergeCell ref="J96:J98"/>
    <mergeCell ref="H96:H98"/>
    <mergeCell ref="A93:I93"/>
    <mergeCell ref="L13:M13"/>
    <mergeCell ref="L14:M14"/>
    <mergeCell ref="L15:M15"/>
    <mergeCell ref="B25:H25"/>
    <mergeCell ref="L17:M17"/>
    <mergeCell ref="B45:B46"/>
    <mergeCell ref="J13:K13"/>
    <mergeCell ref="L16:M16"/>
    <mergeCell ref="K45:K46"/>
    <mergeCell ref="H45:H46"/>
    <mergeCell ref="J17:K17"/>
    <mergeCell ref="B17:I17"/>
    <mergeCell ref="B16:I16"/>
    <mergeCell ref="B20:H20"/>
    <mergeCell ref="B21:H21"/>
    <mergeCell ref="B26:H26"/>
    <mergeCell ref="B28:H28"/>
    <mergeCell ref="C45:C46"/>
    <mergeCell ref="E45:E46"/>
    <mergeCell ref="I36:I37"/>
    <mergeCell ref="G36:G37"/>
    <mergeCell ref="B36:B37"/>
    <mergeCell ref="H36:H37"/>
    <mergeCell ref="B29:H29"/>
    <mergeCell ref="K141:K142"/>
    <mergeCell ref="I141:I142"/>
    <mergeCell ref="E132:G132"/>
    <mergeCell ref="E122:G122"/>
    <mergeCell ref="E101:G101"/>
    <mergeCell ref="A98:G98"/>
    <mergeCell ref="B101:D101"/>
    <mergeCell ref="B118:D118"/>
    <mergeCell ref="B103:D103"/>
    <mergeCell ref="B117:D117"/>
    <mergeCell ref="E117:G117"/>
    <mergeCell ref="B127:D127"/>
    <mergeCell ref="B109:D109"/>
    <mergeCell ref="E109:G109"/>
    <mergeCell ref="B99:D99"/>
    <mergeCell ref="E103:G103"/>
    <mergeCell ref="E113:G113"/>
    <mergeCell ref="B115:D115"/>
    <mergeCell ref="E115:G115"/>
    <mergeCell ref="B130:D130"/>
    <mergeCell ref="E130:G130"/>
    <mergeCell ref="B124:D124"/>
    <mergeCell ref="E125:G125"/>
    <mergeCell ref="E99:G99"/>
    <mergeCell ref="B116:D116"/>
    <mergeCell ref="E126:G126"/>
    <mergeCell ref="E124:G124"/>
    <mergeCell ref="B126:D126"/>
    <mergeCell ref="B125:D125"/>
    <mergeCell ref="E118:G118"/>
    <mergeCell ref="E100:G100"/>
    <mergeCell ref="B104:D104"/>
    <mergeCell ref="E104:G104"/>
    <mergeCell ref="B106:D106"/>
    <mergeCell ref="B110:D110"/>
    <mergeCell ref="E110:G110"/>
    <mergeCell ref="B105:D105"/>
    <mergeCell ref="E105:G105"/>
    <mergeCell ref="B102:D102"/>
    <mergeCell ref="E102:G102"/>
    <mergeCell ref="B123:D123"/>
    <mergeCell ref="E123:G123"/>
    <mergeCell ref="B120:D120"/>
    <mergeCell ref="E120:G120"/>
    <mergeCell ref="B121:D121"/>
    <mergeCell ref="E121:G121"/>
    <mergeCell ref="E131:G131"/>
    <mergeCell ref="E112:G112"/>
    <mergeCell ref="E111:G111"/>
    <mergeCell ref="B111:D111"/>
    <mergeCell ref="B113:D113"/>
    <mergeCell ref="B112:D112"/>
    <mergeCell ref="A139:I139"/>
    <mergeCell ref="A138:I138"/>
    <mergeCell ref="B137:D137"/>
    <mergeCell ref="E137:G137"/>
    <mergeCell ref="B134:D134"/>
    <mergeCell ref="E134:G134"/>
    <mergeCell ref="B136:D136"/>
    <mergeCell ref="E136:G136"/>
    <mergeCell ref="E133:G133"/>
    <mergeCell ref="B132:D132"/>
    <mergeCell ref="B133:D133"/>
    <mergeCell ref="B131:D131"/>
    <mergeCell ref="B135:D135"/>
    <mergeCell ref="E135:G135"/>
    <mergeCell ref="E116:G116"/>
    <mergeCell ref="B122:D122"/>
    <mergeCell ref="B119:D119"/>
    <mergeCell ref="E119:G119"/>
    <mergeCell ref="L148:L149"/>
    <mergeCell ref="K148:K149"/>
    <mergeCell ref="F141:F142"/>
    <mergeCell ref="A186:B186"/>
    <mergeCell ref="A188:G188"/>
    <mergeCell ref="B180:I180"/>
    <mergeCell ref="B175:I175"/>
    <mergeCell ref="B174:I174"/>
    <mergeCell ref="B172:I172"/>
    <mergeCell ref="B168:I168"/>
    <mergeCell ref="B181:I181"/>
    <mergeCell ref="B182:I182"/>
    <mergeCell ref="E141:E142"/>
    <mergeCell ref="B179:I179"/>
    <mergeCell ref="B171:I171"/>
    <mergeCell ref="B177:I177"/>
    <mergeCell ref="B178:I178"/>
    <mergeCell ref="B176:I176"/>
    <mergeCell ref="B173:I173"/>
    <mergeCell ref="G148:G149"/>
    <mergeCell ref="I148:I149"/>
    <mergeCell ref="G141:G142"/>
    <mergeCell ref="H148:H149"/>
    <mergeCell ref="H141:H142"/>
    <mergeCell ref="L141:L142"/>
    <mergeCell ref="M198:N198"/>
    <mergeCell ref="A201:G201"/>
    <mergeCell ref="A204:A205"/>
    <mergeCell ref="B204:B205"/>
    <mergeCell ref="C204:C205"/>
    <mergeCell ref="D204:D205"/>
    <mergeCell ref="A203:H203"/>
    <mergeCell ref="F204:F205"/>
    <mergeCell ref="M148:M149"/>
    <mergeCell ref="J141:J142"/>
    <mergeCell ref="B169:I169"/>
    <mergeCell ref="B170:I170"/>
    <mergeCell ref="A156:E156"/>
    <mergeCell ref="F148:F149"/>
    <mergeCell ref="E148:E149"/>
    <mergeCell ref="A166:I166"/>
    <mergeCell ref="A158:F158"/>
    <mergeCell ref="A160:F160"/>
    <mergeCell ref="A159:F159"/>
    <mergeCell ref="A148:D148"/>
    <mergeCell ref="J148:J149"/>
    <mergeCell ref="A141:D141"/>
    <mergeCell ref="A191:A192"/>
    <mergeCell ref="B191:B192"/>
    <mergeCell ref="I191:I192"/>
    <mergeCell ref="A190:E190"/>
    <mergeCell ref="J191:J192"/>
    <mergeCell ref="G191:G192"/>
    <mergeCell ref="E204:E205"/>
    <mergeCell ref="H191:H192"/>
    <mergeCell ref="M193:N193"/>
    <mergeCell ref="M194:N194"/>
    <mergeCell ref="M195:N195"/>
    <mergeCell ref="M196:N196"/>
    <mergeCell ref="M197:N197"/>
    <mergeCell ref="M191:N192"/>
    <mergeCell ref="C191:C192"/>
    <mergeCell ref="D191:D192"/>
    <mergeCell ref="E191:E192"/>
    <mergeCell ref="F191:F192"/>
    <mergeCell ref="K191:K192"/>
    <mergeCell ref="L191:L192"/>
    <mergeCell ref="G204:V204"/>
  </mergeCells>
  <phoneticPr fontId="11" type="noConversion"/>
  <dataValidations count="33">
    <dataValidation type="list" allowBlank="1" showInputMessage="1" showErrorMessage="1" sqref="B216:B224" xr:uid="{00000000-0002-0000-0700-000000000000}">
      <formula1>Autom</formula1>
    </dataValidation>
    <dataValidation type="list" showInputMessage="1" showErrorMessage="1" sqref="C193:C198 C206:C211" xr:uid="{00000000-0002-0000-0700-000001000000}">
      <formula1>IF($B193="I",DDTARIFF,DDTARIFFUSE)</formula1>
    </dataValidation>
    <dataValidation type="list" allowBlank="1" showInputMessage="1" showErrorMessage="1" sqref="B193:B198 B206:B211" xr:uid="{00000000-0002-0000-0700-000002000000}">
      <formula1>EXPIMP</formula1>
    </dataValidation>
    <dataValidation type="list" allowBlank="1" showInputMessage="1" showErrorMessage="1" sqref="F193:F198 W206:W211" xr:uid="{00000000-0002-0000-0700-000003000000}">
      <formula1>EQTYPE</formula1>
    </dataValidation>
    <dataValidation type="list" allowBlank="1" showInputMessage="1" showErrorMessage="1" sqref="G193:G198 X206:X211" xr:uid="{00000000-0002-0000-0700-000004000000}">
      <formula1>OPREEFER</formula1>
    </dataValidation>
    <dataValidation type="list" allowBlank="1" showInputMessage="1" showErrorMessage="1" sqref="F206:F211" xr:uid="{2B9E6C4A-B10F-4325-A54D-61F15FB0700D}">
      <formula1>CURRENCY</formula1>
    </dataValidation>
    <dataValidation type="whole" allowBlank="1" showInputMessage="1" showErrorMessage="1" error="Only whole numbers can be entered into this field" sqref="D193:D198 D206:D211" xr:uid="{00000000-0002-0000-0700-000006000000}">
      <formula1>1</formula1>
      <formula2>99</formula2>
    </dataValidation>
    <dataValidation type="list" showInputMessage="1" showErrorMessage="1" sqref="E193:E198 E206:E211" xr:uid="{00000000-0002-0000-0700-000007000000}">
      <formula1>DAYS</formula1>
    </dataValidation>
    <dataValidation type="whole" allowBlank="1" showInputMessage="1" showErrorMessage="1" error="Only whole numbers may be entered into this field_x000a_" sqref="G206:G211 S206:S211 O206:O211 K206:K211" xr:uid="{ADA0A28C-A1BB-4A3F-A6F9-B872E82859CD}">
      <formula1>1</formula1>
      <formula2>99</formula2>
    </dataValidation>
    <dataValidation type="decimal" allowBlank="1" showInputMessage="1" showErrorMessage="1" error="Only numbers may be entered into this field" sqref="H206:J211 L206:N211 P206:R211 T206:V211" xr:uid="{1652A078-E0CF-4440-AE5C-083BC4D47E99}">
      <formula1>1</formula1>
      <formula2>1000000000</formula2>
    </dataValidation>
    <dataValidation type="list" showInputMessage="1" showErrorMessage="1" sqref="K143:K146 K150:K153 N72:N75 A47:A50 A56:A59 A38:A41 N87:N90" xr:uid="{00000000-0002-0000-0700-00000A000000}">
      <formula1>$A$14:$A$18</formula1>
    </dataValidation>
    <dataValidation type="list" allowBlank="1" showInputMessage="1" showErrorMessage="1" sqref="J143:J146 J150:J153" xr:uid="{00000000-0002-0000-0700-00000B000000}">
      <formula1>GRIPSS</formula1>
    </dataValidation>
    <dataValidation type="decimal" allowBlank="1" showInputMessage="1" showErrorMessage="1" sqref="F150:I153 F143:I146 I38:L41 I47:K50 J87:M90 I56:L59" xr:uid="{00000000-0002-0000-0700-00000C000000}">
      <formula1>0</formula1>
      <formula2>999999999999999</formula2>
    </dataValidation>
    <dataValidation type="list" allowBlank="1" showInputMessage="1" showErrorMessage="1" sqref="E143:E146 E150:E153" xr:uid="{00000000-0002-0000-0700-00000D000000}">
      <formula1>GRIPSS_EQ</formula1>
    </dataValidation>
    <dataValidation type="list" showInputMessage="1" showErrorMessage="1" sqref="A193:A198 A206:A211" xr:uid="{00000000-0002-0000-0700-00000E000000}">
      <formula1>BULLET</formula1>
    </dataValidation>
    <dataValidation type="date" allowBlank="1" showInputMessage="1" showErrorMessage="1" sqref="X38:Y41 J99:K137" xr:uid="{00000000-0002-0000-0700-00000F000000}">
      <formula1>10101</formula1>
      <formula2>311299</formula2>
    </dataValidation>
    <dataValidation type="list" showDropDown="1" showErrorMessage="1" sqref="O71:P71 O86:P86" xr:uid="{00000000-0002-0000-0700-000010000000}">
      <formula1>Charges</formula1>
    </dataValidation>
    <dataValidation type="list" allowBlank="1" showInputMessage="1" showErrorMessage="1" sqref="O72:P75 O87:P90" xr:uid="{00000000-0002-0000-0700-000011000000}">
      <formula1 xml:space="preserve"> droppull</formula1>
    </dataValidation>
    <dataValidation type="list" allowBlank="1" showInputMessage="1" showErrorMessage="1" sqref="L47:L50 G72:G75 P56:P59 N47:N50 G87:G90" xr:uid="{00000000-0002-0000-0700-000012000000}">
      <formula1>YesNo</formula1>
    </dataValidation>
    <dataValidation type="list" allowBlank="1" showInputMessage="1" showErrorMessage="1" sqref="M56:M59" xr:uid="{00000000-0002-0000-0700-000013000000}">
      <formula1>Equip</formula1>
    </dataValidation>
    <dataValidation type="list" allowBlank="1" showInputMessage="1" showErrorMessage="1" sqref="F72:F75 F87:F90" xr:uid="{00000000-0002-0000-0700-000014000000}">
      <formula1>ArbMode</formula1>
    </dataValidation>
    <dataValidation type="list" allowBlank="1" showInputMessage="1" showErrorMessage="1" sqref="G47:G50 G56:G59 G38:G41" xr:uid="{00000000-0002-0000-0700-000015000000}">
      <formula1>SDD</formula1>
    </dataValidation>
    <dataValidation type="list" allowBlank="1" showInputMessage="1" showErrorMessage="1" sqref="M37:W37 Q55:Y55" xr:uid="{00000000-0002-0000-0700-000016000000}">
      <formula1>Container</formula1>
    </dataValidation>
    <dataValidation type="list" allowBlank="1" showInputMessage="1" showErrorMessage="1" sqref="O46:W46" xr:uid="{00000000-0002-0000-0700-000017000000}">
      <formula1>Reefer</formula1>
    </dataValidation>
    <dataValidation type="list" allowBlank="1" showInputMessage="1" showErrorMessage="1" sqref="F38:F41 F56:F59 F47:F50" xr:uid="{00000000-0002-0000-0700-000018000000}">
      <formula1>Mode</formula1>
    </dataValidation>
    <dataValidation type="list" allowBlank="1" showInputMessage="1" showErrorMessage="1" sqref="M47:M50 O56:O59" xr:uid="{00000000-0002-0000-0700-000019000000}">
      <formula1>ShipperOwn</formula1>
    </dataValidation>
    <dataValidation type="list" allowBlank="1" showInputMessage="1" showErrorMessage="1" sqref="N56:N59" xr:uid="{00000000-0002-0000-0700-00001A000000}">
      <formula1>OOG</formula1>
    </dataValidation>
    <dataValidation type="list" allowBlank="1" showErrorMessage="1" sqref="M36:W36 Q54:Y54 O45:W45" xr:uid="{00000000-0002-0000-0700-00001B000000}">
      <formula1>Exceptions</formula1>
    </dataValidation>
    <dataValidation type="list" allowBlank="1" showInputMessage="1" showErrorMessage="1" sqref="AA38:AA41 AC56:AC59 AA47:AA50" xr:uid="{00000000-0002-0000-0700-00001C000000}">
      <formula1>CST</formula1>
    </dataValidation>
    <dataValidation type="list" allowBlank="1" showInputMessage="1" showErrorMessage="1" sqref="I99:I137" xr:uid="{00000000-0002-0000-0700-00001D000000}">
      <formula1>$A$14:$A$18</formula1>
    </dataValidation>
    <dataValidation type="list" allowBlank="1" showErrorMessage="1" sqref="A99:A137" xr:uid="{00000000-0002-0000-0700-00001E000000}">
      <formula1>Charges</formula1>
    </dataValidation>
    <dataValidation allowBlank="1" showInputMessage="1" showErrorMessage="1" promptTitle="Acceptable Values:" prompt="- Applicable _x000a_- Not applicable _x000a_- Included_x000a_- Amount and OSPF for cases of fixed per D40 OSPF_x000a_    (example-  &quot;375 OSPF&quot;)" sqref="E99:G137" xr:uid="{00000000-0002-0000-0700-00001F000000}"/>
    <dataValidation type="list" allowBlank="1" showInputMessage="1" showErrorMessage="1" errorTitle="Pick up the list" promptTitle="Blank = ALL" sqref="H99:H137" xr:uid="{00000000-0002-0000-0700-000020000000}">
      <formula1>Type_note2</formula1>
    </dataValidation>
  </dataValidations>
  <pageMargins left="0.25" right="0.25" top="0.25" bottom="0.25" header="0.5" footer="0"/>
  <pageSetup scale="28" fitToHeight="0" orientation="landscape" r:id="rId1"/>
  <headerFooter alignWithMargins="0"/>
  <rowBreaks count="1" manualBreakCount="1">
    <brk id="94" max="16383" man="1"/>
  </rowBreaks>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7">
    <tabColor indexed="12"/>
    <pageSetUpPr fitToPage="1"/>
  </sheetPr>
  <dimension ref="A1:BB215"/>
  <sheetViews>
    <sheetView showGridLines="0" topLeftCell="A163" zoomScale="75" zoomScaleNormal="75" zoomScaleSheetLayoutView="75" workbookViewId="0">
      <selection activeCell="G195" sqref="A195:XFD202"/>
    </sheetView>
  </sheetViews>
  <sheetFormatPr defaultColWidth="9.140625" defaultRowHeight="15.75" x14ac:dyDescent="0.2"/>
  <cols>
    <col min="1" max="1" width="25.140625" style="69" customWidth="1"/>
    <col min="2" max="2" width="18.5703125" style="69" customWidth="1"/>
    <col min="3" max="3" width="18.28515625" style="69" customWidth="1"/>
    <col min="4" max="4" width="17.42578125" style="69" customWidth="1"/>
    <col min="5" max="5" width="19.28515625" style="69" customWidth="1"/>
    <col min="6" max="6" width="12.140625" style="211" customWidth="1"/>
    <col min="7" max="8" width="17.42578125" style="211" customWidth="1"/>
    <col min="9" max="9" width="17.7109375" style="211" customWidth="1"/>
    <col min="10" max="10" width="23.42578125" style="69" bestFit="1" customWidth="1"/>
    <col min="11" max="11" width="18.42578125" style="69" bestFit="1" customWidth="1"/>
    <col min="12" max="12" width="18.5703125" style="69" customWidth="1"/>
    <col min="13" max="13" width="17.28515625" style="69" customWidth="1"/>
    <col min="14" max="14" width="17.7109375" style="69" customWidth="1"/>
    <col min="15" max="16" width="16.5703125" style="69" customWidth="1"/>
    <col min="17" max="17" width="17.5703125" style="69" customWidth="1"/>
    <col min="18" max="18" width="15.85546875" style="69" customWidth="1"/>
    <col min="19" max="19" width="16.7109375" style="69" customWidth="1"/>
    <col min="20" max="20" width="16.5703125" style="69" customWidth="1"/>
    <col min="21" max="21" width="16.7109375" style="69" customWidth="1"/>
    <col min="22" max="22" width="17.5703125" style="69" customWidth="1"/>
    <col min="23" max="23" width="18" style="69" customWidth="1"/>
    <col min="24" max="24" width="12.7109375" style="69" customWidth="1"/>
    <col min="25" max="25" width="16.85546875" style="69" customWidth="1"/>
    <col min="26" max="26" width="9.7109375" style="69" customWidth="1"/>
    <col min="27" max="27" width="14.140625" style="69" customWidth="1"/>
    <col min="28" max="28" width="9.7109375" style="69" customWidth="1"/>
    <col min="29" max="29" width="14.140625" style="69" customWidth="1"/>
    <col min="30" max="16384" width="9.140625" style="69"/>
  </cols>
  <sheetData>
    <row r="1" spans="1:54" x14ac:dyDescent="0.2">
      <c r="A1" s="835" t="s">
        <v>511</v>
      </c>
      <c r="B1" s="837"/>
      <c r="C1" s="902" t="str">
        <f>Cover!B1</f>
        <v>22-XXXX</v>
      </c>
      <c r="D1" s="903"/>
      <c r="E1" s="903"/>
      <c r="F1" s="904"/>
      <c r="G1" s="69"/>
      <c r="H1" s="69"/>
      <c r="I1" s="69"/>
    </row>
    <row r="2" spans="1:54" x14ac:dyDescent="0.2">
      <c r="A2" s="885" t="s">
        <v>1236</v>
      </c>
      <c r="B2" s="886"/>
      <c r="C2" s="887"/>
      <c r="D2" s="888"/>
      <c r="E2" s="888"/>
      <c r="F2" s="889"/>
      <c r="G2" s="69"/>
      <c r="H2" s="69"/>
      <c r="I2" s="69"/>
    </row>
    <row r="3" spans="1:54" x14ac:dyDescent="0.2">
      <c r="A3" s="885" t="s">
        <v>522</v>
      </c>
      <c r="B3" s="886"/>
      <c r="C3" s="905">
        <f>Cover!B2</f>
        <v>0</v>
      </c>
      <c r="D3" s="906"/>
      <c r="E3" s="906"/>
      <c r="F3" s="907"/>
      <c r="G3" s="69"/>
      <c r="H3" s="69"/>
      <c r="I3" s="69"/>
    </row>
    <row r="4" spans="1:54" x14ac:dyDescent="0.2">
      <c r="A4" s="885" t="s">
        <v>1229</v>
      </c>
      <c r="B4" s="886"/>
      <c r="C4" s="884">
        <f>Cover!B7</f>
        <v>0</v>
      </c>
      <c r="D4" s="817"/>
      <c r="E4" s="817"/>
      <c r="F4" s="818"/>
      <c r="G4" s="69"/>
      <c r="H4" s="69"/>
      <c r="I4" s="69"/>
    </row>
    <row r="5" spans="1:54" x14ac:dyDescent="0.2">
      <c r="A5" s="885" t="s">
        <v>528</v>
      </c>
      <c r="B5" s="886"/>
      <c r="C5" s="887" t="s">
        <v>542</v>
      </c>
      <c r="D5" s="888"/>
      <c r="E5" s="888"/>
      <c r="F5" s="889"/>
      <c r="G5" s="69"/>
      <c r="H5" s="69"/>
      <c r="I5" s="69"/>
    </row>
    <row r="6" spans="1:54" ht="15.75" customHeight="1" x14ac:dyDescent="0.2">
      <c r="A6" s="885" t="s">
        <v>512</v>
      </c>
      <c r="B6" s="886"/>
      <c r="C6" s="887" t="s">
        <v>604</v>
      </c>
      <c r="D6" s="888"/>
      <c r="E6" s="888"/>
      <c r="F6" s="889"/>
      <c r="G6" s="69"/>
      <c r="H6" s="69"/>
      <c r="I6" s="69"/>
    </row>
    <row r="7" spans="1:54" ht="15.75" customHeight="1" x14ac:dyDescent="0.2">
      <c r="A7" s="885" t="s">
        <v>612</v>
      </c>
      <c r="B7" s="886"/>
      <c r="C7" s="887" t="s">
        <v>121</v>
      </c>
      <c r="D7" s="888"/>
      <c r="E7" s="888"/>
      <c r="F7" s="889"/>
      <c r="G7" s="69"/>
      <c r="H7" s="69"/>
      <c r="I7" s="69"/>
    </row>
    <row r="8" spans="1:54" ht="2.25" customHeight="1" thickBot="1" x14ac:dyDescent="0.25">
      <c r="A8" s="900"/>
      <c r="B8" s="901"/>
      <c r="C8" s="894"/>
      <c r="D8" s="895"/>
      <c r="E8" s="895"/>
      <c r="F8" s="896"/>
      <c r="G8" s="69"/>
      <c r="H8" s="69"/>
      <c r="I8" s="69"/>
    </row>
    <row r="9" spans="1:54" s="73" customFormat="1" x14ac:dyDescent="0.2">
      <c r="A9" s="442">
        <v>39</v>
      </c>
      <c r="B9" s="443" t="s">
        <v>615</v>
      </c>
      <c r="D9" s="444"/>
      <c r="E9" s="444"/>
      <c r="F9" s="445"/>
    </row>
    <row r="10" spans="1:54" s="73" customFormat="1" ht="16.5" thickBot="1" x14ac:dyDescent="0.25">
      <c r="A10" s="446"/>
      <c r="D10" s="444"/>
      <c r="E10" s="444"/>
      <c r="F10" s="445"/>
      <c r="G10" s="447"/>
      <c r="H10" s="444"/>
      <c r="I10" s="444"/>
      <c r="J10" s="444"/>
    </row>
    <row r="11" spans="1:54" ht="19.5" thickBot="1" x14ac:dyDescent="0.25">
      <c r="A11" s="448" t="s">
        <v>613</v>
      </c>
      <c r="B11" s="449"/>
      <c r="C11" s="73"/>
      <c r="D11" s="444"/>
      <c r="E11" s="444"/>
      <c r="F11" s="445"/>
      <c r="G11" s="447"/>
      <c r="H11" s="444"/>
      <c r="I11" s="444"/>
      <c r="J11" s="444"/>
    </row>
    <row r="12" spans="1:54" s="78" customFormat="1" ht="16.5" thickBot="1" x14ac:dyDescent="0.25">
      <c r="A12" s="897" t="s">
        <v>616</v>
      </c>
      <c r="B12" s="898"/>
      <c r="C12" s="898"/>
      <c r="D12" s="898"/>
      <c r="E12" s="898"/>
      <c r="F12" s="898"/>
      <c r="G12" s="898"/>
      <c r="H12" s="898"/>
      <c r="I12" s="898"/>
      <c r="J12" s="899"/>
    </row>
    <row r="13" spans="1:54" ht="17.25" customHeight="1" x14ac:dyDescent="0.2">
      <c r="A13" s="450" t="s">
        <v>617</v>
      </c>
      <c r="B13" s="881" t="s">
        <v>618</v>
      </c>
      <c r="C13" s="881"/>
      <c r="D13" s="881"/>
      <c r="E13" s="881"/>
      <c r="F13" s="881"/>
      <c r="G13" s="881"/>
      <c r="H13" s="881"/>
      <c r="I13" s="881"/>
      <c r="J13" s="882" t="s">
        <v>622</v>
      </c>
      <c r="K13" s="883"/>
      <c r="L13" s="890" t="s">
        <v>623</v>
      </c>
      <c r="M13" s="891"/>
      <c r="N13" s="350" t="s">
        <v>4</v>
      </c>
    </row>
    <row r="14" spans="1:54" s="81" customFormat="1" x14ac:dyDescent="0.2">
      <c r="A14" s="451" t="s">
        <v>503</v>
      </c>
      <c r="B14" s="862" t="s">
        <v>503</v>
      </c>
      <c r="C14" s="892"/>
      <c r="D14" s="892"/>
      <c r="E14" s="892"/>
      <c r="F14" s="892"/>
      <c r="G14" s="892"/>
      <c r="H14" s="892"/>
      <c r="I14" s="892"/>
      <c r="J14" s="870"/>
      <c r="K14" s="855"/>
      <c r="L14" s="893"/>
      <c r="M14" s="871"/>
      <c r="N14" s="349" t="str">
        <f>IF($A14&gt;0,$A14,"")</f>
        <v>FAK</v>
      </c>
    </row>
    <row r="15" spans="1:54" s="453" customFormat="1" x14ac:dyDescent="0.2">
      <c r="A15" s="452"/>
      <c r="B15" s="879"/>
      <c r="C15" s="880"/>
      <c r="D15" s="880"/>
      <c r="E15" s="880"/>
      <c r="F15" s="880"/>
      <c r="G15" s="880"/>
      <c r="H15" s="880"/>
      <c r="I15" s="880"/>
      <c r="J15" s="870"/>
      <c r="K15" s="855"/>
      <c r="L15" s="870"/>
      <c r="M15" s="871"/>
      <c r="N15" s="349" t="str">
        <f>IF($A15&gt;0,$A15,"")</f>
        <v/>
      </c>
      <c r="BB15" s="81"/>
    </row>
    <row r="16" spans="1:54" s="453" customFormat="1" x14ac:dyDescent="0.2">
      <c r="A16" s="452"/>
      <c r="B16" s="879"/>
      <c r="C16" s="880"/>
      <c r="D16" s="880"/>
      <c r="E16" s="880"/>
      <c r="F16" s="880"/>
      <c r="G16" s="880"/>
      <c r="H16" s="880"/>
      <c r="I16" s="880"/>
      <c r="J16" s="870"/>
      <c r="K16" s="855"/>
      <c r="L16" s="870"/>
      <c r="M16" s="871"/>
      <c r="N16" s="349" t="str">
        <f>IF($A16&gt;0,$A16,"")</f>
        <v/>
      </c>
      <c r="BB16" s="81"/>
    </row>
    <row r="17" spans="1:54" s="453" customFormat="1" ht="16.5" thickBot="1" x14ac:dyDescent="0.25">
      <c r="A17" s="454"/>
      <c r="B17" s="864"/>
      <c r="C17" s="865"/>
      <c r="D17" s="865"/>
      <c r="E17" s="865"/>
      <c r="F17" s="865"/>
      <c r="G17" s="865"/>
      <c r="H17" s="865"/>
      <c r="I17" s="865"/>
      <c r="J17" s="866"/>
      <c r="K17" s="867"/>
      <c r="L17" s="857"/>
      <c r="M17" s="858"/>
      <c r="N17" s="349" t="str">
        <f>IF($A17&gt;0,$A17,"")</f>
        <v/>
      </c>
      <c r="BB17" s="81"/>
    </row>
    <row r="18" spans="1:54" s="462" customFormat="1" ht="16.5" thickBot="1" x14ac:dyDescent="0.25">
      <c r="A18" s="455"/>
      <c r="B18" s="456"/>
      <c r="C18" s="457"/>
      <c r="D18" s="458"/>
      <c r="E18" s="458"/>
      <c r="F18" s="459"/>
      <c r="G18" s="459"/>
      <c r="H18" s="460"/>
      <c r="I18" s="461"/>
      <c r="J18" s="461"/>
      <c r="K18" s="457"/>
      <c r="L18" s="457"/>
      <c r="M18" s="457"/>
      <c r="N18" s="349" t="str">
        <f>IF($A18&gt;0,$A18,"")</f>
        <v/>
      </c>
      <c r="O18" s="457"/>
      <c r="P18" s="457"/>
      <c r="Q18" s="457"/>
      <c r="BB18" s="81"/>
    </row>
    <row r="19" spans="1:54" s="462" customFormat="1" ht="19.5" thickBot="1" x14ac:dyDescent="0.25">
      <c r="A19" s="448" t="s">
        <v>419</v>
      </c>
      <c r="B19" s="463"/>
      <c r="I19" s="461"/>
      <c r="J19" s="461"/>
      <c r="K19" s="457"/>
      <c r="L19" s="457"/>
      <c r="M19" s="457"/>
      <c r="N19" s="457"/>
      <c r="O19" s="457"/>
      <c r="P19" s="457"/>
      <c r="Q19" s="457"/>
    </row>
    <row r="20" spans="1:54" s="462" customFormat="1" x14ac:dyDescent="0.2">
      <c r="A20" s="464" t="s">
        <v>419</v>
      </c>
      <c r="B20" s="859" t="s">
        <v>618</v>
      </c>
      <c r="C20" s="860"/>
      <c r="D20" s="860"/>
      <c r="E20" s="860"/>
      <c r="F20" s="860"/>
      <c r="G20" s="860"/>
      <c r="H20" s="861"/>
      <c r="I20" s="461"/>
      <c r="J20" s="461"/>
      <c r="K20" s="457"/>
      <c r="L20" s="457"/>
      <c r="M20" s="457"/>
      <c r="N20" s="457"/>
      <c r="O20" s="457"/>
      <c r="P20" s="457"/>
      <c r="Q20" s="457"/>
    </row>
    <row r="21" spans="1:54" s="467" customFormat="1" ht="15.75" customHeight="1" x14ac:dyDescent="0.2">
      <c r="A21" s="451" t="s">
        <v>324</v>
      </c>
      <c r="B21" s="862" t="s">
        <v>550</v>
      </c>
      <c r="C21" s="862"/>
      <c r="D21" s="862"/>
      <c r="E21" s="862"/>
      <c r="F21" s="862"/>
      <c r="G21" s="862"/>
      <c r="H21" s="863"/>
      <c r="I21" s="220"/>
      <c r="J21" s="465"/>
      <c r="K21" s="466"/>
      <c r="L21" s="466"/>
      <c r="M21" s="466"/>
      <c r="N21" s="466"/>
      <c r="O21" s="466"/>
      <c r="P21" s="466"/>
      <c r="Q21" s="466"/>
    </row>
    <row r="22" spans="1:54" s="467" customFormat="1" x14ac:dyDescent="0.2">
      <c r="A22" s="468" t="s">
        <v>640</v>
      </c>
      <c r="B22" s="862" t="s">
        <v>914</v>
      </c>
      <c r="C22" s="862"/>
      <c r="D22" s="862"/>
      <c r="E22" s="862"/>
      <c r="F22" s="862"/>
      <c r="G22" s="862"/>
      <c r="H22" s="863"/>
      <c r="I22" s="465"/>
      <c r="J22" s="465"/>
      <c r="K22" s="466"/>
      <c r="L22" s="466"/>
      <c r="M22" s="466"/>
      <c r="N22" s="466"/>
      <c r="O22" s="466"/>
      <c r="P22" s="466"/>
      <c r="Q22" s="466"/>
    </row>
    <row r="23" spans="1:54" s="467" customFormat="1" x14ac:dyDescent="0.2">
      <c r="A23" s="468"/>
      <c r="B23" s="854"/>
      <c r="C23" s="855"/>
      <c r="D23" s="855"/>
      <c r="E23" s="855"/>
      <c r="F23" s="855"/>
      <c r="G23" s="855"/>
      <c r="H23" s="856"/>
      <c r="I23" s="465"/>
      <c r="J23" s="465"/>
      <c r="K23" s="466"/>
      <c r="L23" s="466"/>
      <c r="M23" s="466"/>
      <c r="N23" s="466"/>
      <c r="O23" s="466"/>
      <c r="P23" s="466"/>
      <c r="Q23" s="466"/>
    </row>
    <row r="24" spans="1:54" s="467" customFormat="1" ht="16.5" thickBot="1" x14ac:dyDescent="0.25">
      <c r="A24" s="469"/>
      <c r="B24" s="877"/>
      <c r="C24" s="867"/>
      <c r="D24" s="867"/>
      <c r="E24" s="867"/>
      <c r="F24" s="867"/>
      <c r="G24" s="867"/>
      <c r="H24" s="878"/>
      <c r="I24" s="465"/>
      <c r="J24" s="465"/>
      <c r="K24" s="466"/>
      <c r="L24" s="466"/>
      <c r="M24" s="466"/>
      <c r="N24" s="466"/>
      <c r="O24" s="466"/>
      <c r="P24" s="466"/>
      <c r="Q24" s="466"/>
    </row>
    <row r="25" spans="1:54" s="462" customFormat="1" ht="16.5" thickBot="1" x14ac:dyDescent="0.25">
      <c r="A25" s="456"/>
      <c r="B25" s="95"/>
      <c r="C25" s="95"/>
      <c r="D25" s="95"/>
      <c r="E25" s="95"/>
      <c r="F25" s="95"/>
      <c r="G25" s="95"/>
      <c r="H25" s="95"/>
      <c r="I25" s="461"/>
      <c r="J25" s="461"/>
      <c r="K25" s="457"/>
      <c r="L25" s="457"/>
      <c r="M25" s="457"/>
      <c r="N25" s="457"/>
      <c r="O25" s="457"/>
      <c r="P25" s="457"/>
      <c r="Q25" s="457"/>
      <c r="R25" s="457"/>
      <c r="S25" s="457"/>
      <c r="T25" s="457"/>
      <c r="U25" s="457"/>
    </row>
    <row r="26" spans="1:54" s="462" customFormat="1" ht="19.5" thickBot="1" x14ac:dyDescent="0.25">
      <c r="A26" s="448" t="s">
        <v>624</v>
      </c>
      <c r="B26" s="449"/>
      <c r="I26" s="461"/>
      <c r="J26" s="461"/>
      <c r="K26" s="457"/>
      <c r="L26" s="457"/>
      <c r="M26" s="457"/>
      <c r="N26" s="457"/>
      <c r="O26" s="457"/>
      <c r="P26" s="457"/>
      <c r="Q26" s="457"/>
      <c r="R26" s="457"/>
      <c r="S26" s="457"/>
      <c r="T26" s="457"/>
      <c r="U26" s="457"/>
    </row>
    <row r="27" spans="1:54" s="462" customFormat="1" x14ac:dyDescent="0.2">
      <c r="A27" s="223" t="s">
        <v>886</v>
      </c>
      <c r="B27" s="470"/>
      <c r="C27" s="471"/>
      <c r="D27" s="472"/>
      <c r="E27" s="472"/>
      <c r="F27" s="473"/>
      <c r="G27" s="473"/>
      <c r="H27" s="473"/>
      <c r="I27" s="474"/>
      <c r="J27" s="475"/>
      <c r="K27" s="476"/>
      <c r="L27" s="457"/>
      <c r="M27" s="457"/>
      <c r="N27" s="457"/>
      <c r="O27" s="457"/>
      <c r="P27" s="457"/>
      <c r="Q27" s="457"/>
      <c r="R27" s="457"/>
      <c r="S27" s="457"/>
      <c r="T27" s="457"/>
      <c r="U27" s="457"/>
      <c r="V27" s="457"/>
    </row>
    <row r="28" spans="1:54" s="462" customFormat="1" x14ac:dyDescent="0.2">
      <c r="A28" s="96" t="s">
        <v>626</v>
      </c>
      <c r="B28" s="214"/>
      <c r="C28" s="477"/>
      <c r="D28" s="478"/>
      <c r="E28" s="478"/>
      <c r="F28" s="479"/>
      <c r="G28" s="479"/>
      <c r="H28" s="479"/>
      <c r="I28" s="480"/>
      <c r="J28" s="481"/>
      <c r="K28" s="482"/>
      <c r="L28" s="457"/>
      <c r="M28" s="457"/>
      <c r="N28" s="457"/>
      <c r="O28" s="457"/>
      <c r="P28" s="457"/>
      <c r="Q28" s="457"/>
      <c r="R28" s="457"/>
    </row>
    <row r="29" spans="1:54" s="462" customFormat="1" ht="16.5" thickBot="1" x14ac:dyDescent="0.25">
      <c r="A29" s="110" t="s">
        <v>172</v>
      </c>
      <c r="B29" s="483"/>
      <c r="C29" s="484"/>
      <c r="D29" s="485"/>
      <c r="E29" s="485"/>
      <c r="F29" s="486"/>
      <c r="G29" s="486"/>
      <c r="H29" s="486"/>
      <c r="I29" s="487"/>
      <c r="J29" s="488"/>
      <c r="K29" s="489"/>
      <c r="L29" s="457"/>
      <c r="M29" s="457"/>
      <c r="N29" s="457"/>
      <c r="O29" s="457"/>
      <c r="P29" s="457"/>
      <c r="Q29" s="457"/>
      <c r="R29" s="457"/>
      <c r="S29" s="118"/>
      <c r="T29" s="118"/>
      <c r="U29" s="118"/>
      <c r="V29" s="457"/>
      <c r="W29" s="457"/>
      <c r="X29" s="457"/>
    </row>
    <row r="30" spans="1:54" s="491" customFormat="1" ht="32.25" customHeight="1" x14ac:dyDescent="0.2">
      <c r="A30" s="875" t="s">
        <v>627</v>
      </c>
      <c r="B30" s="868" t="s">
        <v>628</v>
      </c>
      <c r="C30" s="868" t="s">
        <v>11</v>
      </c>
      <c r="D30" s="868" t="s">
        <v>12</v>
      </c>
      <c r="E30" s="868" t="s">
        <v>13</v>
      </c>
      <c r="F30" s="868" t="s">
        <v>14</v>
      </c>
      <c r="G30" s="868" t="s">
        <v>15</v>
      </c>
      <c r="H30" s="868" t="s">
        <v>16</v>
      </c>
      <c r="I30" s="868" t="s">
        <v>17</v>
      </c>
      <c r="J30" s="868" t="s">
        <v>18</v>
      </c>
      <c r="K30" s="868" t="s">
        <v>19</v>
      </c>
      <c r="L30" s="868" t="s">
        <v>20</v>
      </c>
      <c r="M30" s="490"/>
      <c r="N30" s="490"/>
      <c r="O30" s="490"/>
      <c r="P30" s="490"/>
      <c r="Q30" s="490"/>
      <c r="R30" s="490"/>
      <c r="S30" s="490"/>
      <c r="T30" s="490"/>
      <c r="U30" s="490"/>
      <c r="V30" s="490"/>
      <c r="W30" s="490"/>
      <c r="X30" s="868" t="s">
        <v>22</v>
      </c>
      <c r="Y30" s="868" t="s">
        <v>23</v>
      </c>
      <c r="Z30" s="868" t="s">
        <v>24</v>
      </c>
      <c r="AA30" s="922" t="s">
        <v>352</v>
      </c>
    </row>
    <row r="31" spans="1:54" s="491" customFormat="1" ht="16.5" thickBot="1" x14ac:dyDescent="0.25">
      <c r="A31" s="876"/>
      <c r="B31" s="869"/>
      <c r="C31" s="869"/>
      <c r="D31" s="869"/>
      <c r="E31" s="869"/>
      <c r="F31" s="869"/>
      <c r="G31" s="872"/>
      <c r="H31" s="869"/>
      <c r="I31" s="869"/>
      <c r="J31" s="869"/>
      <c r="K31" s="869"/>
      <c r="L31" s="869"/>
      <c r="M31" s="492"/>
      <c r="N31" s="492"/>
      <c r="O31" s="492"/>
      <c r="P31" s="492"/>
      <c r="Q31" s="492"/>
      <c r="R31" s="492"/>
      <c r="S31" s="492"/>
      <c r="T31" s="492"/>
      <c r="U31" s="492"/>
      <c r="V31" s="492"/>
      <c r="W31" s="492"/>
      <c r="X31" s="869"/>
      <c r="Y31" s="869"/>
      <c r="Z31" s="869"/>
      <c r="AA31" s="923"/>
    </row>
    <row r="32" spans="1:54" s="136" customFormat="1" x14ac:dyDescent="0.2">
      <c r="A32" s="493"/>
      <c r="B32" s="49"/>
      <c r="C32" s="225"/>
      <c r="D32" s="225"/>
      <c r="E32" s="225"/>
      <c r="F32" s="225"/>
      <c r="G32" s="120"/>
      <c r="H32" s="225"/>
      <c r="I32" s="263"/>
      <c r="J32" s="263"/>
      <c r="K32" s="263"/>
      <c r="L32" s="263"/>
      <c r="M32" s="120"/>
      <c r="N32" s="120"/>
      <c r="O32" s="120"/>
      <c r="P32" s="226"/>
      <c r="Q32" s="226"/>
      <c r="R32" s="226"/>
      <c r="S32" s="120"/>
      <c r="T32" s="120"/>
      <c r="U32" s="120"/>
      <c r="V32" s="120"/>
      <c r="W32" s="120"/>
      <c r="X32" s="227"/>
      <c r="Y32" s="227"/>
      <c r="Z32" s="120"/>
      <c r="AA32" s="121"/>
    </row>
    <row r="33" spans="1:29" s="136" customFormat="1" x14ac:dyDescent="0.2">
      <c r="A33" s="494"/>
      <c r="B33" s="123"/>
      <c r="C33" s="123"/>
      <c r="D33" s="123"/>
      <c r="E33" s="123"/>
      <c r="F33" s="123"/>
      <c r="G33" s="124"/>
      <c r="H33" s="123"/>
      <c r="I33" s="255"/>
      <c r="J33" s="255"/>
      <c r="K33" s="255"/>
      <c r="L33" s="255"/>
      <c r="M33" s="125"/>
      <c r="N33" s="124"/>
      <c r="O33" s="124"/>
      <c r="P33" s="125"/>
      <c r="Q33" s="125"/>
      <c r="R33" s="125"/>
      <c r="S33" s="124"/>
      <c r="T33" s="124"/>
      <c r="U33" s="124"/>
      <c r="V33" s="124"/>
      <c r="W33" s="124"/>
      <c r="X33" s="126"/>
      <c r="Y33" s="126"/>
      <c r="Z33" s="124"/>
      <c r="AA33" s="127"/>
    </row>
    <row r="34" spans="1:29" s="136" customFormat="1" x14ac:dyDescent="0.2">
      <c r="A34" s="494"/>
      <c r="B34" s="123"/>
      <c r="C34" s="123"/>
      <c r="D34" s="123"/>
      <c r="E34" s="123"/>
      <c r="F34" s="123"/>
      <c r="G34" s="124"/>
      <c r="H34" s="123"/>
      <c r="I34" s="255"/>
      <c r="J34" s="255"/>
      <c r="K34" s="255"/>
      <c r="L34" s="255"/>
      <c r="M34" s="125"/>
      <c r="N34" s="124"/>
      <c r="O34" s="124"/>
      <c r="P34" s="125"/>
      <c r="Q34" s="125"/>
      <c r="R34" s="125"/>
      <c r="S34" s="124"/>
      <c r="T34" s="124"/>
      <c r="U34" s="124"/>
      <c r="V34" s="124"/>
      <c r="W34" s="124"/>
      <c r="X34" s="126"/>
      <c r="Y34" s="126"/>
      <c r="Z34" s="124"/>
      <c r="AA34" s="127"/>
    </row>
    <row r="35" spans="1:29" s="136" customFormat="1" ht="16.5" thickBot="1" x14ac:dyDescent="0.25">
      <c r="A35" s="495"/>
      <c r="B35" s="128"/>
      <c r="C35" s="128"/>
      <c r="D35" s="128"/>
      <c r="E35" s="128"/>
      <c r="F35" s="128"/>
      <c r="G35" s="129"/>
      <c r="H35" s="128"/>
      <c r="I35" s="256"/>
      <c r="J35" s="256"/>
      <c r="K35" s="256"/>
      <c r="L35" s="256"/>
      <c r="M35" s="129"/>
      <c r="N35" s="129"/>
      <c r="O35" s="129"/>
      <c r="P35" s="130"/>
      <c r="Q35" s="130"/>
      <c r="R35" s="130"/>
      <c r="S35" s="129"/>
      <c r="T35" s="129"/>
      <c r="U35" s="129"/>
      <c r="V35" s="129"/>
      <c r="W35" s="129"/>
      <c r="X35" s="131"/>
      <c r="Y35" s="131"/>
      <c r="Z35" s="129"/>
      <c r="AA35" s="132"/>
    </row>
    <row r="36" spans="1:29" s="73" customFormat="1" x14ac:dyDescent="0.2">
      <c r="A36" s="133"/>
      <c r="B36" s="133"/>
      <c r="C36" s="133"/>
      <c r="D36" s="133"/>
      <c r="E36" s="133"/>
      <c r="F36" s="133"/>
      <c r="G36" s="118"/>
      <c r="H36" s="118"/>
      <c r="I36" s="118"/>
      <c r="J36" s="118"/>
      <c r="K36" s="118"/>
      <c r="L36" s="118"/>
      <c r="M36" s="134"/>
      <c r="N36" s="118"/>
      <c r="O36" s="159"/>
      <c r="P36" s="159"/>
      <c r="Q36" s="159"/>
      <c r="R36" s="159"/>
      <c r="S36" s="159"/>
      <c r="T36" s="159"/>
      <c r="U36" s="159"/>
      <c r="V36" s="159"/>
      <c r="W36" s="466"/>
    </row>
    <row r="37" spans="1:29" s="73" customFormat="1" ht="16.5" thickBot="1" x14ac:dyDescent="0.25">
      <c r="A37" s="133"/>
      <c r="B37" s="133"/>
      <c r="C37" s="133"/>
      <c r="D37" s="133"/>
      <c r="E37" s="133"/>
      <c r="F37" s="133"/>
      <c r="G37" s="118"/>
      <c r="H37" s="118"/>
      <c r="I37" s="118"/>
      <c r="J37" s="118"/>
      <c r="K37" s="118"/>
      <c r="N37" s="118"/>
      <c r="O37" s="159"/>
      <c r="P37" s="159"/>
      <c r="Q37" s="159"/>
      <c r="R37" s="159"/>
      <c r="S37" s="159"/>
      <c r="T37" s="159"/>
      <c r="U37" s="159"/>
      <c r="V37" s="159"/>
      <c r="W37" s="467"/>
    </row>
    <row r="38" spans="1:29" s="73" customFormat="1" ht="16.5" thickBot="1" x14ac:dyDescent="0.25">
      <c r="A38" s="496" t="s">
        <v>25</v>
      </c>
      <c r="B38" s="133"/>
      <c r="C38" s="133"/>
      <c r="D38" s="133"/>
      <c r="E38" s="133"/>
      <c r="F38" s="133"/>
      <c r="G38" s="118"/>
      <c r="H38" s="118"/>
      <c r="I38" s="118"/>
      <c r="J38" s="118"/>
      <c r="K38" s="118"/>
      <c r="M38" s="118"/>
      <c r="N38" s="118"/>
      <c r="O38" s="159"/>
      <c r="P38" s="136"/>
      <c r="Q38" s="136"/>
      <c r="R38" s="136"/>
      <c r="S38" s="466"/>
      <c r="T38" s="466"/>
      <c r="U38" s="466"/>
      <c r="V38" s="466"/>
      <c r="W38" s="159"/>
    </row>
    <row r="39" spans="1:29" s="73" customFormat="1" ht="15.75" customHeight="1" x14ac:dyDescent="0.2">
      <c r="A39" s="875" t="s">
        <v>627</v>
      </c>
      <c r="B39" s="868" t="s">
        <v>628</v>
      </c>
      <c r="C39" s="868" t="s">
        <v>11</v>
      </c>
      <c r="D39" s="868" t="s">
        <v>12</v>
      </c>
      <c r="E39" s="868" t="s">
        <v>13</v>
      </c>
      <c r="F39" s="868" t="s">
        <v>14</v>
      </c>
      <c r="G39" s="868" t="s">
        <v>15</v>
      </c>
      <c r="H39" s="868" t="s">
        <v>16</v>
      </c>
      <c r="I39" s="868" t="s">
        <v>26</v>
      </c>
      <c r="J39" s="868" t="s">
        <v>27</v>
      </c>
      <c r="K39" s="945" t="s">
        <v>295</v>
      </c>
      <c r="L39" s="497" t="s">
        <v>63</v>
      </c>
      <c r="M39" s="498" t="s">
        <v>64</v>
      </c>
      <c r="N39" s="499" t="s">
        <v>65</v>
      </c>
      <c r="O39" s="490"/>
      <c r="P39" s="490"/>
      <c r="Q39" s="490"/>
      <c r="R39" s="490"/>
      <c r="S39" s="490"/>
      <c r="T39" s="490"/>
      <c r="U39" s="490"/>
      <c r="V39" s="490"/>
      <c r="W39" s="490"/>
      <c r="X39" s="868" t="s">
        <v>22</v>
      </c>
      <c r="Y39" s="868" t="s">
        <v>23</v>
      </c>
      <c r="Z39" s="868" t="s">
        <v>24</v>
      </c>
      <c r="AA39" s="922" t="s">
        <v>352</v>
      </c>
    </row>
    <row r="40" spans="1:29" s="73" customFormat="1" ht="31.7" customHeight="1" thickBot="1" x14ac:dyDescent="0.25">
      <c r="A40" s="876"/>
      <c r="B40" s="869"/>
      <c r="C40" s="869"/>
      <c r="D40" s="869"/>
      <c r="E40" s="869"/>
      <c r="F40" s="869"/>
      <c r="G40" s="872"/>
      <c r="H40" s="869"/>
      <c r="I40" s="869"/>
      <c r="J40" s="869"/>
      <c r="K40" s="946"/>
      <c r="L40" s="500" t="s">
        <v>66</v>
      </c>
      <c r="M40" s="501" t="s">
        <v>67</v>
      </c>
      <c r="N40" s="502" t="s">
        <v>68</v>
      </c>
      <c r="O40" s="503"/>
      <c r="P40" s="492"/>
      <c r="Q40" s="492"/>
      <c r="R40" s="492"/>
      <c r="S40" s="492"/>
      <c r="T40" s="492"/>
      <c r="U40" s="492"/>
      <c r="V40" s="492"/>
      <c r="W40" s="492"/>
      <c r="X40" s="869"/>
      <c r="Y40" s="869"/>
      <c r="Z40" s="869"/>
      <c r="AA40" s="923"/>
    </row>
    <row r="41" spans="1:29" s="136" customFormat="1" x14ac:dyDescent="0.2">
      <c r="A41" s="493"/>
      <c r="B41" s="225"/>
      <c r="C41" s="225"/>
      <c r="D41" s="225"/>
      <c r="E41" s="225"/>
      <c r="F41" s="225"/>
      <c r="G41" s="120"/>
      <c r="H41" s="225"/>
      <c r="I41" s="263"/>
      <c r="J41" s="263"/>
      <c r="K41" s="265"/>
      <c r="L41" s="268"/>
      <c r="M41" s="120"/>
      <c r="N41" s="121"/>
      <c r="O41" s="269"/>
      <c r="P41" s="226"/>
      <c r="Q41" s="226"/>
      <c r="R41" s="226"/>
      <c r="S41" s="120"/>
      <c r="T41" s="120"/>
      <c r="U41" s="120"/>
      <c r="V41" s="120"/>
      <c r="W41" s="120"/>
      <c r="X41" s="227"/>
      <c r="Y41" s="227"/>
      <c r="Z41" s="120"/>
      <c r="AA41" s="121"/>
    </row>
    <row r="42" spans="1:29" s="136" customFormat="1" x14ac:dyDescent="0.2">
      <c r="A42" s="494"/>
      <c r="B42" s="123"/>
      <c r="C42" s="123"/>
      <c r="D42" s="123"/>
      <c r="E42" s="123"/>
      <c r="F42" s="123"/>
      <c r="G42" s="124"/>
      <c r="H42" s="123"/>
      <c r="I42" s="255"/>
      <c r="J42" s="255"/>
      <c r="K42" s="266"/>
      <c r="L42" s="259"/>
      <c r="M42" s="124"/>
      <c r="N42" s="127"/>
      <c r="O42" s="248"/>
      <c r="P42" s="125"/>
      <c r="Q42" s="125"/>
      <c r="R42" s="125"/>
      <c r="S42" s="124"/>
      <c r="T42" s="124"/>
      <c r="U42" s="124"/>
      <c r="V42" s="124"/>
      <c r="W42" s="124"/>
      <c r="X42" s="126"/>
      <c r="Y42" s="126"/>
      <c r="Z42" s="124"/>
      <c r="AA42" s="127"/>
    </row>
    <row r="43" spans="1:29" s="136" customFormat="1" x14ac:dyDescent="0.2">
      <c r="A43" s="494"/>
      <c r="B43" s="123"/>
      <c r="C43" s="123"/>
      <c r="D43" s="123"/>
      <c r="E43" s="123"/>
      <c r="F43" s="123"/>
      <c r="G43" s="124"/>
      <c r="H43" s="123"/>
      <c r="I43" s="255"/>
      <c r="J43" s="255"/>
      <c r="K43" s="266"/>
      <c r="L43" s="259"/>
      <c r="M43" s="124"/>
      <c r="N43" s="127"/>
      <c r="O43" s="248"/>
      <c r="P43" s="125"/>
      <c r="Q43" s="125"/>
      <c r="R43" s="125"/>
      <c r="S43" s="124"/>
      <c r="T43" s="124"/>
      <c r="U43" s="124"/>
      <c r="V43" s="124"/>
      <c r="W43" s="124"/>
      <c r="X43" s="126"/>
      <c r="Y43" s="126"/>
      <c r="Z43" s="124"/>
      <c r="AA43" s="127"/>
    </row>
    <row r="44" spans="1:29" s="136" customFormat="1" ht="16.5" thickBot="1" x14ac:dyDescent="0.25">
      <c r="A44" s="495"/>
      <c r="B44" s="128"/>
      <c r="C44" s="128"/>
      <c r="D44" s="128"/>
      <c r="E44" s="128"/>
      <c r="F44" s="128"/>
      <c r="G44" s="129"/>
      <c r="H44" s="128"/>
      <c r="I44" s="256"/>
      <c r="J44" s="256"/>
      <c r="K44" s="267"/>
      <c r="L44" s="137"/>
      <c r="M44" s="129"/>
      <c r="N44" s="132"/>
      <c r="O44" s="137"/>
      <c r="P44" s="129"/>
      <c r="Q44" s="129"/>
      <c r="R44" s="129"/>
      <c r="S44" s="129"/>
      <c r="T44" s="129"/>
      <c r="U44" s="129"/>
      <c r="V44" s="129"/>
      <c r="W44" s="129"/>
      <c r="X44" s="131"/>
      <c r="Y44" s="131"/>
      <c r="Z44" s="129"/>
      <c r="AA44" s="132"/>
    </row>
    <row r="45" spans="1:29" s="73" customFormat="1" x14ac:dyDescent="0.2">
      <c r="A45" s="133"/>
      <c r="B45" s="133"/>
      <c r="C45" s="133"/>
      <c r="D45" s="133"/>
      <c r="E45" s="133"/>
      <c r="F45" s="133"/>
      <c r="G45" s="118"/>
      <c r="H45" s="118"/>
      <c r="I45" s="118"/>
      <c r="J45" s="118"/>
      <c r="K45" s="118"/>
      <c r="L45" s="118"/>
      <c r="M45" s="118"/>
      <c r="N45" s="118"/>
      <c r="O45" s="160"/>
      <c r="P45" s="159"/>
      <c r="Q45" s="159"/>
      <c r="R45" s="159"/>
      <c r="S45" s="136"/>
      <c r="T45" s="136"/>
      <c r="U45" s="136"/>
      <c r="V45" s="136"/>
      <c r="W45" s="136"/>
      <c r="X45" s="118"/>
    </row>
    <row r="46" spans="1:29" s="73" customFormat="1" ht="16.5" thickBot="1" x14ac:dyDescent="0.25">
      <c r="A46" s="133"/>
      <c r="B46" s="133"/>
      <c r="C46" s="133"/>
      <c r="D46" s="133"/>
      <c r="E46" s="133"/>
      <c r="F46" s="133"/>
      <c r="G46" s="118"/>
      <c r="H46" s="118"/>
      <c r="I46" s="118"/>
      <c r="J46" s="118"/>
      <c r="K46" s="118"/>
      <c r="L46" s="118"/>
      <c r="M46" s="118"/>
      <c r="N46" s="118"/>
      <c r="O46" s="160"/>
      <c r="P46" s="159"/>
      <c r="Q46" s="159"/>
      <c r="R46" s="159"/>
      <c r="S46" s="136"/>
      <c r="T46" s="136"/>
      <c r="U46" s="136"/>
      <c r="V46" s="136"/>
      <c r="W46" s="136"/>
      <c r="X46" s="118"/>
    </row>
    <row r="47" spans="1:29" s="73" customFormat="1" ht="16.5" thickBot="1" x14ac:dyDescent="0.25">
      <c r="A47" s="822" t="s">
        <v>307</v>
      </c>
      <c r="B47" s="873"/>
      <c r="C47" s="873"/>
      <c r="D47" s="874"/>
      <c r="E47" s="133"/>
      <c r="F47" s="133"/>
      <c r="G47" s="118"/>
      <c r="H47" s="118"/>
      <c r="I47" s="118"/>
      <c r="J47" s="118"/>
      <c r="K47" s="118"/>
      <c r="L47" s="118"/>
      <c r="M47" s="118"/>
      <c r="N47" s="118"/>
      <c r="O47" s="136"/>
      <c r="P47" s="159"/>
      <c r="Q47" s="159"/>
      <c r="R47" s="159"/>
      <c r="S47" s="466"/>
      <c r="T47" s="466"/>
      <c r="U47" s="466"/>
      <c r="V47" s="466"/>
      <c r="W47" s="159"/>
      <c r="X47" s="118"/>
      <c r="Y47" s="118"/>
    </row>
    <row r="48" spans="1:29" s="73" customFormat="1" ht="15.75" customHeight="1" x14ac:dyDescent="0.2">
      <c r="A48" s="875" t="s">
        <v>627</v>
      </c>
      <c r="B48" s="868" t="s">
        <v>628</v>
      </c>
      <c r="C48" s="868" t="s">
        <v>11</v>
      </c>
      <c r="D48" s="868" t="s">
        <v>12</v>
      </c>
      <c r="E48" s="868" t="s">
        <v>13</v>
      </c>
      <c r="F48" s="868" t="s">
        <v>14</v>
      </c>
      <c r="G48" s="868" t="s">
        <v>15</v>
      </c>
      <c r="H48" s="868" t="s">
        <v>16</v>
      </c>
      <c r="I48" s="868">
        <v>20</v>
      </c>
      <c r="J48" s="868">
        <v>40</v>
      </c>
      <c r="K48" s="868" t="s">
        <v>19</v>
      </c>
      <c r="L48" s="922" t="s">
        <v>20</v>
      </c>
      <c r="M48" s="943" t="s">
        <v>28</v>
      </c>
      <c r="N48" s="504" t="s">
        <v>69</v>
      </c>
      <c r="O48" s="498" t="s">
        <v>64</v>
      </c>
      <c r="P48" s="499" t="s">
        <v>65</v>
      </c>
      <c r="Q48" s="490" t="s">
        <v>147</v>
      </c>
      <c r="R48" s="490" t="s">
        <v>71</v>
      </c>
      <c r="S48" s="490"/>
      <c r="T48" s="490"/>
      <c r="U48" s="490"/>
      <c r="V48" s="490"/>
      <c r="W48" s="490"/>
      <c r="X48" s="490"/>
      <c r="Y48" s="490"/>
      <c r="Z48" s="868" t="s">
        <v>22</v>
      </c>
      <c r="AA48" s="868" t="s">
        <v>23</v>
      </c>
      <c r="AB48" s="868" t="s">
        <v>24</v>
      </c>
      <c r="AC48" s="922" t="s">
        <v>352</v>
      </c>
    </row>
    <row r="49" spans="1:29" s="73" customFormat="1" ht="48" thickBot="1" x14ac:dyDescent="0.25">
      <c r="A49" s="876"/>
      <c r="B49" s="869"/>
      <c r="C49" s="869"/>
      <c r="D49" s="869"/>
      <c r="E49" s="869"/>
      <c r="F49" s="869"/>
      <c r="G49" s="872"/>
      <c r="H49" s="869"/>
      <c r="I49" s="869"/>
      <c r="J49" s="869"/>
      <c r="K49" s="869"/>
      <c r="L49" s="923"/>
      <c r="M49" s="944"/>
      <c r="N49" s="505" t="s">
        <v>70</v>
      </c>
      <c r="O49" s="501" t="s">
        <v>67</v>
      </c>
      <c r="P49" s="502" t="s">
        <v>68</v>
      </c>
      <c r="Q49" s="503" t="s">
        <v>84</v>
      </c>
      <c r="R49" s="492" t="s">
        <v>84</v>
      </c>
      <c r="S49" s="492"/>
      <c r="T49" s="492"/>
      <c r="U49" s="492"/>
      <c r="V49" s="492"/>
      <c r="W49" s="492"/>
      <c r="X49" s="492"/>
      <c r="Y49" s="492"/>
      <c r="Z49" s="924"/>
      <c r="AA49" s="924"/>
      <c r="AB49" s="924"/>
      <c r="AC49" s="923"/>
    </row>
    <row r="50" spans="1:29" s="136" customFormat="1" x14ac:dyDescent="0.2">
      <c r="A50" s="493"/>
      <c r="B50" s="225"/>
      <c r="C50" s="225"/>
      <c r="D50" s="225"/>
      <c r="E50" s="225"/>
      <c r="F50" s="225"/>
      <c r="G50" s="120"/>
      <c r="H50" s="225"/>
      <c r="I50" s="263"/>
      <c r="J50" s="263"/>
      <c r="K50" s="263"/>
      <c r="L50" s="265"/>
      <c r="M50" s="270"/>
      <c r="N50" s="268"/>
      <c r="O50" s="120"/>
      <c r="P50" s="121"/>
      <c r="Q50" s="269"/>
      <c r="R50" s="226"/>
      <c r="S50" s="226"/>
      <c r="T50" s="226"/>
      <c r="U50" s="226"/>
      <c r="V50" s="226"/>
      <c r="W50" s="120"/>
      <c r="X50" s="120"/>
      <c r="Y50" s="120"/>
      <c r="Z50" s="227"/>
      <c r="AA50" s="227"/>
      <c r="AB50" s="120"/>
      <c r="AC50" s="121"/>
    </row>
    <row r="51" spans="1:29" s="136" customFormat="1" x14ac:dyDescent="0.2">
      <c r="A51" s="494"/>
      <c r="B51" s="123"/>
      <c r="C51" s="123"/>
      <c r="D51" s="123"/>
      <c r="E51" s="123"/>
      <c r="F51" s="123"/>
      <c r="G51" s="124"/>
      <c r="H51" s="123"/>
      <c r="I51" s="255"/>
      <c r="J51" s="255"/>
      <c r="K51" s="255"/>
      <c r="L51" s="266"/>
      <c r="M51" s="271"/>
      <c r="N51" s="259"/>
      <c r="O51" s="124"/>
      <c r="P51" s="127"/>
      <c r="Q51" s="248"/>
      <c r="R51" s="125"/>
      <c r="S51" s="125"/>
      <c r="T51" s="125"/>
      <c r="U51" s="125"/>
      <c r="V51" s="125"/>
      <c r="W51" s="124"/>
      <c r="X51" s="124"/>
      <c r="Y51" s="124"/>
      <c r="Z51" s="126"/>
      <c r="AA51" s="126"/>
      <c r="AB51" s="124"/>
      <c r="AC51" s="127"/>
    </row>
    <row r="52" spans="1:29" s="136" customFormat="1" x14ac:dyDescent="0.2">
      <c r="A52" s="494"/>
      <c r="B52" s="123"/>
      <c r="C52" s="123"/>
      <c r="D52" s="123"/>
      <c r="E52" s="123"/>
      <c r="F52" s="123"/>
      <c r="G52" s="124"/>
      <c r="H52" s="123"/>
      <c r="I52" s="255"/>
      <c r="J52" s="255"/>
      <c r="K52" s="255"/>
      <c r="L52" s="266"/>
      <c r="M52" s="271"/>
      <c r="N52" s="259"/>
      <c r="O52" s="124"/>
      <c r="P52" s="127"/>
      <c r="Q52" s="248"/>
      <c r="R52" s="125"/>
      <c r="S52" s="125"/>
      <c r="T52" s="125"/>
      <c r="U52" s="125"/>
      <c r="V52" s="125"/>
      <c r="W52" s="124"/>
      <c r="X52" s="124"/>
      <c r="Y52" s="124"/>
      <c r="Z52" s="126"/>
      <c r="AA52" s="126"/>
      <c r="AB52" s="124"/>
      <c r="AC52" s="127"/>
    </row>
    <row r="53" spans="1:29" s="136" customFormat="1" ht="16.5" thickBot="1" x14ac:dyDescent="0.25">
      <c r="A53" s="495"/>
      <c r="B53" s="128"/>
      <c r="C53" s="128"/>
      <c r="D53" s="128"/>
      <c r="E53" s="128"/>
      <c r="F53" s="128"/>
      <c r="G53" s="129"/>
      <c r="H53" s="128"/>
      <c r="I53" s="256"/>
      <c r="J53" s="256"/>
      <c r="K53" s="256"/>
      <c r="L53" s="267"/>
      <c r="M53" s="161"/>
      <c r="N53" s="137"/>
      <c r="O53" s="129"/>
      <c r="P53" s="132"/>
      <c r="Q53" s="137"/>
      <c r="R53" s="129"/>
      <c r="S53" s="129"/>
      <c r="T53" s="129"/>
      <c r="U53" s="129"/>
      <c r="V53" s="129"/>
      <c r="W53" s="129"/>
      <c r="X53" s="129"/>
      <c r="Y53" s="129"/>
      <c r="Z53" s="131"/>
      <c r="AA53" s="131"/>
      <c r="AB53" s="129"/>
      <c r="AC53" s="132"/>
    </row>
    <row r="54" spans="1:29" s="73" customFormat="1" x14ac:dyDescent="0.2">
      <c r="A54" s="133"/>
      <c r="B54" s="133"/>
      <c r="C54" s="133"/>
      <c r="D54" s="133"/>
      <c r="E54" s="133"/>
      <c r="F54" s="133"/>
      <c r="G54" s="118"/>
      <c r="H54" s="118"/>
      <c r="I54" s="118"/>
      <c r="J54" s="118"/>
      <c r="K54" s="118"/>
      <c r="M54" s="118"/>
      <c r="V54" s="118"/>
      <c r="W54" s="118"/>
    </row>
    <row r="55" spans="1:29" s="73" customFormat="1" x14ac:dyDescent="0.2">
      <c r="A55" s="133"/>
      <c r="B55" s="133"/>
      <c r="C55" s="133"/>
      <c r="D55" s="133"/>
      <c r="E55" s="133"/>
      <c r="F55" s="118"/>
      <c r="G55" s="118"/>
      <c r="H55" s="118"/>
      <c r="I55" s="118"/>
      <c r="J55" s="118"/>
      <c r="K55" s="134"/>
      <c r="L55" s="118"/>
      <c r="M55" s="118"/>
      <c r="N55" s="118"/>
      <c r="S55" s="118"/>
      <c r="T55" s="118"/>
      <c r="U55" s="118"/>
    </row>
    <row r="56" spans="1:29" s="456" customFormat="1" ht="16.5" thickBot="1" x14ac:dyDescent="0.25">
      <c r="A56" s="133"/>
      <c r="B56" s="133"/>
      <c r="C56" s="133"/>
      <c r="D56" s="133"/>
      <c r="E56" s="118"/>
      <c r="F56" s="118"/>
      <c r="G56" s="118"/>
      <c r="H56" s="118"/>
      <c r="I56" s="118"/>
      <c r="J56" s="134"/>
      <c r="K56" s="134"/>
      <c r="L56" s="134"/>
      <c r="M56" s="134"/>
      <c r="R56" s="134"/>
    </row>
    <row r="57" spans="1:29" s="456" customFormat="1" ht="19.5" thickBot="1" x14ac:dyDescent="0.25">
      <c r="A57" s="938" t="s">
        <v>29</v>
      </c>
      <c r="B57" s="939"/>
      <c r="C57" s="940"/>
      <c r="D57" s="133"/>
      <c r="E57" s="133"/>
      <c r="F57" s="118"/>
      <c r="G57" s="118"/>
      <c r="H57" s="118"/>
      <c r="I57" s="118"/>
      <c r="J57" s="118"/>
      <c r="K57" s="134"/>
      <c r="L57" s="134"/>
      <c r="M57" s="134"/>
      <c r="N57" s="134"/>
      <c r="S57" s="134"/>
      <c r="T57" s="134"/>
      <c r="U57" s="134"/>
    </row>
    <row r="58" spans="1:29" s="456" customFormat="1" ht="16.5" thickBot="1" x14ac:dyDescent="0.25">
      <c r="A58" s="800" t="s">
        <v>625</v>
      </c>
      <c r="B58" s="801"/>
      <c r="C58" s="802"/>
      <c r="D58" s="133"/>
      <c r="E58" s="133"/>
      <c r="F58" s="133"/>
      <c r="G58" s="118"/>
      <c r="H58" s="118"/>
      <c r="I58" s="118"/>
      <c r="J58" s="118"/>
      <c r="K58" s="118"/>
      <c r="L58" s="134"/>
      <c r="N58" s="134"/>
      <c r="O58" s="134"/>
      <c r="V58" s="134"/>
    </row>
    <row r="59" spans="1:29" s="456" customFormat="1" x14ac:dyDescent="0.2">
      <c r="A59" s="506" t="s">
        <v>30</v>
      </c>
      <c r="B59" s="507"/>
      <c r="C59" s="508" t="s">
        <v>155</v>
      </c>
      <c r="D59" s="509"/>
      <c r="E59" s="509"/>
      <c r="F59" s="510"/>
      <c r="G59" s="510"/>
      <c r="H59" s="509"/>
      <c r="I59" s="510"/>
      <c r="J59" s="509"/>
      <c r="K59" s="143"/>
      <c r="L59" s="144"/>
      <c r="N59" s="134"/>
      <c r="O59" s="134"/>
      <c r="P59" s="134"/>
    </row>
    <row r="60" spans="1:29" s="456" customFormat="1" x14ac:dyDescent="0.2">
      <c r="A60" s="96" t="s">
        <v>626</v>
      </c>
      <c r="B60" s="511"/>
      <c r="C60" s="511"/>
      <c r="D60" s="512"/>
      <c r="E60" s="512"/>
      <c r="F60" s="215"/>
      <c r="G60" s="215"/>
      <c r="H60" s="512"/>
      <c r="I60" s="215"/>
      <c r="J60" s="512"/>
      <c r="K60" s="149"/>
      <c r="L60" s="150"/>
      <c r="N60" s="134"/>
      <c r="O60" s="134"/>
      <c r="P60" s="134"/>
    </row>
    <row r="61" spans="1:29" s="456" customFormat="1" x14ac:dyDescent="0.2">
      <c r="A61" s="96" t="s">
        <v>173</v>
      </c>
      <c r="B61" s="511"/>
      <c r="C61" s="511"/>
      <c r="D61" s="512"/>
      <c r="E61" s="512"/>
      <c r="F61" s="215"/>
      <c r="G61" s="215"/>
      <c r="H61" s="512"/>
      <c r="I61" s="215"/>
      <c r="J61" s="512"/>
      <c r="K61" s="149"/>
      <c r="L61" s="150"/>
      <c r="N61" s="134"/>
      <c r="O61" s="134"/>
      <c r="P61" s="134"/>
    </row>
    <row r="62" spans="1:29" s="456" customFormat="1" x14ac:dyDescent="0.2">
      <c r="A62" s="96" t="s">
        <v>987</v>
      </c>
      <c r="B62" s="511"/>
      <c r="C62" s="511"/>
      <c r="D62" s="512"/>
      <c r="E62" s="512"/>
      <c r="F62" s="215"/>
      <c r="G62" s="215"/>
      <c r="H62" s="512"/>
      <c r="I62" s="215"/>
      <c r="J62" s="512"/>
      <c r="K62" s="149"/>
      <c r="L62" s="150"/>
      <c r="N62" s="134"/>
      <c r="O62" s="134"/>
      <c r="P62" s="134"/>
    </row>
    <row r="63" spans="1:29" s="456" customFormat="1" ht="16.5" thickBot="1" x14ac:dyDescent="0.25">
      <c r="A63" s="110" t="s">
        <v>988</v>
      </c>
      <c r="B63" s="513"/>
      <c r="C63" s="513"/>
      <c r="D63" s="514"/>
      <c r="E63" s="514"/>
      <c r="F63" s="515"/>
      <c r="G63" s="515"/>
      <c r="H63" s="514"/>
      <c r="I63" s="515"/>
      <c r="J63" s="514"/>
      <c r="K63" s="154"/>
      <c r="L63" s="155"/>
      <c r="N63" s="134"/>
      <c r="O63" s="134"/>
      <c r="P63" s="134"/>
    </row>
    <row r="64" spans="1:29" s="456" customFormat="1" ht="16.5" thickBot="1" x14ac:dyDescent="0.25">
      <c r="A64" s="516"/>
      <c r="B64" s="517"/>
      <c r="C64" s="134"/>
      <c r="D64" s="133"/>
      <c r="E64" s="133"/>
      <c r="F64" s="133"/>
      <c r="G64" s="133"/>
      <c r="H64" s="118"/>
      <c r="I64" s="118"/>
      <c r="J64" s="118"/>
      <c r="K64" s="118"/>
      <c r="L64" s="118"/>
      <c r="M64" s="134"/>
      <c r="O64" s="134"/>
      <c r="P64" s="134"/>
      <c r="Q64" s="118"/>
    </row>
    <row r="65" spans="1:24" s="14" customFormat="1" ht="48" thickBot="1" x14ac:dyDescent="0.25">
      <c r="A65" s="518" t="s">
        <v>31</v>
      </c>
      <c r="B65" s="932" t="s">
        <v>628</v>
      </c>
      <c r="C65" s="933"/>
      <c r="D65" s="934"/>
      <c r="E65" s="519" t="s">
        <v>11</v>
      </c>
      <c r="F65" s="519" t="s">
        <v>14</v>
      </c>
      <c r="G65" s="519" t="s">
        <v>287</v>
      </c>
      <c r="H65" s="519" t="s">
        <v>32</v>
      </c>
      <c r="I65" s="519" t="s">
        <v>16</v>
      </c>
      <c r="J65" s="519" t="s">
        <v>17</v>
      </c>
      <c r="K65" s="519" t="s">
        <v>18</v>
      </c>
      <c r="L65" s="519" t="s">
        <v>19</v>
      </c>
      <c r="M65" s="519" t="s">
        <v>20</v>
      </c>
      <c r="N65" s="520" t="s">
        <v>123</v>
      </c>
      <c r="O65" s="519" t="s">
        <v>96</v>
      </c>
      <c r="P65" s="521" t="s">
        <v>809</v>
      </c>
    </row>
    <row r="66" spans="1:24" s="303" customFormat="1" x14ac:dyDescent="0.2">
      <c r="A66" s="269"/>
      <c r="B66" s="925"/>
      <c r="C66" s="926"/>
      <c r="D66" s="926"/>
      <c r="E66" s="226"/>
      <c r="F66" s="226"/>
      <c r="G66" s="226"/>
      <c r="H66" s="226"/>
      <c r="I66" s="226"/>
      <c r="J66" s="273"/>
      <c r="K66" s="263"/>
      <c r="L66" s="263"/>
      <c r="M66" s="306"/>
      <c r="N66" s="49"/>
      <c r="O66" s="226"/>
      <c r="P66" s="274"/>
      <c r="Q66" s="159"/>
      <c r="R66" s="159"/>
      <c r="S66" s="159"/>
      <c r="T66" s="159"/>
      <c r="U66" s="159"/>
      <c r="V66" s="160"/>
      <c r="W66" s="160"/>
      <c r="X66" s="160"/>
    </row>
    <row r="67" spans="1:24" s="303" customFormat="1" x14ac:dyDescent="0.2">
      <c r="A67" s="248"/>
      <c r="B67" s="927"/>
      <c r="C67" s="928"/>
      <c r="D67" s="928"/>
      <c r="E67" s="125"/>
      <c r="F67" s="125"/>
      <c r="G67" s="125"/>
      <c r="H67" s="125"/>
      <c r="I67" s="125"/>
      <c r="J67" s="275"/>
      <c r="K67" s="255"/>
      <c r="L67" s="255"/>
      <c r="M67" s="307"/>
      <c r="N67" s="21"/>
      <c r="O67" s="125"/>
      <c r="P67" s="276"/>
      <c r="Q67" s="159"/>
      <c r="R67" s="159"/>
      <c r="S67" s="159"/>
      <c r="T67" s="159"/>
      <c r="U67" s="159"/>
      <c r="V67" s="160"/>
      <c r="W67" s="160"/>
      <c r="X67" s="160"/>
    </row>
    <row r="68" spans="1:24" s="303" customFormat="1" x14ac:dyDescent="0.2">
      <c r="A68" s="248"/>
      <c r="B68" s="927"/>
      <c r="C68" s="928"/>
      <c r="D68" s="928"/>
      <c r="E68" s="125"/>
      <c r="F68" s="125"/>
      <c r="G68" s="125"/>
      <c r="H68" s="125"/>
      <c r="I68" s="125"/>
      <c r="J68" s="275"/>
      <c r="K68" s="255"/>
      <c r="L68" s="255"/>
      <c r="M68" s="307"/>
      <c r="N68" s="21"/>
      <c r="O68" s="125"/>
      <c r="P68" s="276"/>
      <c r="Q68" s="159"/>
      <c r="R68" s="159"/>
      <c r="S68" s="159"/>
      <c r="T68" s="159"/>
      <c r="U68" s="159"/>
      <c r="V68" s="160"/>
      <c r="W68" s="160"/>
      <c r="X68" s="160"/>
    </row>
    <row r="69" spans="1:24" s="303" customFormat="1" ht="16.5" thickBot="1" x14ac:dyDescent="0.25">
      <c r="A69" s="304"/>
      <c r="B69" s="912"/>
      <c r="C69" s="913"/>
      <c r="D69" s="913"/>
      <c r="E69" s="130"/>
      <c r="F69" s="130"/>
      <c r="G69" s="130"/>
      <c r="H69" s="130"/>
      <c r="I69" s="130"/>
      <c r="J69" s="258"/>
      <c r="K69" s="256"/>
      <c r="L69" s="256"/>
      <c r="M69" s="305"/>
      <c r="N69" s="29"/>
      <c r="O69" s="129"/>
      <c r="P69" s="132"/>
      <c r="Q69" s="159"/>
      <c r="R69" s="159"/>
      <c r="S69" s="159"/>
      <c r="T69" s="159"/>
      <c r="U69" s="159"/>
      <c r="V69" s="160"/>
      <c r="W69" s="160"/>
      <c r="X69" s="160"/>
    </row>
    <row r="70" spans="1:24" s="456" customFormat="1" x14ac:dyDescent="0.2">
      <c r="A70" s="134"/>
      <c r="B70" s="134"/>
      <c r="C70" s="522"/>
      <c r="D70" s="522"/>
      <c r="E70" s="134"/>
      <c r="F70" s="134"/>
      <c r="G70" s="134"/>
      <c r="H70" s="134"/>
      <c r="I70" s="134"/>
      <c r="J70" s="134"/>
      <c r="K70" s="134"/>
      <c r="L70" s="134"/>
      <c r="M70" s="134"/>
      <c r="O70" s="118"/>
      <c r="P70" s="118"/>
      <c r="Q70" s="118"/>
      <c r="R70" s="118"/>
      <c r="S70" s="118"/>
      <c r="T70" s="118"/>
      <c r="U70" s="118"/>
      <c r="V70" s="134"/>
      <c r="W70" s="134"/>
      <c r="X70" s="134"/>
    </row>
    <row r="71" spans="1:24" s="456" customFormat="1" ht="16.5" thickBot="1" x14ac:dyDescent="0.25">
      <c r="A71" s="133"/>
      <c r="B71" s="133"/>
      <c r="C71" s="133"/>
      <c r="D71" s="133"/>
      <c r="E71" s="133"/>
      <c r="F71" s="133"/>
      <c r="G71" s="133"/>
      <c r="H71" s="133"/>
      <c r="I71" s="118"/>
      <c r="J71" s="118"/>
      <c r="K71" s="118"/>
      <c r="L71" s="118"/>
      <c r="M71" s="118"/>
      <c r="N71" s="134"/>
      <c r="O71" s="134"/>
      <c r="P71" s="134"/>
      <c r="Q71" s="134"/>
      <c r="R71" s="134"/>
      <c r="S71" s="134"/>
      <c r="T71" s="134"/>
      <c r="U71" s="134"/>
      <c r="V71" s="134"/>
      <c r="W71" s="118"/>
    </row>
    <row r="72" spans="1:24" s="456" customFormat="1" ht="19.5" thickBot="1" x14ac:dyDescent="0.25">
      <c r="A72" s="938" t="s">
        <v>34</v>
      </c>
      <c r="B72" s="939"/>
      <c r="C72" s="940"/>
      <c r="D72" s="523"/>
      <c r="E72" s="133"/>
      <c r="F72" s="133"/>
      <c r="G72" s="133"/>
      <c r="H72" s="133"/>
      <c r="I72" s="118"/>
      <c r="J72" s="118"/>
      <c r="K72" s="118"/>
      <c r="L72" s="118"/>
      <c r="M72" s="118"/>
      <c r="N72" s="134"/>
      <c r="O72" s="134"/>
      <c r="P72" s="134"/>
      <c r="Q72" s="134"/>
      <c r="R72" s="134"/>
      <c r="S72" s="134"/>
      <c r="T72" s="134"/>
      <c r="U72" s="134"/>
      <c r="V72" s="134"/>
      <c r="W72" s="118"/>
    </row>
    <row r="73" spans="1:24" s="456" customFormat="1" ht="16.5" thickBot="1" x14ac:dyDescent="0.25">
      <c r="A73" s="800" t="s">
        <v>625</v>
      </c>
      <c r="B73" s="801"/>
      <c r="C73" s="802"/>
      <c r="D73" s="200"/>
      <c r="E73" s="200"/>
      <c r="F73" s="200"/>
      <c r="G73" s="200"/>
      <c r="H73" s="194"/>
      <c r="I73" s="194"/>
      <c r="J73" s="200"/>
      <c r="K73" s="194"/>
      <c r="L73" s="200"/>
      <c r="M73" s="118"/>
      <c r="N73" s="134"/>
      <c r="O73" s="134"/>
      <c r="P73" s="134"/>
      <c r="Q73" s="134"/>
      <c r="R73" s="134"/>
      <c r="S73" s="134"/>
      <c r="T73" s="134"/>
      <c r="U73" s="134"/>
      <c r="V73" s="134"/>
      <c r="W73" s="118"/>
    </row>
    <row r="74" spans="1:24" s="456" customFormat="1" x14ac:dyDescent="0.2">
      <c r="A74" s="506" t="s">
        <v>30</v>
      </c>
      <c r="B74" s="470"/>
      <c r="C74" s="508" t="s">
        <v>155</v>
      </c>
      <c r="D74" s="508"/>
      <c r="E74" s="509"/>
      <c r="F74" s="509"/>
      <c r="G74" s="509"/>
      <c r="H74" s="510"/>
      <c r="I74" s="510"/>
      <c r="J74" s="509"/>
      <c r="K74" s="510"/>
      <c r="L74" s="524"/>
      <c r="M74" s="118"/>
      <c r="N74" s="134"/>
      <c r="O74" s="134"/>
      <c r="P74" s="134"/>
      <c r="Q74" s="134"/>
      <c r="R74" s="134"/>
      <c r="S74" s="134"/>
      <c r="T74" s="134"/>
      <c r="U74" s="134"/>
      <c r="V74" s="134"/>
      <c r="W74" s="118"/>
    </row>
    <row r="75" spans="1:24" s="456" customFormat="1" x14ac:dyDescent="0.2">
      <c r="A75" s="96" t="s">
        <v>35</v>
      </c>
      <c r="B75" s="512"/>
      <c r="C75" s="512"/>
      <c r="D75" s="512"/>
      <c r="E75" s="512"/>
      <c r="F75" s="512"/>
      <c r="G75" s="512"/>
      <c r="H75" s="215"/>
      <c r="I75" s="215"/>
      <c r="J75" s="512"/>
      <c r="K75" s="215"/>
      <c r="L75" s="525"/>
      <c r="M75" s="118"/>
      <c r="N75" s="134"/>
      <c r="O75" s="134"/>
      <c r="P75" s="134"/>
      <c r="Q75" s="134"/>
      <c r="R75" s="134"/>
      <c r="S75" s="134"/>
      <c r="T75" s="134"/>
      <c r="U75" s="134"/>
      <c r="V75" s="134"/>
      <c r="W75" s="118"/>
    </row>
    <row r="76" spans="1:24" s="456" customFormat="1" x14ac:dyDescent="0.2">
      <c r="A76" s="96" t="s">
        <v>174</v>
      </c>
      <c r="B76" s="512"/>
      <c r="C76" s="512"/>
      <c r="D76" s="512"/>
      <c r="E76" s="512"/>
      <c r="F76" s="512"/>
      <c r="G76" s="512"/>
      <c r="H76" s="215"/>
      <c r="I76" s="215"/>
      <c r="J76" s="512"/>
      <c r="K76" s="215"/>
      <c r="L76" s="525"/>
      <c r="M76" s="118"/>
      <c r="N76" s="134"/>
      <c r="O76" s="134"/>
      <c r="P76" s="134"/>
      <c r="Q76" s="134"/>
      <c r="R76" s="134"/>
      <c r="S76" s="134"/>
      <c r="T76" s="134"/>
      <c r="U76" s="134"/>
      <c r="V76" s="134"/>
      <c r="W76" s="118"/>
    </row>
    <row r="77" spans="1:24" s="456" customFormat="1" x14ac:dyDescent="0.2">
      <c r="A77" s="96" t="s">
        <v>987</v>
      </c>
      <c r="B77" s="512"/>
      <c r="C77" s="512"/>
      <c r="D77" s="512"/>
      <c r="E77" s="512"/>
      <c r="F77" s="512"/>
      <c r="G77" s="512"/>
      <c r="H77" s="215"/>
      <c r="I77" s="215"/>
      <c r="J77" s="512"/>
      <c r="K77" s="215"/>
      <c r="L77" s="525"/>
      <c r="M77" s="118"/>
      <c r="N77" s="134"/>
      <c r="O77" s="134"/>
      <c r="P77" s="134"/>
      <c r="Q77" s="134"/>
      <c r="R77" s="134"/>
      <c r="S77" s="134"/>
      <c r="T77" s="134"/>
      <c r="U77" s="134"/>
      <c r="V77" s="134"/>
      <c r="W77" s="118"/>
    </row>
    <row r="78" spans="1:24" s="456" customFormat="1" ht="16.5" thickBot="1" x14ac:dyDescent="0.25">
      <c r="A78" s="110" t="s">
        <v>988</v>
      </c>
      <c r="B78" s="514"/>
      <c r="C78" s="514"/>
      <c r="D78" s="514"/>
      <c r="E78" s="514"/>
      <c r="F78" s="514"/>
      <c r="G78" s="514"/>
      <c r="H78" s="515"/>
      <c r="I78" s="515"/>
      <c r="J78" s="514"/>
      <c r="K78" s="515"/>
      <c r="L78" s="526"/>
      <c r="M78" s="118"/>
      <c r="N78" s="134"/>
      <c r="O78" s="134"/>
      <c r="P78" s="134"/>
      <c r="Q78" s="134"/>
      <c r="R78" s="134"/>
      <c r="S78" s="134"/>
      <c r="T78" s="134"/>
      <c r="U78" s="134"/>
      <c r="V78" s="134"/>
      <c r="W78" s="118"/>
    </row>
    <row r="79" spans="1:24" s="456" customFormat="1" ht="16.5" thickBot="1" x14ac:dyDescent="0.25">
      <c r="A79" s="527"/>
      <c r="E79" s="200"/>
      <c r="F79" s="200"/>
      <c r="G79" s="200"/>
      <c r="H79" s="194"/>
      <c r="I79" s="517"/>
      <c r="J79" s="200"/>
      <c r="K79" s="194"/>
      <c r="L79" s="200"/>
      <c r="M79" s="118"/>
      <c r="N79" s="134"/>
      <c r="O79" s="134"/>
      <c r="P79" s="134"/>
      <c r="Q79" s="134"/>
      <c r="R79" s="118"/>
      <c r="V79" s="528"/>
      <c r="W79" s="528"/>
    </row>
    <row r="80" spans="1:24" s="14" customFormat="1" ht="32.25" thickBot="1" x14ac:dyDescent="0.25">
      <c r="A80" s="518" t="s">
        <v>31</v>
      </c>
      <c r="B80" s="932" t="s">
        <v>13</v>
      </c>
      <c r="C80" s="933"/>
      <c r="D80" s="934"/>
      <c r="E80" s="519" t="s">
        <v>12</v>
      </c>
      <c r="F80" s="519" t="s">
        <v>14</v>
      </c>
      <c r="G80" s="519" t="s">
        <v>276</v>
      </c>
      <c r="H80" s="519" t="s">
        <v>32</v>
      </c>
      <c r="I80" s="519" t="s">
        <v>16</v>
      </c>
      <c r="J80" s="519" t="s">
        <v>17</v>
      </c>
      <c r="K80" s="519" t="s">
        <v>18</v>
      </c>
      <c r="L80" s="519" t="s">
        <v>19</v>
      </c>
      <c r="M80" s="519" t="s">
        <v>20</v>
      </c>
      <c r="N80" s="520" t="s">
        <v>123</v>
      </c>
      <c r="O80" s="519" t="s">
        <v>94</v>
      </c>
      <c r="P80" s="521" t="s">
        <v>807</v>
      </c>
      <c r="W80" s="13"/>
    </row>
    <row r="81" spans="1:23" s="303" customFormat="1" x14ac:dyDescent="0.2">
      <c r="A81" s="269"/>
      <c r="B81" s="925"/>
      <c r="C81" s="926"/>
      <c r="D81" s="926"/>
      <c r="E81" s="226"/>
      <c r="F81" s="226"/>
      <c r="G81" s="226"/>
      <c r="H81" s="226"/>
      <c r="I81" s="226"/>
      <c r="J81" s="263"/>
      <c r="K81" s="263"/>
      <c r="L81" s="263"/>
      <c r="M81" s="263"/>
      <c r="N81" s="49"/>
      <c r="O81" s="226"/>
      <c r="P81" s="274"/>
      <c r="Q81" s="160"/>
      <c r="R81" s="160"/>
      <c r="S81" s="160"/>
      <c r="T81" s="160"/>
      <c r="U81" s="160"/>
      <c r="V81" s="160"/>
      <c r="W81" s="159"/>
    </row>
    <row r="82" spans="1:23" s="303" customFormat="1" x14ac:dyDescent="0.2">
      <c r="A82" s="248"/>
      <c r="B82" s="927"/>
      <c r="C82" s="928"/>
      <c r="D82" s="928"/>
      <c r="E82" s="125"/>
      <c r="F82" s="125"/>
      <c r="G82" s="125"/>
      <c r="H82" s="125"/>
      <c r="I82" s="125"/>
      <c r="J82" s="255"/>
      <c r="K82" s="255"/>
      <c r="L82" s="255"/>
      <c r="M82" s="255"/>
      <c r="N82" s="21"/>
      <c r="O82" s="125"/>
      <c r="P82" s="276"/>
      <c r="Q82" s="160"/>
      <c r="R82" s="160"/>
      <c r="S82" s="160"/>
      <c r="T82" s="160"/>
      <c r="U82" s="160"/>
      <c r="V82" s="160"/>
      <c r="W82" s="159"/>
    </row>
    <row r="83" spans="1:23" s="303" customFormat="1" x14ac:dyDescent="0.2">
      <c r="A83" s="248"/>
      <c r="B83" s="927"/>
      <c r="C83" s="928"/>
      <c r="D83" s="928"/>
      <c r="E83" s="125"/>
      <c r="F83" s="125"/>
      <c r="G83" s="125"/>
      <c r="H83" s="125"/>
      <c r="I83" s="125"/>
      <c r="J83" s="255"/>
      <c r="K83" s="255"/>
      <c r="L83" s="255"/>
      <c r="M83" s="255"/>
      <c r="N83" s="21"/>
      <c r="O83" s="125"/>
      <c r="P83" s="276"/>
      <c r="Q83" s="160"/>
      <c r="R83" s="160"/>
      <c r="S83" s="160"/>
      <c r="T83" s="160"/>
      <c r="U83" s="160"/>
      <c r="V83" s="160"/>
      <c r="W83" s="159"/>
    </row>
    <row r="84" spans="1:23" s="303" customFormat="1" ht="16.5" thickBot="1" x14ac:dyDescent="0.25">
      <c r="A84" s="304"/>
      <c r="B84" s="912"/>
      <c r="C84" s="913"/>
      <c r="D84" s="913"/>
      <c r="E84" s="130"/>
      <c r="F84" s="130"/>
      <c r="G84" s="130"/>
      <c r="H84" s="130"/>
      <c r="I84" s="130"/>
      <c r="J84" s="256"/>
      <c r="K84" s="256"/>
      <c r="L84" s="256"/>
      <c r="M84" s="256"/>
      <c r="N84" s="29"/>
      <c r="O84" s="129"/>
      <c r="P84" s="132"/>
      <c r="Q84" s="160"/>
      <c r="R84" s="160"/>
      <c r="S84" s="160"/>
      <c r="T84" s="160"/>
      <c r="U84" s="160"/>
      <c r="V84" s="160"/>
      <c r="W84" s="159"/>
    </row>
    <row r="85" spans="1:23" s="456" customFormat="1" ht="16.5" thickBot="1" x14ac:dyDescent="0.25">
      <c r="A85" s="133"/>
      <c r="B85" s="133"/>
      <c r="C85" s="133"/>
      <c r="D85" s="133"/>
      <c r="E85" s="133"/>
      <c r="F85" s="133"/>
      <c r="G85" s="133"/>
      <c r="H85" s="118"/>
      <c r="I85" s="118"/>
      <c r="J85" s="118"/>
      <c r="K85" s="118"/>
      <c r="L85" s="118"/>
      <c r="M85" s="134"/>
      <c r="N85" s="134"/>
      <c r="O85" s="134"/>
      <c r="P85" s="134"/>
      <c r="Q85" s="134"/>
      <c r="R85" s="134"/>
      <c r="S85" s="134"/>
      <c r="T85" s="134"/>
      <c r="U85" s="134"/>
      <c r="V85" s="118"/>
    </row>
    <row r="86" spans="1:23" s="73" customFormat="1" ht="16.5" thickBot="1" x14ac:dyDescent="0.25">
      <c r="A86" s="822" t="s">
        <v>36</v>
      </c>
      <c r="B86" s="823"/>
      <c r="C86" s="823"/>
      <c r="D86" s="823"/>
      <c r="E86" s="823"/>
      <c r="F86" s="823"/>
      <c r="G86" s="823"/>
      <c r="H86" s="823"/>
      <c r="I86" s="824"/>
      <c r="J86" s="169"/>
      <c r="K86" s="118"/>
      <c r="L86" s="134"/>
      <c r="M86" s="134"/>
      <c r="N86" s="134"/>
      <c r="O86" s="134"/>
      <c r="P86" s="134"/>
      <c r="Q86" s="134"/>
      <c r="R86" s="134"/>
      <c r="S86" s="118"/>
      <c r="T86" s="118"/>
      <c r="U86" s="118"/>
    </row>
    <row r="87" spans="1:23" s="73" customFormat="1" ht="16.5" thickBot="1" x14ac:dyDescent="0.25">
      <c r="A87" s="935" t="s">
        <v>37</v>
      </c>
      <c r="B87" s="936"/>
      <c r="C87" s="936"/>
      <c r="D87" s="936"/>
      <c r="E87" s="936"/>
      <c r="F87" s="936"/>
      <c r="G87" s="936"/>
      <c r="H87" s="936"/>
      <c r="I87" s="937"/>
      <c r="J87" s="170"/>
      <c r="K87" s="118"/>
      <c r="L87" s="134"/>
      <c r="M87" s="134"/>
      <c r="N87" s="134"/>
      <c r="O87" s="134"/>
      <c r="P87" s="134"/>
      <c r="Q87" s="134"/>
      <c r="R87" s="134"/>
      <c r="S87" s="118"/>
      <c r="T87" s="118"/>
      <c r="U87" s="118"/>
    </row>
    <row r="88" spans="1:23" s="308" customFormat="1" ht="15.75" customHeight="1" thickBot="1" x14ac:dyDescent="0.25">
      <c r="A88" s="665" t="s">
        <v>296</v>
      </c>
      <c r="B88" s="909" t="s">
        <v>1129</v>
      </c>
      <c r="C88" s="910"/>
      <c r="D88" s="910"/>
      <c r="E88" s="910"/>
      <c r="F88" s="910"/>
      <c r="G88" s="910"/>
      <c r="H88" s="910"/>
      <c r="I88" s="911"/>
      <c r="J88" s="171"/>
      <c r="K88" s="172"/>
      <c r="L88" s="173"/>
      <c r="M88" s="173"/>
      <c r="N88" s="173"/>
      <c r="O88" s="173"/>
      <c r="P88" s="173"/>
      <c r="Q88" s="173"/>
      <c r="R88" s="173"/>
      <c r="S88" s="172"/>
      <c r="T88" s="172"/>
      <c r="U88" s="172"/>
    </row>
    <row r="89" spans="1:23" s="73" customFormat="1" ht="16.5" thickBot="1" x14ac:dyDescent="0.25">
      <c r="A89" s="196"/>
      <c r="B89" s="169"/>
      <c r="C89" s="169"/>
      <c r="D89" s="169"/>
      <c r="E89" s="169"/>
      <c r="F89" s="176"/>
      <c r="G89" s="176"/>
      <c r="H89" s="176"/>
      <c r="I89" s="176"/>
      <c r="J89" s="176"/>
      <c r="K89" s="118"/>
      <c r="L89" s="134"/>
      <c r="M89" s="134"/>
      <c r="N89" s="134"/>
      <c r="O89" s="134"/>
      <c r="P89" s="134"/>
      <c r="Q89" s="118"/>
    </row>
    <row r="90" spans="1:23" s="73" customFormat="1" ht="16.5" customHeight="1" thickBot="1" x14ac:dyDescent="0.25">
      <c r="A90" s="917" t="s">
        <v>214</v>
      </c>
      <c r="B90" s="918"/>
      <c r="C90" s="918"/>
      <c r="D90" s="918"/>
      <c r="E90" s="918"/>
      <c r="F90" s="918"/>
      <c r="G90" s="918"/>
      <c r="H90" s="930" t="s">
        <v>226</v>
      </c>
      <c r="I90" s="786" t="s">
        <v>627</v>
      </c>
      <c r="J90" s="786" t="s">
        <v>215</v>
      </c>
      <c r="K90" s="786" t="s">
        <v>23</v>
      </c>
      <c r="L90" s="786" t="s">
        <v>302</v>
      </c>
      <c r="M90" s="788" t="s">
        <v>83</v>
      </c>
      <c r="N90" s="134"/>
      <c r="O90" s="118"/>
      <c r="P90" s="456"/>
      <c r="Q90" s="528"/>
      <c r="R90" s="528"/>
    </row>
    <row r="91" spans="1:23" s="446" customFormat="1" ht="16.5" thickBot="1" x14ac:dyDescent="0.25">
      <c r="A91" s="919" t="s">
        <v>887</v>
      </c>
      <c r="B91" s="920"/>
      <c r="C91" s="920"/>
      <c r="D91" s="920"/>
      <c r="E91" s="920"/>
      <c r="F91" s="920"/>
      <c r="G91" s="921"/>
      <c r="H91" s="931"/>
      <c r="I91" s="908"/>
      <c r="J91" s="908"/>
      <c r="K91" s="908"/>
      <c r="L91" s="908"/>
      <c r="M91" s="929"/>
      <c r="N91" s="177"/>
      <c r="O91" s="177"/>
      <c r="P91" s="177"/>
      <c r="Q91" s="177"/>
      <c r="R91" s="177"/>
    </row>
    <row r="92" spans="1:23" s="446" customFormat="1" ht="15.75" customHeight="1" thickBot="1" x14ac:dyDescent="0.25">
      <c r="A92" s="914" t="s">
        <v>353</v>
      </c>
      <c r="B92" s="915"/>
      <c r="C92" s="915"/>
      <c r="D92" s="915"/>
      <c r="E92" s="915"/>
      <c r="F92" s="915"/>
      <c r="G92" s="916"/>
      <c r="H92" s="931"/>
      <c r="I92" s="908"/>
      <c r="J92" s="908"/>
      <c r="K92" s="908"/>
      <c r="L92" s="908"/>
      <c r="M92" s="929"/>
      <c r="N92" s="177"/>
      <c r="O92" s="177"/>
      <c r="P92" s="177"/>
      <c r="Q92" s="177"/>
      <c r="R92" s="177"/>
    </row>
    <row r="93" spans="1:23" s="136" customFormat="1" ht="15.75" customHeight="1" x14ac:dyDescent="0.2">
      <c r="A93" s="178" t="s">
        <v>346</v>
      </c>
      <c r="B93" s="942" t="str">
        <f>IF($A93="","",VLOOKUP($A93,Listes!$A$3:$C$193,2,FALSE))</f>
        <v>Aden Gulf Surcharge</v>
      </c>
      <c r="C93" s="942"/>
      <c r="D93" s="942"/>
      <c r="E93" s="941" t="s">
        <v>53</v>
      </c>
      <c r="F93" s="941"/>
      <c r="G93" s="941"/>
      <c r="H93" s="654"/>
      <c r="I93" s="529"/>
      <c r="J93" s="529"/>
      <c r="K93" s="529"/>
      <c r="L93" s="529"/>
      <c r="M93" s="530"/>
      <c r="N93" s="160"/>
      <c r="O93" s="160"/>
      <c r="P93" s="160"/>
      <c r="Q93" s="160"/>
      <c r="R93" s="159"/>
    </row>
    <row r="94" spans="1:23" s="136" customFormat="1" ht="15.75" customHeight="1" x14ac:dyDescent="0.2">
      <c r="A94" s="182" t="s">
        <v>234</v>
      </c>
      <c r="B94" s="813" t="str">
        <f>IF($A94="","",VLOOKUP($A94,Listes!$A$3:$C$193,2,FALSE))</f>
        <v>Bunker Adjustment Factor</v>
      </c>
      <c r="C94" s="813"/>
      <c r="D94" s="813"/>
      <c r="E94" s="814" t="s">
        <v>51</v>
      </c>
      <c r="F94" s="814"/>
      <c r="G94" s="814"/>
      <c r="H94" s="653"/>
      <c r="I94" s="531"/>
      <c r="J94" s="531"/>
      <c r="K94" s="531"/>
      <c r="L94" s="531"/>
      <c r="M94" s="532"/>
      <c r="N94" s="160"/>
      <c r="O94" s="160"/>
      <c r="P94" s="160"/>
      <c r="Q94" s="160"/>
      <c r="R94" s="159"/>
    </row>
    <row r="95" spans="1:23" s="136" customFormat="1" ht="15.75" customHeight="1" x14ac:dyDescent="0.2">
      <c r="A95" s="182" t="s">
        <v>557</v>
      </c>
      <c r="B95" s="813" t="str">
        <f>IF($A95="","",VLOOKUP($A95,Listes!$A$3:$C$193,2,FALSE))</f>
        <v>Cargo Facility Charge</v>
      </c>
      <c r="C95" s="813"/>
      <c r="D95" s="813"/>
      <c r="E95" s="814" t="s">
        <v>51</v>
      </c>
      <c r="F95" s="814"/>
      <c r="G95" s="814"/>
      <c r="H95" s="653"/>
      <c r="I95" s="531"/>
      <c r="J95" s="531"/>
      <c r="K95" s="531"/>
      <c r="L95" s="531"/>
      <c r="M95" s="532"/>
      <c r="N95" s="160"/>
      <c r="O95" s="160"/>
      <c r="P95" s="160"/>
      <c r="Q95" s="160"/>
      <c r="R95" s="159"/>
    </row>
    <row r="96" spans="1:23" s="136" customFormat="1" ht="15.75" customHeight="1" x14ac:dyDescent="0.2">
      <c r="A96" s="182" t="s">
        <v>202</v>
      </c>
      <c r="B96" s="813" t="str">
        <f>IF($A96="","",VLOOKUP($A96,Listes!$A$3:$C$193,2,FALSE))</f>
        <v>Container Inspection Fee/Survey Fee</v>
      </c>
      <c r="C96" s="813"/>
      <c r="D96" s="813"/>
      <c r="E96" s="814" t="s">
        <v>51</v>
      </c>
      <c r="F96" s="814"/>
      <c r="G96" s="814"/>
      <c r="H96" s="653"/>
      <c r="I96" s="531"/>
      <c r="J96" s="531"/>
      <c r="K96" s="531"/>
      <c r="L96" s="531"/>
      <c r="M96" s="532"/>
      <c r="N96" s="160"/>
      <c r="O96" s="160"/>
      <c r="P96" s="160"/>
      <c r="Q96" s="160"/>
      <c r="R96" s="159"/>
    </row>
    <row r="97" spans="1:18" s="136" customFormat="1" ht="15.75" customHeight="1" x14ac:dyDescent="0.2">
      <c r="A97" s="182" t="s">
        <v>1103</v>
      </c>
      <c r="B97" s="813" t="str">
        <f>IF($A97="","",VLOOKUP($A97,Listes!$A$3:$C$193,2,FALSE))</f>
        <v>Chassis Administration Fee Pre-Carriage</v>
      </c>
      <c r="C97" s="813"/>
      <c r="D97" s="813"/>
      <c r="E97" s="814" t="s">
        <v>51</v>
      </c>
      <c r="F97" s="814"/>
      <c r="G97" s="814"/>
      <c r="H97" s="653"/>
      <c r="I97" s="531"/>
      <c r="J97" s="531"/>
      <c r="K97" s="531"/>
      <c r="L97" s="531"/>
      <c r="M97" s="532"/>
      <c r="N97" s="160"/>
      <c r="O97" s="160"/>
      <c r="P97" s="160"/>
      <c r="Q97" s="160"/>
      <c r="R97" s="159"/>
    </row>
    <row r="98" spans="1:18" s="136" customFormat="1" ht="15.75" customHeight="1" x14ac:dyDescent="0.2">
      <c r="A98" s="182" t="s">
        <v>551</v>
      </c>
      <c r="B98" s="813" t="str">
        <f>IF($A98="","",VLOOKUP($A98,Listes!$A$3:$C$193,2,FALSE))</f>
        <v>Chassis Provision Charge</v>
      </c>
      <c r="C98" s="813"/>
      <c r="D98" s="813"/>
      <c r="E98" s="814" t="s">
        <v>51</v>
      </c>
      <c r="F98" s="814"/>
      <c r="G98" s="814"/>
      <c r="H98" s="653"/>
      <c r="I98" s="531"/>
      <c r="J98" s="531"/>
      <c r="K98" s="531"/>
      <c r="L98" s="531"/>
      <c r="M98" s="532"/>
      <c r="N98" s="160"/>
      <c r="O98" s="160"/>
      <c r="P98" s="160"/>
      <c r="Q98" s="160"/>
      <c r="R98" s="159"/>
    </row>
    <row r="99" spans="1:18" s="136" customFormat="1" ht="15.75" customHeight="1" x14ac:dyDescent="0.2">
      <c r="A99" s="182" t="s">
        <v>263</v>
      </c>
      <c r="B99" s="813" t="str">
        <f>IF($A99="","",VLOOKUP($A99,Listes!$A$3:$C$193,2,FALSE))</f>
        <v>Carrier Security Charge</v>
      </c>
      <c r="C99" s="813"/>
      <c r="D99" s="813"/>
      <c r="E99" s="814" t="s">
        <v>51</v>
      </c>
      <c r="F99" s="814"/>
      <c r="G99" s="814"/>
      <c r="H99" s="653"/>
      <c r="I99" s="531"/>
      <c r="J99" s="531"/>
      <c r="K99" s="531"/>
      <c r="L99" s="531"/>
      <c r="M99" s="532"/>
      <c r="N99" s="160"/>
      <c r="O99" s="160"/>
      <c r="P99" s="160"/>
      <c r="Q99" s="160"/>
      <c r="R99" s="159"/>
    </row>
    <row r="100" spans="1:18" s="136" customFormat="1" ht="15.75" customHeight="1" x14ac:dyDescent="0.2">
      <c r="A100" s="182" t="s">
        <v>1262</v>
      </c>
      <c r="B100" s="813" t="str">
        <f>IF($A100="","",VLOOKUP($A100,Listes!$A$3:$C$193,2,FALSE))</f>
        <v>Container Maintenance Charge Destination</v>
      </c>
      <c r="C100" s="813"/>
      <c r="D100" s="813"/>
      <c r="E100" s="814" t="s">
        <v>51</v>
      </c>
      <c r="F100" s="814"/>
      <c r="G100" s="814"/>
      <c r="H100" s="653"/>
      <c r="I100" s="531"/>
      <c r="J100" s="531"/>
      <c r="K100" s="531"/>
      <c r="L100" s="531"/>
      <c r="M100" s="532"/>
      <c r="N100" s="160"/>
      <c r="O100" s="160"/>
      <c r="P100" s="160"/>
      <c r="Q100" s="160"/>
      <c r="R100" s="159"/>
    </row>
    <row r="101" spans="1:18" s="136" customFormat="1" ht="15.75" customHeight="1" x14ac:dyDescent="0.2">
      <c r="A101" s="182" t="s">
        <v>230</v>
      </c>
      <c r="B101" s="813" t="str">
        <f>IF($A101="","",VLOOKUP($A101,Listes!$A$3:$C$193,2,FALSE))</f>
        <v>Destination THC / Destination Receiving Charge</v>
      </c>
      <c r="C101" s="813"/>
      <c r="D101" s="813"/>
      <c r="E101" s="814" t="s">
        <v>51</v>
      </c>
      <c r="F101" s="814"/>
      <c r="G101" s="814"/>
      <c r="H101" s="653"/>
      <c r="I101" s="531"/>
      <c r="J101" s="531"/>
      <c r="K101" s="531"/>
      <c r="L101" s="531"/>
      <c r="M101" s="532"/>
      <c r="N101" s="160"/>
      <c r="O101" s="160"/>
      <c r="P101" s="160"/>
      <c r="Q101" s="160"/>
      <c r="R101" s="159"/>
    </row>
    <row r="102" spans="1:18" s="136" customFormat="1" ht="15.75" customHeight="1" x14ac:dyDescent="0.2">
      <c r="A102" s="182" t="s">
        <v>1081</v>
      </c>
      <c r="B102" s="813" t="str">
        <f>IF($A102="","",VLOOKUP($A102,Listes!$A$3:$C$193,2,FALSE))</f>
        <v>Equipment Imbalance Surcharge at Origin</v>
      </c>
      <c r="C102" s="813"/>
      <c r="D102" s="813"/>
      <c r="E102" s="814" t="s">
        <v>51</v>
      </c>
      <c r="F102" s="814"/>
      <c r="G102" s="814"/>
      <c r="H102" s="653"/>
      <c r="I102" s="531"/>
      <c r="J102" s="531"/>
      <c r="K102" s="531"/>
      <c r="L102" s="531"/>
      <c r="M102" s="532"/>
      <c r="N102" s="160"/>
      <c r="O102" s="160"/>
      <c r="P102" s="160"/>
      <c r="Q102" s="160"/>
      <c r="R102" s="159"/>
    </row>
    <row r="103" spans="1:18" s="136" customFormat="1" ht="15.75" customHeight="1" x14ac:dyDescent="0.2">
      <c r="A103" s="182" t="s">
        <v>1082</v>
      </c>
      <c r="B103" s="813" t="str">
        <f>IF($A103="","",VLOOKUP($A103,Listes!$A$3:$C$193,2,FALSE))</f>
        <v>Equipment Imbalance Surcharge at Destination</v>
      </c>
      <c r="C103" s="813"/>
      <c r="D103" s="813"/>
      <c r="E103" s="814" t="s">
        <v>51</v>
      </c>
      <c r="F103" s="814"/>
      <c r="G103" s="814"/>
      <c r="H103" s="653"/>
      <c r="I103" s="531"/>
      <c r="J103" s="531"/>
      <c r="K103" s="531"/>
      <c r="L103" s="531"/>
      <c r="M103" s="532"/>
      <c r="N103" s="160"/>
      <c r="O103" s="160"/>
      <c r="P103" s="160"/>
      <c r="Q103" s="160"/>
      <c r="R103" s="159"/>
    </row>
    <row r="104" spans="1:18" s="136" customFormat="1" ht="15.75" customHeight="1" x14ac:dyDescent="0.2">
      <c r="A104" s="182" t="s">
        <v>874</v>
      </c>
      <c r="B104" s="813" t="str">
        <f>IF($A104="","",VLOOKUP($A104,Listes!$A$3:$C$193,2,FALSE))</f>
        <v>Export Documentation Fees - Carrier</v>
      </c>
      <c r="C104" s="813"/>
      <c r="D104" s="813"/>
      <c r="E104" s="814" t="s">
        <v>51</v>
      </c>
      <c r="F104" s="814"/>
      <c r="G104" s="814"/>
      <c r="H104" s="653"/>
      <c r="I104" s="531"/>
      <c r="J104" s="531"/>
      <c r="K104" s="531"/>
      <c r="L104" s="531"/>
      <c r="M104" s="532"/>
      <c r="N104" s="160"/>
      <c r="O104" s="160"/>
      <c r="P104" s="160"/>
      <c r="Q104" s="160"/>
      <c r="R104" s="159"/>
    </row>
    <row r="105" spans="1:18" s="136" customFormat="1" ht="15.75" customHeight="1" x14ac:dyDescent="0.2">
      <c r="A105" s="182" t="s">
        <v>1114</v>
      </c>
      <c r="B105" s="813" t="str">
        <f>IF($A105="","",VLOOKUP($A105,Listes!$A$3:$C$193,2,FALSE))</f>
        <v>Extra Risk Surcharge (Destination)</v>
      </c>
      <c r="C105" s="813"/>
      <c r="D105" s="813"/>
      <c r="E105" s="814" t="s">
        <v>51</v>
      </c>
      <c r="F105" s="814"/>
      <c r="G105" s="814"/>
      <c r="H105" s="653"/>
      <c r="I105" s="531"/>
      <c r="J105" s="531"/>
      <c r="K105" s="531"/>
      <c r="L105" s="531"/>
      <c r="M105" s="532"/>
      <c r="N105" s="160"/>
      <c r="O105" s="160"/>
      <c r="P105" s="160"/>
      <c r="Q105" s="160"/>
      <c r="R105" s="159"/>
    </row>
    <row r="106" spans="1:18" s="136" customFormat="1" ht="15.75" customHeight="1" x14ac:dyDescent="0.2">
      <c r="A106" s="182" t="s">
        <v>82</v>
      </c>
      <c r="B106" s="813" t="str">
        <f>IF($A106="","",VLOOKUP($A106,Listes!$A$3:$C$193,2,FALSE))</f>
        <v>General Rate Increase</v>
      </c>
      <c r="C106" s="813"/>
      <c r="D106" s="813"/>
      <c r="E106" s="814" t="s">
        <v>51</v>
      </c>
      <c r="F106" s="814"/>
      <c r="G106" s="814"/>
      <c r="H106" s="653"/>
      <c r="I106" s="531"/>
      <c r="J106" s="531"/>
      <c r="K106" s="531"/>
      <c r="L106" s="531"/>
      <c r="M106" s="532"/>
      <c r="N106" s="160"/>
      <c r="O106" s="160"/>
      <c r="P106" s="160"/>
      <c r="Q106" s="160"/>
      <c r="R106" s="159"/>
    </row>
    <row r="107" spans="1:18" s="136" customFormat="1" ht="15.75" customHeight="1" x14ac:dyDescent="0.2">
      <c r="A107" s="182" t="s">
        <v>260</v>
      </c>
      <c r="B107" s="813" t="str">
        <f>IF($A107="","",VLOOKUP($A107,Listes!$A$3:$C$193,2,FALSE))</f>
        <v>Hazardous Fees (Ocean)</v>
      </c>
      <c r="C107" s="813"/>
      <c r="D107" s="813"/>
      <c r="E107" s="814" t="s">
        <v>51</v>
      </c>
      <c r="F107" s="814"/>
      <c r="G107" s="814"/>
      <c r="H107" s="653"/>
      <c r="I107" s="531"/>
      <c r="J107" s="531"/>
      <c r="K107" s="531"/>
      <c r="L107" s="531"/>
      <c r="M107" s="532"/>
      <c r="N107" s="160"/>
      <c r="O107" s="160"/>
      <c r="P107" s="160"/>
      <c r="Q107" s="160"/>
      <c r="R107" s="159"/>
    </row>
    <row r="108" spans="1:18" s="136" customFormat="1" ht="15.75" customHeight="1" x14ac:dyDescent="0.2">
      <c r="A108" s="182" t="s">
        <v>897</v>
      </c>
      <c r="B108" s="813" t="str">
        <f>IF($A108="","",VLOOKUP($A108,Listes!$A$3:$C$193,2,FALSE))</f>
        <v xml:space="preserve">Intermodal Door Precarriage Additional for </v>
      </c>
      <c r="C108" s="813"/>
      <c r="D108" s="813"/>
      <c r="E108" s="814" t="s">
        <v>51</v>
      </c>
      <c r="F108" s="814"/>
      <c r="G108" s="814"/>
      <c r="H108" s="653"/>
      <c r="I108" s="531"/>
      <c r="J108" s="531"/>
      <c r="K108" s="531"/>
      <c r="L108" s="531"/>
      <c r="M108" s="532"/>
      <c r="N108" s="160"/>
      <c r="O108" s="160"/>
      <c r="P108" s="160"/>
      <c r="Q108" s="160"/>
      <c r="R108" s="159"/>
    </row>
    <row r="109" spans="1:18" s="136" customFormat="1" ht="15.75" customHeight="1" x14ac:dyDescent="0.2">
      <c r="A109" s="182" t="s">
        <v>96</v>
      </c>
      <c r="B109" s="813" t="str">
        <f>IF($A109="","",VLOOKUP($A109,Listes!$A$3:$C$193,2,FALSE))</f>
        <v xml:space="preserve">Precarriage Inland Fuel Charge </v>
      </c>
      <c r="C109" s="813"/>
      <c r="D109" s="813"/>
      <c r="E109" s="814" t="s">
        <v>51</v>
      </c>
      <c r="F109" s="814"/>
      <c r="G109" s="814"/>
      <c r="H109" s="653"/>
      <c r="I109" s="531"/>
      <c r="J109" s="531"/>
      <c r="K109" s="531"/>
      <c r="L109" s="531"/>
      <c r="M109" s="532"/>
      <c r="N109" s="160"/>
      <c r="O109" s="160"/>
      <c r="P109" s="160"/>
      <c r="Q109" s="160"/>
      <c r="R109" s="159"/>
    </row>
    <row r="110" spans="1:18" s="136" customFormat="1" ht="15.75" customHeight="1" x14ac:dyDescent="0.2">
      <c r="A110" s="182" t="s">
        <v>1290</v>
      </c>
      <c r="B110" s="813" t="str">
        <f>IF($A110="","",VLOOKUP($A110,Listes!$A$3:$C$193,2,FALSE))</f>
        <v>Local Port Charge Destination Sanitary Fee</v>
      </c>
      <c r="C110" s="813"/>
      <c r="D110" s="813"/>
      <c r="E110" s="814" t="s">
        <v>51</v>
      </c>
      <c r="F110" s="814"/>
      <c r="G110" s="814"/>
      <c r="H110" s="675"/>
      <c r="I110" s="531"/>
      <c r="J110" s="531"/>
      <c r="K110" s="531"/>
      <c r="L110" s="531"/>
      <c r="M110" s="532"/>
      <c r="N110" s="160"/>
      <c r="O110" s="160"/>
      <c r="P110" s="160"/>
      <c r="Q110" s="160"/>
      <c r="R110" s="159"/>
    </row>
    <row r="111" spans="1:18" s="136" customFormat="1" ht="15.75" customHeight="1" x14ac:dyDescent="0.2">
      <c r="A111" s="182" t="s">
        <v>1292</v>
      </c>
      <c r="B111" s="813" t="str">
        <f>IF($A111="","",VLOOKUP($A111,Listes!$A$3:$C$193,2,FALSE))</f>
        <v>Local Port Charge Origin Sanitary Fee</v>
      </c>
      <c r="C111" s="813"/>
      <c r="D111" s="813"/>
      <c r="E111" s="814" t="s">
        <v>51</v>
      </c>
      <c r="F111" s="814"/>
      <c r="G111" s="814"/>
      <c r="H111" s="675"/>
      <c r="I111" s="531"/>
      <c r="J111" s="531"/>
      <c r="K111" s="531"/>
      <c r="L111" s="531"/>
      <c r="M111" s="532"/>
      <c r="N111" s="160"/>
      <c r="O111" s="160"/>
      <c r="P111" s="160"/>
      <c r="Q111" s="160"/>
      <c r="R111" s="159"/>
    </row>
    <row r="112" spans="1:18" s="136" customFormat="1" ht="15.75" customHeight="1" x14ac:dyDescent="0.2">
      <c r="A112" s="182" t="s">
        <v>199</v>
      </c>
      <c r="B112" s="813" t="str">
        <f>IF($A112="","",VLOOKUP($A112,Listes!$A$3:$C$193,2,FALSE))</f>
        <v>Low Sulfur Surcharge</v>
      </c>
      <c r="C112" s="813"/>
      <c r="D112" s="813"/>
      <c r="E112" s="814" t="s">
        <v>53</v>
      </c>
      <c r="F112" s="814"/>
      <c r="G112" s="814"/>
      <c r="H112" s="653"/>
      <c r="I112" s="531"/>
      <c r="J112" s="531"/>
      <c r="K112" s="531"/>
      <c r="L112" s="531"/>
      <c r="M112" s="532"/>
      <c r="N112" s="160"/>
      <c r="O112" s="160"/>
      <c r="P112" s="160"/>
      <c r="Q112" s="160"/>
      <c r="R112" s="159"/>
    </row>
    <row r="113" spans="1:18" s="136" customFormat="1" ht="15.75" customHeight="1" x14ac:dyDescent="0.2">
      <c r="A113" s="182" t="s">
        <v>1124</v>
      </c>
      <c r="B113" s="813" t="str">
        <f>IF($A113="","",VLOOKUP($A113,Listes!$A$3:$C$193,2,FALSE))</f>
        <v>Low Sulfur Surcharge IMO2020</v>
      </c>
      <c r="C113" s="813"/>
      <c r="D113" s="813"/>
      <c r="E113" s="814" t="s">
        <v>53</v>
      </c>
      <c r="F113" s="814"/>
      <c r="G113" s="814"/>
      <c r="H113" s="667"/>
      <c r="I113" s="531"/>
      <c r="J113" s="531"/>
      <c r="K113" s="531"/>
      <c r="L113" s="531"/>
      <c r="M113" s="532"/>
      <c r="N113" s="160"/>
      <c r="O113" s="160"/>
      <c r="P113" s="160"/>
      <c r="Q113" s="160"/>
      <c r="R113" s="159"/>
    </row>
    <row r="114" spans="1:18" s="136" customFormat="1" ht="15.75" customHeight="1" x14ac:dyDescent="0.2">
      <c r="A114" s="182" t="s">
        <v>497</v>
      </c>
      <c r="B114" s="813" t="str">
        <f>IF($A114="","",VLOOKUP($A114,Listes!$A$3:$C$193,2,FALSE))</f>
        <v>Inland Hazardous Charge Oncarriage</v>
      </c>
      <c r="C114" s="813"/>
      <c r="D114" s="813"/>
      <c r="E114" s="814" t="s">
        <v>51</v>
      </c>
      <c r="F114" s="814"/>
      <c r="G114" s="814"/>
      <c r="H114" s="653"/>
      <c r="I114" s="531"/>
      <c r="J114" s="531"/>
      <c r="K114" s="531"/>
      <c r="L114" s="531"/>
      <c r="M114" s="532"/>
      <c r="N114" s="160"/>
      <c r="O114" s="160"/>
      <c r="P114" s="160"/>
      <c r="Q114" s="160"/>
      <c r="R114" s="159"/>
    </row>
    <row r="115" spans="1:18" s="136" customFormat="1" ht="15.75" customHeight="1" x14ac:dyDescent="0.2">
      <c r="A115" s="182" t="s">
        <v>815</v>
      </c>
      <c r="B115" s="813" t="str">
        <f>IF($A115="","",VLOOKUP($A115,Listes!$A$3:$C$193,2,FALSE))</f>
        <v>Operation Cost Recovery</v>
      </c>
      <c r="C115" s="813"/>
      <c r="D115" s="813"/>
      <c r="E115" s="814" t="s">
        <v>51</v>
      </c>
      <c r="F115" s="814"/>
      <c r="G115" s="814"/>
      <c r="H115" s="653"/>
      <c r="I115" s="531"/>
      <c r="J115" s="531"/>
      <c r="K115" s="531"/>
      <c r="L115" s="531"/>
      <c r="M115" s="532"/>
      <c r="N115" s="160"/>
      <c r="O115" s="160"/>
      <c r="P115" s="160"/>
      <c r="Q115" s="160"/>
      <c r="R115" s="159"/>
    </row>
    <row r="116" spans="1:18" s="136" customFormat="1" x14ac:dyDescent="0.2">
      <c r="A116" s="182" t="s">
        <v>89</v>
      </c>
      <c r="B116" s="813" t="str">
        <f>IF($A116="","",VLOOKUP($A116,Listes!$A$3:$C$193,2,FALSE))</f>
        <v>Origin THC / Origin Receiving Charge</v>
      </c>
      <c r="C116" s="813"/>
      <c r="D116" s="813"/>
      <c r="E116" s="814" t="s">
        <v>53</v>
      </c>
      <c r="F116" s="814"/>
      <c r="G116" s="814"/>
      <c r="H116" s="653"/>
      <c r="I116" s="531"/>
      <c r="J116" s="531"/>
      <c r="K116" s="531"/>
      <c r="L116" s="531"/>
      <c r="M116" s="532"/>
      <c r="N116" s="160"/>
      <c r="O116" s="160"/>
      <c r="P116" s="160"/>
      <c r="Q116" s="160"/>
      <c r="R116" s="159"/>
    </row>
    <row r="117" spans="1:18" s="136" customFormat="1" ht="15.75" customHeight="1" x14ac:dyDescent="0.2">
      <c r="A117" s="182" t="s">
        <v>832</v>
      </c>
      <c r="B117" s="813" t="str">
        <f>IF($A117="","",VLOOKUP($A117,Listes!$A$3:$C$193,2,FALSE))</f>
        <v>Port Congestion Surcharge Destination</v>
      </c>
      <c r="C117" s="813"/>
      <c r="D117" s="813"/>
      <c r="E117" s="814" t="s">
        <v>51</v>
      </c>
      <c r="F117" s="814"/>
      <c r="G117" s="814"/>
      <c r="H117" s="653"/>
      <c r="I117" s="531"/>
      <c r="J117" s="531"/>
      <c r="K117" s="531"/>
      <c r="L117" s="531"/>
      <c r="M117" s="532"/>
      <c r="N117" s="160"/>
      <c r="O117" s="160"/>
      <c r="P117" s="160"/>
      <c r="Q117" s="160"/>
      <c r="R117" s="159"/>
    </row>
    <row r="118" spans="1:18" s="136" customFormat="1" x14ac:dyDescent="0.2">
      <c r="A118" s="182" t="s">
        <v>1060</v>
      </c>
      <c r="B118" s="813" t="str">
        <f>IF($A118="","",VLOOKUP($A118,Listes!$A$3:$C$193,2,FALSE))</f>
        <v>Pre-Carriage Emergency Inland Fuel Surcharge</v>
      </c>
      <c r="C118" s="813"/>
      <c r="D118" s="813"/>
      <c r="E118" s="814" t="s">
        <v>51</v>
      </c>
      <c r="F118" s="814"/>
      <c r="G118" s="814"/>
      <c r="H118" s="653"/>
      <c r="I118" s="531"/>
      <c r="J118" s="531"/>
      <c r="K118" s="531"/>
      <c r="L118" s="531"/>
      <c r="M118" s="532"/>
      <c r="N118" s="160"/>
      <c r="O118" s="160"/>
      <c r="P118" s="160"/>
      <c r="Q118" s="160"/>
      <c r="R118" s="159"/>
    </row>
    <row r="119" spans="1:18" s="136" customFormat="1" x14ac:dyDescent="0.2">
      <c r="A119" s="182" t="s">
        <v>1116</v>
      </c>
      <c r="B119" s="813" t="str">
        <f>IF($A119="","",VLOOKUP($A119,Listes!$A$3:$C$193,2,FALSE))</f>
        <v>Port Dues Destination</v>
      </c>
      <c r="C119" s="813"/>
      <c r="D119" s="813"/>
      <c r="E119" s="814" t="s">
        <v>51</v>
      </c>
      <c r="F119" s="814"/>
      <c r="G119" s="814"/>
      <c r="H119" s="688"/>
      <c r="I119" s="531"/>
      <c r="J119" s="531"/>
      <c r="K119" s="531"/>
      <c r="L119" s="531"/>
      <c r="M119" s="532"/>
      <c r="N119" s="160"/>
      <c r="O119" s="160"/>
      <c r="P119" s="160"/>
      <c r="Q119" s="160"/>
      <c r="R119" s="159"/>
    </row>
    <row r="120" spans="1:18" s="136" customFormat="1" ht="31.5" x14ac:dyDescent="0.2">
      <c r="A120" s="182" t="s">
        <v>1046</v>
      </c>
      <c r="B120" s="813" t="str">
        <f>IF($A120="","",VLOOKUP($A120,Listes!$A$3:$C$193,2,FALSE))</f>
        <v>Pre-Carriage Emergency Intermodal Surcharge</v>
      </c>
      <c r="C120" s="813"/>
      <c r="D120" s="813"/>
      <c r="E120" s="814" t="s">
        <v>51</v>
      </c>
      <c r="F120" s="814"/>
      <c r="G120" s="814"/>
      <c r="H120" s="653"/>
      <c r="I120" s="531"/>
      <c r="J120" s="531"/>
      <c r="K120" s="531"/>
      <c r="L120" s="531"/>
      <c r="M120" s="532"/>
      <c r="N120" s="160"/>
      <c r="O120" s="160"/>
      <c r="P120" s="160"/>
      <c r="Q120" s="160"/>
      <c r="R120" s="159"/>
    </row>
    <row r="121" spans="1:18" s="136" customFormat="1" ht="15.75" customHeight="1" x14ac:dyDescent="0.2">
      <c r="A121" s="182" t="s">
        <v>500</v>
      </c>
      <c r="B121" s="813" t="str">
        <f>IF($A121="","",VLOOKUP($A121,Listes!$A$3:$C$193,2,FALSE))</f>
        <v>Inland Hazardous Charge Precarriage</v>
      </c>
      <c r="C121" s="813"/>
      <c r="D121" s="813"/>
      <c r="E121" s="814" t="s">
        <v>51</v>
      </c>
      <c r="F121" s="814"/>
      <c r="G121" s="814"/>
      <c r="H121" s="653"/>
      <c r="I121" s="531"/>
      <c r="J121" s="531"/>
      <c r="K121" s="531"/>
      <c r="L121" s="531"/>
      <c r="M121" s="532"/>
      <c r="N121" s="160"/>
      <c r="O121" s="160"/>
      <c r="P121" s="160"/>
      <c r="Q121" s="160"/>
      <c r="R121" s="159"/>
    </row>
    <row r="122" spans="1:18" s="136" customFormat="1" ht="15.75" customHeight="1" x14ac:dyDescent="0.2">
      <c r="A122" s="182" t="s">
        <v>278</v>
      </c>
      <c r="B122" s="813" t="str">
        <f>IF($A122="","",VLOOKUP($A122,Listes!$A$3:$C$193,2,FALSE))</f>
        <v>Destination Terminal Security Charge</v>
      </c>
      <c r="C122" s="813"/>
      <c r="D122" s="813"/>
      <c r="E122" s="814" t="s">
        <v>51</v>
      </c>
      <c r="F122" s="814"/>
      <c r="G122" s="814"/>
      <c r="H122" s="653"/>
      <c r="I122" s="531"/>
      <c r="J122" s="531"/>
      <c r="K122" s="531"/>
      <c r="L122" s="531"/>
      <c r="M122" s="532"/>
      <c r="N122" s="160"/>
      <c r="O122" s="160"/>
      <c r="P122" s="160"/>
      <c r="Q122" s="160"/>
      <c r="R122" s="159"/>
    </row>
    <row r="123" spans="1:18" s="136" customFormat="1" ht="15.75" customHeight="1" x14ac:dyDescent="0.2">
      <c r="A123" s="182" t="s">
        <v>277</v>
      </c>
      <c r="B123" s="813" t="str">
        <f>IF($A123="","",VLOOKUP($A123,Listes!$A$3:$C$193,2,FALSE))</f>
        <v>Origin Terminal Security Charge</v>
      </c>
      <c r="C123" s="813"/>
      <c r="D123" s="813"/>
      <c r="E123" s="814" t="s">
        <v>51</v>
      </c>
      <c r="F123" s="814"/>
      <c r="G123" s="814"/>
      <c r="H123" s="653"/>
      <c r="I123" s="531"/>
      <c r="J123" s="531"/>
      <c r="K123" s="531"/>
      <c r="L123" s="531"/>
      <c r="M123" s="532"/>
      <c r="N123" s="160"/>
      <c r="O123" s="160"/>
      <c r="P123" s="160"/>
      <c r="Q123" s="160"/>
      <c r="R123" s="159"/>
    </row>
    <row r="124" spans="1:18" s="136" customFormat="1" ht="15.75" customHeight="1" x14ac:dyDescent="0.2">
      <c r="A124" s="182" t="s">
        <v>489</v>
      </c>
      <c r="B124" s="813" t="str">
        <f>IF($A124="","",VLOOKUP($A124,Listes!$A$3:$C$193,2,FALSE))</f>
        <v>Shipper Owned Container Surcharge</v>
      </c>
      <c r="C124" s="813"/>
      <c r="D124" s="813"/>
      <c r="E124" s="814" t="s">
        <v>51</v>
      </c>
      <c r="F124" s="814"/>
      <c r="G124" s="814"/>
      <c r="H124" s="653"/>
      <c r="I124" s="531"/>
      <c r="J124" s="531"/>
      <c r="K124" s="531"/>
      <c r="L124" s="531"/>
      <c r="M124" s="532"/>
      <c r="N124" s="160"/>
      <c r="O124" s="160"/>
      <c r="P124" s="160"/>
      <c r="Q124" s="160"/>
      <c r="R124" s="159"/>
    </row>
    <row r="125" spans="1:18" s="136" customFormat="1" x14ac:dyDescent="0.2">
      <c r="A125" s="182" t="s">
        <v>1332</v>
      </c>
      <c r="B125" s="813" t="str">
        <f>IF($A125="","",VLOOKUP($A125,Listes!$A$3:$C$193,2,FALSE))</f>
        <v>Terminal Gate Out Fee</v>
      </c>
      <c r="C125" s="813"/>
      <c r="D125" s="813"/>
      <c r="E125" s="814" t="s">
        <v>51</v>
      </c>
      <c r="F125" s="814"/>
      <c r="G125" s="814"/>
      <c r="H125" s="688"/>
      <c r="I125" s="531"/>
      <c r="J125" s="531"/>
      <c r="K125" s="531"/>
      <c r="L125" s="531"/>
      <c r="M125" s="532"/>
      <c r="N125" s="160"/>
      <c r="O125" s="160"/>
      <c r="P125" s="160"/>
      <c r="Q125" s="160"/>
      <c r="R125" s="159"/>
    </row>
    <row r="126" spans="1:18" s="136" customFormat="1" ht="31.5" x14ac:dyDescent="0.2">
      <c r="A126" s="182" t="s">
        <v>368</v>
      </c>
      <c r="B126" s="813" t="str">
        <f>IF($A126="","",VLOOKUP($A126,Listes!$A$3:$C$193,2,FALSE))</f>
        <v>Tri-Axle / Super Chassis Precarriage Surcharge</v>
      </c>
      <c r="C126" s="813"/>
      <c r="D126" s="813"/>
      <c r="E126" s="814" t="s">
        <v>51</v>
      </c>
      <c r="F126" s="814"/>
      <c r="G126" s="814"/>
      <c r="H126" s="653"/>
      <c r="I126" s="531"/>
      <c r="J126" s="531"/>
      <c r="K126" s="531"/>
      <c r="L126" s="531"/>
      <c r="M126" s="532"/>
      <c r="N126" s="160"/>
      <c r="O126" s="160"/>
      <c r="P126" s="160"/>
      <c r="Q126" s="160"/>
      <c r="R126" s="159"/>
    </row>
    <row r="127" spans="1:18" s="136" customFormat="1" ht="15.75" customHeight="1" x14ac:dyDescent="0.2">
      <c r="A127" s="182" t="s">
        <v>742</v>
      </c>
      <c r="B127" s="813" t="str">
        <f>IF($A127="","",VLOOKUP($A127,Listes!$A$3:$C$193,2,FALSE))</f>
        <v>Wharfage (Destination)</v>
      </c>
      <c r="C127" s="813"/>
      <c r="D127" s="813"/>
      <c r="E127" s="814" t="s">
        <v>51</v>
      </c>
      <c r="F127" s="814"/>
      <c r="G127" s="814"/>
      <c r="H127" s="653"/>
      <c r="I127" s="531"/>
      <c r="J127" s="531"/>
      <c r="K127" s="531"/>
      <c r="L127" s="531"/>
      <c r="M127" s="532"/>
      <c r="N127" s="160"/>
      <c r="O127" s="160"/>
      <c r="P127" s="160"/>
      <c r="Q127" s="160"/>
      <c r="R127" s="159"/>
    </row>
    <row r="128" spans="1:18" s="136" customFormat="1" ht="15.75" customHeight="1" thickBot="1" x14ac:dyDescent="0.25">
      <c r="A128" s="185" t="s">
        <v>833</v>
      </c>
      <c r="B128" s="812" t="str">
        <f>IF($A128="","",VLOOKUP($A128,Listes!$A$3:$C$193,2,FALSE))</f>
        <v>Wharfage (Origin)</v>
      </c>
      <c r="C128" s="812"/>
      <c r="D128" s="812"/>
      <c r="E128" s="815" t="s">
        <v>51</v>
      </c>
      <c r="F128" s="815"/>
      <c r="G128" s="815"/>
      <c r="H128" s="655"/>
      <c r="I128" s="533"/>
      <c r="J128" s="533"/>
      <c r="K128" s="533"/>
      <c r="L128" s="533"/>
      <c r="M128" s="534"/>
      <c r="N128" s="160"/>
      <c r="O128" s="160"/>
      <c r="P128" s="160"/>
      <c r="Q128" s="160"/>
      <c r="R128" s="159"/>
    </row>
    <row r="129" spans="1:23" s="73" customFormat="1" ht="16.5" thickBot="1" x14ac:dyDescent="0.25">
      <c r="A129" s="850" t="s">
        <v>216</v>
      </c>
      <c r="B129" s="851"/>
      <c r="C129" s="851"/>
      <c r="D129" s="851"/>
      <c r="E129" s="852"/>
      <c r="F129" s="852"/>
      <c r="G129" s="852"/>
      <c r="H129" s="852"/>
      <c r="I129" s="853"/>
      <c r="J129" s="169"/>
      <c r="K129" s="118"/>
      <c r="L129" s="134"/>
      <c r="M129" s="134"/>
      <c r="N129" s="134"/>
      <c r="O129" s="134"/>
      <c r="P129" s="134"/>
      <c r="Q129" s="118"/>
    </row>
    <row r="130" spans="1:23" s="73" customFormat="1" ht="16.5" thickBot="1" x14ac:dyDescent="0.25">
      <c r="A130" s="849" t="s">
        <v>597</v>
      </c>
      <c r="B130" s="833"/>
      <c r="C130" s="833"/>
      <c r="D130" s="833"/>
      <c r="E130" s="833"/>
      <c r="F130" s="833"/>
      <c r="G130" s="833"/>
      <c r="H130" s="833"/>
      <c r="I130" s="834"/>
      <c r="J130" s="169"/>
      <c r="K130" s="134"/>
      <c r="L130" s="134"/>
      <c r="M130" s="134"/>
      <c r="N130" s="134"/>
      <c r="O130" s="118"/>
    </row>
    <row r="131" spans="1:23" s="73" customFormat="1" ht="16.5" thickBot="1" x14ac:dyDescent="0.25">
      <c r="A131" s="187"/>
      <c r="B131" s="187"/>
      <c r="C131" s="188"/>
      <c r="D131" s="189"/>
      <c r="E131" s="170"/>
      <c r="F131" s="170"/>
      <c r="G131" s="170"/>
      <c r="H131" s="170"/>
      <c r="I131" s="170"/>
      <c r="J131" s="189"/>
      <c r="K131" s="169"/>
      <c r="L131" s="118"/>
      <c r="M131" s="134"/>
      <c r="N131" s="134"/>
      <c r="O131" s="134"/>
      <c r="P131" s="134"/>
      <c r="Q131" s="134"/>
      <c r="R131" s="118"/>
    </row>
    <row r="132" spans="1:23" s="73" customFormat="1" ht="15.6" customHeight="1" x14ac:dyDescent="0.2">
      <c r="A132" s="830" t="s">
        <v>523</v>
      </c>
      <c r="B132" s="831"/>
      <c r="C132" s="831"/>
      <c r="D132" s="831"/>
      <c r="E132" s="842" t="s">
        <v>288</v>
      </c>
      <c r="F132" s="842">
        <v>20</v>
      </c>
      <c r="G132" s="842">
        <v>40</v>
      </c>
      <c r="H132" s="842" t="s">
        <v>19</v>
      </c>
      <c r="I132" s="842" t="s">
        <v>20</v>
      </c>
      <c r="J132" s="848" t="s">
        <v>297</v>
      </c>
      <c r="K132" s="848" t="s">
        <v>33</v>
      </c>
      <c r="L132" s="846" t="s">
        <v>217</v>
      </c>
      <c r="M132" s="189"/>
      <c r="N132" s="134"/>
      <c r="O132" s="134"/>
      <c r="P132" s="134"/>
      <c r="Q132" s="134"/>
      <c r="R132" s="134"/>
      <c r="S132" s="134"/>
      <c r="T132" s="134"/>
      <c r="U132" s="134"/>
    </row>
    <row r="133" spans="1:23" s="73" customFormat="1" x14ac:dyDescent="0.2">
      <c r="A133" s="537" t="s">
        <v>218</v>
      </c>
      <c r="B133" s="538" t="s">
        <v>11</v>
      </c>
      <c r="C133" s="538" t="s">
        <v>12</v>
      </c>
      <c r="D133" s="538" t="s">
        <v>219</v>
      </c>
      <c r="E133" s="843"/>
      <c r="F133" s="843"/>
      <c r="G133" s="843"/>
      <c r="H133" s="843"/>
      <c r="I133" s="843"/>
      <c r="J133" s="843"/>
      <c r="K133" s="843"/>
      <c r="L133" s="847"/>
      <c r="M133" s="189"/>
      <c r="N133" s="134"/>
      <c r="O133" s="134"/>
      <c r="P133" s="134"/>
      <c r="Q133" s="134"/>
      <c r="R133" s="134"/>
      <c r="S133" s="134"/>
      <c r="T133" s="134"/>
      <c r="U133" s="134"/>
    </row>
    <row r="134" spans="1:23" s="136" customFormat="1" x14ac:dyDescent="0.2">
      <c r="A134" s="539"/>
      <c r="B134" s="540"/>
      <c r="C134" s="540"/>
      <c r="D134" s="540"/>
      <c r="E134" s="540"/>
      <c r="F134" s="255"/>
      <c r="G134" s="255"/>
      <c r="H134" s="255"/>
      <c r="I134" s="255"/>
      <c r="J134" s="540"/>
      <c r="K134" s="21"/>
      <c r="L134" s="541"/>
      <c r="M134" s="190"/>
      <c r="N134" s="160"/>
      <c r="O134" s="160"/>
      <c r="P134" s="160"/>
      <c r="Q134" s="160"/>
      <c r="R134" s="160"/>
      <c r="S134" s="160"/>
      <c r="T134" s="160"/>
      <c r="U134" s="160"/>
    </row>
    <row r="135" spans="1:23" s="136" customFormat="1" x14ac:dyDescent="0.2">
      <c r="A135" s="542"/>
      <c r="B135" s="540"/>
      <c r="C135" s="540"/>
      <c r="D135" s="540"/>
      <c r="E135" s="540"/>
      <c r="F135" s="255"/>
      <c r="G135" s="255"/>
      <c r="H135" s="255"/>
      <c r="I135" s="255"/>
      <c r="J135" s="24"/>
      <c r="K135" s="21"/>
      <c r="L135" s="25"/>
      <c r="M135" s="191"/>
      <c r="N135" s="160"/>
      <c r="O135" s="160"/>
      <c r="P135" s="160"/>
      <c r="Q135" s="160"/>
      <c r="R135" s="160"/>
      <c r="S135" s="160"/>
      <c r="T135" s="160"/>
      <c r="U135" s="160"/>
    </row>
    <row r="136" spans="1:23" s="136" customFormat="1" x14ac:dyDescent="0.2">
      <c r="A136" s="542"/>
      <c r="B136" s="540"/>
      <c r="C136" s="540"/>
      <c r="D136" s="540"/>
      <c r="E136" s="540"/>
      <c r="F136" s="255"/>
      <c r="G136" s="255"/>
      <c r="H136" s="255"/>
      <c r="I136" s="255"/>
      <c r="J136" s="24"/>
      <c r="K136" s="21"/>
      <c r="L136" s="25"/>
      <c r="M136" s="191"/>
      <c r="N136" s="160"/>
      <c r="O136" s="160"/>
      <c r="P136" s="160"/>
      <c r="Q136" s="160"/>
      <c r="R136" s="160"/>
      <c r="S136" s="160"/>
      <c r="T136" s="160"/>
      <c r="U136" s="160"/>
    </row>
    <row r="137" spans="1:23" s="136" customFormat="1" ht="16.5" thickBot="1" x14ac:dyDescent="0.25">
      <c r="A137" s="543"/>
      <c r="B137" s="544"/>
      <c r="C137" s="544"/>
      <c r="D137" s="544"/>
      <c r="E137" s="544"/>
      <c r="F137" s="256"/>
      <c r="G137" s="256"/>
      <c r="H137" s="256"/>
      <c r="I137" s="256"/>
      <c r="J137" s="28"/>
      <c r="K137" s="29"/>
      <c r="L137" s="30"/>
      <c r="M137" s="191"/>
      <c r="N137" s="160"/>
      <c r="O137" s="160"/>
      <c r="P137" s="160"/>
      <c r="Q137" s="160"/>
      <c r="R137" s="160"/>
      <c r="S137" s="160"/>
      <c r="T137" s="160"/>
      <c r="U137" s="160"/>
    </row>
    <row r="138" spans="1:23" s="136" customFormat="1" x14ac:dyDescent="0.2">
      <c r="A138" s="173"/>
      <c r="B138" s="545"/>
      <c r="C138" s="545"/>
      <c r="D138" s="545"/>
      <c r="E138" s="545"/>
      <c r="F138" s="545"/>
      <c r="G138" s="545"/>
      <c r="H138" s="545"/>
      <c r="I138" s="545"/>
      <c r="J138" s="33"/>
      <c r="K138" s="33"/>
      <c r="L138" s="34"/>
      <c r="M138" s="191"/>
      <c r="N138" s="160"/>
      <c r="O138" s="160"/>
      <c r="P138" s="160"/>
      <c r="Q138" s="160"/>
      <c r="R138" s="160"/>
      <c r="S138" s="160"/>
      <c r="T138" s="160"/>
      <c r="U138" s="160"/>
    </row>
    <row r="139" spans="1:23" s="73" customFormat="1" ht="15.6" customHeight="1" x14ac:dyDescent="0.2">
      <c r="A139" s="841" t="s">
        <v>596</v>
      </c>
      <c r="B139" s="840"/>
      <c r="C139" s="840"/>
      <c r="D139" s="840"/>
      <c r="E139" s="840" t="s">
        <v>288</v>
      </c>
      <c r="F139" s="840">
        <v>20</v>
      </c>
      <c r="G139" s="840">
        <v>40</v>
      </c>
      <c r="H139" s="840" t="s">
        <v>19</v>
      </c>
      <c r="I139" s="840" t="s">
        <v>20</v>
      </c>
      <c r="J139" s="845" t="s">
        <v>297</v>
      </c>
      <c r="K139" s="845" t="s">
        <v>33</v>
      </c>
      <c r="L139" s="844" t="s">
        <v>217</v>
      </c>
      <c r="M139" s="844" t="s">
        <v>23</v>
      </c>
      <c r="N139" s="169"/>
      <c r="O139" s="118"/>
      <c r="P139" s="134"/>
      <c r="Q139" s="134"/>
      <c r="R139" s="134"/>
      <c r="S139" s="134"/>
      <c r="T139" s="134"/>
      <c r="U139" s="134"/>
      <c r="V139" s="134"/>
      <c r="W139" s="134"/>
    </row>
    <row r="140" spans="1:23" s="73" customFormat="1" x14ac:dyDescent="0.2">
      <c r="A140" s="546" t="s">
        <v>218</v>
      </c>
      <c r="B140" s="546" t="s">
        <v>11</v>
      </c>
      <c r="C140" s="546" t="s">
        <v>12</v>
      </c>
      <c r="D140" s="546" t="s">
        <v>219</v>
      </c>
      <c r="E140" s="840"/>
      <c r="F140" s="840"/>
      <c r="G140" s="840"/>
      <c r="H140" s="840"/>
      <c r="I140" s="840"/>
      <c r="J140" s="840"/>
      <c r="K140" s="840"/>
      <c r="L140" s="844"/>
      <c r="M140" s="844"/>
      <c r="N140" s="169"/>
      <c r="O140" s="118"/>
      <c r="P140" s="134"/>
      <c r="Q140" s="134"/>
      <c r="R140" s="134"/>
      <c r="S140" s="134"/>
      <c r="T140" s="134"/>
      <c r="U140" s="134"/>
      <c r="V140" s="134"/>
      <c r="W140" s="134"/>
    </row>
    <row r="141" spans="1:23" s="136" customFormat="1" x14ac:dyDescent="0.2">
      <c r="A141" s="372"/>
      <c r="B141" s="547"/>
      <c r="C141" s="547"/>
      <c r="D141" s="547"/>
      <c r="E141" s="547"/>
      <c r="F141" s="368"/>
      <c r="G141" s="368"/>
      <c r="H141" s="368"/>
      <c r="I141" s="368"/>
      <c r="J141" s="369"/>
      <c r="K141" s="370"/>
      <c r="L141" s="548"/>
      <c r="M141" s="548"/>
      <c r="N141" s="192"/>
      <c r="O141" s="159"/>
      <c r="P141" s="160"/>
      <c r="Q141" s="160"/>
      <c r="R141" s="160"/>
      <c r="S141" s="160"/>
      <c r="T141" s="160"/>
      <c r="U141" s="160"/>
      <c r="V141" s="160"/>
      <c r="W141" s="160"/>
    </row>
    <row r="142" spans="1:23" s="136" customFormat="1" x14ac:dyDescent="0.2">
      <c r="A142" s="372"/>
      <c r="B142" s="547"/>
      <c r="C142" s="547"/>
      <c r="D142" s="547"/>
      <c r="E142" s="547"/>
      <c r="F142" s="368"/>
      <c r="G142" s="368"/>
      <c r="H142" s="368"/>
      <c r="I142" s="368"/>
      <c r="J142" s="369"/>
      <c r="K142" s="370"/>
      <c r="L142" s="548"/>
      <c r="M142" s="548"/>
      <c r="N142" s="192"/>
      <c r="O142" s="159"/>
      <c r="P142" s="160"/>
      <c r="Q142" s="160"/>
      <c r="R142" s="160"/>
      <c r="S142" s="160"/>
      <c r="T142" s="160"/>
      <c r="U142" s="160"/>
      <c r="V142" s="160"/>
      <c r="W142" s="160"/>
    </row>
    <row r="143" spans="1:23" s="136" customFormat="1" x14ac:dyDescent="0.2">
      <c r="A143" s="372"/>
      <c r="B143" s="547"/>
      <c r="C143" s="547"/>
      <c r="D143" s="547"/>
      <c r="E143" s="547"/>
      <c r="F143" s="368"/>
      <c r="G143" s="368"/>
      <c r="H143" s="368"/>
      <c r="I143" s="368"/>
      <c r="J143" s="369"/>
      <c r="K143" s="370"/>
      <c r="L143" s="548"/>
      <c r="M143" s="548"/>
      <c r="N143" s="192"/>
      <c r="O143" s="159"/>
      <c r="P143" s="160"/>
      <c r="Q143" s="160"/>
      <c r="R143" s="160"/>
      <c r="S143" s="160"/>
      <c r="T143" s="160"/>
      <c r="U143" s="160"/>
      <c r="V143" s="160"/>
      <c r="W143" s="160"/>
    </row>
    <row r="144" spans="1:23" s="136" customFormat="1" x14ac:dyDescent="0.2">
      <c r="A144" s="372"/>
      <c r="B144" s="547"/>
      <c r="C144" s="547"/>
      <c r="D144" s="547"/>
      <c r="E144" s="547"/>
      <c r="F144" s="368"/>
      <c r="G144" s="368"/>
      <c r="H144" s="368"/>
      <c r="I144" s="368"/>
      <c r="J144" s="369"/>
      <c r="K144" s="370"/>
      <c r="L144" s="373"/>
      <c r="M144" s="373"/>
      <c r="N144" s="191"/>
      <c r="O144" s="159"/>
      <c r="P144" s="160"/>
      <c r="Q144" s="160"/>
      <c r="R144" s="160"/>
      <c r="S144" s="160"/>
      <c r="T144" s="160"/>
      <c r="U144" s="160"/>
      <c r="V144" s="160"/>
      <c r="W144" s="160"/>
    </row>
    <row r="145" spans="1:21" s="73" customFormat="1" x14ac:dyDescent="0.2">
      <c r="A145" s="456"/>
      <c r="B145" s="549"/>
      <c r="C145" s="549"/>
      <c r="D145" s="549"/>
      <c r="E145" s="549"/>
      <c r="F145" s="194"/>
      <c r="G145" s="522"/>
      <c r="H145" s="195"/>
      <c r="I145" s="195"/>
      <c r="J145" s="176"/>
      <c r="K145" s="118"/>
      <c r="L145" s="134"/>
      <c r="M145" s="134"/>
      <c r="N145" s="134"/>
      <c r="O145" s="134"/>
      <c r="P145" s="134"/>
      <c r="Q145" s="134"/>
    </row>
    <row r="146" spans="1:21" s="456" customFormat="1" ht="16.5" thickBot="1" x14ac:dyDescent="0.25">
      <c r="A146" s="196"/>
      <c r="B146" s="197"/>
      <c r="C146" s="198"/>
      <c r="D146" s="198"/>
      <c r="E146" s="169"/>
      <c r="F146" s="176"/>
      <c r="G146" s="176"/>
      <c r="H146" s="176"/>
      <c r="I146" s="176"/>
      <c r="J146" s="170"/>
      <c r="K146" s="118"/>
      <c r="L146" s="134"/>
      <c r="M146" s="134"/>
      <c r="N146" s="134"/>
      <c r="O146" s="134"/>
      <c r="P146" s="134"/>
      <c r="Q146" s="134"/>
      <c r="R146" s="134"/>
      <c r="S146" s="118"/>
      <c r="T146" s="118"/>
      <c r="U146" s="118"/>
    </row>
    <row r="147" spans="1:21" s="456" customFormat="1" ht="16.5" thickBot="1" x14ac:dyDescent="0.25">
      <c r="A147" s="822" t="s">
        <v>220</v>
      </c>
      <c r="B147" s="823"/>
      <c r="C147" s="823"/>
      <c r="D147" s="823"/>
      <c r="E147" s="824"/>
      <c r="F147" s="176"/>
      <c r="G147" s="176"/>
      <c r="H147" s="176"/>
      <c r="I147" s="176"/>
      <c r="J147" s="170"/>
      <c r="K147" s="118"/>
      <c r="L147" s="134"/>
      <c r="M147" s="134"/>
      <c r="N147" s="134"/>
      <c r="O147" s="134"/>
      <c r="P147" s="134"/>
      <c r="Q147" s="134"/>
      <c r="R147" s="134"/>
      <c r="S147" s="118"/>
      <c r="T147" s="118"/>
      <c r="U147" s="118"/>
    </row>
    <row r="148" spans="1:21" s="73" customFormat="1" ht="16.5" thickBot="1" x14ac:dyDescent="0.25">
      <c r="A148" s="550"/>
      <c r="B148" s="456"/>
      <c r="C148" s="456"/>
      <c r="D148" s="456"/>
      <c r="E148" s="456"/>
      <c r="F148" s="194"/>
      <c r="G148" s="456"/>
      <c r="H148" s="200"/>
      <c r="I148" s="194"/>
      <c r="J148" s="194"/>
      <c r="K148" s="118"/>
      <c r="L148" s="134"/>
      <c r="M148" s="134"/>
      <c r="N148" s="134"/>
      <c r="O148" s="134"/>
      <c r="P148" s="134"/>
      <c r="Q148" s="134"/>
      <c r="R148" s="134"/>
      <c r="S148" s="118"/>
      <c r="T148" s="118"/>
      <c r="U148" s="118"/>
    </row>
    <row r="149" spans="1:21" s="73" customFormat="1" ht="16.5" thickBot="1" x14ac:dyDescent="0.25">
      <c r="A149" s="825" t="s">
        <v>221</v>
      </c>
      <c r="B149" s="838"/>
      <c r="C149" s="838"/>
      <c r="D149" s="838"/>
      <c r="E149" s="838"/>
      <c r="F149" s="839"/>
      <c r="G149" s="456"/>
      <c r="H149" s="200"/>
      <c r="I149" s="194"/>
      <c r="J149" s="194"/>
      <c r="K149" s="118"/>
      <c r="L149" s="134"/>
      <c r="M149" s="134"/>
      <c r="N149" s="134"/>
      <c r="O149" s="134"/>
      <c r="P149" s="134"/>
      <c r="Q149" s="134"/>
      <c r="R149" s="134"/>
      <c r="S149" s="118"/>
      <c r="T149" s="118"/>
      <c r="U149" s="118"/>
    </row>
    <row r="150" spans="1:21" s="73" customFormat="1" ht="16.5" customHeight="1" x14ac:dyDescent="0.2">
      <c r="A150" s="835" t="s">
        <v>222</v>
      </c>
      <c r="B150" s="836"/>
      <c r="C150" s="836"/>
      <c r="D150" s="836"/>
      <c r="E150" s="836"/>
      <c r="F150" s="837"/>
      <c r="G150" s="456"/>
      <c r="H150" s="201"/>
      <c r="I150" s="170"/>
      <c r="J150" s="170"/>
      <c r="K150" s="118"/>
      <c r="L150" s="134"/>
      <c r="M150" s="134"/>
      <c r="N150" s="134"/>
      <c r="O150" s="134"/>
      <c r="P150" s="134"/>
      <c r="Q150" s="134"/>
      <c r="R150" s="134"/>
      <c r="S150" s="118"/>
      <c r="T150" s="118"/>
      <c r="U150" s="118"/>
    </row>
    <row r="151" spans="1:21" ht="16.5" thickBot="1" x14ac:dyDescent="0.25">
      <c r="A151" s="832" t="s">
        <v>223</v>
      </c>
      <c r="B151" s="833"/>
      <c r="C151" s="833"/>
      <c r="D151" s="833"/>
      <c r="E151" s="833"/>
      <c r="F151" s="834"/>
      <c r="G151" s="176"/>
      <c r="H151" s="176"/>
      <c r="I151" s="176"/>
      <c r="J151" s="169"/>
      <c r="K151" s="169"/>
      <c r="L151" s="169"/>
      <c r="M151" s="169"/>
      <c r="N151" s="169"/>
      <c r="O151" s="169"/>
      <c r="P151" s="169"/>
      <c r="Q151" s="169"/>
      <c r="R151" s="169"/>
      <c r="S151" s="169"/>
      <c r="T151" s="169"/>
      <c r="U151" s="169"/>
    </row>
    <row r="152" spans="1:21" x14ac:dyDescent="0.2">
      <c r="A152" s="551" t="s">
        <v>224</v>
      </c>
      <c r="B152" s="450" t="s">
        <v>225</v>
      </c>
      <c r="C152" s="552" t="s">
        <v>226</v>
      </c>
      <c r="D152" s="553" t="s">
        <v>227</v>
      </c>
      <c r="E152" s="176"/>
      <c r="F152" s="176"/>
      <c r="G152" s="176"/>
      <c r="H152" s="169"/>
      <c r="I152" s="169"/>
      <c r="J152" s="169"/>
      <c r="K152" s="169"/>
      <c r="L152" s="169"/>
      <c r="M152" s="169"/>
      <c r="N152" s="169"/>
      <c r="O152" s="169"/>
      <c r="P152" s="169"/>
      <c r="Q152" s="169"/>
      <c r="R152" s="169"/>
    </row>
    <row r="153" spans="1:21" s="192" customFormat="1" x14ac:dyDescent="0.2">
      <c r="A153" s="203"/>
      <c r="B153" s="204"/>
      <c r="C153" s="205"/>
      <c r="D153" s="206"/>
      <c r="E153" s="191"/>
      <c r="F153" s="191"/>
      <c r="G153" s="191"/>
    </row>
    <row r="154" spans="1:21" s="192" customFormat="1" x14ac:dyDescent="0.2">
      <c r="A154" s="203"/>
      <c r="B154" s="204"/>
      <c r="C154" s="205"/>
      <c r="D154" s="206"/>
      <c r="E154" s="191"/>
      <c r="F154" s="191"/>
      <c r="G154" s="191"/>
    </row>
    <row r="155" spans="1:21" s="192" customFormat="1" ht="16.5" thickBot="1" x14ac:dyDescent="0.25">
      <c r="A155" s="207"/>
      <c r="B155" s="208"/>
      <c r="C155" s="209"/>
      <c r="D155" s="210"/>
      <c r="E155" s="191"/>
      <c r="F155" s="191"/>
      <c r="G155" s="191"/>
    </row>
    <row r="156" spans="1:21" ht="16.5" thickBot="1" x14ac:dyDescent="0.25"/>
    <row r="157" spans="1:21" s="73" customFormat="1" ht="16.5" thickBot="1" x14ac:dyDescent="0.25">
      <c r="A157" s="822" t="s">
        <v>228</v>
      </c>
      <c r="B157" s="823"/>
      <c r="C157" s="823"/>
      <c r="D157" s="823"/>
      <c r="E157" s="823"/>
      <c r="F157" s="823"/>
      <c r="G157" s="823"/>
      <c r="H157" s="823"/>
      <c r="I157" s="824"/>
      <c r="J157" s="169"/>
      <c r="K157" s="118"/>
      <c r="L157" s="134"/>
      <c r="M157" s="134"/>
      <c r="N157" s="134"/>
      <c r="O157" s="134"/>
      <c r="P157" s="134"/>
      <c r="Q157" s="134"/>
      <c r="R157" s="134"/>
      <c r="S157" s="118"/>
      <c r="T157" s="118"/>
      <c r="U157" s="118"/>
    </row>
    <row r="158" spans="1:21" s="73" customFormat="1" ht="16.5" thickBot="1" x14ac:dyDescent="0.25">
      <c r="A158" s="554" t="s">
        <v>229</v>
      </c>
      <c r="B158" s="213"/>
      <c r="C158" s="214"/>
      <c r="D158" s="214"/>
      <c r="E158" s="214"/>
      <c r="F158" s="214"/>
      <c r="G158" s="215"/>
      <c r="H158" s="216"/>
      <c r="I158" s="217"/>
      <c r="J158" s="170"/>
      <c r="K158" s="118"/>
      <c r="L158" s="134"/>
      <c r="M158" s="134"/>
      <c r="N158" s="134"/>
      <c r="O158" s="134"/>
      <c r="P158" s="134"/>
      <c r="Q158" s="134"/>
      <c r="R158" s="134"/>
      <c r="S158" s="118"/>
      <c r="T158" s="118"/>
      <c r="U158" s="118"/>
    </row>
    <row r="159" spans="1:21" s="308" customFormat="1" ht="172.5" customHeight="1" x14ac:dyDescent="0.2">
      <c r="A159" s="228" t="s">
        <v>504</v>
      </c>
      <c r="B159" s="827" t="s">
        <v>1063</v>
      </c>
      <c r="C159" s="828"/>
      <c r="D159" s="828"/>
      <c r="E159" s="828"/>
      <c r="F159" s="828"/>
      <c r="G159" s="828"/>
      <c r="H159" s="828"/>
      <c r="I159" s="829"/>
      <c r="J159" s="171"/>
      <c r="K159" s="172"/>
      <c r="L159" s="173"/>
      <c r="M159" s="173"/>
      <c r="N159" s="173"/>
      <c r="O159" s="173"/>
      <c r="P159" s="173"/>
      <c r="Q159" s="173"/>
      <c r="R159" s="173"/>
      <c r="S159" s="172"/>
    </row>
    <row r="160" spans="1:21" s="218" customFormat="1" x14ac:dyDescent="0.2">
      <c r="A160" s="281"/>
      <c r="B160" s="816"/>
      <c r="C160" s="817"/>
      <c r="D160" s="817"/>
      <c r="E160" s="817"/>
      <c r="F160" s="817"/>
      <c r="G160" s="817"/>
      <c r="H160" s="817"/>
      <c r="I160" s="818"/>
    </row>
    <row r="161" spans="1:9" s="218" customFormat="1" x14ac:dyDescent="0.2">
      <c r="A161" s="281"/>
      <c r="B161" s="816"/>
      <c r="C161" s="817"/>
      <c r="D161" s="817"/>
      <c r="E161" s="817"/>
      <c r="F161" s="817"/>
      <c r="G161" s="817"/>
      <c r="H161" s="817"/>
      <c r="I161" s="818"/>
    </row>
    <row r="162" spans="1:9" s="218" customFormat="1" x14ac:dyDescent="0.2">
      <c r="A162" s="281"/>
      <c r="B162" s="816"/>
      <c r="C162" s="817"/>
      <c r="D162" s="817"/>
      <c r="E162" s="817"/>
      <c r="F162" s="817"/>
      <c r="G162" s="817"/>
      <c r="H162" s="817"/>
      <c r="I162" s="818"/>
    </row>
    <row r="163" spans="1:9" s="218" customFormat="1" x14ac:dyDescent="0.2">
      <c r="A163" s="281"/>
      <c r="B163" s="816"/>
      <c r="C163" s="817"/>
      <c r="D163" s="817"/>
      <c r="E163" s="817"/>
      <c r="F163" s="817"/>
      <c r="G163" s="817"/>
      <c r="H163" s="817"/>
      <c r="I163" s="818"/>
    </row>
    <row r="164" spans="1:9" s="218" customFormat="1" x14ac:dyDescent="0.2">
      <c r="A164" s="281"/>
      <c r="B164" s="816"/>
      <c r="C164" s="817"/>
      <c r="D164" s="817"/>
      <c r="E164" s="817"/>
      <c r="F164" s="817"/>
      <c r="G164" s="817"/>
      <c r="H164" s="817"/>
      <c r="I164" s="818"/>
    </row>
    <row r="165" spans="1:9" s="218" customFormat="1" x14ac:dyDescent="0.2">
      <c r="A165" s="281"/>
      <c r="B165" s="816"/>
      <c r="C165" s="817"/>
      <c r="D165" s="817"/>
      <c r="E165" s="817"/>
      <c r="F165" s="817"/>
      <c r="G165" s="817"/>
      <c r="H165" s="817"/>
      <c r="I165" s="818"/>
    </row>
    <row r="166" spans="1:9" s="218" customFormat="1" x14ac:dyDescent="0.2">
      <c r="A166" s="281"/>
      <c r="B166" s="816"/>
      <c r="C166" s="817"/>
      <c r="D166" s="817"/>
      <c r="E166" s="817"/>
      <c r="F166" s="817"/>
      <c r="G166" s="817"/>
      <c r="H166" s="817"/>
      <c r="I166" s="818"/>
    </row>
    <row r="167" spans="1:9" s="218" customFormat="1" x14ac:dyDescent="0.2">
      <c r="A167" s="281"/>
      <c r="B167" s="816"/>
      <c r="C167" s="817"/>
      <c r="D167" s="817"/>
      <c r="E167" s="817"/>
      <c r="F167" s="817"/>
      <c r="G167" s="817"/>
      <c r="H167" s="817"/>
      <c r="I167" s="818"/>
    </row>
    <row r="168" spans="1:9" s="218" customFormat="1" x14ac:dyDescent="0.2">
      <c r="A168" s="281"/>
      <c r="B168" s="816"/>
      <c r="C168" s="817"/>
      <c r="D168" s="817"/>
      <c r="E168" s="817"/>
      <c r="F168" s="817"/>
      <c r="G168" s="817"/>
      <c r="H168" s="817"/>
      <c r="I168" s="818"/>
    </row>
    <row r="169" spans="1:9" s="218" customFormat="1" x14ac:dyDescent="0.2">
      <c r="A169" s="281"/>
      <c r="B169" s="816"/>
      <c r="C169" s="817"/>
      <c r="D169" s="817"/>
      <c r="E169" s="817"/>
      <c r="F169" s="817"/>
      <c r="G169" s="817"/>
      <c r="H169" s="817"/>
      <c r="I169" s="818"/>
    </row>
    <row r="170" spans="1:9" s="218" customFormat="1" x14ac:dyDescent="0.2">
      <c r="A170" s="281"/>
      <c r="B170" s="816"/>
      <c r="C170" s="817"/>
      <c r="D170" s="817"/>
      <c r="E170" s="817"/>
      <c r="F170" s="817"/>
      <c r="G170" s="817"/>
      <c r="H170" s="817"/>
      <c r="I170" s="818"/>
    </row>
    <row r="171" spans="1:9" s="218" customFormat="1" x14ac:dyDescent="0.2">
      <c r="A171" s="281"/>
      <c r="B171" s="816"/>
      <c r="C171" s="817"/>
      <c r="D171" s="817"/>
      <c r="E171" s="817"/>
      <c r="F171" s="817"/>
      <c r="G171" s="817"/>
      <c r="H171" s="817"/>
      <c r="I171" s="818"/>
    </row>
    <row r="172" spans="1:9" s="218" customFormat="1" x14ac:dyDescent="0.2">
      <c r="A172" s="281"/>
      <c r="B172" s="816"/>
      <c r="C172" s="817"/>
      <c r="D172" s="817"/>
      <c r="E172" s="817"/>
      <c r="F172" s="817"/>
      <c r="G172" s="817"/>
      <c r="H172" s="817"/>
      <c r="I172" s="818"/>
    </row>
    <row r="173" spans="1:9" s="218" customFormat="1" ht="16.5" thickBot="1" x14ac:dyDescent="0.25">
      <c r="A173" s="282"/>
      <c r="B173" s="819"/>
      <c r="C173" s="820"/>
      <c r="D173" s="820"/>
      <c r="E173" s="820"/>
      <c r="F173" s="820"/>
      <c r="G173" s="820"/>
      <c r="H173" s="820"/>
      <c r="I173" s="821"/>
    </row>
    <row r="175" spans="1:9" s="218" customFormat="1" x14ac:dyDescent="0.2">
      <c r="F175" s="337"/>
      <c r="G175" s="337"/>
      <c r="H175" s="337"/>
      <c r="I175" s="337"/>
    </row>
    <row r="176" spans="1:9" s="218" customFormat="1" ht="16.5" thickBot="1" x14ac:dyDescent="0.25">
      <c r="F176" s="337"/>
      <c r="G176" s="337"/>
      <c r="H176" s="337"/>
      <c r="I176" s="337"/>
    </row>
    <row r="177" spans="1:14" s="218" customFormat="1" ht="16.5" thickBot="1" x14ac:dyDescent="0.25">
      <c r="A177" s="825" t="s">
        <v>3</v>
      </c>
      <c r="B177" s="826"/>
      <c r="F177" s="337"/>
      <c r="G177" s="337"/>
      <c r="H177" s="337"/>
      <c r="I177" s="337"/>
    </row>
    <row r="178" spans="1:14" s="347" customFormat="1" ht="16.5" thickBot="1" x14ac:dyDescent="0.25">
      <c r="A178" s="338"/>
      <c r="B178" s="338"/>
      <c r="F178" s="348"/>
      <c r="G178" s="348"/>
      <c r="H178" s="348"/>
      <c r="I178" s="348"/>
    </row>
    <row r="179" spans="1:14" s="218" customFormat="1" ht="15.75" customHeight="1" thickBot="1" x14ac:dyDescent="0.25">
      <c r="A179" s="800" t="s">
        <v>2</v>
      </c>
      <c r="B179" s="801"/>
      <c r="C179" s="801"/>
      <c r="D179" s="801"/>
      <c r="E179" s="801"/>
      <c r="F179" s="801"/>
      <c r="G179" s="802"/>
      <c r="H179" s="337"/>
      <c r="I179" s="337"/>
    </row>
    <row r="180" spans="1:14" s="347" customFormat="1" ht="15.75" customHeight="1" thickBot="1" x14ac:dyDescent="0.25">
      <c r="A180" s="338"/>
      <c r="B180" s="338"/>
      <c r="C180" s="338"/>
      <c r="D180" s="338"/>
      <c r="E180" s="338"/>
      <c r="F180" s="338"/>
      <c r="G180" s="338"/>
      <c r="H180" s="348"/>
      <c r="I180" s="348"/>
    </row>
    <row r="181" spans="1:14" s="218" customFormat="1" ht="15.75" customHeight="1" thickBot="1" x14ac:dyDescent="0.25">
      <c r="A181" s="807" t="s">
        <v>1</v>
      </c>
      <c r="B181" s="808"/>
      <c r="C181" s="808"/>
      <c r="D181" s="808"/>
      <c r="E181" s="809"/>
      <c r="F181" s="339"/>
      <c r="G181" s="339"/>
      <c r="H181" s="337"/>
      <c r="I181" s="337"/>
    </row>
    <row r="182" spans="1:14" s="218" customFormat="1" x14ac:dyDescent="0.2">
      <c r="A182" s="803" t="s">
        <v>627</v>
      </c>
      <c r="B182" s="805" t="s">
        <v>888</v>
      </c>
      <c r="C182" s="786" t="s">
        <v>0</v>
      </c>
      <c r="D182" s="786" t="s">
        <v>609</v>
      </c>
      <c r="E182" s="805" t="s">
        <v>889</v>
      </c>
      <c r="F182" s="786" t="s">
        <v>436</v>
      </c>
      <c r="G182" s="786" t="s">
        <v>421</v>
      </c>
      <c r="H182" s="786" t="s">
        <v>628</v>
      </c>
      <c r="I182" s="786" t="s">
        <v>11</v>
      </c>
      <c r="J182" s="786" t="s">
        <v>12</v>
      </c>
      <c r="K182" s="786" t="s">
        <v>13</v>
      </c>
      <c r="L182" s="786" t="s">
        <v>449</v>
      </c>
      <c r="M182" s="786" t="s">
        <v>610</v>
      </c>
      <c r="N182" s="788"/>
    </row>
    <row r="183" spans="1:14" s="218" customFormat="1" ht="32.25" customHeight="1" thickBot="1" x14ac:dyDescent="0.25">
      <c r="A183" s="804"/>
      <c r="B183" s="806"/>
      <c r="C183" s="787"/>
      <c r="D183" s="787"/>
      <c r="E183" s="806"/>
      <c r="F183" s="787"/>
      <c r="G183" s="787"/>
      <c r="H183" s="787"/>
      <c r="I183" s="787"/>
      <c r="J183" s="787"/>
      <c r="K183" s="787"/>
      <c r="L183" s="787"/>
      <c r="M183" s="787"/>
      <c r="N183" s="789"/>
    </row>
    <row r="184" spans="1:14" s="218" customFormat="1" x14ac:dyDescent="0.2">
      <c r="A184" s="344"/>
      <c r="B184" s="340"/>
      <c r="C184" s="394"/>
      <c r="D184" s="340"/>
      <c r="E184" s="340"/>
      <c r="F184" s="340"/>
      <c r="G184" s="340"/>
      <c r="H184" s="340"/>
      <c r="I184" s="340"/>
      <c r="J184" s="340"/>
      <c r="K184" s="340"/>
      <c r="L184" s="661"/>
      <c r="M184" s="810"/>
      <c r="N184" s="811"/>
    </row>
    <row r="185" spans="1:14" s="218" customFormat="1" x14ac:dyDescent="0.2">
      <c r="A185" s="345"/>
      <c r="B185" s="341"/>
      <c r="C185" s="392"/>
      <c r="D185" s="341"/>
      <c r="E185" s="341"/>
      <c r="F185" s="341"/>
      <c r="G185" s="341"/>
      <c r="H185" s="341"/>
      <c r="I185" s="341"/>
      <c r="J185" s="341"/>
      <c r="K185" s="341"/>
      <c r="L185" s="662"/>
      <c r="M185" s="790"/>
      <c r="N185" s="791"/>
    </row>
    <row r="186" spans="1:14" s="218" customFormat="1" x14ac:dyDescent="0.2">
      <c r="A186" s="345"/>
      <c r="B186" s="341"/>
      <c r="C186" s="392"/>
      <c r="D186" s="341"/>
      <c r="E186" s="341"/>
      <c r="F186" s="341"/>
      <c r="G186" s="341"/>
      <c r="H186" s="341"/>
      <c r="I186" s="341"/>
      <c r="J186" s="341"/>
      <c r="K186" s="341"/>
      <c r="L186" s="662"/>
      <c r="M186" s="790"/>
      <c r="N186" s="791"/>
    </row>
    <row r="187" spans="1:14" s="218" customFormat="1" x14ac:dyDescent="0.2">
      <c r="A187" s="345"/>
      <c r="B187" s="341"/>
      <c r="C187" s="392"/>
      <c r="D187" s="341"/>
      <c r="E187" s="341"/>
      <c r="F187" s="341"/>
      <c r="G187" s="341"/>
      <c r="H187" s="341"/>
      <c r="I187" s="341"/>
      <c r="J187" s="341"/>
      <c r="K187" s="341"/>
      <c r="L187" s="662"/>
      <c r="M187" s="790"/>
      <c r="N187" s="791"/>
    </row>
    <row r="188" spans="1:14" s="218" customFormat="1" x14ac:dyDescent="0.2">
      <c r="A188" s="345"/>
      <c r="B188" s="341"/>
      <c r="C188" s="392"/>
      <c r="D188" s="341"/>
      <c r="E188" s="341"/>
      <c r="F188" s="341"/>
      <c r="G188" s="341"/>
      <c r="H188" s="341"/>
      <c r="I188" s="341"/>
      <c r="J188" s="341"/>
      <c r="K188" s="341"/>
      <c r="L188" s="662"/>
      <c r="M188" s="790"/>
      <c r="N188" s="791"/>
    </row>
    <row r="189" spans="1:14" s="218" customFormat="1" ht="16.5" thickBot="1" x14ac:dyDescent="0.25">
      <c r="A189" s="346"/>
      <c r="B189" s="342"/>
      <c r="C189" s="336"/>
      <c r="D189" s="342"/>
      <c r="E189" s="342"/>
      <c r="F189" s="342"/>
      <c r="G189" s="342"/>
      <c r="H189" s="342"/>
      <c r="I189" s="342"/>
      <c r="J189" s="342"/>
      <c r="K189" s="342"/>
      <c r="L189" s="663"/>
      <c r="M189" s="794"/>
      <c r="N189" s="795"/>
    </row>
    <row r="190" spans="1:14" s="218" customFormat="1" x14ac:dyDescent="0.2">
      <c r="F190" s="337"/>
      <c r="G190" s="337"/>
      <c r="H190" s="337"/>
      <c r="I190" s="337"/>
    </row>
    <row r="191" spans="1:14" s="218" customFormat="1" ht="16.5" thickBot="1" x14ac:dyDescent="0.25">
      <c r="F191" s="337"/>
      <c r="G191" s="337"/>
      <c r="H191" s="337"/>
      <c r="I191" s="337"/>
    </row>
    <row r="192" spans="1:14" s="218" customFormat="1" ht="16.5" thickBot="1" x14ac:dyDescent="0.25">
      <c r="A192" s="800" t="s">
        <v>790</v>
      </c>
      <c r="B192" s="801"/>
      <c r="C192" s="801"/>
      <c r="D192" s="801"/>
      <c r="E192" s="801"/>
      <c r="F192" s="801"/>
      <c r="G192" s="802"/>
      <c r="H192" s="337"/>
      <c r="I192" s="337"/>
    </row>
    <row r="193" spans="1:31" s="192" customFormat="1" ht="16.5" thickBot="1" x14ac:dyDescent="0.25">
      <c r="F193" s="191"/>
      <c r="G193" s="191"/>
      <c r="H193" s="191"/>
      <c r="I193" s="191"/>
    </row>
    <row r="194" spans="1:31" s="218" customFormat="1" ht="16.5" thickBot="1" x14ac:dyDescent="0.25">
      <c r="A194" s="807" t="s">
        <v>1</v>
      </c>
      <c r="B194" s="808"/>
      <c r="C194" s="808"/>
      <c r="D194" s="808"/>
      <c r="E194" s="808"/>
      <c r="F194" s="808"/>
      <c r="G194" s="808"/>
      <c r="H194" s="809"/>
      <c r="I194" s="337"/>
    </row>
    <row r="195" spans="1:31" s="1169" customFormat="1" ht="36.75" customHeight="1" thickBot="1" x14ac:dyDescent="0.25">
      <c r="A195" s="803" t="s">
        <v>627</v>
      </c>
      <c r="B195" s="805" t="s">
        <v>888</v>
      </c>
      <c r="C195" s="786" t="s">
        <v>0</v>
      </c>
      <c r="D195" s="786" t="s">
        <v>609</v>
      </c>
      <c r="E195" s="805" t="s">
        <v>889</v>
      </c>
      <c r="F195" s="971" t="s">
        <v>42</v>
      </c>
      <c r="G195" s="1165" t="s">
        <v>789</v>
      </c>
      <c r="H195" s="1163"/>
      <c r="I195" s="1163"/>
      <c r="J195" s="1163"/>
      <c r="K195" s="1163"/>
      <c r="L195" s="1163"/>
      <c r="M195" s="1163"/>
      <c r="N195" s="1163"/>
      <c r="O195" s="1163"/>
      <c r="P195" s="1163"/>
      <c r="Q195" s="1163"/>
      <c r="R195" s="1163"/>
      <c r="S195" s="1163"/>
      <c r="T195" s="1163"/>
      <c r="U195" s="1163"/>
      <c r="V195" s="1164"/>
      <c r="W195" s="930" t="s">
        <v>436</v>
      </c>
      <c r="X195" s="786" t="s">
        <v>421</v>
      </c>
      <c r="Y195" s="786" t="s">
        <v>628</v>
      </c>
      <c r="Z195" s="786" t="s">
        <v>11</v>
      </c>
      <c r="AA195" s="786" t="s">
        <v>12</v>
      </c>
      <c r="AB195" s="786" t="s">
        <v>13</v>
      </c>
      <c r="AC195" s="786" t="s">
        <v>449</v>
      </c>
      <c r="AD195" s="971" t="s">
        <v>610</v>
      </c>
      <c r="AE195" s="1161"/>
    </row>
    <row r="196" spans="1:31" s="1169" customFormat="1" ht="45.75" customHeight="1" thickBot="1" x14ac:dyDescent="0.25">
      <c r="A196" s="804"/>
      <c r="B196" s="806"/>
      <c r="C196" s="787"/>
      <c r="D196" s="787"/>
      <c r="E196" s="806"/>
      <c r="F196" s="787"/>
      <c r="G196" s="1186" t="s">
        <v>432</v>
      </c>
      <c r="H196" s="1186" t="s">
        <v>1380</v>
      </c>
      <c r="I196" s="1186" t="s">
        <v>1381</v>
      </c>
      <c r="J196" s="1186" t="s">
        <v>1382</v>
      </c>
      <c r="K196" s="1186" t="s">
        <v>433</v>
      </c>
      <c r="L196" s="1186" t="s">
        <v>1383</v>
      </c>
      <c r="M196" s="1182" t="s">
        <v>1386</v>
      </c>
      <c r="N196" s="1182" t="s">
        <v>1387</v>
      </c>
      <c r="O196" s="1186" t="s">
        <v>434</v>
      </c>
      <c r="P196" s="1186" t="s">
        <v>1384</v>
      </c>
      <c r="Q196" s="1182" t="s">
        <v>1388</v>
      </c>
      <c r="R196" s="1182" t="s">
        <v>1389</v>
      </c>
      <c r="S196" s="1186" t="s">
        <v>435</v>
      </c>
      <c r="T196" s="1186" t="s">
        <v>1385</v>
      </c>
      <c r="U196" s="1182" t="s">
        <v>1390</v>
      </c>
      <c r="V196" s="1182" t="s">
        <v>1391</v>
      </c>
      <c r="W196" s="959"/>
      <c r="X196" s="787"/>
      <c r="Y196" s="787"/>
      <c r="Z196" s="787"/>
      <c r="AA196" s="787"/>
      <c r="AB196" s="787"/>
      <c r="AC196" s="787"/>
      <c r="AD196" s="972"/>
      <c r="AE196" s="1162"/>
    </row>
    <row r="197" spans="1:31" s="1169" customFormat="1" x14ac:dyDescent="0.2">
      <c r="A197" s="1176"/>
      <c r="B197" s="1173"/>
      <c r="C197" s="1171"/>
      <c r="D197" s="1173"/>
      <c r="E197" s="1173"/>
      <c r="F197" s="1179"/>
      <c r="G197" s="1173"/>
      <c r="H197" s="1173"/>
      <c r="I197" s="1173"/>
      <c r="J197" s="1173"/>
      <c r="K197" s="1173"/>
      <c r="L197" s="1173"/>
      <c r="M197" s="1173"/>
      <c r="N197" s="1173"/>
      <c r="O197" s="1173"/>
      <c r="P197" s="1173"/>
      <c r="Q197" s="1173"/>
      <c r="R197" s="1173"/>
      <c r="S197" s="1173"/>
      <c r="T197" s="1173"/>
      <c r="U197" s="1173"/>
      <c r="V197" s="1173"/>
      <c r="W197" s="1173"/>
      <c r="X197" s="1173"/>
      <c r="Y197" s="1173"/>
      <c r="Z197" s="1173"/>
      <c r="AA197" s="1173"/>
      <c r="AB197" s="1173"/>
      <c r="AC197" s="1183"/>
      <c r="AD197" s="796"/>
      <c r="AE197" s="797"/>
    </row>
    <row r="198" spans="1:31" s="1169" customFormat="1" x14ac:dyDescent="0.2">
      <c r="A198" s="1177"/>
      <c r="B198" s="1174"/>
      <c r="C198" s="1170"/>
      <c r="D198" s="1174"/>
      <c r="E198" s="1174"/>
      <c r="F198" s="1180"/>
      <c r="G198" s="1174"/>
      <c r="H198" s="1174"/>
      <c r="I198" s="1174"/>
      <c r="J198" s="1174"/>
      <c r="K198" s="1174"/>
      <c r="L198" s="1174"/>
      <c r="M198" s="1174"/>
      <c r="N198" s="1174"/>
      <c r="O198" s="1174"/>
      <c r="P198" s="1174"/>
      <c r="Q198" s="1174"/>
      <c r="R198" s="1174"/>
      <c r="S198" s="1174"/>
      <c r="T198" s="1174"/>
      <c r="U198" s="1174"/>
      <c r="V198" s="1174"/>
      <c r="W198" s="1174"/>
      <c r="X198" s="1174"/>
      <c r="Y198" s="1174"/>
      <c r="Z198" s="1174"/>
      <c r="AA198" s="1174"/>
      <c r="AB198" s="1174"/>
      <c r="AC198" s="1184"/>
      <c r="AD198" s="798"/>
      <c r="AE198" s="799"/>
    </row>
    <row r="199" spans="1:31" s="1169" customFormat="1" x14ac:dyDescent="0.2">
      <c r="A199" s="1177"/>
      <c r="B199" s="1174"/>
      <c r="C199" s="1170"/>
      <c r="D199" s="1174"/>
      <c r="E199" s="1174"/>
      <c r="F199" s="1180"/>
      <c r="G199" s="1174"/>
      <c r="H199" s="1174"/>
      <c r="I199" s="1174"/>
      <c r="J199" s="1174"/>
      <c r="K199" s="1174"/>
      <c r="L199" s="1174"/>
      <c r="M199" s="1174"/>
      <c r="N199" s="1174"/>
      <c r="O199" s="1174"/>
      <c r="P199" s="1174"/>
      <c r="Q199" s="1174"/>
      <c r="R199" s="1174"/>
      <c r="S199" s="1174"/>
      <c r="T199" s="1174"/>
      <c r="U199" s="1174"/>
      <c r="V199" s="1174"/>
      <c r="W199" s="1174"/>
      <c r="X199" s="1174"/>
      <c r="Y199" s="1174"/>
      <c r="Z199" s="1174"/>
      <c r="AA199" s="1174"/>
      <c r="AB199" s="1174"/>
      <c r="AC199" s="1184"/>
      <c r="AD199" s="798"/>
      <c r="AE199" s="799"/>
    </row>
    <row r="200" spans="1:31" s="1169" customFormat="1" x14ac:dyDescent="0.2">
      <c r="A200" s="1177"/>
      <c r="B200" s="1174"/>
      <c r="C200" s="1170"/>
      <c r="D200" s="1174"/>
      <c r="E200" s="1174"/>
      <c r="F200" s="1180"/>
      <c r="G200" s="1174"/>
      <c r="H200" s="1174"/>
      <c r="I200" s="1174"/>
      <c r="J200" s="1174"/>
      <c r="K200" s="1174"/>
      <c r="L200" s="1174"/>
      <c r="M200" s="1174"/>
      <c r="N200" s="1174"/>
      <c r="O200" s="1174"/>
      <c r="P200" s="1174"/>
      <c r="Q200" s="1174"/>
      <c r="R200" s="1174"/>
      <c r="S200" s="1174"/>
      <c r="T200" s="1174"/>
      <c r="U200" s="1174"/>
      <c r="V200" s="1174"/>
      <c r="W200" s="1174"/>
      <c r="X200" s="1174"/>
      <c r="Y200" s="1174"/>
      <c r="Z200" s="1174"/>
      <c r="AA200" s="1174"/>
      <c r="AB200" s="1174"/>
      <c r="AC200" s="1184"/>
      <c r="AD200" s="798"/>
      <c r="AE200" s="799"/>
    </row>
    <row r="201" spans="1:31" s="1169" customFormat="1" x14ac:dyDescent="0.2">
      <c r="A201" s="1177"/>
      <c r="B201" s="1174"/>
      <c r="C201" s="1170"/>
      <c r="D201" s="1174"/>
      <c r="E201" s="1174"/>
      <c r="F201" s="1180"/>
      <c r="G201" s="1174"/>
      <c r="H201" s="1174"/>
      <c r="I201" s="1174"/>
      <c r="J201" s="1174"/>
      <c r="K201" s="1174"/>
      <c r="L201" s="1174"/>
      <c r="M201" s="1174"/>
      <c r="N201" s="1174"/>
      <c r="O201" s="1174"/>
      <c r="P201" s="1174"/>
      <c r="Q201" s="1174"/>
      <c r="R201" s="1174"/>
      <c r="S201" s="1174"/>
      <c r="T201" s="1174"/>
      <c r="U201" s="1174"/>
      <c r="V201" s="1174"/>
      <c r="W201" s="1174"/>
      <c r="X201" s="1174"/>
      <c r="Y201" s="1174"/>
      <c r="Z201" s="1174"/>
      <c r="AA201" s="1174"/>
      <c r="AB201" s="1174"/>
      <c r="AC201" s="1184"/>
      <c r="AD201" s="798"/>
      <c r="AE201" s="799"/>
    </row>
    <row r="202" spans="1:31" s="1169" customFormat="1" ht="16.5" thickBot="1" x14ac:dyDescent="0.25">
      <c r="A202" s="1178"/>
      <c r="B202" s="1175"/>
      <c r="C202" s="1172"/>
      <c r="D202" s="1175"/>
      <c r="E202" s="1175"/>
      <c r="F202" s="1181"/>
      <c r="G202" s="1175"/>
      <c r="H202" s="1175"/>
      <c r="I202" s="1175"/>
      <c r="J202" s="1175"/>
      <c r="K202" s="1175"/>
      <c r="L202" s="1175"/>
      <c r="M202" s="1175"/>
      <c r="N202" s="1175"/>
      <c r="O202" s="1175"/>
      <c r="P202" s="1175"/>
      <c r="Q202" s="1175"/>
      <c r="R202" s="1175"/>
      <c r="S202" s="1175"/>
      <c r="T202" s="1175"/>
      <c r="U202" s="1175"/>
      <c r="V202" s="1175"/>
      <c r="W202" s="1175"/>
      <c r="X202" s="1175"/>
      <c r="Y202" s="1175"/>
      <c r="Z202" s="1175"/>
      <c r="AA202" s="1175"/>
      <c r="AB202" s="1175"/>
      <c r="AC202" s="1185"/>
      <c r="AD202" s="792"/>
      <c r="AE202" s="793"/>
    </row>
    <row r="203" spans="1:31" s="218" customFormat="1" x14ac:dyDescent="0.2">
      <c r="F203" s="337"/>
      <c r="G203" s="337"/>
      <c r="H203" s="337"/>
      <c r="I203" s="337"/>
    </row>
    <row r="204" spans="1:31" s="218" customFormat="1" x14ac:dyDescent="0.2">
      <c r="F204" s="337"/>
      <c r="G204" s="337"/>
      <c r="H204" s="337"/>
      <c r="I204" s="337"/>
    </row>
    <row r="205" spans="1:31" s="218" customFormat="1" ht="16.5" thickBot="1" x14ac:dyDescent="0.25">
      <c r="F205" s="337"/>
      <c r="G205" s="337"/>
      <c r="H205" s="337"/>
      <c r="I205" s="337"/>
    </row>
    <row r="206" spans="1:31" ht="16.5" thickBot="1" x14ac:dyDescent="0.25">
      <c r="A206" s="555" t="s">
        <v>454</v>
      </c>
      <c r="B206" s="556" t="s">
        <v>455</v>
      </c>
    </row>
    <row r="207" spans="1:31" x14ac:dyDescent="0.2">
      <c r="A207" s="450" t="s">
        <v>456</v>
      </c>
      <c r="B207" s="557" t="s">
        <v>51</v>
      </c>
    </row>
    <row r="208" spans="1:31" x14ac:dyDescent="0.2">
      <c r="A208" s="558" t="s">
        <v>65</v>
      </c>
      <c r="B208" s="559" t="s">
        <v>51</v>
      </c>
    </row>
    <row r="209" spans="1:9" x14ac:dyDescent="0.2">
      <c r="A209" s="558" t="s">
        <v>257</v>
      </c>
      <c r="B209" s="559" t="s">
        <v>51</v>
      </c>
    </row>
    <row r="210" spans="1:9" x14ac:dyDescent="0.2">
      <c r="A210" s="558" t="s">
        <v>258</v>
      </c>
      <c r="B210" s="559" t="s">
        <v>51</v>
      </c>
    </row>
    <row r="211" spans="1:9" x14ac:dyDescent="0.2">
      <c r="A211" s="558" t="s">
        <v>259</v>
      </c>
      <c r="B211" s="559" t="s">
        <v>53</v>
      </c>
    </row>
    <row r="212" spans="1:9" x14ac:dyDescent="0.2">
      <c r="A212" s="558" t="s">
        <v>281</v>
      </c>
      <c r="B212" s="559" t="s">
        <v>53</v>
      </c>
    </row>
    <row r="213" spans="1:9" x14ac:dyDescent="0.2">
      <c r="A213" s="560" t="s">
        <v>279</v>
      </c>
      <c r="B213" s="559" t="s">
        <v>53</v>
      </c>
    </row>
    <row r="214" spans="1:9" x14ac:dyDescent="0.2">
      <c r="A214" s="560" t="s">
        <v>457</v>
      </c>
      <c r="B214" s="559" t="s">
        <v>53</v>
      </c>
      <c r="F214" s="69"/>
      <c r="G214" s="69"/>
      <c r="H214" s="69"/>
      <c r="I214" s="69"/>
    </row>
    <row r="215" spans="1:9" ht="16.5" thickBot="1" x14ac:dyDescent="0.25">
      <c r="A215" s="561" t="s">
        <v>460</v>
      </c>
      <c r="B215" s="562" t="s">
        <v>51</v>
      </c>
      <c r="F215" s="69"/>
      <c r="G215" s="69"/>
      <c r="H215" s="69"/>
      <c r="I215" s="69"/>
    </row>
  </sheetData>
  <sheetProtection formatCells="0" formatColumns="0" formatRows="0" insertColumns="0" insertRows="0" deleteColumns="0" deleteRows="0" sort="0" autoFilter="0"/>
  <autoFilter ref="A30:AB30" xr:uid="{00000000-0009-0000-0000-000008000000}"/>
  <sortState xmlns:xlrd2="http://schemas.microsoft.com/office/spreadsheetml/2017/richdata2" ref="A90:A123">
    <sortCondition ref="A123"/>
  </sortState>
  <dataConsolidate>
    <dataRefs count="2">
      <dataRef ref="B9" sheet="APPENDIX B-1  (FE - USWC)"/>
      <dataRef ref="A14:A18" sheet="APPENDIX B-1  (FE - USWC)"/>
    </dataRefs>
  </dataConsolidate>
  <mergeCells count="270">
    <mergeCell ref="AD199:AE199"/>
    <mergeCell ref="AD200:AE200"/>
    <mergeCell ref="AD201:AE201"/>
    <mergeCell ref="AD202:AE202"/>
    <mergeCell ref="X195:X196"/>
    <mergeCell ref="Y195:Y196"/>
    <mergeCell ref="Z195:Z196"/>
    <mergeCell ref="AA195:AA196"/>
    <mergeCell ref="AB195:AB196"/>
    <mergeCell ref="AC195:AC196"/>
    <mergeCell ref="AD195:AE196"/>
    <mergeCell ref="AD197:AE197"/>
    <mergeCell ref="AD198:AE198"/>
    <mergeCell ref="B119:D119"/>
    <mergeCell ref="E119:G119"/>
    <mergeCell ref="B125:D125"/>
    <mergeCell ref="E125:G125"/>
    <mergeCell ref="E111:G111"/>
    <mergeCell ref="B104:D104"/>
    <mergeCell ref="B105:D105"/>
    <mergeCell ref="B112:D112"/>
    <mergeCell ref="B106:D106"/>
    <mergeCell ref="B124:D124"/>
    <mergeCell ref="E115:G115"/>
    <mergeCell ref="E124:G124"/>
    <mergeCell ref="B123:D123"/>
    <mergeCell ref="E121:G121"/>
    <mergeCell ref="B121:D121"/>
    <mergeCell ref="E109:G109"/>
    <mergeCell ref="B113:D113"/>
    <mergeCell ref="E113:G113"/>
    <mergeCell ref="B114:D114"/>
    <mergeCell ref="E114:G114"/>
    <mergeCell ref="E112:G112"/>
    <mergeCell ref="B108:D108"/>
    <mergeCell ref="E108:G108"/>
    <mergeCell ref="B115:D115"/>
    <mergeCell ref="E103:G103"/>
    <mergeCell ref="B97:D97"/>
    <mergeCell ref="E97:G97"/>
    <mergeCell ref="B98:D98"/>
    <mergeCell ref="E105:G105"/>
    <mergeCell ref="B110:D110"/>
    <mergeCell ref="E110:G110"/>
    <mergeCell ref="B111:D111"/>
    <mergeCell ref="B94:D94"/>
    <mergeCell ref="E99:G99"/>
    <mergeCell ref="B101:D101"/>
    <mergeCell ref="E101:G101"/>
    <mergeCell ref="B95:D95"/>
    <mergeCell ref="E95:G95"/>
    <mergeCell ref="E96:G96"/>
    <mergeCell ref="B99:D99"/>
    <mergeCell ref="E104:G104"/>
    <mergeCell ref="E102:G102"/>
    <mergeCell ref="B103:D103"/>
    <mergeCell ref="B102:D102"/>
    <mergeCell ref="E106:G106"/>
    <mergeCell ref="B107:D107"/>
    <mergeCell ref="E107:G107"/>
    <mergeCell ref="B109:D109"/>
    <mergeCell ref="H90:H92"/>
    <mergeCell ref="E98:G98"/>
    <mergeCell ref="B93:D93"/>
    <mergeCell ref="L13:M13"/>
    <mergeCell ref="C7:F7"/>
    <mergeCell ref="A8:B8"/>
    <mergeCell ref="B16:I16"/>
    <mergeCell ref="E39:E40"/>
    <mergeCell ref="B15:I15"/>
    <mergeCell ref="L14:M14"/>
    <mergeCell ref="J14:K14"/>
    <mergeCell ref="B14:I14"/>
    <mergeCell ref="L17:M17"/>
    <mergeCell ref="B20:H20"/>
    <mergeCell ref="L16:M16"/>
    <mergeCell ref="J16:K16"/>
    <mergeCell ref="B22:H22"/>
    <mergeCell ref="B17:I17"/>
    <mergeCell ref="J13:K13"/>
    <mergeCell ref="C30:C31"/>
    <mergeCell ref="J15:K15"/>
    <mergeCell ref="M90:M92"/>
    <mergeCell ref="L90:L92"/>
    <mergeCell ref="J90:J92"/>
    <mergeCell ref="AC48:AC49"/>
    <mergeCell ref="AA48:AA49"/>
    <mergeCell ref="AB48:AB49"/>
    <mergeCell ref="J48:J49"/>
    <mergeCell ref="M48:M49"/>
    <mergeCell ref="Z48:Z49"/>
    <mergeCell ref="L48:L49"/>
    <mergeCell ref="K48:K49"/>
    <mergeCell ref="F48:F49"/>
    <mergeCell ref="G48:G49"/>
    <mergeCell ref="A1:B1"/>
    <mergeCell ref="C1:F1"/>
    <mergeCell ref="A2:B2"/>
    <mergeCell ref="C2:F2"/>
    <mergeCell ref="A3:B3"/>
    <mergeCell ref="A48:A49"/>
    <mergeCell ref="A30:A31"/>
    <mergeCell ref="B24:H24"/>
    <mergeCell ref="B13:I13"/>
    <mergeCell ref="C3:F3"/>
    <mergeCell ref="A39:A40"/>
    <mergeCell ref="G30:G31"/>
    <mergeCell ref="A4:B4"/>
    <mergeCell ref="C4:F4"/>
    <mergeCell ref="A5:B5"/>
    <mergeCell ref="C5:F5"/>
    <mergeCell ref="A6:B6"/>
    <mergeCell ref="I30:I31"/>
    <mergeCell ref="B23:H23"/>
    <mergeCell ref="C8:F8"/>
    <mergeCell ref="E48:E49"/>
    <mergeCell ref="D48:D49"/>
    <mergeCell ref="A47:D47"/>
    <mergeCell ref="C48:C49"/>
    <mergeCell ref="L15:M15"/>
    <mergeCell ref="C6:F6"/>
    <mergeCell ref="B39:B40"/>
    <mergeCell ref="B21:H21"/>
    <mergeCell ref="J17:K17"/>
    <mergeCell ref="I39:I40"/>
    <mergeCell ref="H39:H40"/>
    <mergeCell ref="D30:D31"/>
    <mergeCell ref="B30:B31"/>
    <mergeCell ref="E30:E31"/>
    <mergeCell ref="F30:F31"/>
    <mergeCell ref="C39:C40"/>
    <mergeCell ref="H30:H31"/>
    <mergeCell ref="A7:B7"/>
    <mergeCell ref="A12:J12"/>
    <mergeCell ref="G39:G40"/>
    <mergeCell ref="D39:D40"/>
    <mergeCell ref="F39:F40"/>
    <mergeCell ref="B67:D67"/>
    <mergeCell ref="B84:D84"/>
    <mergeCell ref="B88:I88"/>
    <mergeCell ref="A87:I87"/>
    <mergeCell ref="A72:C72"/>
    <mergeCell ref="A73:C73"/>
    <mergeCell ref="AA30:AA31"/>
    <mergeCell ref="AA39:AA40"/>
    <mergeCell ref="Z30:Z31"/>
    <mergeCell ref="Y30:Y31"/>
    <mergeCell ref="X39:X40"/>
    <mergeCell ref="K30:K31"/>
    <mergeCell ref="J30:J31"/>
    <mergeCell ref="Z39:Z40"/>
    <mergeCell ref="X30:X31"/>
    <mergeCell ref="Y39:Y40"/>
    <mergeCell ref="L30:L31"/>
    <mergeCell ref="J39:J40"/>
    <mergeCell ref="K39:K40"/>
    <mergeCell ref="K90:K92"/>
    <mergeCell ref="H48:H49"/>
    <mergeCell ref="I48:I49"/>
    <mergeCell ref="B80:D80"/>
    <mergeCell ref="B83:D83"/>
    <mergeCell ref="B100:D100"/>
    <mergeCell ref="E100:G100"/>
    <mergeCell ref="A92:G92"/>
    <mergeCell ref="A90:G90"/>
    <mergeCell ref="A91:G91"/>
    <mergeCell ref="B48:B49"/>
    <mergeCell ref="A57:C57"/>
    <mergeCell ref="A58:C58"/>
    <mergeCell ref="B69:D69"/>
    <mergeCell ref="B82:D82"/>
    <mergeCell ref="B65:D65"/>
    <mergeCell ref="B68:D68"/>
    <mergeCell ref="B81:D81"/>
    <mergeCell ref="A86:I86"/>
    <mergeCell ref="I90:I92"/>
    <mergeCell ref="E93:G93"/>
    <mergeCell ref="E94:G94"/>
    <mergeCell ref="B96:D96"/>
    <mergeCell ref="B66:D66"/>
    <mergeCell ref="L132:L133"/>
    <mergeCell ref="H132:H133"/>
    <mergeCell ref="B128:D128"/>
    <mergeCell ref="E128:G128"/>
    <mergeCell ref="E127:G127"/>
    <mergeCell ref="B127:D127"/>
    <mergeCell ref="K132:K133"/>
    <mergeCell ref="G132:G133"/>
    <mergeCell ref="I132:I133"/>
    <mergeCell ref="J132:J133"/>
    <mergeCell ref="A132:D132"/>
    <mergeCell ref="E132:E133"/>
    <mergeCell ref="F132:F133"/>
    <mergeCell ref="A129:I129"/>
    <mergeCell ref="A130:I130"/>
    <mergeCell ref="E123:G123"/>
    <mergeCell ref="E116:G116"/>
    <mergeCell ref="B120:D120"/>
    <mergeCell ref="E120:G120"/>
    <mergeCell ref="B118:D118"/>
    <mergeCell ref="A150:F150"/>
    <mergeCell ref="A149:F149"/>
    <mergeCell ref="B160:I160"/>
    <mergeCell ref="B173:I173"/>
    <mergeCell ref="B167:I167"/>
    <mergeCell ref="B161:I161"/>
    <mergeCell ref="B162:I162"/>
    <mergeCell ref="B164:I164"/>
    <mergeCell ref="F139:F140"/>
    <mergeCell ref="B159:I159"/>
    <mergeCell ref="A151:F151"/>
    <mergeCell ref="E118:G118"/>
    <mergeCell ref="B117:D117"/>
    <mergeCell ref="E117:G117"/>
    <mergeCell ref="B122:D122"/>
    <mergeCell ref="E122:G122"/>
    <mergeCell ref="B116:D116"/>
    <mergeCell ref="B126:D126"/>
    <mergeCell ref="E126:G126"/>
    <mergeCell ref="A179:G179"/>
    <mergeCell ref="C182:C183"/>
    <mergeCell ref="B169:I169"/>
    <mergeCell ref="A181:E181"/>
    <mergeCell ref="B172:I172"/>
    <mergeCell ref="B195:B196"/>
    <mergeCell ref="D195:D196"/>
    <mergeCell ref="M185:N185"/>
    <mergeCell ref="M186:N186"/>
    <mergeCell ref="M187:N187"/>
    <mergeCell ref="M182:N183"/>
    <mergeCell ref="F182:F183"/>
    <mergeCell ref="A192:G192"/>
    <mergeCell ref="A195:A196"/>
    <mergeCell ref="A194:H194"/>
    <mergeCell ref="C195:C196"/>
    <mergeCell ref="F195:F196"/>
    <mergeCell ref="E195:E196"/>
    <mergeCell ref="D182:D183"/>
    <mergeCell ref="H182:H183"/>
    <mergeCell ref="J182:J183"/>
    <mergeCell ref="E182:E183"/>
    <mergeCell ref="K182:K183"/>
    <mergeCell ref="L182:L183"/>
    <mergeCell ref="M188:N188"/>
    <mergeCell ref="M184:N184"/>
    <mergeCell ref="I182:I183"/>
    <mergeCell ref="G182:G183"/>
    <mergeCell ref="E139:E140"/>
    <mergeCell ref="M139:M140"/>
    <mergeCell ref="B165:I165"/>
    <mergeCell ref="B163:I163"/>
    <mergeCell ref="L139:L140"/>
    <mergeCell ref="K139:K140"/>
    <mergeCell ref="A177:B177"/>
    <mergeCell ref="A182:A183"/>
    <mergeCell ref="B171:I171"/>
    <mergeCell ref="B166:I166"/>
    <mergeCell ref="B182:B183"/>
    <mergeCell ref="B168:I168"/>
    <mergeCell ref="H139:H140"/>
    <mergeCell ref="A139:D139"/>
    <mergeCell ref="G139:G140"/>
    <mergeCell ref="J139:J140"/>
    <mergeCell ref="I139:I140"/>
    <mergeCell ref="A157:I157"/>
    <mergeCell ref="B170:I170"/>
    <mergeCell ref="A147:E147"/>
    <mergeCell ref="M189:N189"/>
    <mergeCell ref="G195:V195"/>
    <mergeCell ref="W195:W196"/>
  </mergeCells>
  <phoneticPr fontId="11" type="noConversion"/>
  <dataValidations count="33">
    <dataValidation type="list" allowBlank="1" showInputMessage="1" showErrorMessage="1" sqref="B207:B215" xr:uid="{00000000-0002-0000-0800-000000000000}">
      <formula1>Autom</formula1>
    </dataValidation>
    <dataValidation type="list" showInputMessage="1" showErrorMessage="1" sqref="C184:C189 C197:C202" xr:uid="{00000000-0002-0000-0800-000001000000}">
      <formula1>IF($B184="I",DDTARIFF,DDTARIFFUSE)</formula1>
    </dataValidation>
    <dataValidation type="list" allowBlank="1" showInputMessage="1" showErrorMessage="1" sqref="B184:B189 B197:B202" xr:uid="{00000000-0002-0000-0800-000002000000}">
      <formula1>EXPIMP</formula1>
    </dataValidation>
    <dataValidation type="list" allowBlank="1" showInputMessage="1" showErrorMessage="1" sqref="F184:F189 W197:W202" xr:uid="{00000000-0002-0000-0800-000003000000}">
      <formula1>EQTYPE</formula1>
    </dataValidation>
    <dataValidation type="list" allowBlank="1" showInputMessage="1" showErrorMessage="1" sqref="G184:G189 X197:X202" xr:uid="{00000000-0002-0000-0800-000004000000}">
      <formula1>OPREEFER</formula1>
    </dataValidation>
    <dataValidation type="list" allowBlank="1" showInputMessage="1" showErrorMessage="1" sqref="F197:F202" xr:uid="{C1D03ECB-CFE1-48E0-B1EB-FA8089D94989}">
      <formula1>CURRENCY</formula1>
    </dataValidation>
    <dataValidation type="whole" allowBlank="1" showInputMessage="1" showErrorMessage="1" error="Only whole numbers can be entered into this field" sqref="D184:D189 D197:D202" xr:uid="{00000000-0002-0000-0800-000006000000}">
      <formula1>1</formula1>
      <formula2>99</formula2>
    </dataValidation>
    <dataValidation type="list" showInputMessage="1" showErrorMessage="1" sqref="E184:E189 E197:E202" xr:uid="{00000000-0002-0000-0800-000007000000}">
      <formula1>DAYS</formula1>
    </dataValidation>
    <dataValidation type="whole" allowBlank="1" showInputMessage="1" showErrorMessage="1" error="Only whole numbers may be entered into this field_x000a_" sqref="G197:G202 S197:S202 O197:O202 K197:K202" xr:uid="{119F3B0F-1C56-4BD6-A24B-1B5C87ED62A5}">
      <formula1>1</formula1>
      <formula2>99</formula2>
    </dataValidation>
    <dataValidation type="decimal" allowBlank="1" showInputMessage="1" showErrorMessage="1" error="Only numbers may be entered into this field" sqref="H197:J202 L197:N202 P197:R202 T197:V202" xr:uid="{82D66BAE-54A7-43B7-8368-BBF147B5B35D}">
      <formula1>1</formula1>
      <formula2>1000000000</formula2>
    </dataValidation>
    <dataValidation type="list" showInputMessage="1" showErrorMessage="1" sqref="K134:K137 K141:K144 N66:N69 A41:A44 A50:A53 A32:A35 N81:N84" xr:uid="{00000000-0002-0000-0800-00000A000000}">
      <formula1>$A$14:$A$18</formula1>
    </dataValidation>
    <dataValidation type="list" allowBlank="1" showInputMessage="1" showErrorMessage="1" sqref="J134:J137 J141:J144" xr:uid="{00000000-0002-0000-0800-00000B000000}">
      <formula1>GRIPSS</formula1>
    </dataValidation>
    <dataValidation type="decimal" allowBlank="1" showInputMessage="1" showErrorMessage="1" sqref="F141:I144 F134:I137 I32:L35 I41:K44 J81:M84 I50:L53" xr:uid="{00000000-0002-0000-0800-00000C000000}">
      <formula1>0</formula1>
      <formula2>999999999999999</formula2>
    </dataValidation>
    <dataValidation type="list" allowBlank="1" showInputMessage="1" showErrorMessage="1" sqref="E134:E137 E141:E144" xr:uid="{00000000-0002-0000-0800-00000D000000}">
      <formula1>GRIPSS_EQ</formula1>
    </dataValidation>
    <dataValidation type="list" showInputMessage="1" showErrorMessage="1" sqref="A184:A189 A197:A202" xr:uid="{00000000-0002-0000-0800-00000E000000}">
      <formula1>BULLET</formula1>
    </dataValidation>
    <dataValidation type="date" allowBlank="1" showInputMessage="1" showErrorMessage="1" sqref="X32:Y35 J93:K128" xr:uid="{00000000-0002-0000-0800-00000F000000}">
      <formula1>10101</formula1>
      <formula2>311299</formula2>
    </dataValidation>
    <dataValidation type="list" showDropDown="1" showErrorMessage="1" sqref="O65:P65 O80:P80" xr:uid="{00000000-0002-0000-0800-000010000000}">
      <formula1>Charges</formula1>
    </dataValidation>
    <dataValidation type="list" allowBlank="1" showInputMessage="1" showErrorMessage="1" sqref="O66:P69 O81:P84" xr:uid="{00000000-0002-0000-0800-000011000000}">
      <formula1 xml:space="preserve"> droppull</formula1>
    </dataValidation>
    <dataValidation type="list" allowBlank="1" showInputMessage="1" showErrorMessage="1" sqref="L41:L44 G66:G69 P50:P53 N41:N44 G81:G84" xr:uid="{00000000-0002-0000-0800-000012000000}">
      <formula1>YesNo</formula1>
    </dataValidation>
    <dataValidation type="list" allowBlank="1" showInputMessage="1" showErrorMessage="1" sqref="M50:M53" xr:uid="{00000000-0002-0000-0800-000013000000}">
      <formula1>Equip</formula1>
    </dataValidation>
    <dataValidation type="list" allowBlank="1" showInputMessage="1" showErrorMessage="1" sqref="F66:F69 F81:F84" xr:uid="{00000000-0002-0000-0800-000014000000}">
      <formula1>ArbMode</formula1>
    </dataValidation>
    <dataValidation type="list" allowBlank="1" showInputMessage="1" showErrorMessage="1" sqref="G41:G44 G50:G53 G32:G35" xr:uid="{00000000-0002-0000-0800-000015000000}">
      <formula1>SDD</formula1>
    </dataValidation>
    <dataValidation type="list" allowBlank="1" showInputMessage="1" showErrorMessage="1" sqref="M31:W31 Q49:Y49" xr:uid="{00000000-0002-0000-0800-000016000000}">
      <formula1>Container</formula1>
    </dataValidation>
    <dataValidation type="list" allowBlank="1" showInputMessage="1" showErrorMessage="1" sqref="O40:W40" xr:uid="{00000000-0002-0000-0800-000017000000}">
      <formula1>Reefer</formula1>
    </dataValidation>
    <dataValidation type="list" allowBlank="1" showInputMessage="1" showErrorMessage="1" sqref="F32:F35 F50:F53 F41:F44" xr:uid="{00000000-0002-0000-0800-000018000000}">
      <formula1>Mode</formula1>
    </dataValidation>
    <dataValidation type="list" allowBlank="1" showInputMessage="1" showErrorMessage="1" sqref="M41:M44 O50:O53" xr:uid="{00000000-0002-0000-0800-000019000000}">
      <formula1>ShipperOwn</formula1>
    </dataValidation>
    <dataValidation type="list" allowBlank="1" showInputMessage="1" showErrorMessage="1" sqref="N50:N53" xr:uid="{00000000-0002-0000-0800-00001A000000}">
      <formula1>OOG</formula1>
    </dataValidation>
    <dataValidation type="list" allowBlank="1" showErrorMessage="1" sqref="M30:W30 Q48:Y48 O39:W39" xr:uid="{00000000-0002-0000-0800-00001B000000}">
      <formula1>Exceptions</formula1>
    </dataValidation>
    <dataValidation type="list" allowBlank="1" showInputMessage="1" showErrorMessage="1" sqref="AA32:AA35 AC50:AC53 AA41:AA44" xr:uid="{00000000-0002-0000-0800-00001C000000}">
      <formula1>CST</formula1>
    </dataValidation>
    <dataValidation type="list" allowBlank="1" showInputMessage="1" showErrorMessage="1" sqref="I93:I128" xr:uid="{00000000-0002-0000-0800-00001D000000}">
      <formula1>$A$14:$A$18</formula1>
    </dataValidation>
    <dataValidation type="list" allowBlank="1" showErrorMessage="1" sqref="A93:A128" xr:uid="{00000000-0002-0000-0800-00001E000000}">
      <formula1>Charges</formula1>
    </dataValidation>
    <dataValidation allowBlank="1" showInputMessage="1" showErrorMessage="1" promptTitle="Acceptable Values:" prompt="- Applicable _x000a_- Not applicable _x000a_- Included_x000a_- Amount and OSPF for cases of fixed per D40 OSPF_x000a_    (example-  &quot;375 OSPF&quot;)" sqref="E93:G128" xr:uid="{00000000-0002-0000-0800-00001F000000}"/>
    <dataValidation type="list" allowBlank="1" showInputMessage="1" showErrorMessage="1" errorTitle="Pick up the list" promptTitle="Blank = ALL" sqref="H93:H128" xr:uid="{00000000-0002-0000-0800-000020000000}">
      <formula1>Type_note2</formula1>
    </dataValidation>
  </dataValidations>
  <pageMargins left="0.25" right="0.25" top="0.25" bottom="0.25" header="0.5" footer="0"/>
  <pageSetup scale="28" fitToHeight="0" orientation="landscape" r:id="rId1"/>
  <headerFooter alignWithMargins="0"/>
  <rowBreaks count="1" manualBreakCount="1">
    <brk id="88" max="16383" man="1"/>
  </rowBreaks>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8">
    <tabColor indexed="12"/>
    <pageSetUpPr fitToPage="1"/>
  </sheetPr>
  <dimension ref="A1:BB219"/>
  <sheetViews>
    <sheetView showGridLines="0" topLeftCell="A178" zoomScale="75" zoomScaleNormal="75" zoomScaleSheetLayoutView="75" workbookViewId="0">
      <selection activeCell="G199" sqref="A199:XFD206"/>
    </sheetView>
  </sheetViews>
  <sheetFormatPr defaultColWidth="9.140625" defaultRowHeight="15.75" x14ac:dyDescent="0.2"/>
  <cols>
    <col min="1" max="1" width="25.140625" style="69" customWidth="1"/>
    <col min="2" max="2" width="18.5703125" style="69" customWidth="1"/>
    <col min="3" max="3" width="18.28515625" style="69" customWidth="1"/>
    <col min="4" max="4" width="17.42578125" style="69" customWidth="1"/>
    <col min="5" max="5" width="19.28515625" style="69" customWidth="1"/>
    <col min="6" max="6" width="12.140625" style="211" customWidth="1"/>
    <col min="7" max="8" width="17.42578125" style="211" customWidth="1"/>
    <col min="9" max="9" width="17.7109375" style="211" customWidth="1"/>
    <col min="10" max="10" width="23.42578125" style="69" bestFit="1" customWidth="1"/>
    <col min="11" max="11" width="18.42578125" style="69" bestFit="1" customWidth="1"/>
    <col min="12" max="12" width="18.5703125" style="69" customWidth="1"/>
    <col min="13" max="13" width="17.28515625" style="69" customWidth="1"/>
    <col min="14" max="14" width="17.7109375" style="69" customWidth="1"/>
    <col min="15" max="16" width="16.5703125" style="69" customWidth="1"/>
    <col min="17" max="17" width="17.5703125" style="69" customWidth="1"/>
    <col min="18" max="18" width="15.85546875" style="69" customWidth="1"/>
    <col min="19" max="19" width="16.7109375" style="69" customWidth="1"/>
    <col min="20" max="20" width="16.5703125" style="69" customWidth="1"/>
    <col min="21" max="21" width="16.7109375" style="69" customWidth="1"/>
    <col min="22" max="22" width="17.5703125" style="69" customWidth="1"/>
    <col min="23" max="23" width="18" style="69" customWidth="1"/>
    <col min="24" max="24" width="12.7109375" style="69" customWidth="1"/>
    <col min="25" max="25" width="16.85546875" style="69" customWidth="1"/>
    <col min="26" max="26" width="9.7109375" style="69" customWidth="1"/>
    <col min="27" max="27" width="14.140625" style="69" customWidth="1"/>
    <col min="28" max="28" width="9.7109375" style="69" customWidth="1"/>
    <col min="29" max="29" width="14.140625" style="69" customWidth="1"/>
    <col min="30" max="16384" width="9.140625" style="69"/>
  </cols>
  <sheetData>
    <row r="1" spans="1:54" x14ac:dyDescent="0.2">
      <c r="A1" s="835" t="s">
        <v>511</v>
      </c>
      <c r="B1" s="837"/>
      <c r="C1" s="902" t="str">
        <f>Cover!B1</f>
        <v>22-XXXX</v>
      </c>
      <c r="D1" s="903"/>
      <c r="E1" s="903"/>
      <c r="F1" s="904"/>
      <c r="G1" s="69"/>
      <c r="H1" s="69"/>
      <c r="I1" s="69"/>
    </row>
    <row r="2" spans="1:54" x14ac:dyDescent="0.2">
      <c r="A2" s="885" t="s">
        <v>1236</v>
      </c>
      <c r="B2" s="886"/>
      <c r="C2" s="887"/>
      <c r="D2" s="888"/>
      <c r="E2" s="888"/>
      <c r="F2" s="889"/>
      <c r="G2" s="69"/>
      <c r="H2" s="69"/>
      <c r="I2" s="69"/>
    </row>
    <row r="3" spans="1:54" x14ac:dyDescent="0.2">
      <c r="A3" s="885" t="s">
        <v>522</v>
      </c>
      <c r="B3" s="886"/>
      <c r="C3" s="905">
        <f>Cover!B2</f>
        <v>0</v>
      </c>
      <c r="D3" s="906"/>
      <c r="E3" s="906"/>
      <c r="F3" s="907"/>
      <c r="G3" s="69"/>
      <c r="H3" s="69"/>
      <c r="I3" s="69"/>
    </row>
    <row r="4" spans="1:54" x14ac:dyDescent="0.2">
      <c r="A4" s="885" t="s">
        <v>1229</v>
      </c>
      <c r="B4" s="886"/>
      <c r="C4" s="884">
        <f>Cover!B7</f>
        <v>0</v>
      </c>
      <c r="D4" s="817"/>
      <c r="E4" s="817"/>
      <c r="F4" s="818"/>
      <c r="G4" s="69"/>
      <c r="H4" s="69"/>
      <c r="I4" s="69"/>
    </row>
    <row r="5" spans="1:54" x14ac:dyDescent="0.2">
      <c r="A5" s="885" t="s">
        <v>528</v>
      </c>
      <c r="B5" s="886"/>
      <c r="C5" s="887" t="s">
        <v>589</v>
      </c>
      <c r="D5" s="888"/>
      <c r="E5" s="888"/>
      <c r="F5" s="889"/>
      <c r="G5" s="69"/>
      <c r="H5" s="69"/>
      <c r="I5" s="69"/>
    </row>
    <row r="6" spans="1:54" ht="15.75" customHeight="1" x14ac:dyDescent="0.2">
      <c r="A6" s="885" t="s">
        <v>512</v>
      </c>
      <c r="B6" s="886"/>
      <c r="C6" s="887" t="s">
        <v>590</v>
      </c>
      <c r="D6" s="888"/>
      <c r="E6" s="888"/>
      <c r="F6" s="889"/>
      <c r="G6" s="69"/>
      <c r="H6" s="69"/>
      <c r="I6" s="69"/>
    </row>
    <row r="7" spans="1:54" ht="15.75" customHeight="1" x14ac:dyDescent="0.2">
      <c r="A7" s="885" t="s">
        <v>612</v>
      </c>
      <c r="B7" s="886"/>
      <c r="C7" s="887" t="s">
        <v>121</v>
      </c>
      <c r="D7" s="888"/>
      <c r="E7" s="888"/>
      <c r="F7" s="889"/>
      <c r="G7" s="69"/>
      <c r="H7" s="69"/>
      <c r="I7" s="69"/>
    </row>
    <row r="8" spans="1:54" ht="2.25" customHeight="1" thickBot="1" x14ac:dyDescent="0.25">
      <c r="A8" s="900"/>
      <c r="B8" s="901"/>
      <c r="C8" s="894"/>
      <c r="D8" s="895"/>
      <c r="E8" s="895"/>
      <c r="F8" s="896"/>
      <c r="G8" s="69"/>
      <c r="H8" s="69"/>
      <c r="I8" s="69"/>
    </row>
    <row r="9" spans="1:54" s="73" customFormat="1" x14ac:dyDescent="0.2">
      <c r="A9" s="442">
        <v>39</v>
      </c>
      <c r="B9" s="443" t="s">
        <v>615</v>
      </c>
      <c r="D9" s="444"/>
      <c r="E9" s="444"/>
      <c r="F9" s="445"/>
    </row>
    <row r="10" spans="1:54" s="73" customFormat="1" ht="16.5" thickBot="1" x14ac:dyDescent="0.25">
      <c r="A10" s="446"/>
      <c r="D10" s="444"/>
      <c r="E10" s="444"/>
      <c r="F10" s="445"/>
      <c r="G10" s="447"/>
      <c r="H10" s="444"/>
      <c r="I10" s="444"/>
      <c r="J10" s="444"/>
    </row>
    <row r="11" spans="1:54" ht="19.5" thickBot="1" x14ac:dyDescent="0.25">
      <c r="A11" s="448" t="s">
        <v>613</v>
      </c>
      <c r="B11" s="449"/>
      <c r="C11" s="73"/>
      <c r="D11" s="444"/>
      <c r="E11" s="444"/>
      <c r="F11" s="445"/>
      <c r="G11" s="447"/>
      <c r="H11" s="444"/>
      <c r="I11" s="444"/>
      <c r="J11" s="444"/>
    </row>
    <row r="12" spans="1:54" s="78" customFormat="1" ht="16.5" thickBot="1" x14ac:dyDescent="0.25">
      <c r="A12" s="897" t="s">
        <v>616</v>
      </c>
      <c r="B12" s="898"/>
      <c r="C12" s="898"/>
      <c r="D12" s="898"/>
      <c r="E12" s="898"/>
      <c r="F12" s="898"/>
      <c r="G12" s="898"/>
      <c r="H12" s="898"/>
      <c r="I12" s="898"/>
      <c r="J12" s="899"/>
    </row>
    <row r="13" spans="1:54" ht="17.25" customHeight="1" x14ac:dyDescent="0.2">
      <c r="A13" s="450" t="s">
        <v>617</v>
      </c>
      <c r="B13" s="881" t="s">
        <v>618</v>
      </c>
      <c r="C13" s="881"/>
      <c r="D13" s="881"/>
      <c r="E13" s="881"/>
      <c r="F13" s="881"/>
      <c r="G13" s="881"/>
      <c r="H13" s="881"/>
      <c r="I13" s="881"/>
      <c r="J13" s="882" t="s">
        <v>622</v>
      </c>
      <c r="K13" s="883"/>
      <c r="L13" s="890" t="s">
        <v>623</v>
      </c>
      <c r="M13" s="891"/>
      <c r="N13" s="350" t="s">
        <v>4</v>
      </c>
    </row>
    <row r="14" spans="1:54" s="81" customFormat="1" x14ac:dyDescent="0.2">
      <c r="A14" s="451"/>
      <c r="B14" s="862"/>
      <c r="C14" s="892"/>
      <c r="D14" s="892"/>
      <c r="E14" s="892"/>
      <c r="F14" s="892"/>
      <c r="G14" s="892"/>
      <c r="H14" s="892"/>
      <c r="I14" s="892"/>
      <c r="J14" s="870"/>
      <c r="K14" s="855"/>
      <c r="L14" s="893"/>
      <c r="M14" s="871"/>
      <c r="N14" s="349" t="str">
        <f>IF($A14&gt;0,$A14,"")</f>
        <v/>
      </c>
    </row>
    <row r="15" spans="1:54" s="453" customFormat="1" x14ac:dyDescent="0.2">
      <c r="A15" s="452"/>
      <c r="B15" s="879"/>
      <c r="C15" s="880"/>
      <c r="D15" s="880"/>
      <c r="E15" s="880"/>
      <c r="F15" s="880"/>
      <c r="G15" s="880"/>
      <c r="H15" s="880"/>
      <c r="I15" s="880"/>
      <c r="J15" s="870"/>
      <c r="K15" s="855"/>
      <c r="L15" s="870"/>
      <c r="M15" s="871"/>
      <c r="N15" s="349" t="str">
        <f>IF($A15&gt;0,$A15,"")</f>
        <v/>
      </c>
      <c r="BB15" s="81"/>
    </row>
    <row r="16" spans="1:54" s="453" customFormat="1" x14ac:dyDescent="0.2">
      <c r="A16" s="452"/>
      <c r="B16" s="879"/>
      <c r="C16" s="880"/>
      <c r="D16" s="880"/>
      <c r="E16" s="880"/>
      <c r="F16" s="880"/>
      <c r="G16" s="880"/>
      <c r="H16" s="880"/>
      <c r="I16" s="880"/>
      <c r="J16" s="870"/>
      <c r="K16" s="855"/>
      <c r="L16" s="870"/>
      <c r="M16" s="871"/>
      <c r="N16" s="349" t="str">
        <f>IF($A16&gt;0,$A16,"")</f>
        <v/>
      </c>
      <c r="BB16" s="81"/>
    </row>
    <row r="17" spans="1:54" s="453" customFormat="1" ht="16.5" thickBot="1" x14ac:dyDescent="0.25">
      <c r="A17" s="454"/>
      <c r="B17" s="864"/>
      <c r="C17" s="865"/>
      <c r="D17" s="865"/>
      <c r="E17" s="865"/>
      <c r="F17" s="865"/>
      <c r="G17" s="865"/>
      <c r="H17" s="865"/>
      <c r="I17" s="865"/>
      <c r="J17" s="866"/>
      <c r="K17" s="867"/>
      <c r="L17" s="857"/>
      <c r="M17" s="858"/>
      <c r="N17" s="349" t="str">
        <f>IF($A17&gt;0,$A17,"")</f>
        <v/>
      </c>
      <c r="BB17" s="81"/>
    </row>
    <row r="18" spans="1:54" s="462" customFormat="1" ht="16.5" thickBot="1" x14ac:dyDescent="0.25">
      <c r="A18" s="455"/>
      <c r="B18" s="456"/>
      <c r="C18" s="457"/>
      <c r="D18" s="458"/>
      <c r="E18" s="458"/>
      <c r="F18" s="459"/>
      <c r="G18" s="459"/>
      <c r="H18" s="460"/>
      <c r="I18" s="461"/>
      <c r="J18" s="461"/>
      <c r="K18" s="457"/>
      <c r="L18" s="457"/>
      <c r="M18" s="457"/>
      <c r="N18" s="349" t="str">
        <f>IF($A18&gt;0,$A18,"")</f>
        <v/>
      </c>
      <c r="O18" s="457"/>
      <c r="P18" s="457"/>
      <c r="Q18" s="457"/>
      <c r="BB18" s="81"/>
    </row>
    <row r="19" spans="1:54" s="462" customFormat="1" ht="19.5" thickBot="1" x14ac:dyDescent="0.25">
      <c r="A19" s="448" t="s">
        <v>419</v>
      </c>
      <c r="B19" s="463"/>
      <c r="I19" s="461"/>
      <c r="J19" s="461"/>
      <c r="K19" s="457"/>
      <c r="L19" s="457"/>
      <c r="M19" s="457"/>
      <c r="N19" s="457"/>
      <c r="O19" s="457"/>
      <c r="P19" s="457"/>
      <c r="Q19" s="457"/>
    </row>
    <row r="20" spans="1:54" s="462" customFormat="1" x14ac:dyDescent="0.2">
      <c r="A20" s="464" t="s">
        <v>419</v>
      </c>
      <c r="B20" s="859" t="s">
        <v>618</v>
      </c>
      <c r="C20" s="860"/>
      <c r="D20" s="860"/>
      <c r="E20" s="860"/>
      <c r="F20" s="860"/>
      <c r="G20" s="860"/>
      <c r="H20" s="861"/>
      <c r="I20" s="461"/>
      <c r="J20" s="461"/>
      <c r="K20" s="457"/>
      <c r="L20" s="457"/>
      <c r="M20" s="457"/>
      <c r="N20" s="457"/>
      <c r="O20" s="457"/>
      <c r="P20" s="457"/>
      <c r="Q20" s="457"/>
    </row>
    <row r="21" spans="1:54" s="467" customFormat="1" ht="15.75" customHeight="1" x14ac:dyDescent="0.2">
      <c r="A21" s="451" t="s">
        <v>549</v>
      </c>
      <c r="B21" s="862" t="s">
        <v>476</v>
      </c>
      <c r="C21" s="862"/>
      <c r="D21" s="862"/>
      <c r="E21" s="862"/>
      <c r="F21" s="862"/>
      <c r="G21" s="862"/>
      <c r="H21" s="863"/>
      <c r="I21" s="220"/>
      <c r="J21" s="465"/>
      <c r="K21" s="466"/>
      <c r="L21" s="466"/>
      <c r="M21" s="466"/>
      <c r="N21" s="466"/>
      <c r="O21" s="466"/>
      <c r="P21" s="466"/>
      <c r="Q21" s="466"/>
    </row>
    <row r="22" spans="1:54" s="467" customFormat="1" x14ac:dyDescent="0.2">
      <c r="A22" s="468"/>
      <c r="B22" s="862"/>
      <c r="C22" s="862"/>
      <c r="D22" s="862"/>
      <c r="E22" s="862"/>
      <c r="F22" s="862"/>
      <c r="G22" s="862"/>
      <c r="H22" s="863"/>
      <c r="I22" s="465"/>
      <c r="J22" s="465"/>
      <c r="K22" s="466"/>
      <c r="L22" s="466"/>
      <c r="M22" s="466"/>
      <c r="N22" s="466"/>
      <c r="O22" s="466"/>
      <c r="P22" s="466"/>
      <c r="Q22" s="466"/>
    </row>
    <row r="23" spans="1:54" s="467" customFormat="1" x14ac:dyDescent="0.2">
      <c r="A23" s="468"/>
      <c r="B23" s="854"/>
      <c r="C23" s="855"/>
      <c r="D23" s="855"/>
      <c r="E23" s="855"/>
      <c r="F23" s="855"/>
      <c r="G23" s="855"/>
      <c r="H23" s="856"/>
      <c r="I23" s="465"/>
      <c r="J23" s="465"/>
      <c r="K23" s="466"/>
      <c r="L23" s="466"/>
      <c r="M23" s="466"/>
      <c r="N23" s="466"/>
      <c r="O23" s="466"/>
      <c r="P23" s="466"/>
      <c r="Q23" s="466"/>
    </row>
    <row r="24" spans="1:54" s="467" customFormat="1" ht="16.5" thickBot="1" x14ac:dyDescent="0.25">
      <c r="A24" s="469"/>
      <c r="B24" s="877"/>
      <c r="C24" s="867"/>
      <c r="D24" s="867"/>
      <c r="E24" s="867"/>
      <c r="F24" s="867"/>
      <c r="G24" s="867"/>
      <c r="H24" s="878"/>
      <c r="I24" s="465"/>
      <c r="J24" s="465"/>
      <c r="K24" s="466"/>
      <c r="L24" s="466"/>
      <c r="M24" s="466"/>
      <c r="N24" s="466"/>
      <c r="O24" s="466"/>
      <c r="P24" s="466"/>
      <c r="Q24" s="466"/>
    </row>
    <row r="25" spans="1:54" s="462" customFormat="1" ht="16.5" thickBot="1" x14ac:dyDescent="0.25">
      <c r="A25" s="456"/>
      <c r="B25" s="95"/>
      <c r="C25" s="95"/>
      <c r="D25" s="95"/>
      <c r="E25" s="95"/>
      <c r="F25" s="95"/>
      <c r="G25" s="95"/>
      <c r="H25" s="95"/>
      <c r="I25" s="461"/>
      <c r="J25" s="461"/>
      <c r="K25" s="457"/>
      <c r="L25" s="457"/>
      <c r="M25" s="457"/>
      <c r="N25" s="457"/>
      <c r="O25" s="457"/>
      <c r="P25" s="457"/>
      <c r="Q25" s="457"/>
      <c r="R25" s="457"/>
      <c r="S25" s="457"/>
      <c r="T25" s="457"/>
      <c r="U25" s="457"/>
    </row>
    <row r="26" spans="1:54" s="462" customFormat="1" ht="19.5" thickBot="1" x14ac:dyDescent="0.25">
      <c r="A26" s="448" t="s">
        <v>624</v>
      </c>
      <c r="B26" s="449"/>
      <c r="I26" s="461"/>
      <c r="J26" s="461"/>
      <c r="K26" s="457"/>
      <c r="L26" s="457"/>
      <c r="M26" s="457"/>
      <c r="N26" s="457"/>
      <c r="O26" s="457"/>
      <c r="P26" s="457"/>
      <c r="Q26" s="457"/>
      <c r="R26" s="457"/>
      <c r="S26" s="457"/>
      <c r="T26" s="457"/>
      <c r="U26" s="457"/>
    </row>
    <row r="27" spans="1:54" s="462" customFormat="1" x14ac:dyDescent="0.2">
      <c r="A27" s="223" t="s">
        <v>886</v>
      </c>
      <c r="B27" s="470"/>
      <c r="C27" s="471"/>
      <c r="D27" s="472"/>
      <c r="E27" s="472"/>
      <c r="F27" s="473"/>
      <c r="G27" s="473"/>
      <c r="H27" s="473"/>
      <c r="I27" s="474"/>
      <c r="J27" s="475"/>
      <c r="K27" s="476"/>
      <c r="L27" s="457"/>
      <c r="M27" s="457"/>
      <c r="N27" s="457"/>
      <c r="O27" s="457"/>
      <c r="P27" s="457"/>
      <c r="Q27" s="457"/>
      <c r="R27" s="457"/>
      <c r="S27" s="457"/>
      <c r="T27" s="457"/>
      <c r="U27" s="457"/>
      <c r="V27" s="457"/>
    </row>
    <row r="28" spans="1:54" s="462" customFormat="1" x14ac:dyDescent="0.2">
      <c r="A28" s="96" t="s">
        <v>626</v>
      </c>
      <c r="B28" s="214"/>
      <c r="C28" s="477"/>
      <c r="D28" s="478"/>
      <c r="E28" s="478"/>
      <c r="F28" s="479"/>
      <c r="G28" s="479"/>
      <c r="H28" s="479"/>
      <c r="I28" s="480"/>
      <c r="J28" s="481"/>
      <c r="K28" s="482"/>
      <c r="L28" s="457"/>
      <c r="M28" s="457"/>
      <c r="N28" s="457"/>
      <c r="O28" s="457"/>
      <c r="P28" s="457"/>
      <c r="Q28" s="457"/>
      <c r="R28" s="457"/>
    </row>
    <row r="29" spans="1:54" s="462" customFormat="1" ht="16.5" thickBot="1" x14ac:dyDescent="0.25">
      <c r="A29" s="110" t="s">
        <v>172</v>
      </c>
      <c r="B29" s="483"/>
      <c r="C29" s="484"/>
      <c r="D29" s="485"/>
      <c r="E29" s="485"/>
      <c r="F29" s="486"/>
      <c r="G29" s="486"/>
      <c r="H29" s="486"/>
      <c r="I29" s="487"/>
      <c r="J29" s="488"/>
      <c r="K29" s="489"/>
      <c r="L29" s="457"/>
      <c r="M29" s="457"/>
      <c r="N29" s="457"/>
      <c r="O29" s="457"/>
      <c r="P29" s="457"/>
      <c r="Q29" s="457"/>
      <c r="R29" s="457"/>
      <c r="S29" s="118"/>
      <c r="T29" s="118"/>
      <c r="U29" s="118"/>
      <c r="V29" s="457"/>
      <c r="W29" s="457"/>
      <c r="X29" s="457"/>
    </row>
    <row r="30" spans="1:54" s="491" customFormat="1" ht="32.25" customHeight="1" x14ac:dyDescent="0.2">
      <c r="A30" s="875" t="s">
        <v>627</v>
      </c>
      <c r="B30" s="868" t="s">
        <v>628</v>
      </c>
      <c r="C30" s="868" t="s">
        <v>11</v>
      </c>
      <c r="D30" s="868" t="s">
        <v>12</v>
      </c>
      <c r="E30" s="868" t="s">
        <v>13</v>
      </c>
      <c r="F30" s="868" t="s">
        <v>14</v>
      </c>
      <c r="G30" s="868" t="s">
        <v>15</v>
      </c>
      <c r="H30" s="868" t="s">
        <v>16</v>
      </c>
      <c r="I30" s="868" t="s">
        <v>17</v>
      </c>
      <c r="J30" s="868" t="s">
        <v>18</v>
      </c>
      <c r="K30" s="868" t="s">
        <v>19</v>
      </c>
      <c r="L30" s="868" t="s">
        <v>20</v>
      </c>
      <c r="M30" s="490"/>
      <c r="N30" s="490"/>
      <c r="O30" s="490"/>
      <c r="P30" s="490"/>
      <c r="Q30" s="490"/>
      <c r="R30" s="490"/>
      <c r="S30" s="490"/>
      <c r="T30" s="490"/>
      <c r="U30" s="490"/>
      <c r="V30" s="490"/>
      <c r="W30" s="490"/>
      <c r="X30" s="868" t="s">
        <v>22</v>
      </c>
      <c r="Y30" s="868" t="s">
        <v>23</v>
      </c>
      <c r="Z30" s="868" t="s">
        <v>24</v>
      </c>
      <c r="AA30" s="922" t="s">
        <v>352</v>
      </c>
    </row>
    <row r="31" spans="1:54" s="491" customFormat="1" ht="16.5" thickBot="1" x14ac:dyDescent="0.25">
      <c r="A31" s="876"/>
      <c r="B31" s="869"/>
      <c r="C31" s="869"/>
      <c r="D31" s="869"/>
      <c r="E31" s="869"/>
      <c r="F31" s="869"/>
      <c r="G31" s="872"/>
      <c r="H31" s="869"/>
      <c r="I31" s="869"/>
      <c r="J31" s="869"/>
      <c r="K31" s="869"/>
      <c r="L31" s="869"/>
      <c r="M31" s="492"/>
      <c r="N31" s="492"/>
      <c r="O31" s="492"/>
      <c r="P31" s="492"/>
      <c r="Q31" s="492"/>
      <c r="R31" s="492"/>
      <c r="S31" s="492"/>
      <c r="T31" s="492"/>
      <c r="U31" s="492"/>
      <c r="V31" s="492"/>
      <c r="W31" s="492"/>
      <c r="X31" s="869"/>
      <c r="Y31" s="869"/>
      <c r="Z31" s="869"/>
      <c r="AA31" s="923"/>
    </row>
    <row r="32" spans="1:54" s="136" customFormat="1" x14ac:dyDescent="0.2">
      <c r="A32" s="493"/>
      <c r="B32" s="49"/>
      <c r="C32" s="225"/>
      <c r="D32" s="225"/>
      <c r="E32" s="225"/>
      <c r="F32" s="225"/>
      <c r="G32" s="120"/>
      <c r="H32" s="225"/>
      <c r="I32" s="263"/>
      <c r="J32" s="263"/>
      <c r="K32" s="263"/>
      <c r="L32" s="263"/>
      <c r="M32" s="120"/>
      <c r="N32" s="120"/>
      <c r="O32" s="120"/>
      <c r="P32" s="226"/>
      <c r="Q32" s="226"/>
      <c r="R32" s="226"/>
      <c r="S32" s="120"/>
      <c r="T32" s="120"/>
      <c r="U32" s="120"/>
      <c r="V32" s="120"/>
      <c r="W32" s="120"/>
      <c r="X32" s="227"/>
      <c r="Y32" s="227"/>
      <c r="Z32" s="120"/>
      <c r="AA32" s="121"/>
    </row>
    <row r="33" spans="1:29" s="136" customFormat="1" x14ac:dyDescent="0.2">
      <c r="A33" s="494"/>
      <c r="B33" s="123"/>
      <c r="C33" s="123"/>
      <c r="D33" s="123"/>
      <c r="E33" s="123"/>
      <c r="F33" s="123"/>
      <c r="G33" s="124"/>
      <c r="H33" s="123"/>
      <c r="I33" s="255"/>
      <c r="J33" s="255"/>
      <c r="K33" s="255"/>
      <c r="L33" s="255"/>
      <c r="M33" s="125"/>
      <c r="N33" s="124"/>
      <c r="O33" s="124"/>
      <c r="P33" s="125"/>
      <c r="Q33" s="125"/>
      <c r="R33" s="125"/>
      <c r="S33" s="124"/>
      <c r="T33" s="124"/>
      <c r="U33" s="124"/>
      <c r="V33" s="124"/>
      <c r="W33" s="124"/>
      <c r="X33" s="126"/>
      <c r="Y33" s="126"/>
      <c r="Z33" s="124"/>
      <c r="AA33" s="127"/>
    </row>
    <row r="34" spans="1:29" s="136" customFormat="1" x14ac:dyDescent="0.2">
      <c r="A34" s="494"/>
      <c r="B34" s="123"/>
      <c r="C34" s="123"/>
      <c r="D34" s="123"/>
      <c r="E34" s="123"/>
      <c r="F34" s="123"/>
      <c r="G34" s="124"/>
      <c r="H34" s="123"/>
      <c r="I34" s="255"/>
      <c r="J34" s="255"/>
      <c r="K34" s="255"/>
      <c r="L34" s="255"/>
      <c r="M34" s="125"/>
      <c r="N34" s="124"/>
      <c r="O34" s="124"/>
      <c r="P34" s="125"/>
      <c r="Q34" s="125"/>
      <c r="R34" s="125"/>
      <c r="S34" s="124"/>
      <c r="T34" s="124"/>
      <c r="U34" s="124"/>
      <c r="V34" s="124"/>
      <c r="W34" s="124"/>
      <c r="X34" s="126"/>
      <c r="Y34" s="126"/>
      <c r="Z34" s="124"/>
      <c r="AA34" s="127"/>
    </row>
    <row r="35" spans="1:29" s="136" customFormat="1" ht="16.5" thickBot="1" x14ac:dyDescent="0.25">
      <c r="A35" s="495"/>
      <c r="B35" s="128"/>
      <c r="C35" s="128"/>
      <c r="D35" s="128"/>
      <c r="E35" s="128"/>
      <c r="F35" s="128"/>
      <c r="G35" s="129"/>
      <c r="H35" s="128"/>
      <c r="I35" s="256"/>
      <c r="J35" s="256"/>
      <c r="K35" s="256"/>
      <c r="L35" s="256"/>
      <c r="M35" s="129"/>
      <c r="N35" s="129"/>
      <c r="O35" s="129"/>
      <c r="P35" s="130"/>
      <c r="Q35" s="130"/>
      <c r="R35" s="130"/>
      <c r="S35" s="129"/>
      <c r="T35" s="129"/>
      <c r="U35" s="129"/>
      <c r="V35" s="129"/>
      <c r="W35" s="129"/>
      <c r="X35" s="131"/>
      <c r="Y35" s="131"/>
      <c r="Z35" s="129"/>
      <c r="AA35" s="132"/>
    </row>
    <row r="36" spans="1:29" s="73" customFormat="1" x14ac:dyDescent="0.2">
      <c r="A36" s="133"/>
      <c r="B36" s="133"/>
      <c r="C36" s="133"/>
      <c r="D36" s="133"/>
      <c r="E36" s="133"/>
      <c r="F36" s="133"/>
      <c r="G36" s="118"/>
      <c r="H36" s="118"/>
      <c r="I36" s="118"/>
      <c r="J36" s="118"/>
      <c r="K36" s="118"/>
      <c r="L36" s="118"/>
      <c r="M36" s="134"/>
      <c r="N36" s="118"/>
      <c r="O36" s="159"/>
      <c r="P36" s="159"/>
      <c r="Q36" s="159"/>
      <c r="R36" s="159"/>
      <c r="S36" s="159"/>
      <c r="T36" s="159"/>
      <c r="U36" s="159"/>
      <c r="V36" s="159"/>
      <c r="W36" s="466"/>
    </row>
    <row r="37" spans="1:29" s="73" customFormat="1" ht="16.5" thickBot="1" x14ac:dyDescent="0.25">
      <c r="A37" s="133"/>
      <c r="B37" s="133"/>
      <c r="C37" s="133"/>
      <c r="D37" s="133"/>
      <c r="E37" s="133"/>
      <c r="F37" s="133"/>
      <c r="G37" s="118"/>
      <c r="H37" s="118"/>
      <c r="I37" s="118"/>
      <c r="J37" s="118"/>
      <c r="K37" s="118"/>
      <c r="N37" s="118"/>
      <c r="O37" s="159"/>
      <c r="P37" s="159"/>
      <c r="Q37" s="159"/>
      <c r="R37" s="159"/>
      <c r="S37" s="159"/>
      <c r="T37" s="159"/>
      <c r="U37" s="159"/>
      <c r="V37" s="159"/>
      <c r="W37" s="467"/>
    </row>
    <row r="38" spans="1:29" s="73" customFormat="1" ht="16.5" thickBot="1" x14ac:dyDescent="0.25">
      <c r="A38" s="496" t="s">
        <v>25</v>
      </c>
      <c r="B38" s="133"/>
      <c r="C38" s="133"/>
      <c r="D38" s="133"/>
      <c r="E38" s="133"/>
      <c r="F38" s="133"/>
      <c r="G38" s="118"/>
      <c r="H38" s="118"/>
      <c r="I38" s="118"/>
      <c r="J38" s="118"/>
      <c r="K38" s="118"/>
      <c r="M38" s="118"/>
      <c r="N38" s="118"/>
      <c r="O38" s="159"/>
      <c r="P38" s="136"/>
      <c r="Q38" s="136"/>
      <c r="R38" s="136"/>
      <c r="S38" s="466"/>
      <c r="T38" s="466"/>
      <c r="U38" s="466"/>
      <c r="V38" s="466"/>
      <c r="W38" s="159"/>
    </row>
    <row r="39" spans="1:29" s="73" customFormat="1" ht="15.75" customHeight="1" x14ac:dyDescent="0.2">
      <c r="A39" s="875" t="s">
        <v>627</v>
      </c>
      <c r="B39" s="868" t="s">
        <v>628</v>
      </c>
      <c r="C39" s="868" t="s">
        <v>11</v>
      </c>
      <c r="D39" s="868" t="s">
        <v>12</v>
      </c>
      <c r="E39" s="868" t="s">
        <v>13</v>
      </c>
      <c r="F39" s="868" t="s">
        <v>14</v>
      </c>
      <c r="G39" s="868" t="s">
        <v>15</v>
      </c>
      <c r="H39" s="868" t="s">
        <v>16</v>
      </c>
      <c r="I39" s="868" t="s">
        <v>26</v>
      </c>
      <c r="J39" s="868" t="s">
        <v>27</v>
      </c>
      <c r="K39" s="945" t="s">
        <v>295</v>
      </c>
      <c r="L39" s="497" t="s">
        <v>63</v>
      </c>
      <c r="M39" s="498" t="s">
        <v>64</v>
      </c>
      <c r="N39" s="499" t="s">
        <v>65</v>
      </c>
      <c r="O39" s="490"/>
      <c r="P39" s="490"/>
      <c r="Q39" s="490"/>
      <c r="R39" s="490"/>
      <c r="S39" s="490"/>
      <c r="T39" s="490"/>
      <c r="U39" s="490"/>
      <c r="V39" s="490"/>
      <c r="W39" s="490"/>
      <c r="X39" s="868" t="s">
        <v>22</v>
      </c>
      <c r="Y39" s="868" t="s">
        <v>23</v>
      </c>
      <c r="Z39" s="868" t="s">
        <v>24</v>
      </c>
      <c r="AA39" s="922" t="s">
        <v>352</v>
      </c>
    </row>
    <row r="40" spans="1:29" s="73" customFormat="1" ht="31.7" customHeight="1" thickBot="1" x14ac:dyDescent="0.25">
      <c r="A40" s="876"/>
      <c r="B40" s="869"/>
      <c r="C40" s="869"/>
      <c r="D40" s="869"/>
      <c r="E40" s="869"/>
      <c r="F40" s="869"/>
      <c r="G40" s="872"/>
      <c r="H40" s="869"/>
      <c r="I40" s="869"/>
      <c r="J40" s="869"/>
      <c r="K40" s="946"/>
      <c r="L40" s="500" t="s">
        <v>66</v>
      </c>
      <c r="M40" s="501" t="s">
        <v>67</v>
      </c>
      <c r="N40" s="502" t="s">
        <v>68</v>
      </c>
      <c r="O40" s="503"/>
      <c r="P40" s="492"/>
      <c r="Q40" s="492"/>
      <c r="R40" s="492"/>
      <c r="S40" s="492"/>
      <c r="T40" s="492"/>
      <c r="U40" s="492"/>
      <c r="V40" s="492"/>
      <c r="W40" s="492"/>
      <c r="X40" s="869"/>
      <c r="Y40" s="869"/>
      <c r="Z40" s="869"/>
      <c r="AA40" s="923"/>
    </row>
    <row r="41" spans="1:29" s="136" customFormat="1" x14ac:dyDescent="0.2">
      <c r="A41" s="493"/>
      <c r="B41" s="225"/>
      <c r="C41" s="225"/>
      <c r="D41" s="225"/>
      <c r="E41" s="225"/>
      <c r="F41" s="225"/>
      <c r="G41" s="120"/>
      <c r="H41" s="225"/>
      <c r="I41" s="263"/>
      <c r="J41" s="263"/>
      <c r="K41" s="265"/>
      <c r="L41" s="268"/>
      <c r="M41" s="120"/>
      <c r="N41" s="121"/>
      <c r="O41" s="269"/>
      <c r="P41" s="226"/>
      <c r="Q41" s="226"/>
      <c r="R41" s="226"/>
      <c r="S41" s="120"/>
      <c r="T41" s="120"/>
      <c r="U41" s="120"/>
      <c r="V41" s="120"/>
      <c r="W41" s="120"/>
      <c r="X41" s="227"/>
      <c r="Y41" s="227"/>
      <c r="Z41" s="120"/>
      <c r="AA41" s="121"/>
    </row>
    <row r="42" spans="1:29" s="136" customFormat="1" x14ac:dyDescent="0.2">
      <c r="A42" s="494"/>
      <c r="B42" s="123"/>
      <c r="C42" s="123"/>
      <c r="D42" s="123"/>
      <c r="E42" s="123"/>
      <c r="F42" s="123"/>
      <c r="G42" s="124"/>
      <c r="H42" s="123"/>
      <c r="I42" s="255"/>
      <c r="J42" s="255"/>
      <c r="K42" s="266"/>
      <c r="L42" s="259"/>
      <c r="M42" s="124"/>
      <c r="N42" s="127"/>
      <c r="O42" s="248"/>
      <c r="P42" s="125"/>
      <c r="Q42" s="125"/>
      <c r="R42" s="125"/>
      <c r="S42" s="124"/>
      <c r="T42" s="124"/>
      <c r="U42" s="124"/>
      <c r="V42" s="124"/>
      <c r="W42" s="124"/>
      <c r="X42" s="126"/>
      <c r="Y42" s="126"/>
      <c r="Z42" s="124"/>
      <c r="AA42" s="127"/>
    </row>
    <row r="43" spans="1:29" s="136" customFormat="1" x14ac:dyDescent="0.2">
      <c r="A43" s="494"/>
      <c r="B43" s="123"/>
      <c r="C43" s="123"/>
      <c r="D43" s="123"/>
      <c r="E43" s="123"/>
      <c r="F43" s="123"/>
      <c r="G43" s="124"/>
      <c r="H43" s="123"/>
      <c r="I43" s="255"/>
      <c r="J43" s="255"/>
      <c r="K43" s="266"/>
      <c r="L43" s="259"/>
      <c r="M43" s="124"/>
      <c r="N43" s="127"/>
      <c r="O43" s="248"/>
      <c r="P43" s="125"/>
      <c r="Q43" s="125"/>
      <c r="R43" s="125"/>
      <c r="S43" s="124"/>
      <c r="T43" s="124"/>
      <c r="U43" s="124"/>
      <c r="V43" s="124"/>
      <c r="W43" s="124"/>
      <c r="X43" s="126"/>
      <c r="Y43" s="126"/>
      <c r="Z43" s="124"/>
      <c r="AA43" s="127"/>
    </row>
    <row r="44" spans="1:29" s="136" customFormat="1" ht="16.5" thickBot="1" x14ac:dyDescent="0.25">
      <c r="A44" s="495"/>
      <c r="B44" s="128"/>
      <c r="C44" s="128"/>
      <c r="D44" s="128"/>
      <c r="E44" s="128"/>
      <c r="F44" s="128"/>
      <c r="G44" s="129"/>
      <c r="H44" s="128"/>
      <c r="I44" s="256"/>
      <c r="J44" s="256"/>
      <c r="K44" s="267"/>
      <c r="L44" s="137"/>
      <c r="M44" s="129"/>
      <c r="N44" s="132"/>
      <c r="O44" s="137"/>
      <c r="P44" s="129"/>
      <c r="Q44" s="129"/>
      <c r="R44" s="129"/>
      <c r="S44" s="129"/>
      <c r="T44" s="129"/>
      <c r="U44" s="129"/>
      <c r="V44" s="129"/>
      <c r="W44" s="129"/>
      <c r="X44" s="131"/>
      <c r="Y44" s="131"/>
      <c r="Z44" s="129"/>
      <c r="AA44" s="132"/>
    </row>
    <row r="45" spans="1:29" s="73" customFormat="1" x14ac:dyDescent="0.2">
      <c r="A45" s="133"/>
      <c r="B45" s="133"/>
      <c r="C45" s="133"/>
      <c r="D45" s="133"/>
      <c r="E45" s="133"/>
      <c r="F45" s="133"/>
      <c r="G45" s="118"/>
      <c r="H45" s="118"/>
      <c r="I45" s="118"/>
      <c r="J45" s="118"/>
      <c r="K45" s="118"/>
      <c r="L45" s="118"/>
      <c r="M45" s="118"/>
      <c r="N45" s="118"/>
      <c r="O45" s="160"/>
      <c r="P45" s="159"/>
      <c r="Q45" s="159"/>
      <c r="R45" s="159"/>
      <c r="S45" s="136"/>
      <c r="T45" s="136"/>
      <c r="U45" s="136"/>
      <c r="V45" s="136"/>
      <c r="W45" s="136"/>
      <c r="X45" s="118"/>
    </row>
    <row r="46" spans="1:29" s="73" customFormat="1" ht="16.5" thickBot="1" x14ac:dyDescent="0.25">
      <c r="A46" s="133"/>
      <c r="B46" s="133"/>
      <c r="C46" s="133"/>
      <c r="D46" s="133"/>
      <c r="E46" s="133"/>
      <c r="F46" s="133"/>
      <c r="G46" s="118"/>
      <c r="H46" s="118"/>
      <c r="I46" s="118"/>
      <c r="J46" s="118"/>
      <c r="K46" s="118"/>
      <c r="L46" s="118"/>
      <c r="M46" s="118"/>
      <c r="N46" s="118"/>
      <c r="O46" s="160"/>
      <c r="P46" s="159"/>
      <c r="Q46" s="159"/>
      <c r="R46" s="159"/>
      <c r="S46" s="136"/>
      <c r="T46" s="136"/>
      <c r="U46" s="136"/>
      <c r="V46" s="136"/>
      <c r="W46" s="136"/>
      <c r="X46" s="118"/>
    </row>
    <row r="47" spans="1:29" s="73" customFormat="1" ht="16.5" thickBot="1" x14ac:dyDescent="0.25">
      <c r="A47" s="822" t="s">
        <v>307</v>
      </c>
      <c r="B47" s="873"/>
      <c r="C47" s="873"/>
      <c r="D47" s="874"/>
      <c r="E47" s="133"/>
      <c r="F47" s="133"/>
      <c r="G47" s="118"/>
      <c r="H47" s="118"/>
      <c r="I47" s="118"/>
      <c r="J47" s="118"/>
      <c r="K47" s="118"/>
      <c r="L47" s="118"/>
      <c r="M47" s="118"/>
      <c r="N47" s="118"/>
      <c r="O47" s="136"/>
      <c r="P47" s="159"/>
      <c r="Q47" s="159"/>
      <c r="R47" s="159"/>
      <c r="S47" s="466"/>
      <c r="T47" s="466"/>
      <c r="U47" s="466"/>
      <c r="V47" s="466"/>
      <c r="W47" s="159"/>
      <c r="X47" s="118"/>
      <c r="Y47" s="118"/>
    </row>
    <row r="48" spans="1:29" s="73" customFormat="1" ht="15.75" customHeight="1" x14ac:dyDescent="0.2">
      <c r="A48" s="875" t="s">
        <v>627</v>
      </c>
      <c r="B48" s="868" t="s">
        <v>628</v>
      </c>
      <c r="C48" s="868" t="s">
        <v>11</v>
      </c>
      <c r="D48" s="868" t="s">
        <v>12</v>
      </c>
      <c r="E48" s="868" t="s">
        <v>13</v>
      </c>
      <c r="F48" s="868" t="s">
        <v>14</v>
      </c>
      <c r="G48" s="868" t="s">
        <v>15</v>
      </c>
      <c r="H48" s="868" t="s">
        <v>16</v>
      </c>
      <c r="I48" s="868">
        <v>20</v>
      </c>
      <c r="J48" s="868">
        <v>40</v>
      </c>
      <c r="K48" s="868" t="s">
        <v>19</v>
      </c>
      <c r="L48" s="922" t="s">
        <v>20</v>
      </c>
      <c r="M48" s="943" t="s">
        <v>28</v>
      </c>
      <c r="N48" s="504" t="s">
        <v>69</v>
      </c>
      <c r="O48" s="498" t="s">
        <v>64</v>
      </c>
      <c r="P48" s="499" t="s">
        <v>65</v>
      </c>
      <c r="Q48" s="490" t="s">
        <v>147</v>
      </c>
      <c r="R48" s="490" t="s">
        <v>71</v>
      </c>
      <c r="S48" s="490"/>
      <c r="T48" s="490"/>
      <c r="U48" s="490"/>
      <c r="V48" s="490"/>
      <c r="W48" s="490"/>
      <c r="X48" s="490"/>
      <c r="Y48" s="490"/>
      <c r="Z48" s="868" t="s">
        <v>22</v>
      </c>
      <c r="AA48" s="868" t="s">
        <v>23</v>
      </c>
      <c r="AB48" s="868" t="s">
        <v>24</v>
      </c>
      <c r="AC48" s="922" t="s">
        <v>352</v>
      </c>
    </row>
    <row r="49" spans="1:29" s="73" customFormat="1" ht="48" thickBot="1" x14ac:dyDescent="0.25">
      <c r="A49" s="876"/>
      <c r="B49" s="869"/>
      <c r="C49" s="869"/>
      <c r="D49" s="869"/>
      <c r="E49" s="869"/>
      <c r="F49" s="869"/>
      <c r="G49" s="872"/>
      <c r="H49" s="869"/>
      <c r="I49" s="869"/>
      <c r="J49" s="869"/>
      <c r="K49" s="869"/>
      <c r="L49" s="923"/>
      <c r="M49" s="944"/>
      <c r="N49" s="505" t="s">
        <v>70</v>
      </c>
      <c r="O49" s="501" t="s">
        <v>67</v>
      </c>
      <c r="P49" s="502" t="s">
        <v>68</v>
      </c>
      <c r="Q49" s="503" t="s">
        <v>84</v>
      </c>
      <c r="R49" s="492" t="s">
        <v>84</v>
      </c>
      <c r="S49" s="492"/>
      <c r="T49" s="492"/>
      <c r="U49" s="492"/>
      <c r="V49" s="492"/>
      <c r="W49" s="492"/>
      <c r="X49" s="492"/>
      <c r="Y49" s="492"/>
      <c r="Z49" s="924"/>
      <c r="AA49" s="924"/>
      <c r="AB49" s="924"/>
      <c r="AC49" s="923"/>
    </row>
    <row r="50" spans="1:29" s="136" customFormat="1" x14ac:dyDescent="0.2">
      <c r="A50" s="493"/>
      <c r="B50" s="225"/>
      <c r="C50" s="225"/>
      <c r="D50" s="225"/>
      <c r="E50" s="225"/>
      <c r="F50" s="225"/>
      <c r="G50" s="120"/>
      <c r="H50" s="225"/>
      <c r="I50" s="263"/>
      <c r="J50" s="263"/>
      <c r="K50" s="263"/>
      <c r="L50" s="265"/>
      <c r="M50" s="270"/>
      <c r="N50" s="268"/>
      <c r="O50" s="120"/>
      <c r="P50" s="121"/>
      <c r="Q50" s="269"/>
      <c r="R50" s="226"/>
      <c r="S50" s="226"/>
      <c r="T50" s="226"/>
      <c r="U50" s="226"/>
      <c r="V50" s="226"/>
      <c r="W50" s="120"/>
      <c r="X50" s="120"/>
      <c r="Y50" s="120"/>
      <c r="Z50" s="227"/>
      <c r="AA50" s="227"/>
      <c r="AB50" s="120"/>
      <c r="AC50" s="121"/>
    </row>
    <row r="51" spans="1:29" s="136" customFormat="1" x14ac:dyDescent="0.2">
      <c r="A51" s="494"/>
      <c r="B51" s="123"/>
      <c r="C51" s="123"/>
      <c r="D51" s="123"/>
      <c r="E51" s="123"/>
      <c r="F51" s="123"/>
      <c r="G51" s="124"/>
      <c r="H51" s="123"/>
      <c r="I51" s="255"/>
      <c r="J51" s="255"/>
      <c r="K51" s="255"/>
      <c r="L51" s="266"/>
      <c r="M51" s="271"/>
      <c r="N51" s="259"/>
      <c r="O51" s="124"/>
      <c r="P51" s="127"/>
      <c r="Q51" s="248"/>
      <c r="R51" s="125"/>
      <c r="S51" s="125"/>
      <c r="T51" s="125"/>
      <c r="U51" s="125"/>
      <c r="V51" s="125"/>
      <c r="W51" s="124"/>
      <c r="X51" s="124"/>
      <c r="Y51" s="124"/>
      <c r="Z51" s="126"/>
      <c r="AA51" s="126"/>
      <c r="AB51" s="124"/>
      <c r="AC51" s="127"/>
    </row>
    <row r="52" spans="1:29" s="136" customFormat="1" x14ac:dyDescent="0.2">
      <c r="A52" s="494"/>
      <c r="B52" s="123"/>
      <c r="C52" s="123"/>
      <c r="D52" s="123"/>
      <c r="E52" s="123"/>
      <c r="F52" s="123"/>
      <c r="G52" s="124"/>
      <c r="H52" s="123"/>
      <c r="I52" s="255"/>
      <c r="J52" s="255"/>
      <c r="K52" s="255"/>
      <c r="L52" s="266"/>
      <c r="M52" s="271"/>
      <c r="N52" s="259"/>
      <c r="O52" s="124"/>
      <c r="P52" s="127"/>
      <c r="Q52" s="248"/>
      <c r="R52" s="125"/>
      <c r="S52" s="125"/>
      <c r="T52" s="125"/>
      <c r="U52" s="125"/>
      <c r="V52" s="125"/>
      <c r="W52" s="124"/>
      <c r="X52" s="124"/>
      <c r="Y52" s="124"/>
      <c r="Z52" s="126"/>
      <c r="AA52" s="126"/>
      <c r="AB52" s="124"/>
      <c r="AC52" s="127"/>
    </row>
    <row r="53" spans="1:29" s="136" customFormat="1" ht="16.5" thickBot="1" x14ac:dyDescent="0.25">
      <c r="A53" s="495"/>
      <c r="B53" s="128"/>
      <c r="C53" s="128"/>
      <c r="D53" s="128"/>
      <c r="E53" s="128"/>
      <c r="F53" s="128"/>
      <c r="G53" s="129"/>
      <c r="H53" s="128"/>
      <c r="I53" s="256"/>
      <c r="J53" s="256"/>
      <c r="K53" s="256"/>
      <c r="L53" s="267"/>
      <c r="M53" s="161"/>
      <c r="N53" s="137"/>
      <c r="O53" s="129"/>
      <c r="P53" s="132"/>
      <c r="Q53" s="137"/>
      <c r="R53" s="129"/>
      <c r="S53" s="129"/>
      <c r="T53" s="129"/>
      <c r="U53" s="129"/>
      <c r="V53" s="129"/>
      <c r="W53" s="129"/>
      <c r="X53" s="129"/>
      <c r="Y53" s="129"/>
      <c r="Z53" s="131"/>
      <c r="AA53" s="131"/>
      <c r="AB53" s="129"/>
      <c r="AC53" s="132"/>
    </row>
    <row r="54" spans="1:29" s="73" customFormat="1" x14ac:dyDescent="0.2">
      <c r="A54" s="133"/>
      <c r="B54" s="133"/>
      <c r="C54" s="133"/>
      <c r="D54" s="133"/>
      <c r="E54" s="133"/>
      <c r="F54" s="133"/>
      <c r="G54" s="118"/>
      <c r="H54" s="118"/>
      <c r="I54" s="118"/>
      <c r="J54" s="118"/>
      <c r="K54" s="118"/>
      <c r="M54" s="118"/>
      <c r="V54" s="118"/>
      <c r="W54" s="118"/>
    </row>
    <row r="55" spans="1:29" s="73" customFormat="1" x14ac:dyDescent="0.2">
      <c r="A55" s="133"/>
      <c r="B55" s="133"/>
      <c r="C55" s="133"/>
      <c r="D55" s="133"/>
      <c r="E55" s="133"/>
      <c r="F55" s="118"/>
      <c r="G55" s="118"/>
      <c r="H55" s="118"/>
      <c r="I55" s="118"/>
      <c r="J55" s="118"/>
      <c r="K55" s="134"/>
      <c r="L55" s="118"/>
      <c r="M55" s="118"/>
      <c r="N55" s="118"/>
      <c r="S55" s="118"/>
      <c r="T55" s="118"/>
      <c r="U55" s="118"/>
    </row>
    <row r="56" spans="1:29" s="456" customFormat="1" ht="16.5" thickBot="1" x14ac:dyDescent="0.25">
      <c r="A56" s="133"/>
      <c r="B56" s="133"/>
      <c r="C56" s="133"/>
      <c r="D56" s="133"/>
      <c r="E56" s="118"/>
      <c r="F56" s="118"/>
      <c r="G56" s="118"/>
      <c r="H56" s="118"/>
      <c r="I56" s="118"/>
      <c r="J56" s="134"/>
      <c r="K56" s="134"/>
      <c r="L56" s="134"/>
      <c r="M56" s="134"/>
      <c r="R56" s="134"/>
    </row>
    <row r="57" spans="1:29" s="456" customFormat="1" ht="19.5" thickBot="1" x14ac:dyDescent="0.25">
      <c r="A57" s="938" t="s">
        <v>29</v>
      </c>
      <c r="B57" s="939"/>
      <c r="C57" s="940"/>
      <c r="D57" s="133"/>
      <c r="E57" s="133"/>
      <c r="F57" s="118"/>
      <c r="G57" s="118"/>
      <c r="H57" s="118"/>
      <c r="I57" s="118"/>
      <c r="J57" s="118"/>
      <c r="K57" s="134"/>
      <c r="L57" s="134"/>
      <c r="M57" s="134"/>
      <c r="N57" s="134"/>
      <c r="S57" s="134"/>
      <c r="T57" s="134"/>
      <c r="U57" s="134"/>
    </row>
    <row r="58" spans="1:29" s="456" customFormat="1" ht="16.5" thickBot="1" x14ac:dyDescent="0.25">
      <c r="A58" s="800" t="s">
        <v>625</v>
      </c>
      <c r="B58" s="801"/>
      <c r="C58" s="802"/>
      <c r="D58" s="133"/>
      <c r="E58" s="133"/>
      <c r="F58" s="133"/>
      <c r="G58" s="118"/>
      <c r="H58" s="118"/>
      <c r="I58" s="118"/>
      <c r="J58" s="118"/>
      <c r="K58" s="118"/>
      <c r="L58" s="134"/>
      <c r="N58" s="134"/>
      <c r="O58" s="134"/>
      <c r="V58" s="134"/>
    </row>
    <row r="59" spans="1:29" s="456" customFormat="1" x14ac:dyDescent="0.2">
      <c r="A59" s="506" t="s">
        <v>30</v>
      </c>
      <c r="B59" s="507"/>
      <c r="C59" s="508" t="s">
        <v>155</v>
      </c>
      <c r="D59" s="509"/>
      <c r="E59" s="509"/>
      <c r="F59" s="510"/>
      <c r="G59" s="510"/>
      <c r="H59" s="509"/>
      <c r="I59" s="510"/>
      <c r="J59" s="509"/>
      <c r="K59" s="143"/>
      <c r="L59" s="144"/>
      <c r="N59" s="134"/>
      <c r="O59" s="134"/>
      <c r="P59" s="134"/>
    </row>
    <row r="60" spans="1:29" s="456" customFormat="1" x14ac:dyDescent="0.2">
      <c r="A60" s="96" t="s">
        <v>626</v>
      </c>
      <c r="B60" s="511"/>
      <c r="C60" s="511"/>
      <c r="D60" s="512"/>
      <c r="E60" s="512"/>
      <c r="F60" s="215"/>
      <c r="G60" s="215"/>
      <c r="H60" s="512"/>
      <c r="I60" s="215"/>
      <c r="J60" s="512"/>
      <c r="K60" s="149"/>
      <c r="L60" s="150"/>
      <c r="N60" s="134"/>
      <c r="O60" s="134"/>
      <c r="P60" s="134"/>
    </row>
    <row r="61" spans="1:29" s="456" customFormat="1" x14ac:dyDescent="0.2">
      <c r="A61" s="96" t="s">
        <v>173</v>
      </c>
      <c r="B61" s="511"/>
      <c r="C61" s="511"/>
      <c r="D61" s="512"/>
      <c r="E61" s="512"/>
      <c r="F61" s="215"/>
      <c r="G61" s="215"/>
      <c r="H61" s="512"/>
      <c r="I61" s="215"/>
      <c r="J61" s="512"/>
      <c r="K61" s="149"/>
      <c r="L61" s="150"/>
      <c r="N61" s="134"/>
      <c r="O61" s="134"/>
      <c r="P61" s="134"/>
    </row>
    <row r="62" spans="1:29" s="456" customFormat="1" x14ac:dyDescent="0.2">
      <c r="A62" s="96" t="s">
        <v>987</v>
      </c>
      <c r="B62" s="511"/>
      <c r="C62" s="511"/>
      <c r="D62" s="512"/>
      <c r="E62" s="512"/>
      <c r="F62" s="215"/>
      <c r="G62" s="215"/>
      <c r="H62" s="512"/>
      <c r="I62" s="215"/>
      <c r="J62" s="512"/>
      <c r="K62" s="149"/>
      <c r="L62" s="150"/>
      <c r="N62" s="134"/>
      <c r="O62" s="134"/>
      <c r="P62" s="134"/>
    </row>
    <row r="63" spans="1:29" s="456" customFormat="1" ht="16.5" thickBot="1" x14ac:dyDescent="0.25">
      <c r="A63" s="110" t="s">
        <v>988</v>
      </c>
      <c r="B63" s="513"/>
      <c r="C63" s="513"/>
      <c r="D63" s="514"/>
      <c r="E63" s="514"/>
      <c r="F63" s="515"/>
      <c r="G63" s="515"/>
      <c r="H63" s="514"/>
      <c r="I63" s="515"/>
      <c r="J63" s="514"/>
      <c r="K63" s="154"/>
      <c r="L63" s="155"/>
      <c r="N63" s="134"/>
      <c r="O63" s="134"/>
      <c r="P63" s="134"/>
    </row>
    <row r="64" spans="1:29" s="456" customFormat="1" ht="16.5" thickBot="1" x14ac:dyDescent="0.25">
      <c r="A64" s="516"/>
      <c r="B64" s="517"/>
      <c r="C64" s="134"/>
      <c r="D64" s="133"/>
      <c r="E64" s="133"/>
      <c r="F64" s="133"/>
      <c r="G64" s="133"/>
      <c r="H64" s="118"/>
      <c r="I64" s="118"/>
      <c r="J64" s="118"/>
      <c r="K64" s="118"/>
      <c r="L64" s="118"/>
      <c r="M64" s="134"/>
      <c r="O64" s="134"/>
      <c r="P64" s="134"/>
      <c r="Q64" s="118"/>
    </row>
    <row r="65" spans="1:24" s="14" customFormat="1" ht="48" thickBot="1" x14ac:dyDescent="0.25">
      <c r="A65" s="518" t="s">
        <v>31</v>
      </c>
      <c r="B65" s="932" t="s">
        <v>628</v>
      </c>
      <c r="C65" s="933"/>
      <c r="D65" s="934"/>
      <c r="E65" s="519" t="s">
        <v>11</v>
      </c>
      <c r="F65" s="519" t="s">
        <v>14</v>
      </c>
      <c r="G65" s="519" t="s">
        <v>287</v>
      </c>
      <c r="H65" s="519" t="s">
        <v>32</v>
      </c>
      <c r="I65" s="519" t="s">
        <v>16</v>
      </c>
      <c r="J65" s="519" t="s">
        <v>17</v>
      </c>
      <c r="K65" s="519" t="s">
        <v>18</v>
      </c>
      <c r="L65" s="519" t="s">
        <v>19</v>
      </c>
      <c r="M65" s="519" t="s">
        <v>20</v>
      </c>
      <c r="N65" s="520" t="s">
        <v>123</v>
      </c>
      <c r="O65" s="519" t="s">
        <v>96</v>
      </c>
      <c r="P65" s="521" t="s">
        <v>809</v>
      </c>
    </row>
    <row r="66" spans="1:24" s="303" customFormat="1" x14ac:dyDescent="0.2">
      <c r="A66" s="269"/>
      <c r="B66" s="925"/>
      <c r="C66" s="926"/>
      <c r="D66" s="926"/>
      <c r="E66" s="226"/>
      <c r="F66" s="226"/>
      <c r="G66" s="226"/>
      <c r="H66" s="226"/>
      <c r="I66" s="226"/>
      <c r="J66" s="273"/>
      <c r="K66" s="263"/>
      <c r="L66" s="263"/>
      <c r="M66" s="306"/>
      <c r="N66" s="49"/>
      <c r="O66" s="226"/>
      <c r="P66" s="274"/>
      <c r="Q66" s="159"/>
      <c r="R66" s="159"/>
      <c r="S66" s="159"/>
      <c r="T66" s="159"/>
      <c r="U66" s="159"/>
      <c r="V66" s="160"/>
      <c r="W66" s="160"/>
      <c r="X66" s="160"/>
    </row>
    <row r="67" spans="1:24" s="303" customFormat="1" x14ac:dyDescent="0.2">
      <c r="A67" s="248"/>
      <c r="B67" s="927"/>
      <c r="C67" s="928"/>
      <c r="D67" s="928"/>
      <c r="E67" s="125"/>
      <c r="F67" s="125"/>
      <c r="G67" s="125"/>
      <c r="H67" s="125"/>
      <c r="I67" s="125"/>
      <c r="J67" s="275"/>
      <c r="K67" s="255"/>
      <c r="L67" s="255"/>
      <c r="M67" s="307"/>
      <c r="N67" s="21"/>
      <c r="O67" s="125"/>
      <c r="P67" s="276"/>
      <c r="Q67" s="159"/>
      <c r="R67" s="159"/>
      <c r="S67" s="159"/>
      <c r="T67" s="159"/>
      <c r="U67" s="159"/>
      <c r="V67" s="160"/>
      <c r="W67" s="160"/>
      <c r="X67" s="160"/>
    </row>
    <row r="68" spans="1:24" s="303" customFormat="1" x14ac:dyDescent="0.2">
      <c r="A68" s="248"/>
      <c r="B68" s="927"/>
      <c r="C68" s="928"/>
      <c r="D68" s="928"/>
      <c r="E68" s="125"/>
      <c r="F68" s="125"/>
      <c r="G68" s="125"/>
      <c r="H68" s="125"/>
      <c r="I68" s="125"/>
      <c r="J68" s="275"/>
      <c r="K68" s="255"/>
      <c r="L68" s="255"/>
      <c r="M68" s="307"/>
      <c r="N68" s="21"/>
      <c r="O68" s="125"/>
      <c r="P68" s="276"/>
      <c r="Q68" s="159"/>
      <c r="R68" s="159"/>
      <c r="S68" s="159"/>
      <c r="T68" s="159"/>
      <c r="U68" s="159"/>
      <c r="V68" s="160"/>
      <c r="W68" s="160"/>
      <c r="X68" s="160"/>
    </row>
    <row r="69" spans="1:24" s="303" customFormat="1" ht="16.5" thickBot="1" x14ac:dyDescent="0.25">
      <c r="A69" s="304"/>
      <c r="B69" s="912"/>
      <c r="C69" s="913"/>
      <c r="D69" s="913"/>
      <c r="E69" s="130"/>
      <c r="F69" s="130"/>
      <c r="G69" s="130"/>
      <c r="H69" s="130"/>
      <c r="I69" s="130"/>
      <c r="J69" s="258"/>
      <c r="K69" s="256"/>
      <c r="L69" s="256"/>
      <c r="M69" s="305"/>
      <c r="N69" s="29"/>
      <c r="O69" s="129"/>
      <c r="P69" s="132"/>
      <c r="Q69" s="159"/>
      <c r="R69" s="159"/>
      <c r="S69" s="159"/>
      <c r="T69" s="159"/>
      <c r="U69" s="159"/>
      <c r="V69" s="160"/>
      <c r="W69" s="160"/>
      <c r="X69" s="160"/>
    </row>
    <row r="70" spans="1:24" s="456" customFormat="1" x14ac:dyDescent="0.2">
      <c r="A70" s="134"/>
      <c r="B70" s="134"/>
      <c r="C70" s="522"/>
      <c r="D70" s="522"/>
      <c r="E70" s="134"/>
      <c r="F70" s="134"/>
      <c r="G70" s="134"/>
      <c r="H70" s="134"/>
      <c r="I70" s="134"/>
      <c r="J70" s="134"/>
      <c r="K70" s="134"/>
      <c r="L70" s="134"/>
      <c r="M70" s="134"/>
      <c r="O70" s="118"/>
      <c r="P70" s="118"/>
      <c r="Q70" s="118"/>
      <c r="R70" s="118"/>
      <c r="S70" s="118"/>
      <c r="T70" s="118"/>
      <c r="U70" s="118"/>
      <c r="V70" s="134"/>
      <c r="W70" s="134"/>
      <c r="X70" s="134"/>
    </row>
    <row r="71" spans="1:24" s="456" customFormat="1" ht="16.5" thickBot="1" x14ac:dyDescent="0.25">
      <c r="A71" s="133"/>
      <c r="B71" s="133"/>
      <c r="C71" s="133"/>
      <c r="D71" s="133"/>
      <c r="E71" s="133"/>
      <c r="F71" s="133"/>
      <c r="G71" s="133"/>
      <c r="H71" s="133"/>
      <c r="I71" s="118"/>
      <c r="J71" s="118"/>
      <c r="K71" s="118"/>
      <c r="L71" s="118"/>
      <c r="M71" s="118"/>
      <c r="N71" s="134"/>
      <c r="O71" s="134"/>
      <c r="P71" s="134"/>
      <c r="Q71" s="134"/>
      <c r="R71" s="134"/>
      <c r="S71" s="134"/>
      <c r="T71" s="134"/>
      <c r="U71" s="134"/>
      <c r="V71" s="134"/>
      <c r="W71" s="118"/>
    </row>
    <row r="72" spans="1:24" s="456" customFormat="1" ht="19.5" thickBot="1" x14ac:dyDescent="0.25">
      <c r="A72" s="938" t="s">
        <v>34</v>
      </c>
      <c r="B72" s="939"/>
      <c r="C72" s="940"/>
      <c r="D72" s="523"/>
      <c r="E72" s="133"/>
      <c r="F72" s="133"/>
      <c r="G72" s="133"/>
      <c r="H72" s="133"/>
      <c r="I72" s="118"/>
      <c r="J72" s="118"/>
      <c r="K72" s="118"/>
      <c r="L72" s="118"/>
      <c r="M72" s="118"/>
      <c r="N72" s="134"/>
      <c r="O72" s="134"/>
      <c r="P72" s="134"/>
      <c r="Q72" s="134"/>
      <c r="R72" s="134"/>
      <c r="S72" s="134"/>
      <c r="T72" s="134"/>
      <c r="U72" s="134"/>
      <c r="V72" s="134"/>
      <c r="W72" s="118"/>
    </row>
    <row r="73" spans="1:24" s="456" customFormat="1" ht="16.5" thickBot="1" x14ac:dyDescent="0.25">
      <c r="A73" s="800" t="s">
        <v>625</v>
      </c>
      <c r="B73" s="801"/>
      <c r="C73" s="802"/>
      <c r="D73" s="200"/>
      <c r="E73" s="200"/>
      <c r="F73" s="200"/>
      <c r="G73" s="200"/>
      <c r="H73" s="194"/>
      <c r="I73" s="194"/>
      <c r="J73" s="200"/>
      <c r="K73" s="194"/>
      <c r="L73" s="200"/>
      <c r="M73" s="118"/>
      <c r="N73" s="134"/>
      <c r="O73" s="134"/>
      <c r="P73" s="134"/>
      <c r="Q73" s="134"/>
      <c r="R73" s="134"/>
      <c r="S73" s="134"/>
      <c r="T73" s="134"/>
      <c r="U73" s="134"/>
      <c r="V73" s="134"/>
      <c r="W73" s="118"/>
    </row>
    <row r="74" spans="1:24" s="456" customFormat="1" x14ac:dyDescent="0.2">
      <c r="A74" s="506" t="s">
        <v>30</v>
      </c>
      <c r="B74" s="470"/>
      <c r="C74" s="508" t="s">
        <v>155</v>
      </c>
      <c r="D74" s="508"/>
      <c r="E74" s="509"/>
      <c r="F74" s="509"/>
      <c r="G74" s="509"/>
      <c r="H74" s="510"/>
      <c r="I74" s="510"/>
      <c r="J74" s="509"/>
      <c r="K74" s="510"/>
      <c r="L74" s="524"/>
      <c r="M74" s="118"/>
      <c r="N74" s="134"/>
      <c r="O74" s="134"/>
      <c r="P74" s="134"/>
      <c r="Q74" s="134"/>
      <c r="R74" s="134"/>
      <c r="S74" s="134"/>
      <c r="T74" s="134"/>
      <c r="U74" s="134"/>
      <c r="V74" s="134"/>
      <c r="W74" s="118"/>
    </row>
    <row r="75" spans="1:24" s="456" customFormat="1" x14ac:dyDescent="0.2">
      <c r="A75" s="96" t="s">
        <v>35</v>
      </c>
      <c r="B75" s="512"/>
      <c r="C75" s="512"/>
      <c r="D75" s="512"/>
      <c r="E75" s="512"/>
      <c r="F75" s="512"/>
      <c r="G75" s="512"/>
      <c r="H75" s="215"/>
      <c r="I75" s="215"/>
      <c r="J75" s="512"/>
      <c r="K75" s="215"/>
      <c r="L75" s="525"/>
      <c r="M75" s="118"/>
      <c r="N75" s="134"/>
      <c r="O75" s="134"/>
      <c r="P75" s="134"/>
      <c r="Q75" s="134"/>
      <c r="R75" s="134"/>
      <c r="S75" s="134"/>
      <c r="T75" s="134"/>
      <c r="U75" s="134"/>
      <c r="V75" s="134"/>
      <c r="W75" s="118"/>
    </row>
    <row r="76" spans="1:24" s="456" customFormat="1" x14ac:dyDescent="0.2">
      <c r="A76" s="96" t="s">
        <v>174</v>
      </c>
      <c r="B76" s="512"/>
      <c r="C76" s="512"/>
      <c r="D76" s="512"/>
      <c r="E76" s="512"/>
      <c r="F76" s="512"/>
      <c r="G76" s="512"/>
      <c r="H76" s="215"/>
      <c r="I76" s="215"/>
      <c r="J76" s="512"/>
      <c r="K76" s="215"/>
      <c r="L76" s="525"/>
      <c r="M76" s="118"/>
      <c r="N76" s="134"/>
      <c r="O76" s="134"/>
      <c r="P76" s="134"/>
      <c r="Q76" s="134"/>
      <c r="R76" s="134"/>
      <c r="S76" s="134"/>
      <c r="T76" s="134"/>
      <c r="U76" s="134"/>
      <c r="V76" s="134"/>
      <c r="W76" s="118"/>
    </row>
    <row r="77" spans="1:24" s="456" customFormat="1" x14ac:dyDescent="0.2">
      <c r="A77" s="96" t="s">
        <v>987</v>
      </c>
      <c r="B77" s="512"/>
      <c r="C77" s="512"/>
      <c r="D77" s="512"/>
      <c r="E77" s="512"/>
      <c r="F77" s="512"/>
      <c r="G77" s="512"/>
      <c r="H77" s="215"/>
      <c r="I77" s="215"/>
      <c r="J77" s="512"/>
      <c r="K77" s="215"/>
      <c r="L77" s="525"/>
      <c r="M77" s="118"/>
      <c r="N77" s="134"/>
      <c r="O77" s="134"/>
      <c r="P77" s="134"/>
      <c r="Q77" s="134"/>
      <c r="R77" s="134"/>
      <c r="S77" s="134"/>
      <c r="T77" s="134"/>
      <c r="U77" s="134"/>
      <c r="V77" s="134"/>
      <c r="W77" s="118"/>
    </row>
    <row r="78" spans="1:24" s="456" customFormat="1" ht="16.5" thickBot="1" x14ac:dyDescent="0.25">
      <c r="A78" s="110" t="s">
        <v>988</v>
      </c>
      <c r="B78" s="514"/>
      <c r="C78" s="514"/>
      <c r="D78" s="514"/>
      <c r="E78" s="514"/>
      <c r="F78" s="514"/>
      <c r="G78" s="514"/>
      <c r="H78" s="515"/>
      <c r="I78" s="515"/>
      <c r="J78" s="514"/>
      <c r="K78" s="515"/>
      <c r="L78" s="526"/>
      <c r="M78" s="118"/>
      <c r="N78" s="134"/>
      <c r="O78" s="134"/>
      <c r="P78" s="134"/>
      <c r="Q78" s="134"/>
      <c r="R78" s="134"/>
      <c r="S78" s="134"/>
      <c r="T78" s="134"/>
      <c r="U78" s="134"/>
      <c r="V78" s="134"/>
      <c r="W78" s="118"/>
    </row>
    <row r="79" spans="1:24" s="456" customFormat="1" ht="16.5" thickBot="1" x14ac:dyDescent="0.25">
      <c r="A79" s="527"/>
      <c r="E79" s="200"/>
      <c r="F79" s="200"/>
      <c r="G79" s="200"/>
      <c r="H79" s="194"/>
      <c r="I79" s="517"/>
      <c r="J79" s="200"/>
      <c r="K79" s="194"/>
      <c r="L79" s="200"/>
      <c r="M79" s="118"/>
      <c r="N79" s="134"/>
      <c r="O79" s="134"/>
      <c r="P79" s="134"/>
      <c r="Q79" s="134"/>
      <c r="R79" s="118"/>
      <c r="V79" s="528"/>
      <c r="W79" s="528"/>
    </row>
    <row r="80" spans="1:24" s="14" customFormat="1" ht="32.25" thickBot="1" x14ac:dyDescent="0.25">
      <c r="A80" s="518" t="s">
        <v>31</v>
      </c>
      <c r="B80" s="932" t="s">
        <v>13</v>
      </c>
      <c r="C80" s="933"/>
      <c r="D80" s="934"/>
      <c r="E80" s="519" t="s">
        <v>12</v>
      </c>
      <c r="F80" s="519" t="s">
        <v>14</v>
      </c>
      <c r="G80" s="519" t="s">
        <v>276</v>
      </c>
      <c r="H80" s="519" t="s">
        <v>32</v>
      </c>
      <c r="I80" s="519" t="s">
        <v>16</v>
      </c>
      <c r="J80" s="519" t="s">
        <v>17</v>
      </c>
      <c r="K80" s="519" t="s">
        <v>18</v>
      </c>
      <c r="L80" s="519" t="s">
        <v>19</v>
      </c>
      <c r="M80" s="519" t="s">
        <v>20</v>
      </c>
      <c r="N80" s="520" t="s">
        <v>123</v>
      </c>
      <c r="O80" s="519" t="s">
        <v>94</v>
      </c>
      <c r="P80" s="521" t="s">
        <v>807</v>
      </c>
      <c r="W80" s="13"/>
    </row>
    <row r="81" spans="1:23" s="303" customFormat="1" x14ac:dyDescent="0.2">
      <c r="A81" s="269"/>
      <c r="B81" s="925"/>
      <c r="C81" s="926"/>
      <c r="D81" s="926"/>
      <c r="E81" s="226"/>
      <c r="F81" s="226"/>
      <c r="G81" s="226"/>
      <c r="H81" s="226"/>
      <c r="I81" s="226"/>
      <c r="J81" s="263"/>
      <c r="K81" s="263"/>
      <c r="L81" s="263"/>
      <c r="M81" s="263"/>
      <c r="N81" s="49"/>
      <c r="O81" s="226"/>
      <c r="P81" s="274"/>
      <c r="Q81" s="160"/>
      <c r="R81" s="160"/>
      <c r="S81" s="160"/>
      <c r="T81" s="160"/>
      <c r="U81" s="160"/>
      <c r="V81" s="160"/>
      <c r="W81" s="159"/>
    </row>
    <row r="82" spans="1:23" s="303" customFormat="1" x14ac:dyDescent="0.2">
      <c r="A82" s="248"/>
      <c r="B82" s="927"/>
      <c r="C82" s="928"/>
      <c r="D82" s="928"/>
      <c r="E82" s="125"/>
      <c r="F82" s="125"/>
      <c r="G82" s="125"/>
      <c r="H82" s="125"/>
      <c r="I82" s="125"/>
      <c r="J82" s="255"/>
      <c r="K82" s="255"/>
      <c r="L82" s="255"/>
      <c r="M82" s="255"/>
      <c r="N82" s="21"/>
      <c r="O82" s="125"/>
      <c r="P82" s="276"/>
      <c r="Q82" s="160"/>
      <c r="R82" s="160"/>
      <c r="S82" s="160"/>
      <c r="T82" s="160"/>
      <c r="U82" s="160"/>
      <c r="V82" s="160"/>
      <c r="W82" s="159"/>
    </row>
    <row r="83" spans="1:23" s="303" customFormat="1" x14ac:dyDescent="0.2">
      <c r="A83" s="248"/>
      <c r="B83" s="927"/>
      <c r="C83" s="928"/>
      <c r="D83" s="928"/>
      <c r="E83" s="125"/>
      <c r="F83" s="125"/>
      <c r="G83" s="125"/>
      <c r="H83" s="125"/>
      <c r="I83" s="125"/>
      <c r="J83" s="255"/>
      <c r="K83" s="255"/>
      <c r="L83" s="255"/>
      <c r="M83" s="255"/>
      <c r="N83" s="21"/>
      <c r="O83" s="125"/>
      <c r="P83" s="276"/>
      <c r="Q83" s="160"/>
      <c r="R83" s="160"/>
      <c r="S83" s="160"/>
      <c r="T83" s="160"/>
      <c r="U83" s="160"/>
      <c r="V83" s="160"/>
      <c r="W83" s="159"/>
    </row>
    <row r="84" spans="1:23" s="303" customFormat="1" ht="16.5" thickBot="1" x14ac:dyDescent="0.25">
      <c r="A84" s="304"/>
      <c r="B84" s="912"/>
      <c r="C84" s="913"/>
      <c r="D84" s="913"/>
      <c r="E84" s="130"/>
      <c r="F84" s="130"/>
      <c r="G84" s="130"/>
      <c r="H84" s="130"/>
      <c r="I84" s="130"/>
      <c r="J84" s="256"/>
      <c r="K84" s="256"/>
      <c r="L84" s="256"/>
      <c r="M84" s="256"/>
      <c r="N84" s="29"/>
      <c r="O84" s="129"/>
      <c r="P84" s="132"/>
      <c r="Q84" s="160"/>
      <c r="R84" s="160"/>
      <c r="S84" s="160"/>
      <c r="T84" s="160"/>
      <c r="U84" s="160"/>
      <c r="V84" s="160"/>
      <c r="W84" s="159"/>
    </row>
    <row r="85" spans="1:23" s="456" customFormat="1" ht="16.5" thickBot="1" x14ac:dyDescent="0.25">
      <c r="A85" s="133"/>
      <c r="B85" s="133"/>
      <c r="C85" s="133"/>
      <c r="D85" s="133"/>
      <c r="E85" s="133"/>
      <c r="F85" s="133"/>
      <c r="G85" s="133"/>
      <c r="H85" s="118"/>
      <c r="I85" s="118"/>
      <c r="J85" s="118"/>
      <c r="K85" s="118"/>
      <c r="L85" s="118"/>
      <c r="M85" s="134"/>
      <c r="N85" s="134"/>
      <c r="O85" s="134"/>
      <c r="P85" s="134"/>
      <c r="Q85" s="134"/>
      <c r="R85" s="134"/>
      <c r="S85" s="134"/>
      <c r="T85" s="134"/>
      <c r="U85" s="134"/>
      <c r="V85" s="118"/>
    </row>
    <row r="86" spans="1:23" s="73" customFormat="1" ht="16.5" thickBot="1" x14ac:dyDescent="0.25">
      <c r="A86" s="822" t="s">
        <v>36</v>
      </c>
      <c r="B86" s="823"/>
      <c r="C86" s="823"/>
      <c r="D86" s="823"/>
      <c r="E86" s="823"/>
      <c r="F86" s="823"/>
      <c r="G86" s="823"/>
      <c r="H86" s="823"/>
      <c r="I86" s="824"/>
      <c r="J86" s="169"/>
      <c r="K86" s="118"/>
      <c r="L86" s="134"/>
      <c r="M86" s="134"/>
      <c r="N86" s="134"/>
      <c r="O86" s="134"/>
      <c r="P86" s="134"/>
      <c r="Q86" s="134"/>
      <c r="R86" s="134"/>
      <c r="S86" s="118"/>
      <c r="T86" s="118"/>
      <c r="U86" s="118"/>
    </row>
    <row r="87" spans="1:23" s="73" customFormat="1" ht="16.5" thickBot="1" x14ac:dyDescent="0.25">
      <c r="A87" s="935" t="s">
        <v>37</v>
      </c>
      <c r="B87" s="936"/>
      <c r="C87" s="936"/>
      <c r="D87" s="936"/>
      <c r="E87" s="936"/>
      <c r="F87" s="936"/>
      <c r="G87" s="936"/>
      <c r="H87" s="936"/>
      <c r="I87" s="937"/>
      <c r="J87" s="170"/>
      <c r="K87" s="118"/>
      <c r="L87" s="134"/>
      <c r="M87" s="134"/>
      <c r="N87" s="134"/>
      <c r="O87" s="134"/>
      <c r="P87" s="134"/>
      <c r="Q87" s="134"/>
      <c r="R87" s="134"/>
      <c r="S87" s="118"/>
      <c r="T87" s="118"/>
      <c r="U87" s="118"/>
    </row>
    <row r="88" spans="1:23" s="308" customFormat="1" ht="15.75" customHeight="1" thickBot="1" x14ac:dyDescent="0.25">
      <c r="A88" s="665" t="s">
        <v>296</v>
      </c>
      <c r="B88" s="909" t="s">
        <v>1129</v>
      </c>
      <c r="C88" s="910"/>
      <c r="D88" s="910"/>
      <c r="E88" s="910"/>
      <c r="F88" s="910"/>
      <c r="G88" s="910"/>
      <c r="H88" s="910"/>
      <c r="I88" s="911"/>
      <c r="J88" s="171"/>
      <c r="K88" s="172"/>
      <c r="L88" s="173"/>
      <c r="M88" s="173"/>
      <c r="N88" s="173"/>
      <c r="O88" s="173"/>
      <c r="P88" s="173"/>
      <c r="Q88" s="173"/>
      <c r="R88" s="173"/>
      <c r="S88" s="172"/>
      <c r="T88" s="172"/>
      <c r="U88" s="172"/>
    </row>
    <row r="89" spans="1:23" s="73" customFormat="1" ht="16.5" thickBot="1" x14ac:dyDescent="0.25">
      <c r="A89" s="196"/>
      <c r="B89" s="169"/>
      <c r="C89" s="169"/>
      <c r="D89" s="169"/>
      <c r="E89" s="169"/>
      <c r="F89" s="176"/>
      <c r="G89" s="176"/>
      <c r="H89" s="176"/>
      <c r="I89" s="176"/>
      <c r="J89" s="176"/>
      <c r="K89" s="118"/>
      <c r="L89" s="134"/>
      <c r="M89" s="134"/>
      <c r="N89" s="134"/>
      <c r="O89" s="134"/>
      <c r="P89" s="134"/>
      <c r="Q89" s="118"/>
    </row>
    <row r="90" spans="1:23" s="73" customFormat="1" ht="16.5" customHeight="1" thickBot="1" x14ac:dyDescent="0.25">
      <c r="A90" s="917" t="s">
        <v>214</v>
      </c>
      <c r="B90" s="918"/>
      <c r="C90" s="918"/>
      <c r="D90" s="918"/>
      <c r="E90" s="918"/>
      <c r="F90" s="918"/>
      <c r="G90" s="918"/>
      <c r="H90" s="930" t="s">
        <v>226</v>
      </c>
      <c r="I90" s="786" t="s">
        <v>627</v>
      </c>
      <c r="J90" s="786" t="s">
        <v>215</v>
      </c>
      <c r="K90" s="786" t="s">
        <v>23</v>
      </c>
      <c r="L90" s="786" t="s">
        <v>302</v>
      </c>
      <c r="M90" s="788" t="s">
        <v>83</v>
      </c>
      <c r="N90" s="134"/>
      <c r="O90" s="118"/>
      <c r="P90" s="456"/>
      <c r="Q90" s="528"/>
      <c r="R90" s="528"/>
    </row>
    <row r="91" spans="1:23" s="446" customFormat="1" ht="16.5" thickBot="1" x14ac:dyDescent="0.25">
      <c r="A91" s="919" t="s">
        <v>887</v>
      </c>
      <c r="B91" s="920"/>
      <c r="C91" s="920"/>
      <c r="D91" s="920"/>
      <c r="E91" s="920"/>
      <c r="F91" s="920"/>
      <c r="G91" s="921"/>
      <c r="H91" s="931"/>
      <c r="I91" s="908"/>
      <c r="J91" s="908"/>
      <c r="K91" s="908"/>
      <c r="L91" s="908"/>
      <c r="M91" s="929"/>
      <c r="N91" s="177"/>
      <c r="O91" s="177"/>
      <c r="P91" s="177"/>
      <c r="Q91" s="177"/>
      <c r="R91" s="177"/>
    </row>
    <row r="92" spans="1:23" s="446" customFormat="1" ht="15.75" customHeight="1" thickBot="1" x14ac:dyDescent="0.25">
      <c r="A92" s="919" t="s">
        <v>353</v>
      </c>
      <c r="B92" s="920"/>
      <c r="C92" s="920"/>
      <c r="D92" s="920"/>
      <c r="E92" s="920"/>
      <c r="F92" s="920"/>
      <c r="G92" s="921"/>
      <c r="H92" s="959"/>
      <c r="I92" s="787"/>
      <c r="J92" s="787"/>
      <c r="K92" s="787"/>
      <c r="L92" s="787"/>
      <c r="M92" s="789"/>
      <c r="N92" s="177"/>
      <c r="O92" s="177"/>
      <c r="P92" s="177"/>
      <c r="Q92" s="177"/>
      <c r="R92" s="177"/>
    </row>
    <row r="93" spans="1:23" s="136" customFormat="1" x14ac:dyDescent="0.2">
      <c r="A93" s="178" t="s">
        <v>103</v>
      </c>
      <c r="B93" s="942" t="str">
        <f>IF($A93="","",VLOOKUP($A93,Listes!$A$3:$C$193,2,FALSE))</f>
        <v>Alameda Corridor Surcharge export</v>
      </c>
      <c r="C93" s="942"/>
      <c r="D93" s="942"/>
      <c r="E93" s="941" t="s">
        <v>51</v>
      </c>
      <c r="F93" s="941"/>
      <c r="G93" s="941"/>
      <c r="H93" s="654"/>
      <c r="I93" s="529"/>
      <c r="J93" s="529"/>
      <c r="K93" s="529"/>
      <c r="L93" s="529"/>
      <c r="M93" s="530"/>
      <c r="N93" s="160"/>
      <c r="O93" s="160"/>
      <c r="P93" s="160"/>
      <c r="Q93" s="160"/>
      <c r="R93" s="159"/>
    </row>
    <row r="94" spans="1:23" s="136" customFormat="1" ht="15.75" customHeight="1" x14ac:dyDescent="0.2">
      <c r="A94" s="182" t="s">
        <v>346</v>
      </c>
      <c r="B94" s="813" t="str">
        <f>IF($A94="","",VLOOKUP($A94,Listes!$A$3:$C$193,2,FALSE))</f>
        <v>Aden Gulf Surcharge</v>
      </c>
      <c r="C94" s="813"/>
      <c r="D94" s="813"/>
      <c r="E94" s="814" t="s">
        <v>53</v>
      </c>
      <c r="F94" s="814"/>
      <c r="G94" s="814"/>
      <c r="H94" s="653"/>
      <c r="I94" s="531"/>
      <c r="J94" s="531"/>
      <c r="K94" s="531"/>
      <c r="L94" s="531"/>
      <c r="M94" s="532"/>
      <c r="N94" s="160"/>
      <c r="O94" s="160"/>
      <c r="P94" s="160"/>
      <c r="Q94" s="160"/>
      <c r="R94" s="159"/>
    </row>
    <row r="95" spans="1:23" s="136" customFormat="1" ht="15.75" customHeight="1" x14ac:dyDescent="0.2">
      <c r="A95" s="182" t="s">
        <v>234</v>
      </c>
      <c r="B95" s="813" t="str">
        <f>IF($A95="","",VLOOKUP($A95,Listes!$A$3:$C$193,2,FALSE))</f>
        <v>Bunker Adjustment Factor</v>
      </c>
      <c r="C95" s="813"/>
      <c r="D95" s="813"/>
      <c r="E95" s="814" t="s">
        <v>51</v>
      </c>
      <c r="F95" s="814"/>
      <c r="G95" s="814"/>
      <c r="H95" s="653"/>
      <c r="I95" s="531"/>
      <c r="J95" s="531"/>
      <c r="K95" s="531"/>
      <c r="L95" s="531"/>
      <c r="M95" s="532"/>
      <c r="N95" s="160"/>
      <c r="O95" s="160"/>
      <c r="P95" s="160"/>
      <c r="Q95" s="160"/>
      <c r="R95" s="159"/>
    </row>
    <row r="96" spans="1:23" s="136" customFormat="1" ht="15.75" customHeight="1" x14ac:dyDescent="0.2">
      <c r="A96" s="182" t="s">
        <v>202</v>
      </c>
      <c r="B96" s="813" t="str">
        <f>IF($A96="","",VLOOKUP($A96,Listes!$A$3:$C$193,2,FALSE))</f>
        <v>Container Inspection Fee/Survey Fee</v>
      </c>
      <c r="C96" s="813"/>
      <c r="D96" s="813"/>
      <c r="E96" s="814" t="s">
        <v>51</v>
      </c>
      <c r="F96" s="814"/>
      <c r="G96" s="814"/>
      <c r="H96" s="653"/>
      <c r="I96" s="531"/>
      <c r="J96" s="531"/>
      <c r="K96" s="531"/>
      <c r="L96" s="531"/>
      <c r="M96" s="532"/>
      <c r="N96" s="160"/>
      <c r="O96" s="160"/>
      <c r="P96" s="160"/>
      <c r="Q96" s="160"/>
      <c r="R96" s="159"/>
    </row>
    <row r="97" spans="1:18" s="136" customFormat="1" ht="15.75" customHeight="1" x14ac:dyDescent="0.2">
      <c r="A97" s="182" t="s">
        <v>1103</v>
      </c>
      <c r="B97" s="813" t="str">
        <f>IF($A97="","",VLOOKUP($A97,Listes!$A$3:$C$193,2,FALSE))</f>
        <v>Chassis Administration Fee Pre-Carriage</v>
      </c>
      <c r="C97" s="813"/>
      <c r="D97" s="813"/>
      <c r="E97" s="814" t="s">
        <v>51</v>
      </c>
      <c r="F97" s="814"/>
      <c r="G97" s="814"/>
      <c r="H97" s="653"/>
      <c r="I97" s="531"/>
      <c r="J97" s="531"/>
      <c r="K97" s="531"/>
      <c r="L97" s="531"/>
      <c r="M97" s="532"/>
      <c r="N97" s="160"/>
      <c r="O97" s="160"/>
      <c r="P97" s="160"/>
      <c r="Q97" s="160"/>
      <c r="R97" s="159"/>
    </row>
    <row r="98" spans="1:18" s="136" customFormat="1" ht="15.75" customHeight="1" x14ac:dyDescent="0.2">
      <c r="A98" s="182" t="s">
        <v>551</v>
      </c>
      <c r="B98" s="813" t="str">
        <f>IF($A98="","",VLOOKUP($A98,Listes!$A$3:$C$193,2,FALSE))</f>
        <v>Chassis Provision Charge</v>
      </c>
      <c r="C98" s="813"/>
      <c r="D98" s="813"/>
      <c r="E98" s="814" t="s">
        <v>51</v>
      </c>
      <c r="F98" s="814"/>
      <c r="G98" s="814"/>
      <c r="H98" s="653"/>
      <c r="I98" s="531"/>
      <c r="J98" s="531"/>
      <c r="K98" s="531"/>
      <c r="L98" s="531"/>
      <c r="M98" s="532"/>
      <c r="N98" s="160"/>
      <c r="O98" s="160"/>
      <c r="P98" s="160"/>
      <c r="Q98" s="160"/>
      <c r="R98" s="159"/>
    </row>
    <row r="99" spans="1:18" s="136" customFormat="1" ht="15.75" customHeight="1" x14ac:dyDescent="0.2">
      <c r="A99" s="182" t="s">
        <v>263</v>
      </c>
      <c r="B99" s="813" t="str">
        <f>IF($A99="","",VLOOKUP($A99,Listes!$A$3:$C$193,2,FALSE))</f>
        <v>Carrier Security Charge</v>
      </c>
      <c r="C99" s="813"/>
      <c r="D99" s="813"/>
      <c r="E99" s="814" t="s">
        <v>51</v>
      </c>
      <c r="F99" s="814"/>
      <c r="G99" s="814"/>
      <c r="H99" s="653"/>
      <c r="I99" s="531"/>
      <c r="J99" s="531"/>
      <c r="K99" s="531"/>
      <c r="L99" s="531"/>
      <c r="M99" s="532"/>
      <c r="N99" s="160"/>
      <c r="O99" s="160"/>
      <c r="P99" s="160"/>
      <c r="Q99" s="160"/>
      <c r="R99" s="159"/>
    </row>
    <row r="100" spans="1:18" s="136" customFormat="1" ht="15.75" customHeight="1" x14ac:dyDescent="0.2">
      <c r="A100" s="182" t="s">
        <v>1262</v>
      </c>
      <c r="B100" s="813" t="str">
        <f>IF($A100="","",VLOOKUP($A100,Listes!$A$3:$C$193,2,FALSE))</f>
        <v>Container Maintenance Charge Destination</v>
      </c>
      <c r="C100" s="813"/>
      <c r="D100" s="813"/>
      <c r="E100" s="814" t="s">
        <v>51</v>
      </c>
      <c r="F100" s="814"/>
      <c r="G100" s="814"/>
      <c r="H100" s="653"/>
      <c r="I100" s="531"/>
      <c r="J100" s="531"/>
      <c r="K100" s="531"/>
      <c r="L100" s="531"/>
      <c r="M100" s="532"/>
      <c r="N100" s="160"/>
      <c r="O100" s="160"/>
      <c r="P100" s="160"/>
      <c r="Q100" s="160"/>
      <c r="R100" s="159"/>
    </row>
    <row r="101" spans="1:18" s="136" customFormat="1" ht="15.75" customHeight="1" x14ac:dyDescent="0.2">
      <c r="A101" s="182" t="s">
        <v>1003</v>
      </c>
      <c r="B101" s="813" t="str">
        <f>IF($A101="","",VLOOKUP($A101,Listes!$A$3:$C$193,2,FALSE))</f>
        <v>Custom clearance destination</v>
      </c>
      <c r="C101" s="813"/>
      <c r="D101" s="813"/>
      <c r="E101" s="814" t="s">
        <v>51</v>
      </c>
      <c r="F101" s="814"/>
      <c r="G101" s="814"/>
      <c r="H101" s="653"/>
      <c r="I101" s="531"/>
      <c r="J101" s="531"/>
      <c r="K101" s="531"/>
      <c r="L101" s="531"/>
      <c r="M101" s="532"/>
      <c r="N101" s="160"/>
      <c r="O101" s="160"/>
      <c r="P101" s="160"/>
      <c r="Q101" s="160"/>
      <c r="R101" s="159"/>
    </row>
    <row r="102" spans="1:18" s="136" customFormat="1" ht="15.75" customHeight="1" x14ac:dyDescent="0.2">
      <c r="A102" s="182" t="s">
        <v>230</v>
      </c>
      <c r="B102" s="813" t="str">
        <f>IF($A102="","",VLOOKUP($A102,Listes!$A$3:$C$193,2,FALSE))</f>
        <v>Destination THC / Destination Receiving Charge</v>
      </c>
      <c r="C102" s="813"/>
      <c r="D102" s="813"/>
      <c r="E102" s="814" t="s">
        <v>51</v>
      </c>
      <c r="F102" s="814"/>
      <c r="G102" s="814"/>
      <c r="H102" s="653"/>
      <c r="I102" s="531"/>
      <c r="J102" s="531"/>
      <c r="K102" s="531"/>
      <c r="L102" s="531"/>
      <c r="M102" s="532"/>
      <c r="N102" s="160"/>
      <c r="O102" s="160"/>
      <c r="P102" s="160"/>
      <c r="Q102" s="160"/>
      <c r="R102" s="159"/>
    </row>
    <row r="103" spans="1:18" s="136" customFormat="1" ht="15.75" customHeight="1" x14ac:dyDescent="0.2">
      <c r="A103" s="182" t="s">
        <v>1081</v>
      </c>
      <c r="B103" s="813" t="str">
        <f>IF($A103="","",VLOOKUP($A103,Listes!$A$3:$C$193,2,FALSE))</f>
        <v>Equipment Imbalance Surcharge at Origin</v>
      </c>
      <c r="C103" s="813"/>
      <c r="D103" s="813"/>
      <c r="E103" s="814" t="s">
        <v>51</v>
      </c>
      <c r="F103" s="814"/>
      <c r="G103" s="814"/>
      <c r="H103" s="653"/>
      <c r="I103" s="531"/>
      <c r="J103" s="531"/>
      <c r="K103" s="531"/>
      <c r="L103" s="531"/>
      <c r="M103" s="532"/>
      <c r="N103" s="160"/>
      <c r="O103" s="160"/>
      <c r="P103" s="160"/>
      <c r="Q103" s="160"/>
      <c r="R103" s="159"/>
    </row>
    <row r="104" spans="1:18" s="136" customFormat="1" ht="15.75" customHeight="1" x14ac:dyDescent="0.2">
      <c r="A104" s="182" t="s">
        <v>1082</v>
      </c>
      <c r="B104" s="813" t="str">
        <f>IF($A104="","",VLOOKUP($A104,Listes!$A$3:$C$193,2,FALSE))</f>
        <v>Equipment Imbalance Surcharge at Destination</v>
      </c>
      <c r="C104" s="813"/>
      <c r="D104" s="813"/>
      <c r="E104" s="814" t="s">
        <v>51</v>
      </c>
      <c r="F104" s="814"/>
      <c r="G104" s="814"/>
      <c r="H104" s="653"/>
      <c r="I104" s="531"/>
      <c r="J104" s="531"/>
      <c r="K104" s="531"/>
      <c r="L104" s="531"/>
      <c r="M104" s="532"/>
      <c r="N104" s="160"/>
      <c r="O104" s="160"/>
      <c r="P104" s="160"/>
      <c r="Q104" s="160"/>
      <c r="R104" s="159"/>
    </row>
    <row r="105" spans="1:18" s="136" customFormat="1" ht="15.75" customHeight="1" x14ac:dyDescent="0.2">
      <c r="A105" s="182" t="s">
        <v>470</v>
      </c>
      <c r="B105" s="813" t="str">
        <f>IF($A105="","",VLOOKUP($A105,Listes!$A$3:$C$193,2,FALSE))</f>
        <v>Emergency Terminal Congestion Surcharge / Emergency Port Surcharge</v>
      </c>
      <c r="C105" s="813"/>
      <c r="D105" s="813"/>
      <c r="E105" s="814" t="s">
        <v>53</v>
      </c>
      <c r="F105" s="814"/>
      <c r="G105" s="814"/>
      <c r="H105" s="653"/>
      <c r="I105" s="531"/>
      <c r="J105" s="531"/>
      <c r="K105" s="531"/>
      <c r="L105" s="531"/>
      <c r="M105" s="532"/>
      <c r="N105" s="160"/>
      <c r="O105" s="160"/>
      <c r="P105" s="160"/>
      <c r="Q105" s="160"/>
      <c r="R105" s="159"/>
    </row>
    <row r="106" spans="1:18" s="136" customFormat="1" ht="15.75" customHeight="1" x14ac:dyDescent="0.2">
      <c r="A106" s="182" t="s">
        <v>874</v>
      </c>
      <c r="B106" s="813" t="str">
        <f>IF($A106="","",VLOOKUP($A106,Listes!$A$3:$C$193,2,FALSE))</f>
        <v>Export Documentation Fees - Carrier</v>
      </c>
      <c r="C106" s="813"/>
      <c r="D106" s="813"/>
      <c r="E106" s="814" t="s">
        <v>51</v>
      </c>
      <c r="F106" s="814"/>
      <c r="G106" s="814"/>
      <c r="H106" s="653"/>
      <c r="I106" s="531"/>
      <c r="J106" s="531"/>
      <c r="K106" s="531"/>
      <c r="L106" s="531"/>
      <c r="M106" s="532"/>
      <c r="N106" s="160"/>
      <c r="O106" s="160"/>
      <c r="P106" s="160"/>
      <c r="Q106" s="160"/>
      <c r="R106" s="159"/>
    </row>
    <row r="107" spans="1:18" s="136" customFormat="1" ht="15.75" customHeight="1" x14ac:dyDescent="0.2">
      <c r="A107" s="182" t="s">
        <v>854</v>
      </c>
      <c r="B107" s="813" t="str">
        <f>IF($A107="","",VLOOKUP($A107,Listes!$A$3:$C$193,2,FALSE))</f>
        <v>Export Declaration Surcharge</v>
      </c>
      <c r="C107" s="813"/>
      <c r="D107" s="813"/>
      <c r="E107" s="814" t="s">
        <v>51</v>
      </c>
      <c r="F107" s="814"/>
      <c r="G107" s="814"/>
      <c r="H107" s="653"/>
      <c r="I107" s="531"/>
      <c r="J107" s="531"/>
      <c r="K107" s="531"/>
      <c r="L107" s="531"/>
      <c r="M107" s="532"/>
      <c r="N107" s="160"/>
      <c r="O107" s="160"/>
      <c r="P107" s="160"/>
      <c r="Q107" s="160"/>
      <c r="R107" s="159"/>
    </row>
    <row r="108" spans="1:18" s="136" customFormat="1" ht="15.75" customHeight="1" x14ac:dyDescent="0.2">
      <c r="A108" s="182" t="s">
        <v>1114</v>
      </c>
      <c r="B108" s="813" t="str">
        <f>IF($A108="","",VLOOKUP($A108,Listes!$A$3:$C$193,2,FALSE))</f>
        <v>Extra Risk Surcharge (Destination)</v>
      </c>
      <c r="C108" s="813"/>
      <c r="D108" s="813"/>
      <c r="E108" s="814" t="s">
        <v>51</v>
      </c>
      <c r="F108" s="814"/>
      <c r="G108" s="814"/>
      <c r="H108" s="653"/>
      <c r="I108" s="531"/>
      <c r="J108" s="531"/>
      <c r="K108" s="531"/>
      <c r="L108" s="531"/>
      <c r="M108" s="532"/>
      <c r="N108" s="160"/>
      <c r="O108" s="160"/>
      <c r="P108" s="160"/>
      <c r="Q108" s="160"/>
      <c r="R108" s="159"/>
    </row>
    <row r="109" spans="1:18" s="136" customFormat="1" ht="15.75" customHeight="1" x14ac:dyDescent="0.2">
      <c r="A109" s="182" t="s">
        <v>82</v>
      </c>
      <c r="B109" s="813" t="str">
        <f>IF($A109="","",VLOOKUP($A109,Listes!$A$3:$C$193,2,FALSE))</f>
        <v>General Rate Increase</v>
      </c>
      <c r="C109" s="813"/>
      <c r="D109" s="813"/>
      <c r="E109" s="814" t="s">
        <v>51</v>
      </c>
      <c r="F109" s="814"/>
      <c r="G109" s="814"/>
      <c r="H109" s="653"/>
      <c r="I109" s="531"/>
      <c r="J109" s="531"/>
      <c r="K109" s="531"/>
      <c r="L109" s="531"/>
      <c r="M109" s="532"/>
      <c r="N109" s="160"/>
      <c r="O109" s="160"/>
      <c r="P109" s="160"/>
      <c r="Q109" s="160"/>
      <c r="R109" s="159"/>
    </row>
    <row r="110" spans="1:18" s="136" customFormat="1" ht="15.75" customHeight="1" x14ac:dyDescent="0.2">
      <c r="A110" s="182" t="s">
        <v>260</v>
      </c>
      <c r="B110" s="813" t="str">
        <f>IF($A110="","",VLOOKUP($A110,Listes!$A$3:$C$193,2,FALSE))</f>
        <v>Hazardous Fees (Ocean)</v>
      </c>
      <c r="C110" s="813"/>
      <c r="D110" s="813"/>
      <c r="E110" s="814" t="s">
        <v>51</v>
      </c>
      <c r="F110" s="814"/>
      <c r="G110" s="814"/>
      <c r="H110" s="653"/>
      <c r="I110" s="531"/>
      <c r="J110" s="531"/>
      <c r="K110" s="531"/>
      <c r="L110" s="531"/>
      <c r="M110" s="532"/>
      <c r="N110" s="160"/>
      <c r="O110" s="160"/>
      <c r="P110" s="160"/>
      <c r="Q110" s="160"/>
      <c r="R110" s="159"/>
    </row>
    <row r="111" spans="1:18" s="136" customFormat="1" ht="15.75" customHeight="1" x14ac:dyDescent="0.2">
      <c r="A111" s="182" t="s">
        <v>897</v>
      </c>
      <c r="B111" s="813" t="str">
        <f>IF($A111="","",VLOOKUP($A111,Listes!$A$3:$C$193,2,FALSE))</f>
        <v xml:space="preserve">Intermodal Door Precarriage Additional for </v>
      </c>
      <c r="C111" s="813"/>
      <c r="D111" s="813"/>
      <c r="E111" s="814" t="s">
        <v>51</v>
      </c>
      <c r="F111" s="814"/>
      <c r="G111" s="814"/>
      <c r="H111" s="653"/>
      <c r="I111" s="531"/>
      <c r="J111" s="531"/>
      <c r="K111" s="531"/>
      <c r="L111" s="531"/>
      <c r="M111" s="532"/>
      <c r="N111" s="160"/>
      <c r="O111" s="160"/>
      <c r="P111" s="160"/>
      <c r="Q111" s="160"/>
      <c r="R111" s="159"/>
    </row>
    <row r="112" spans="1:18" s="136" customFormat="1" ht="15.75" customHeight="1" x14ac:dyDescent="0.2">
      <c r="A112" s="182" t="s">
        <v>877</v>
      </c>
      <c r="B112" s="813" t="str">
        <f>IF($A112="","",VLOOKUP($A112,Listes!$A$3:$C$193,2,FALSE))</f>
        <v>Import Documentation / BL fee - Carrier</v>
      </c>
      <c r="C112" s="813"/>
      <c r="D112" s="813"/>
      <c r="E112" s="814" t="s">
        <v>51</v>
      </c>
      <c r="F112" s="814"/>
      <c r="G112" s="814"/>
      <c r="H112" s="653"/>
      <c r="I112" s="531"/>
      <c r="J112" s="531"/>
      <c r="K112" s="531"/>
      <c r="L112" s="531"/>
      <c r="M112" s="532"/>
      <c r="N112" s="160"/>
      <c r="O112" s="160"/>
      <c r="P112" s="160"/>
      <c r="Q112" s="160"/>
      <c r="R112" s="159"/>
    </row>
    <row r="113" spans="1:18" s="136" customFormat="1" ht="15.75" customHeight="1" x14ac:dyDescent="0.2">
      <c r="A113" s="182" t="s">
        <v>96</v>
      </c>
      <c r="B113" s="813" t="str">
        <f>IF($A113="","",VLOOKUP($A113,Listes!$A$3:$C$193,2,FALSE))</f>
        <v xml:space="preserve">Precarriage Inland Fuel Charge </v>
      </c>
      <c r="C113" s="813"/>
      <c r="D113" s="813"/>
      <c r="E113" s="814" t="s">
        <v>51</v>
      </c>
      <c r="F113" s="814"/>
      <c r="G113" s="814"/>
      <c r="H113" s="653"/>
      <c r="I113" s="531"/>
      <c r="J113" s="531"/>
      <c r="K113" s="531"/>
      <c r="L113" s="531"/>
      <c r="M113" s="532"/>
      <c r="N113" s="160"/>
      <c r="O113" s="160"/>
      <c r="P113" s="160"/>
      <c r="Q113" s="160"/>
      <c r="R113" s="159"/>
    </row>
    <row r="114" spans="1:18" s="136" customFormat="1" ht="15.75" customHeight="1" x14ac:dyDescent="0.2">
      <c r="A114" s="182" t="s">
        <v>1290</v>
      </c>
      <c r="B114" s="813" t="str">
        <f>IF($A114="","",VLOOKUP($A114,Listes!$A$3:$C$193,2,FALSE))</f>
        <v>Local Port Charge Destination Sanitary Fee</v>
      </c>
      <c r="C114" s="813"/>
      <c r="D114" s="813"/>
      <c r="E114" s="814" t="s">
        <v>51</v>
      </c>
      <c r="F114" s="814"/>
      <c r="G114" s="814"/>
      <c r="H114" s="675"/>
      <c r="I114" s="531"/>
      <c r="J114" s="531"/>
      <c r="K114" s="531"/>
      <c r="L114" s="531"/>
      <c r="M114" s="532"/>
      <c r="N114" s="160"/>
      <c r="O114" s="160"/>
      <c r="P114" s="160"/>
      <c r="Q114" s="160"/>
      <c r="R114" s="159"/>
    </row>
    <row r="115" spans="1:18" s="136" customFormat="1" ht="15.75" customHeight="1" x14ac:dyDescent="0.2">
      <c r="A115" s="182" t="s">
        <v>1292</v>
      </c>
      <c r="B115" s="813" t="str">
        <f>IF($A115="","",VLOOKUP($A115,Listes!$A$3:$C$193,2,FALSE))</f>
        <v>Local Port Charge Origin Sanitary Fee</v>
      </c>
      <c r="C115" s="813"/>
      <c r="D115" s="813"/>
      <c r="E115" s="814" t="s">
        <v>51</v>
      </c>
      <c r="F115" s="814"/>
      <c r="G115" s="814"/>
      <c r="H115" s="675"/>
      <c r="I115" s="531"/>
      <c r="J115" s="531"/>
      <c r="K115" s="531"/>
      <c r="L115" s="531"/>
      <c r="M115" s="532"/>
      <c r="N115" s="160"/>
      <c r="O115" s="160"/>
      <c r="P115" s="160"/>
      <c r="Q115" s="160"/>
      <c r="R115" s="159"/>
    </row>
    <row r="116" spans="1:18" s="136" customFormat="1" ht="15.75" customHeight="1" x14ac:dyDescent="0.2">
      <c r="A116" s="182" t="s">
        <v>199</v>
      </c>
      <c r="B116" s="813" t="str">
        <f>IF($A116="","",VLOOKUP($A116,Listes!$A$3:$C$193,2,FALSE))</f>
        <v>Low Sulfur Surcharge</v>
      </c>
      <c r="C116" s="813"/>
      <c r="D116" s="813"/>
      <c r="E116" s="814" t="s">
        <v>53</v>
      </c>
      <c r="F116" s="814"/>
      <c r="G116" s="814"/>
      <c r="H116" s="653"/>
      <c r="I116" s="531"/>
      <c r="J116" s="531"/>
      <c r="K116" s="531"/>
      <c r="L116" s="531"/>
      <c r="M116" s="532"/>
      <c r="N116" s="160"/>
      <c r="O116" s="160"/>
      <c r="P116" s="160"/>
      <c r="Q116" s="160"/>
      <c r="R116" s="159"/>
    </row>
    <row r="117" spans="1:18" s="136" customFormat="1" ht="15.75" customHeight="1" x14ac:dyDescent="0.2">
      <c r="A117" s="182" t="s">
        <v>1124</v>
      </c>
      <c r="B117" s="813" t="str">
        <f>IF($A117="","",VLOOKUP($A117,Listes!$A$3:$C$193,2,FALSE))</f>
        <v>Low Sulfur Surcharge IMO2020</v>
      </c>
      <c r="C117" s="813"/>
      <c r="D117" s="813"/>
      <c r="E117" s="814" t="s">
        <v>53</v>
      </c>
      <c r="F117" s="814"/>
      <c r="G117" s="814"/>
      <c r="H117" s="667"/>
      <c r="I117" s="531"/>
      <c r="J117" s="531"/>
      <c r="K117" s="531"/>
      <c r="L117" s="531"/>
      <c r="M117" s="532"/>
      <c r="N117" s="160"/>
      <c r="O117" s="160"/>
      <c r="P117" s="160"/>
      <c r="Q117" s="160"/>
      <c r="R117" s="159"/>
    </row>
    <row r="118" spans="1:18" s="136" customFormat="1" ht="15.75" customHeight="1" x14ac:dyDescent="0.2">
      <c r="A118" s="182" t="s">
        <v>497</v>
      </c>
      <c r="B118" s="960" t="str">
        <f>IF($A118="","",VLOOKUP($A118,Listes!$A$3:$C$193,2,FALSE))</f>
        <v>Inland Hazardous Charge Oncarriage</v>
      </c>
      <c r="C118" s="961"/>
      <c r="D118" s="962"/>
      <c r="E118" s="963" t="s">
        <v>51</v>
      </c>
      <c r="F118" s="964"/>
      <c r="G118" s="965"/>
      <c r="H118" s="653"/>
      <c r="I118" s="531"/>
      <c r="J118" s="531"/>
      <c r="K118" s="531"/>
      <c r="L118" s="531"/>
      <c r="M118" s="532"/>
      <c r="N118" s="160"/>
      <c r="O118" s="160"/>
      <c r="P118" s="160"/>
      <c r="Q118" s="160"/>
      <c r="R118" s="159"/>
    </row>
    <row r="119" spans="1:18" s="136" customFormat="1" ht="15.75" customHeight="1" x14ac:dyDescent="0.2">
      <c r="A119" s="182" t="s">
        <v>815</v>
      </c>
      <c r="B119" s="960" t="str">
        <f>IF($A119="","",VLOOKUP($A119,Listes!$A$3:$C$193,2,FALSE))</f>
        <v>Operation Cost Recovery</v>
      </c>
      <c r="C119" s="961"/>
      <c r="D119" s="962"/>
      <c r="E119" s="963" t="s">
        <v>51</v>
      </c>
      <c r="F119" s="964"/>
      <c r="G119" s="965"/>
      <c r="H119" s="653"/>
      <c r="I119" s="531"/>
      <c r="J119" s="531"/>
      <c r="K119" s="531"/>
      <c r="L119" s="531"/>
      <c r="M119" s="532"/>
      <c r="N119" s="160"/>
      <c r="O119" s="160"/>
      <c r="P119" s="160"/>
      <c r="Q119" s="160"/>
      <c r="R119" s="159"/>
    </row>
    <row r="120" spans="1:18" s="136" customFormat="1" ht="15.75" customHeight="1" x14ac:dyDescent="0.2">
      <c r="A120" s="182" t="s">
        <v>89</v>
      </c>
      <c r="B120" s="813" t="str">
        <f>IF($A120="","",VLOOKUP($A120,Listes!$A$3:$C$193,2,FALSE))</f>
        <v>Origin THC / Origin Receiving Charge</v>
      </c>
      <c r="C120" s="813"/>
      <c r="D120" s="813"/>
      <c r="E120" s="814" t="s">
        <v>53</v>
      </c>
      <c r="F120" s="814"/>
      <c r="G120" s="814"/>
      <c r="H120" s="653"/>
      <c r="I120" s="531"/>
      <c r="J120" s="531"/>
      <c r="K120" s="531"/>
      <c r="L120" s="531"/>
      <c r="M120" s="532"/>
      <c r="N120" s="160"/>
      <c r="O120" s="160"/>
      <c r="P120" s="160"/>
      <c r="Q120" s="160"/>
      <c r="R120" s="159"/>
    </row>
    <row r="121" spans="1:18" s="136" customFormat="1" ht="15.75" customHeight="1" x14ac:dyDescent="0.2">
      <c r="A121" s="182" t="s">
        <v>832</v>
      </c>
      <c r="B121" s="813" t="str">
        <f>IF($A121="","",VLOOKUP($A121,Listes!$A$3:$C$193,2,FALSE))</f>
        <v>Port Congestion Surcharge Destination</v>
      </c>
      <c r="C121" s="813"/>
      <c r="D121" s="813"/>
      <c r="E121" s="814" t="s">
        <v>51</v>
      </c>
      <c r="F121" s="814"/>
      <c r="G121" s="814"/>
      <c r="H121" s="653"/>
      <c r="I121" s="531"/>
      <c r="J121" s="531"/>
      <c r="K121" s="531"/>
      <c r="L121" s="531"/>
      <c r="M121" s="532"/>
      <c r="N121" s="160"/>
      <c r="O121" s="160"/>
      <c r="P121" s="160"/>
      <c r="Q121" s="160"/>
      <c r="R121" s="159"/>
    </row>
    <row r="122" spans="1:18" s="136" customFormat="1" ht="15.75" customHeight="1" x14ac:dyDescent="0.2">
      <c r="A122" s="182" t="s">
        <v>829</v>
      </c>
      <c r="B122" s="813" t="str">
        <f>IF($A122="","",VLOOKUP($A122,Listes!$A$3:$C$193,2,FALSE))</f>
        <v>Port Congestion Surcharge Origin</v>
      </c>
      <c r="C122" s="813"/>
      <c r="D122" s="813"/>
      <c r="E122" s="814" t="s">
        <v>51</v>
      </c>
      <c r="F122" s="814"/>
      <c r="G122" s="814"/>
      <c r="H122" s="653"/>
      <c r="I122" s="531"/>
      <c r="J122" s="531"/>
      <c r="K122" s="531"/>
      <c r="L122" s="531"/>
      <c r="M122" s="532"/>
      <c r="N122" s="160"/>
      <c r="O122" s="160"/>
      <c r="P122" s="160"/>
      <c r="Q122" s="160"/>
      <c r="R122" s="159"/>
    </row>
    <row r="123" spans="1:18" s="136" customFormat="1" x14ac:dyDescent="0.2">
      <c r="A123" s="182" t="s">
        <v>1060</v>
      </c>
      <c r="B123" s="813" t="str">
        <f>IF($A123="","",VLOOKUP($A123,Listes!$A$3:$C$193,2,FALSE))</f>
        <v>Pre-Carriage Emergency Inland Fuel Surcharge</v>
      </c>
      <c r="C123" s="813"/>
      <c r="D123" s="813"/>
      <c r="E123" s="814" t="s">
        <v>51</v>
      </c>
      <c r="F123" s="814"/>
      <c r="G123" s="814"/>
      <c r="H123" s="653"/>
      <c r="I123" s="531"/>
      <c r="J123" s="531"/>
      <c r="K123" s="531"/>
      <c r="L123" s="531"/>
      <c r="M123" s="532"/>
      <c r="N123" s="160"/>
      <c r="O123" s="160"/>
      <c r="P123" s="160"/>
      <c r="Q123" s="160"/>
      <c r="R123" s="159"/>
    </row>
    <row r="124" spans="1:18" s="136" customFormat="1" x14ac:dyDescent="0.2">
      <c r="A124" s="182" t="s">
        <v>1116</v>
      </c>
      <c r="B124" s="813" t="str">
        <f>IF($A124="","",VLOOKUP($A124,Listes!$A$3:$C$193,2,FALSE))</f>
        <v>Port Dues Destination</v>
      </c>
      <c r="C124" s="813"/>
      <c r="D124" s="813"/>
      <c r="E124" s="814" t="s">
        <v>51</v>
      </c>
      <c r="F124" s="814"/>
      <c r="G124" s="814"/>
      <c r="H124" s="688"/>
      <c r="I124" s="531"/>
      <c r="J124" s="531"/>
      <c r="K124" s="531"/>
      <c r="L124" s="531"/>
      <c r="M124" s="532"/>
      <c r="N124" s="160"/>
      <c r="O124" s="160"/>
      <c r="P124" s="160"/>
      <c r="Q124" s="160"/>
      <c r="R124" s="159"/>
    </row>
    <row r="125" spans="1:18" s="136" customFormat="1" ht="31.5" x14ac:dyDescent="0.2">
      <c r="A125" s="182" t="s">
        <v>1046</v>
      </c>
      <c r="B125" s="813" t="str">
        <f>IF($A125="","",VLOOKUP($A125,Listes!$A$3:$C$193,2,FALSE))</f>
        <v>Pre-Carriage Emergency Intermodal Surcharge</v>
      </c>
      <c r="C125" s="813"/>
      <c r="D125" s="813"/>
      <c r="E125" s="814" t="s">
        <v>51</v>
      </c>
      <c r="F125" s="814"/>
      <c r="G125" s="814"/>
      <c r="H125" s="653"/>
      <c r="I125" s="531"/>
      <c r="J125" s="531"/>
      <c r="K125" s="531"/>
      <c r="L125" s="531"/>
      <c r="M125" s="532"/>
      <c r="N125" s="160"/>
      <c r="O125" s="160"/>
      <c r="P125" s="160"/>
      <c r="Q125" s="160"/>
      <c r="R125" s="159"/>
    </row>
    <row r="126" spans="1:18" s="136" customFormat="1" ht="15.75" customHeight="1" x14ac:dyDescent="0.2">
      <c r="A126" s="182" t="s">
        <v>500</v>
      </c>
      <c r="B126" s="813" t="str">
        <f>IF($A126="","",VLOOKUP($A126,Listes!$A$3:$C$193,2,FALSE))</f>
        <v>Inland Hazardous Charge Precarriage</v>
      </c>
      <c r="C126" s="813"/>
      <c r="D126" s="813"/>
      <c r="E126" s="814" t="s">
        <v>51</v>
      </c>
      <c r="F126" s="814"/>
      <c r="G126" s="814"/>
      <c r="H126" s="653"/>
      <c r="I126" s="531"/>
      <c r="J126" s="531"/>
      <c r="K126" s="531"/>
      <c r="L126" s="531"/>
      <c r="M126" s="532"/>
      <c r="N126" s="160"/>
      <c r="O126" s="160"/>
      <c r="P126" s="160"/>
      <c r="Q126" s="160"/>
      <c r="R126" s="159"/>
    </row>
    <row r="127" spans="1:18" s="136" customFormat="1" ht="15.75" customHeight="1" x14ac:dyDescent="0.2">
      <c r="A127" s="182" t="s">
        <v>826</v>
      </c>
      <c r="B127" s="813" t="str">
        <f>IF($A127="","",VLOOKUP($A127,Listes!$A$3:$C$193,2,FALSE))</f>
        <v>Port Service Charge / Port Additional Surcharge Destination</v>
      </c>
      <c r="C127" s="813"/>
      <c r="D127" s="813"/>
      <c r="E127" s="814" t="s">
        <v>53</v>
      </c>
      <c r="F127" s="814"/>
      <c r="G127" s="814"/>
      <c r="H127" s="653"/>
      <c r="I127" s="531"/>
      <c r="J127" s="531"/>
      <c r="K127" s="531"/>
      <c r="L127" s="531"/>
      <c r="M127" s="532"/>
      <c r="N127" s="160"/>
      <c r="O127" s="160"/>
      <c r="P127" s="160"/>
      <c r="Q127" s="160"/>
      <c r="R127" s="159"/>
    </row>
    <row r="128" spans="1:18" s="136" customFormat="1" ht="15.75" customHeight="1" x14ac:dyDescent="0.2">
      <c r="A128" s="182" t="s">
        <v>278</v>
      </c>
      <c r="B128" s="813" t="str">
        <f>IF($A128="","",VLOOKUP($A128,Listes!$A$3:$C$193,2,FALSE))</f>
        <v>Destination Terminal Security Charge</v>
      </c>
      <c r="C128" s="813"/>
      <c r="D128" s="813"/>
      <c r="E128" s="814" t="s">
        <v>51</v>
      </c>
      <c r="F128" s="814"/>
      <c r="G128" s="814"/>
      <c r="H128" s="653"/>
      <c r="I128" s="531"/>
      <c r="J128" s="531"/>
      <c r="K128" s="531"/>
      <c r="L128" s="531"/>
      <c r="M128" s="532"/>
      <c r="N128" s="160"/>
      <c r="O128" s="160"/>
      <c r="P128" s="160"/>
      <c r="Q128" s="160"/>
      <c r="R128" s="159"/>
    </row>
    <row r="129" spans="1:23" s="136" customFormat="1" ht="15.75" customHeight="1" x14ac:dyDescent="0.2">
      <c r="A129" s="182" t="s">
        <v>489</v>
      </c>
      <c r="B129" s="813" t="str">
        <f>IF($A129="","",VLOOKUP($A129,Listes!$A$3:$C$193,2,FALSE))</f>
        <v>Shipper Owned Container Surcharge</v>
      </c>
      <c r="C129" s="813"/>
      <c r="D129" s="813"/>
      <c r="E129" s="814" t="s">
        <v>51</v>
      </c>
      <c r="F129" s="814"/>
      <c r="G129" s="814"/>
      <c r="H129" s="653"/>
      <c r="I129" s="531"/>
      <c r="J129" s="531"/>
      <c r="K129" s="531"/>
      <c r="L129" s="531"/>
      <c r="M129" s="532"/>
      <c r="N129" s="160"/>
      <c r="O129" s="160"/>
      <c r="P129" s="160"/>
      <c r="Q129" s="160"/>
      <c r="R129" s="159"/>
    </row>
    <row r="130" spans="1:23" s="136" customFormat="1" x14ac:dyDescent="0.2">
      <c r="A130" s="182" t="s">
        <v>1332</v>
      </c>
      <c r="B130" s="813" t="str">
        <f>IF($A130="","",VLOOKUP($A130,Listes!$A$3:$C$193,2,FALSE))</f>
        <v>Terminal Gate Out Fee</v>
      </c>
      <c r="C130" s="813"/>
      <c r="D130" s="813"/>
      <c r="E130" s="814" t="s">
        <v>51</v>
      </c>
      <c r="F130" s="814"/>
      <c r="G130" s="814"/>
      <c r="H130" s="688"/>
      <c r="I130" s="531"/>
      <c r="J130" s="531"/>
      <c r="K130" s="531"/>
      <c r="L130" s="531"/>
      <c r="M130" s="532"/>
      <c r="N130" s="160"/>
      <c r="O130" s="160"/>
      <c r="P130" s="160"/>
      <c r="Q130" s="160"/>
      <c r="R130" s="159"/>
    </row>
    <row r="131" spans="1:23" s="136" customFormat="1" ht="31.5" x14ac:dyDescent="0.2">
      <c r="A131" s="182" t="s">
        <v>368</v>
      </c>
      <c r="B131" s="813" t="str">
        <f>IF($A131="","",VLOOKUP($A131,Listes!$A$3:$C$193,2,FALSE))</f>
        <v>Tri-Axle / Super Chassis Precarriage Surcharge</v>
      </c>
      <c r="C131" s="813"/>
      <c r="D131" s="813"/>
      <c r="E131" s="814" t="s">
        <v>51</v>
      </c>
      <c r="F131" s="814"/>
      <c r="G131" s="814"/>
      <c r="H131" s="653"/>
      <c r="I131" s="531"/>
      <c r="J131" s="531"/>
      <c r="K131" s="531"/>
      <c r="L131" s="531"/>
      <c r="M131" s="532"/>
      <c r="N131" s="160"/>
      <c r="O131" s="160"/>
      <c r="P131" s="160"/>
      <c r="Q131" s="160"/>
      <c r="R131" s="159"/>
    </row>
    <row r="132" spans="1:23" s="136" customFormat="1" ht="15.75" customHeight="1" thickBot="1" x14ac:dyDescent="0.25">
      <c r="A132" s="185" t="s">
        <v>742</v>
      </c>
      <c r="B132" s="812" t="str">
        <f>IF($A132="","",VLOOKUP($A132,Listes!$A$3:$C$193,2,FALSE))</f>
        <v>Wharfage (Destination)</v>
      </c>
      <c r="C132" s="812"/>
      <c r="D132" s="812"/>
      <c r="E132" s="815" t="s">
        <v>51</v>
      </c>
      <c r="F132" s="815"/>
      <c r="G132" s="815"/>
      <c r="H132" s="655"/>
      <c r="I132" s="533"/>
      <c r="J132" s="533"/>
      <c r="K132" s="533"/>
      <c r="L132" s="533"/>
      <c r="M132" s="534"/>
      <c r="N132" s="160"/>
      <c r="O132" s="160"/>
      <c r="P132" s="160"/>
      <c r="Q132" s="160"/>
      <c r="R132" s="159"/>
    </row>
    <row r="133" spans="1:23" s="73" customFormat="1" ht="16.5" thickBot="1" x14ac:dyDescent="0.25">
      <c r="A133" s="850" t="s">
        <v>216</v>
      </c>
      <c r="B133" s="851"/>
      <c r="C133" s="851"/>
      <c r="D133" s="851"/>
      <c r="E133" s="852"/>
      <c r="F133" s="852"/>
      <c r="G133" s="852"/>
      <c r="H133" s="852"/>
      <c r="I133" s="853"/>
      <c r="J133" s="169"/>
      <c r="K133" s="118"/>
      <c r="L133" s="134"/>
      <c r="M133" s="134"/>
      <c r="N133" s="134"/>
      <c r="O133" s="134"/>
      <c r="P133" s="134"/>
      <c r="Q133" s="118"/>
    </row>
    <row r="134" spans="1:23" s="73" customFormat="1" ht="16.5" thickBot="1" x14ac:dyDescent="0.25">
      <c r="A134" s="849" t="s">
        <v>597</v>
      </c>
      <c r="B134" s="833"/>
      <c r="C134" s="833"/>
      <c r="D134" s="833"/>
      <c r="E134" s="833"/>
      <c r="F134" s="833"/>
      <c r="G134" s="833"/>
      <c r="H134" s="833"/>
      <c r="I134" s="834"/>
      <c r="J134" s="169"/>
      <c r="K134" s="134"/>
      <c r="L134" s="134"/>
      <c r="M134" s="134"/>
      <c r="N134" s="134"/>
      <c r="O134" s="118"/>
    </row>
    <row r="135" spans="1:23" s="73" customFormat="1" ht="16.5" thickBot="1" x14ac:dyDescent="0.25">
      <c r="A135" s="187"/>
      <c r="B135" s="187"/>
      <c r="C135" s="188"/>
      <c r="D135" s="189"/>
      <c r="E135" s="170"/>
      <c r="F135" s="170"/>
      <c r="G135" s="170"/>
      <c r="H135" s="170"/>
      <c r="I135" s="170"/>
      <c r="J135" s="189"/>
      <c r="K135" s="169"/>
      <c r="L135" s="118"/>
      <c r="M135" s="134"/>
      <c r="N135" s="134"/>
      <c r="O135" s="134"/>
      <c r="P135" s="134"/>
      <c r="Q135" s="134"/>
      <c r="R135" s="118"/>
    </row>
    <row r="136" spans="1:23" s="73" customFormat="1" ht="15.6" customHeight="1" x14ac:dyDescent="0.2">
      <c r="A136" s="830" t="s">
        <v>523</v>
      </c>
      <c r="B136" s="831"/>
      <c r="C136" s="831"/>
      <c r="D136" s="831"/>
      <c r="E136" s="842" t="s">
        <v>288</v>
      </c>
      <c r="F136" s="842">
        <v>20</v>
      </c>
      <c r="G136" s="842">
        <v>40</v>
      </c>
      <c r="H136" s="842" t="s">
        <v>19</v>
      </c>
      <c r="I136" s="842" t="s">
        <v>20</v>
      </c>
      <c r="J136" s="848" t="s">
        <v>297</v>
      </c>
      <c r="K136" s="848" t="s">
        <v>33</v>
      </c>
      <c r="L136" s="846" t="s">
        <v>217</v>
      </c>
      <c r="M136" s="189"/>
      <c r="N136" s="134"/>
      <c r="O136" s="134"/>
      <c r="P136" s="134"/>
      <c r="Q136" s="134"/>
      <c r="R136" s="134"/>
      <c r="S136" s="134"/>
      <c r="T136" s="134"/>
      <c r="U136" s="134"/>
    </row>
    <row r="137" spans="1:23" s="73" customFormat="1" x14ac:dyDescent="0.2">
      <c r="A137" s="537" t="s">
        <v>218</v>
      </c>
      <c r="B137" s="538" t="s">
        <v>11</v>
      </c>
      <c r="C137" s="538" t="s">
        <v>12</v>
      </c>
      <c r="D137" s="538" t="s">
        <v>219</v>
      </c>
      <c r="E137" s="843"/>
      <c r="F137" s="843"/>
      <c r="G137" s="843"/>
      <c r="H137" s="843"/>
      <c r="I137" s="843"/>
      <c r="J137" s="843"/>
      <c r="K137" s="843"/>
      <c r="L137" s="847"/>
      <c r="M137" s="189"/>
      <c r="N137" s="134"/>
      <c r="O137" s="134"/>
      <c r="P137" s="134"/>
      <c r="Q137" s="134"/>
      <c r="R137" s="134"/>
      <c r="S137" s="134"/>
      <c r="T137" s="134"/>
      <c r="U137" s="134"/>
    </row>
    <row r="138" spans="1:23" s="136" customFormat="1" x14ac:dyDescent="0.2">
      <c r="A138" s="539"/>
      <c r="B138" s="540"/>
      <c r="C138" s="540"/>
      <c r="D138" s="540"/>
      <c r="E138" s="540"/>
      <c r="F138" s="255"/>
      <c r="G138" s="255"/>
      <c r="H138" s="255"/>
      <c r="I138" s="255"/>
      <c r="J138" s="540"/>
      <c r="K138" s="21"/>
      <c r="L138" s="541"/>
      <c r="M138" s="190"/>
      <c r="N138" s="160"/>
      <c r="O138" s="160"/>
      <c r="P138" s="160"/>
      <c r="Q138" s="160"/>
      <c r="R138" s="160"/>
      <c r="S138" s="160"/>
      <c r="T138" s="160"/>
      <c r="U138" s="160"/>
    </row>
    <row r="139" spans="1:23" s="136" customFormat="1" x14ac:dyDescent="0.2">
      <c r="A139" s="542"/>
      <c r="B139" s="540"/>
      <c r="C139" s="540"/>
      <c r="D139" s="540"/>
      <c r="E139" s="540"/>
      <c r="F139" s="255"/>
      <c r="G139" s="255"/>
      <c r="H139" s="255"/>
      <c r="I139" s="255"/>
      <c r="J139" s="24"/>
      <c r="K139" s="21"/>
      <c r="L139" s="25"/>
      <c r="M139" s="191"/>
      <c r="N139" s="160"/>
      <c r="O139" s="160"/>
      <c r="P139" s="160"/>
      <c r="Q139" s="160"/>
      <c r="R139" s="160"/>
      <c r="S139" s="160"/>
      <c r="T139" s="160"/>
      <c r="U139" s="160"/>
    </row>
    <row r="140" spans="1:23" s="136" customFormat="1" x14ac:dyDescent="0.2">
      <c r="A140" s="542"/>
      <c r="B140" s="540"/>
      <c r="C140" s="540"/>
      <c r="D140" s="540"/>
      <c r="E140" s="540"/>
      <c r="F140" s="255"/>
      <c r="G140" s="255"/>
      <c r="H140" s="255"/>
      <c r="I140" s="255"/>
      <c r="J140" s="24"/>
      <c r="K140" s="21"/>
      <c r="L140" s="25"/>
      <c r="M140" s="191"/>
      <c r="N140" s="160"/>
      <c r="O140" s="160"/>
      <c r="P140" s="160"/>
      <c r="Q140" s="160"/>
      <c r="R140" s="160"/>
      <c r="S140" s="160"/>
      <c r="T140" s="160"/>
      <c r="U140" s="160"/>
    </row>
    <row r="141" spans="1:23" s="136" customFormat="1" ht="16.5" thickBot="1" x14ac:dyDescent="0.25">
      <c r="A141" s="543"/>
      <c r="B141" s="544"/>
      <c r="C141" s="544"/>
      <c r="D141" s="544"/>
      <c r="E141" s="544"/>
      <c r="F141" s="256"/>
      <c r="G141" s="256"/>
      <c r="H141" s="256"/>
      <c r="I141" s="256"/>
      <c r="J141" s="28"/>
      <c r="K141" s="29"/>
      <c r="L141" s="30"/>
      <c r="M141" s="191"/>
      <c r="N141" s="160"/>
      <c r="O141" s="160"/>
      <c r="P141" s="160"/>
      <c r="Q141" s="160"/>
      <c r="R141" s="160"/>
      <c r="S141" s="160"/>
      <c r="T141" s="160"/>
      <c r="U141" s="160"/>
    </row>
    <row r="142" spans="1:23" s="136" customFormat="1" x14ac:dyDescent="0.2">
      <c r="A142" s="173"/>
      <c r="B142" s="545"/>
      <c r="C142" s="545"/>
      <c r="D142" s="545"/>
      <c r="E142" s="545"/>
      <c r="F142" s="545"/>
      <c r="G142" s="545"/>
      <c r="H142" s="545"/>
      <c r="I142" s="545"/>
      <c r="J142" s="33"/>
      <c r="K142" s="33"/>
      <c r="L142" s="34"/>
      <c r="M142" s="191"/>
      <c r="N142" s="160"/>
      <c r="O142" s="160"/>
      <c r="P142" s="160"/>
      <c r="Q142" s="160"/>
      <c r="R142" s="160"/>
      <c r="S142" s="160"/>
      <c r="T142" s="160"/>
      <c r="U142" s="160"/>
    </row>
    <row r="143" spans="1:23" s="73" customFormat="1" ht="15.6" customHeight="1" x14ac:dyDescent="0.2">
      <c r="A143" s="841" t="s">
        <v>596</v>
      </c>
      <c r="B143" s="840"/>
      <c r="C143" s="840"/>
      <c r="D143" s="840"/>
      <c r="E143" s="840" t="s">
        <v>288</v>
      </c>
      <c r="F143" s="840">
        <v>20</v>
      </c>
      <c r="G143" s="840">
        <v>40</v>
      </c>
      <c r="H143" s="840" t="s">
        <v>19</v>
      </c>
      <c r="I143" s="840" t="s">
        <v>20</v>
      </c>
      <c r="J143" s="845" t="s">
        <v>297</v>
      </c>
      <c r="K143" s="845" t="s">
        <v>33</v>
      </c>
      <c r="L143" s="844" t="s">
        <v>217</v>
      </c>
      <c r="M143" s="844" t="s">
        <v>23</v>
      </c>
      <c r="N143" s="169"/>
      <c r="O143" s="118"/>
      <c r="P143" s="134"/>
      <c r="Q143" s="134"/>
      <c r="R143" s="134"/>
      <c r="S143" s="134"/>
      <c r="T143" s="134"/>
      <c r="U143" s="134"/>
      <c r="V143" s="134"/>
      <c r="W143" s="134"/>
    </row>
    <row r="144" spans="1:23" s="73" customFormat="1" x14ac:dyDescent="0.2">
      <c r="A144" s="546" t="s">
        <v>218</v>
      </c>
      <c r="B144" s="546" t="s">
        <v>11</v>
      </c>
      <c r="C144" s="546" t="s">
        <v>12</v>
      </c>
      <c r="D144" s="546" t="s">
        <v>219</v>
      </c>
      <c r="E144" s="840"/>
      <c r="F144" s="840"/>
      <c r="G144" s="840"/>
      <c r="H144" s="840"/>
      <c r="I144" s="840"/>
      <c r="J144" s="840"/>
      <c r="K144" s="840"/>
      <c r="L144" s="844"/>
      <c r="M144" s="844"/>
      <c r="N144" s="169"/>
      <c r="O144" s="118"/>
      <c r="P144" s="134"/>
      <c r="Q144" s="134"/>
      <c r="R144" s="134"/>
      <c r="S144" s="134"/>
      <c r="T144" s="134"/>
      <c r="U144" s="134"/>
      <c r="V144" s="134"/>
      <c r="W144" s="134"/>
    </row>
    <row r="145" spans="1:23" s="136" customFormat="1" x14ac:dyDescent="0.2">
      <c r="A145" s="372"/>
      <c r="B145" s="547"/>
      <c r="C145" s="547"/>
      <c r="D145" s="547"/>
      <c r="E145" s="547"/>
      <c r="F145" s="368"/>
      <c r="G145" s="368"/>
      <c r="H145" s="368"/>
      <c r="I145" s="368"/>
      <c r="J145" s="369"/>
      <c r="K145" s="370"/>
      <c r="L145" s="548"/>
      <c r="M145" s="548"/>
      <c r="N145" s="192"/>
      <c r="O145" s="159"/>
      <c r="P145" s="160"/>
      <c r="Q145" s="160"/>
      <c r="R145" s="160"/>
      <c r="S145" s="160"/>
      <c r="T145" s="160"/>
      <c r="U145" s="160"/>
      <c r="V145" s="160"/>
      <c r="W145" s="160"/>
    </row>
    <row r="146" spans="1:23" s="136" customFormat="1" x14ac:dyDescent="0.2">
      <c r="A146" s="372"/>
      <c r="B146" s="547"/>
      <c r="C146" s="547"/>
      <c r="D146" s="547"/>
      <c r="E146" s="547"/>
      <c r="F146" s="368"/>
      <c r="G146" s="368"/>
      <c r="H146" s="368"/>
      <c r="I146" s="368"/>
      <c r="J146" s="369"/>
      <c r="K146" s="370"/>
      <c r="L146" s="548"/>
      <c r="M146" s="548"/>
      <c r="N146" s="192"/>
      <c r="O146" s="159"/>
      <c r="P146" s="160"/>
      <c r="Q146" s="160"/>
      <c r="R146" s="160"/>
      <c r="S146" s="160"/>
      <c r="T146" s="160"/>
      <c r="U146" s="160"/>
      <c r="V146" s="160"/>
      <c r="W146" s="160"/>
    </row>
    <row r="147" spans="1:23" s="136" customFormat="1" x14ac:dyDescent="0.2">
      <c r="A147" s="372"/>
      <c r="B147" s="547"/>
      <c r="C147" s="547"/>
      <c r="D147" s="547"/>
      <c r="E147" s="547"/>
      <c r="F147" s="368"/>
      <c r="G147" s="368"/>
      <c r="H147" s="368"/>
      <c r="I147" s="368"/>
      <c r="J147" s="369"/>
      <c r="K147" s="370"/>
      <c r="L147" s="548"/>
      <c r="M147" s="548"/>
      <c r="N147" s="192"/>
      <c r="O147" s="159"/>
      <c r="P147" s="160"/>
      <c r="Q147" s="160"/>
      <c r="R147" s="160"/>
      <c r="S147" s="160"/>
      <c r="T147" s="160"/>
      <c r="U147" s="160"/>
      <c r="V147" s="160"/>
      <c r="W147" s="160"/>
    </row>
    <row r="148" spans="1:23" s="136" customFormat="1" x14ac:dyDescent="0.2">
      <c r="A148" s="372"/>
      <c r="B148" s="547"/>
      <c r="C148" s="547"/>
      <c r="D148" s="547"/>
      <c r="E148" s="547"/>
      <c r="F148" s="368"/>
      <c r="G148" s="368"/>
      <c r="H148" s="368"/>
      <c r="I148" s="368"/>
      <c r="J148" s="369"/>
      <c r="K148" s="370"/>
      <c r="L148" s="373"/>
      <c r="M148" s="373"/>
      <c r="N148" s="191"/>
      <c r="O148" s="159"/>
      <c r="P148" s="160"/>
      <c r="Q148" s="160"/>
      <c r="R148" s="160"/>
      <c r="S148" s="160"/>
      <c r="T148" s="160"/>
      <c r="U148" s="160"/>
      <c r="V148" s="160"/>
      <c r="W148" s="160"/>
    </row>
    <row r="149" spans="1:23" s="73" customFormat="1" x14ac:dyDescent="0.2">
      <c r="A149" s="456"/>
      <c r="B149" s="549"/>
      <c r="C149" s="549"/>
      <c r="D149" s="549"/>
      <c r="E149" s="549"/>
      <c r="F149" s="194"/>
      <c r="G149" s="522"/>
      <c r="H149" s="195"/>
      <c r="I149" s="195"/>
      <c r="J149" s="176"/>
      <c r="K149" s="118"/>
      <c r="L149" s="134"/>
      <c r="M149" s="134"/>
      <c r="N149" s="134"/>
      <c r="O149" s="134"/>
      <c r="P149" s="134"/>
      <c r="Q149" s="134"/>
    </row>
    <row r="150" spans="1:23" s="456" customFormat="1" ht="16.5" thickBot="1" x14ac:dyDescent="0.25">
      <c r="A150" s="196"/>
      <c r="B150" s="197"/>
      <c r="C150" s="198"/>
      <c r="D150" s="198"/>
      <c r="E150" s="169"/>
      <c r="F150" s="176"/>
      <c r="G150" s="176"/>
      <c r="H150" s="176"/>
      <c r="I150" s="176"/>
      <c r="J150" s="170"/>
      <c r="K150" s="118"/>
      <c r="L150" s="134"/>
      <c r="M150" s="134"/>
      <c r="N150" s="134"/>
      <c r="O150" s="134"/>
      <c r="P150" s="134"/>
      <c r="Q150" s="134"/>
      <c r="R150" s="134"/>
      <c r="S150" s="118"/>
      <c r="T150" s="118"/>
      <c r="U150" s="118"/>
    </row>
    <row r="151" spans="1:23" s="456" customFormat="1" ht="16.5" thickBot="1" x14ac:dyDescent="0.25">
      <c r="A151" s="822" t="s">
        <v>220</v>
      </c>
      <c r="B151" s="823"/>
      <c r="C151" s="823"/>
      <c r="D151" s="823"/>
      <c r="E151" s="824"/>
      <c r="F151" s="176"/>
      <c r="G151" s="176"/>
      <c r="H151" s="176"/>
      <c r="I151" s="176"/>
      <c r="J151" s="170"/>
      <c r="K151" s="118"/>
      <c r="L151" s="134"/>
      <c r="M151" s="134"/>
      <c r="N151" s="134"/>
      <c r="O151" s="134"/>
      <c r="P151" s="134"/>
      <c r="Q151" s="134"/>
      <c r="R151" s="134"/>
      <c r="S151" s="118"/>
      <c r="T151" s="118"/>
      <c r="U151" s="118"/>
    </row>
    <row r="152" spans="1:23" s="73" customFormat="1" ht="16.5" thickBot="1" x14ac:dyDescent="0.25">
      <c r="A152" s="550"/>
      <c r="B152" s="456"/>
      <c r="C152" s="456"/>
      <c r="D152" s="456"/>
      <c r="E152" s="456"/>
      <c r="F152" s="194"/>
      <c r="G152" s="456"/>
      <c r="H152" s="200"/>
      <c r="I152" s="194"/>
      <c r="J152" s="194"/>
      <c r="K152" s="118"/>
      <c r="L152" s="134"/>
      <c r="M152" s="134"/>
      <c r="N152" s="134"/>
      <c r="O152" s="134"/>
      <c r="P152" s="134"/>
      <c r="Q152" s="134"/>
      <c r="R152" s="134"/>
      <c r="S152" s="118"/>
      <c r="T152" s="118"/>
      <c r="U152" s="118"/>
    </row>
    <row r="153" spans="1:23" s="73" customFormat="1" ht="16.5" thickBot="1" x14ac:dyDescent="0.25">
      <c r="A153" s="825" t="s">
        <v>221</v>
      </c>
      <c r="B153" s="838"/>
      <c r="C153" s="838"/>
      <c r="D153" s="838"/>
      <c r="E153" s="838"/>
      <c r="F153" s="839"/>
      <c r="G153" s="456"/>
      <c r="H153" s="200"/>
      <c r="I153" s="194"/>
      <c r="J153" s="194"/>
      <c r="K153" s="118"/>
      <c r="L153" s="134"/>
      <c r="M153" s="134"/>
      <c r="N153" s="134"/>
      <c r="O153" s="134"/>
      <c r="P153" s="134"/>
      <c r="Q153" s="134"/>
      <c r="R153" s="134"/>
      <c r="S153" s="118"/>
      <c r="T153" s="118"/>
      <c r="U153" s="118"/>
    </row>
    <row r="154" spans="1:23" s="73" customFormat="1" ht="16.5" customHeight="1" x14ac:dyDescent="0.2">
      <c r="A154" s="835" t="s">
        <v>222</v>
      </c>
      <c r="B154" s="836"/>
      <c r="C154" s="836"/>
      <c r="D154" s="836"/>
      <c r="E154" s="836"/>
      <c r="F154" s="837"/>
      <c r="G154" s="456"/>
      <c r="H154" s="201"/>
      <c r="I154" s="170"/>
      <c r="J154" s="170"/>
      <c r="K154" s="118"/>
      <c r="L154" s="134"/>
      <c r="M154" s="134"/>
      <c r="N154" s="134"/>
      <c r="O154" s="134"/>
      <c r="P154" s="134"/>
      <c r="Q154" s="134"/>
      <c r="R154" s="134"/>
      <c r="S154" s="118"/>
      <c r="T154" s="118"/>
      <c r="U154" s="118"/>
    </row>
    <row r="155" spans="1:23" ht="16.5" thickBot="1" x14ac:dyDescent="0.25">
      <c r="A155" s="832" t="s">
        <v>223</v>
      </c>
      <c r="B155" s="833"/>
      <c r="C155" s="833"/>
      <c r="D155" s="833"/>
      <c r="E155" s="833"/>
      <c r="F155" s="834"/>
      <c r="G155" s="176"/>
      <c r="H155" s="176"/>
      <c r="I155" s="176"/>
      <c r="J155" s="169"/>
      <c r="K155" s="169"/>
      <c r="L155" s="169"/>
      <c r="M155" s="169"/>
      <c r="N155" s="169"/>
      <c r="O155" s="169"/>
      <c r="P155" s="169"/>
      <c r="Q155" s="169"/>
      <c r="R155" s="169"/>
      <c r="S155" s="169"/>
      <c r="T155" s="169"/>
      <c r="U155" s="169"/>
    </row>
    <row r="156" spans="1:23" x14ac:dyDescent="0.2">
      <c r="A156" s="551" t="s">
        <v>224</v>
      </c>
      <c r="B156" s="450" t="s">
        <v>225</v>
      </c>
      <c r="C156" s="552" t="s">
        <v>226</v>
      </c>
      <c r="D156" s="553" t="s">
        <v>227</v>
      </c>
      <c r="E156" s="176"/>
      <c r="F156" s="176"/>
      <c r="G156" s="176"/>
      <c r="H156" s="169"/>
      <c r="I156" s="169"/>
      <c r="J156" s="169"/>
      <c r="K156" s="169"/>
      <c r="L156" s="169"/>
      <c r="M156" s="169"/>
      <c r="N156" s="169"/>
      <c r="O156" s="169"/>
      <c r="P156" s="169"/>
      <c r="Q156" s="169"/>
      <c r="R156" s="169"/>
    </row>
    <row r="157" spans="1:23" s="192" customFormat="1" x14ac:dyDescent="0.2">
      <c r="A157" s="203"/>
      <c r="B157" s="204"/>
      <c r="C157" s="205"/>
      <c r="D157" s="206"/>
      <c r="E157" s="191"/>
      <c r="F157" s="191"/>
      <c r="G157" s="191"/>
    </row>
    <row r="158" spans="1:23" s="192" customFormat="1" x14ac:dyDescent="0.2">
      <c r="A158" s="203"/>
      <c r="B158" s="204"/>
      <c r="C158" s="205"/>
      <c r="D158" s="206"/>
      <c r="E158" s="191"/>
      <c r="F158" s="191"/>
      <c r="G158" s="191"/>
    </row>
    <row r="159" spans="1:23" s="192" customFormat="1" ht="16.5" thickBot="1" x14ac:dyDescent="0.25">
      <c r="A159" s="207"/>
      <c r="B159" s="208"/>
      <c r="C159" s="209"/>
      <c r="D159" s="210"/>
      <c r="E159" s="191"/>
      <c r="F159" s="191"/>
      <c r="G159" s="191"/>
    </row>
    <row r="160" spans="1:23" ht="16.5" thickBot="1" x14ac:dyDescent="0.25"/>
    <row r="161" spans="1:21" s="73" customFormat="1" ht="16.5" thickBot="1" x14ac:dyDescent="0.25">
      <c r="A161" s="822" t="s">
        <v>228</v>
      </c>
      <c r="B161" s="823"/>
      <c r="C161" s="823"/>
      <c r="D161" s="823"/>
      <c r="E161" s="823"/>
      <c r="F161" s="823"/>
      <c r="G161" s="823"/>
      <c r="H161" s="823"/>
      <c r="I161" s="824"/>
      <c r="J161" s="169"/>
      <c r="K161" s="118"/>
      <c r="L161" s="134"/>
      <c r="M161" s="134"/>
      <c r="N161" s="134"/>
      <c r="O161" s="134"/>
      <c r="P161" s="134"/>
      <c r="Q161" s="134"/>
      <c r="R161" s="134"/>
      <c r="S161" s="118"/>
      <c r="T161" s="118"/>
      <c r="U161" s="118"/>
    </row>
    <row r="162" spans="1:21" s="73" customFormat="1" ht="16.5" thickBot="1" x14ac:dyDescent="0.25">
      <c r="A162" s="554" t="s">
        <v>229</v>
      </c>
      <c r="B162" s="213"/>
      <c r="C162" s="214"/>
      <c r="D162" s="214"/>
      <c r="E162" s="214"/>
      <c r="F162" s="214"/>
      <c r="G162" s="215"/>
      <c r="H162" s="216"/>
      <c r="I162" s="217"/>
      <c r="J162" s="170"/>
      <c r="K162" s="118"/>
      <c r="L162" s="134"/>
      <c r="M162" s="134"/>
      <c r="N162" s="134"/>
      <c r="O162" s="134"/>
      <c r="P162" s="134"/>
      <c r="Q162" s="134"/>
      <c r="R162" s="134"/>
      <c r="S162" s="118"/>
      <c r="T162" s="118"/>
      <c r="U162" s="118"/>
    </row>
    <row r="163" spans="1:21" s="308" customFormat="1" ht="171" customHeight="1" x14ac:dyDescent="0.2">
      <c r="A163" s="228" t="s">
        <v>504</v>
      </c>
      <c r="B163" s="827" t="s">
        <v>1063</v>
      </c>
      <c r="C163" s="828"/>
      <c r="D163" s="828"/>
      <c r="E163" s="828"/>
      <c r="F163" s="828"/>
      <c r="G163" s="828"/>
      <c r="H163" s="828"/>
      <c r="I163" s="829"/>
      <c r="J163" s="171"/>
      <c r="K163" s="172"/>
      <c r="L163" s="173"/>
      <c r="M163" s="173"/>
      <c r="N163" s="173"/>
      <c r="O163" s="173"/>
      <c r="P163" s="173"/>
      <c r="Q163" s="173"/>
      <c r="R163" s="173"/>
      <c r="S163" s="172"/>
      <c r="T163" s="172"/>
      <c r="U163" s="172"/>
    </row>
    <row r="164" spans="1:21" s="218" customFormat="1" x14ac:dyDescent="0.2">
      <c r="A164" s="281"/>
      <c r="B164" s="816"/>
      <c r="C164" s="817"/>
      <c r="D164" s="817"/>
      <c r="E164" s="817"/>
      <c r="F164" s="817"/>
      <c r="G164" s="817"/>
      <c r="H164" s="817"/>
      <c r="I164" s="818"/>
    </row>
    <row r="165" spans="1:21" s="218" customFormat="1" x14ac:dyDescent="0.2">
      <c r="A165" s="281"/>
      <c r="B165" s="816"/>
      <c r="C165" s="817"/>
      <c r="D165" s="817"/>
      <c r="E165" s="817"/>
      <c r="F165" s="817"/>
      <c r="G165" s="817"/>
      <c r="H165" s="817"/>
      <c r="I165" s="818"/>
    </row>
    <row r="166" spans="1:21" s="218" customFormat="1" x14ac:dyDescent="0.2">
      <c r="A166" s="281"/>
      <c r="B166" s="816"/>
      <c r="C166" s="817"/>
      <c r="D166" s="817"/>
      <c r="E166" s="817"/>
      <c r="F166" s="817"/>
      <c r="G166" s="817"/>
      <c r="H166" s="817"/>
      <c r="I166" s="818"/>
    </row>
    <row r="167" spans="1:21" s="218" customFormat="1" x14ac:dyDescent="0.2">
      <c r="A167" s="281"/>
      <c r="B167" s="816"/>
      <c r="C167" s="817"/>
      <c r="D167" s="817"/>
      <c r="E167" s="817"/>
      <c r="F167" s="817"/>
      <c r="G167" s="817"/>
      <c r="H167" s="817"/>
      <c r="I167" s="818"/>
    </row>
    <row r="168" spans="1:21" s="218" customFormat="1" x14ac:dyDescent="0.2">
      <c r="A168" s="281"/>
      <c r="B168" s="816"/>
      <c r="C168" s="817"/>
      <c r="D168" s="817"/>
      <c r="E168" s="817"/>
      <c r="F168" s="817"/>
      <c r="G168" s="817"/>
      <c r="H168" s="817"/>
      <c r="I168" s="818"/>
    </row>
    <row r="169" spans="1:21" s="218" customFormat="1" x14ac:dyDescent="0.2">
      <c r="A169" s="281"/>
      <c r="B169" s="816"/>
      <c r="C169" s="817"/>
      <c r="D169" s="817"/>
      <c r="E169" s="817"/>
      <c r="F169" s="817"/>
      <c r="G169" s="817"/>
      <c r="H169" s="817"/>
      <c r="I169" s="818"/>
    </row>
    <row r="170" spans="1:21" s="218" customFormat="1" x14ac:dyDescent="0.2">
      <c r="A170" s="281"/>
      <c r="B170" s="816"/>
      <c r="C170" s="817"/>
      <c r="D170" s="817"/>
      <c r="E170" s="817"/>
      <c r="F170" s="817"/>
      <c r="G170" s="817"/>
      <c r="H170" s="817"/>
      <c r="I170" s="818"/>
    </row>
    <row r="171" spans="1:21" s="218" customFormat="1" x14ac:dyDescent="0.2">
      <c r="A171" s="281"/>
      <c r="B171" s="816"/>
      <c r="C171" s="817"/>
      <c r="D171" s="817"/>
      <c r="E171" s="817"/>
      <c r="F171" s="817"/>
      <c r="G171" s="817"/>
      <c r="H171" s="817"/>
      <c r="I171" s="818"/>
    </row>
    <row r="172" spans="1:21" s="218" customFormat="1" x14ac:dyDescent="0.2">
      <c r="A172" s="281"/>
      <c r="B172" s="816"/>
      <c r="C172" s="817"/>
      <c r="D172" s="817"/>
      <c r="E172" s="817"/>
      <c r="F172" s="817"/>
      <c r="G172" s="817"/>
      <c r="H172" s="817"/>
      <c r="I172" s="818"/>
    </row>
    <row r="173" spans="1:21" s="218" customFormat="1" x14ac:dyDescent="0.2">
      <c r="A173" s="281"/>
      <c r="B173" s="816"/>
      <c r="C173" s="817"/>
      <c r="D173" s="817"/>
      <c r="E173" s="817"/>
      <c r="F173" s="817"/>
      <c r="G173" s="817"/>
      <c r="H173" s="817"/>
      <c r="I173" s="818"/>
    </row>
    <row r="174" spans="1:21" s="218" customFormat="1" x14ac:dyDescent="0.2">
      <c r="A174" s="281"/>
      <c r="B174" s="816"/>
      <c r="C174" s="817"/>
      <c r="D174" s="817"/>
      <c r="E174" s="817"/>
      <c r="F174" s="817"/>
      <c r="G174" s="817"/>
      <c r="H174" s="817"/>
      <c r="I174" s="818"/>
    </row>
    <row r="175" spans="1:21" s="218" customFormat="1" x14ac:dyDescent="0.2">
      <c r="A175" s="281"/>
      <c r="B175" s="816"/>
      <c r="C175" s="817"/>
      <c r="D175" s="817"/>
      <c r="E175" s="817"/>
      <c r="F175" s="817"/>
      <c r="G175" s="817"/>
      <c r="H175" s="817"/>
      <c r="I175" s="818"/>
    </row>
    <row r="176" spans="1:21" s="218" customFormat="1" x14ac:dyDescent="0.2">
      <c r="A176" s="281"/>
      <c r="B176" s="816"/>
      <c r="C176" s="817"/>
      <c r="D176" s="817"/>
      <c r="E176" s="817"/>
      <c r="F176" s="817"/>
      <c r="G176" s="817"/>
      <c r="H176" s="817"/>
      <c r="I176" s="818"/>
    </row>
    <row r="177" spans="1:14" s="218" customFormat="1" ht="16.5" thickBot="1" x14ac:dyDescent="0.25">
      <c r="A177" s="282"/>
      <c r="B177" s="819"/>
      <c r="C177" s="820"/>
      <c r="D177" s="820"/>
      <c r="E177" s="820"/>
      <c r="F177" s="820"/>
      <c r="G177" s="820"/>
      <c r="H177" s="820"/>
      <c r="I177" s="821"/>
    </row>
    <row r="179" spans="1:14" s="218" customFormat="1" x14ac:dyDescent="0.2">
      <c r="F179" s="337"/>
      <c r="G179" s="337"/>
      <c r="H179" s="337"/>
      <c r="I179" s="337"/>
    </row>
    <row r="180" spans="1:14" s="218" customFormat="1" ht="16.5" thickBot="1" x14ac:dyDescent="0.25">
      <c r="F180" s="337"/>
      <c r="G180" s="337"/>
      <c r="H180" s="337"/>
      <c r="I180" s="337"/>
    </row>
    <row r="181" spans="1:14" s="218" customFormat="1" ht="16.5" thickBot="1" x14ac:dyDescent="0.25">
      <c r="A181" s="825" t="s">
        <v>3</v>
      </c>
      <c r="B181" s="826"/>
      <c r="F181" s="337"/>
      <c r="G181" s="337"/>
      <c r="H181" s="337"/>
      <c r="I181" s="337"/>
    </row>
    <row r="182" spans="1:14" s="347" customFormat="1" ht="16.5" thickBot="1" x14ac:dyDescent="0.25">
      <c r="A182" s="338"/>
      <c r="B182" s="338"/>
      <c r="F182" s="348"/>
      <c r="G182" s="348"/>
      <c r="H182" s="348"/>
      <c r="I182" s="348"/>
    </row>
    <row r="183" spans="1:14" s="218" customFormat="1" ht="15.75" customHeight="1" thickBot="1" x14ac:dyDescent="0.25">
      <c r="A183" s="800" t="s">
        <v>2</v>
      </c>
      <c r="B183" s="801"/>
      <c r="C183" s="801"/>
      <c r="D183" s="801"/>
      <c r="E183" s="801"/>
      <c r="F183" s="801"/>
      <c r="G183" s="802"/>
      <c r="H183" s="337"/>
      <c r="I183" s="337"/>
    </row>
    <row r="184" spans="1:14" s="347" customFormat="1" ht="15.75" customHeight="1" thickBot="1" x14ac:dyDescent="0.25">
      <c r="A184" s="338"/>
      <c r="B184" s="338"/>
      <c r="C184" s="338"/>
      <c r="D184" s="338"/>
      <c r="E184" s="338"/>
      <c r="F184" s="338"/>
      <c r="G184" s="338"/>
      <c r="H184" s="348"/>
      <c r="I184" s="348"/>
    </row>
    <row r="185" spans="1:14" s="218" customFormat="1" ht="15.75" customHeight="1" thickBot="1" x14ac:dyDescent="0.25">
      <c r="A185" s="807" t="s">
        <v>1</v>
      </c>
      <c r="B185" s="808"/>
      <c r="C185" s="808"/>
      <c r="D185" s="808"/>
      <c r="E185" s="809"/>
      <c r="F185" s="339"/>
      <c r="G185" s="339"/>
      <c r="H185" s="337"/>
      <c r="I185" s="337"/>
    </row>
    <row r="186" spans="1:14" s="218" customFormat="1" x14ac:dyDescent="0.2">
      <c r="A186" s="803" t="s">
        <v>627</v>
      </c>
      <c r="B186" s="805" t="s">
        <v>888</v>
      </c>
      <c r="C186" s="786" t="s">
        <v>0</v>
      </c>
      <c r="D186" s="786" t="s">
        <v>609</v>
      </c>
      <c r="E186" s="805" t="s">
        <v>889</v>
      </c>
      <c r="F186" s="786" t="s">
        <v>436</v>
      </c>
      <c r="G186" s="786" t="s">
        <v>421</v>
      </c>
      <c r="H186" s="786" t="s">
        <v>628</v>
      </c>
      <c r="I186" s="786" t="s">
        <v>11</v>
      </c>
      <c r="J186" s="786" t="s">
        <v>12</v>
      </c>
      <c r="K186" s="786" t="s">
        <v>13</v>
      </c>
      <c r="L186" s="786" t="s">
        <v>449</v>
      </c>
      <c r="M186" s="786" t="s">
        <v>610</v>
      </c>
      <c r="N186" s="788"/>
    </row>
    <row r="187" spans="1:14" s="218" customFormat="1" ht="32.25" customHeight="1" thickBot="1" x14ac:dyDescent="0.25">
      <c r="A187" s="804"/>
      <c r="B187" s="806"/>
      <c r="C187" s="787"/>
      <c r="D187" s="787"/>
      <c r="E187" s="806"/>
      <c r="F187" s="787"/>
      <c r="G187" s="787"/>
      <c r="H187" s="787"/>
      <c r="I187" s="787"/>
      <c r="J187" s="787"/>
      <c r="K187" s="787"/>
      <c r="L187" s="787"/>
      <c r="M187" s="787"/>
      <c r="N187" s="789"/>
    </row>
    <row r="188" spans="1:14" s="218" customFormat="1" x14ac:dyDescent="0.2">
      <c r="A188" s="344"/>
      <c r="B188" s="340"/>
      <c r="C188" s="394"/>
      <c r="D188" s="340"/>
      <c r="E188" s="340"/>
      <c r="F188" s="340"/>
      <c r="G188" s="340"/>
      <c r="H188" s="340"/>
      <c r="I188" s="340"/>
      <c r="J188" s="340"/>
      <c r="K188" s="340"/>
      <c r="L188" s="661"/>
      <c r="M188" s="810"/>
      <c r="N188" s="811"/>
    </row>
    <row r="189" spans="1:14" s="218" customFormat="1" x14ac:dyDescent="0.2">
      <c r="A189" s="345"/>
      <c r="B189" s="341"/>
      <c r="C189" s="392"/>
      <c r="D189" s="341"/>
      <c r="E189" s="341"/>
      <c r="F189" s="341"/>
      <c r="G189" s="341"/>
      <c r="H189" s="341"/>
      <c r="I189" s="341"/>
      <c r="J189" s="341"/>
      <c r="K189" s="341"/>
      <c r="L189" s="662"/>
      <c r="M189" s="790"/>
      <c r="N189" s="791"/>
    </row>
    <row r="190" spans="1:14" s="218" customFormat="1" x14ac:dyDescent="0.2">
      <c r="A190" s="345"/>
      <c r="B190" s="341"/>
      <c r="C190" s="392"/>
      <c r="D190" s="341"/>
      <c r="E190" s="341"/>
      <c r="F190" s="341"/>
      <c r="G190" s="341"/>
      <c r="H190" s="341"/>
      <c r="I190" s="341"/>
      <c r="J190" s="341"/>
      <c r="K190" s="341"/>
      <c r="L190" s="662"/>
      <c r="M190" s="790"/>
      <c r="N190" s="791"/>
    </row>
    <row r="191" spans="1:14" s="218" customFormat="1" x14ac:dyDescent="0.2">
      <c r="A191" s="345"/>
      <c r="B191" s="341"/>
      <c r="C191" s="392"/>
      <c r="D191" s="341"/>
      <c r="E191" s="341"/>
      <c r="F191" s="341"/>
      <c r="G191" s="341"/>
      <c r="H191" s="341"/>
      <c r="I191" s="341"/>
      <c r="J191" s="341"/>
      <c r="K191" s="341"/>
      <c r="L191" s="662"/>
      <c r="M191" s="790"/>
      <c r="N191" s="791"/>
    </row>
    <row r="192" spans="1:14" s="218" customFormat="1" x14ac:dyDescent="0.2">
      <c r="A192" s="345"/>
      <c r="B192" s="341"/>
      <c r="C192" s="392"/>
      <c r="D192" s="341"/>
      <c r="E192" s="341"/>
      <c r="F192" s="341"/>
      <c r="G192" s="341"/>
      <c r="H192" s="341"/>
      <c r="I192" s="341"/>
      <c r="J192" s="341"/>
      <c r="K192" s="341"/>
      <c r="L192" s="662"/>
      <c r="M192" s="790"/>
      <c r="N192" s="791"/>
    </row>
    <row r="193" spans="1:31" s="218" customFormat="1" ht="16.5" thickBot="1" x14ac:dyDescent="0.25">
      <c r="A193" s="346"/>
      <c r="B193" s="342"/>
      <c r="C193" s="336"/>
      <c r="D193" s="342"/>
      <c r="E193" s="342"/>
      <c r="F193" s="342"/>
      <c r="G193" s="342"/>
      <c r="H193" s="342"/>
      <c r="I193" s="342"/>
      <c r="J193" s="342"/>
      <c r="K193" s="342"/>
      <c r="L193" s="663"/>
      <c r="M193" s="794"/>
      <c r="N193" s="795"/>
    </row>
    <row r="194" spans="1:31" s="218" customFormat="1" x14ac:dyDescent="0.2">
      <c r="F194" s="337"/>
      <c r="G194" s="337"/>
      <c r="H194" s="337"/>
      <c r="I194" s="337"/>
    </row>
    <row r="195" spans="1:31" s="218" customFormat="1" ht="16.5" thickBot="1" x14ac:dyDescent="0.25">
      <c r="F195" s="337"/>
      <c r="G195" s="337"/>
      <c r="H195" s="337"/>
      <c r="I195" s="337"/>
    </row>
    <row r="196" spans="1:31" s="218" customFormat="1" ht="16.5" thickBot="1" x14ac:dyDescent="0.25">
      <c r="A196" s="800" t="s">
        <v>790</v>
      </c>
      <c r="B196" s="801"/>
      <c r="C196" s="801"/>
      <c r="D196" s="801"/>
      <c r="E196" s="801"/>
      <c r="F196" s="801"/>
      <c r="G196" s="802"/>
      <c r="H196" s="337"/>
      <c r="I196" s="337"/>
    </row>
    <row r="197" spans="1:31" s="192" customFormat="1" ht="16.5" thickBot="1" x14ac:dyDescent="0.25">
      <c r="F197" s="191"/>
      <c r="G197" s="191"/>
      <c r="H197" s="191"/>
      <c r="I197" s="191"/>
    </row>
    <row r="198" spans="1:31" s="218" customFormat="1" ht="16.5" thickBot="1" x14ac:dyDescent="0.25">
      <c r="A198" s="807" t="s">
        <v>1</v>
      </c>
      <c r="B198" s="808"/>
      <c r="C198" s="808"/>
      <c r="D198" s="808"/>
      <c r="E198" s="808"/>
      <c r="F198" s="808"/>
      <c r="G198" s="808"/>
      <c r="H198" s="809"/>
      <c r="I198" s="337"/>
    </row>
    <row r="199" spans="1:31" s="1169" customFormat="1" ht="36.75" customHeight="1" thickBot="1" x14ac:dyDescent="0.25">
      <c r="A199" s="803" t="s">
        <v>627</v>
      </c>
      <c r="B199" s="805" t="s">
        <v>888</v>
      </c>
      <c r="C199" s="786" t="s">
        <v>0</v>
      </c>
      <c r="D199" s="786" t="s">
        <v>609</v>
      </c>
      <c r="E199" s="805" t="s">
        <v>889</v>
      </c>
      <c r="F199" s="971" t="s">
        <v>42</v>
      </c>
      <c r="G199" s="1165" t="s">
        <v>789</v>
      </c>
      <c r="H199" s="1163"/>
      <c r="I199" s="1163"/>
      <c r="J199" s="1163"/>
      <c r="K199" s="1163"/>
      <c r="L199" s="1163"/>
      <c r="M199" s="1163"/>
      <c r="N199" s="1163"/>
      <c r="O199" s="1163"/>
      <c r="P199" s="1163"/>
      <c r="Q199" s="1163"/>
      <c r="R199" s="1163"/>
      <c r="S199" s="1163"/>
      <c r="T199" s="1163"/>
      <c r="U199" s="1163"/>
      <c r="V199" s="1164"/>
      <c r="W199" s="930" t="s">
        <v>436</v>
      </c>
      <c r="X199" s="786" t="s">
        <v>421</v>
      </c>
      <c r="Y199" s="786" t="s">
        <v>628</v>
      </c>
      <c r="Z199" s="786" t="s">
        <v>11</v>
      </c>
      <c r="AA199" s="786" t="s">
        <v>12</v>
      </c>
      <c r="AB199" s="786" t="s">
        <v>13</v>
      </c>
      <c r="AC199" s="786" t="s">
        <v>449</v>
      </c>
      <c r="AD199" s="971" t="s">
        <v>610</v>
      </c>
      <c r="AE199" s="1161"/>
    </row>
    <row r="200" spans="1:31" s="1169" customFormat="1" ht="45.75" customHeight="1" thickBot="1" x14ac:dyDescent="0.25">
      <c r="A200" s="804"/>
      <c r="B200" s="806"/>
      <c r="C200" s="787"/>
      <c r="D200" s="787"/>
      <c r="E200" s="806"/>
      <c r="F200" s="787"/>
      <c r="G200" s="1186" t="s">
        <v>432</v>
      </c>
      <c r="H200" s="1186" t="s">
        <v>1380</v>
      </c>
      <c r="I200" s="1186" t="s">
        <v>1381</v>
      </c>
      <c r="J200" s="1186" t="s">
        <v>1382</v>
      </c>
      <c r="K200" s="1186" t="s">
        <v>433</v>
      </c>
      <c r="L200" s="1186" t="s">
        <v>1383</v>
      </c>
      <c r="M200" s="1182" t="s">
        <v>1386</v>
      </c>
      <c r="N200" s="1182" t="s">
        <v>1387</v>
      </c>
      <c r="O200" s="1186" t="s">
        <v>434</v>
      </c>
      <c r="P200" s="1186" t="s">
        <v>1384</v>
      </c>
      <c r="Q200" s="1182" t="s">
        <v>1388</v>
      </c>
      <c r="R200" s="1182" t="s">
        <v>1389</v>
      </c>
      <c r="S200" s="1186" t="s">
        <v>435</v>
      </c>
      <c r="T200" s="1186" t="s">
        <v>1385</v>
      </c>
      <c r="U200" s="1182" t="s">
        <v>1390</v>
      </c>
      <c r="V200" s="1182" t="s">
        <v>1391</v>
      </c>
      <c r="W200" s="959"/>
      <c r="X200" s="787"/>
      <c r="Y200" s="787"/>
      <c r="Z200" s="787"/>
      <c r="AA200" s="787"/>
      <c r="AB200" s="787"/>
      <c r="AC200" s="787"/>
      <c r="AD200" s="972"/>
      <c r="AE200" s="1162"/>
    </row>
    <row r="201" spans="1:31" s="1169" customFormat="1" x14ac:dyDescent="0.2">
      <c r="A201" s="1176"/>
      <c r="B201" s="1173"/>
      <c r="C201" s="1171"/>
      <c r="D201" s="1173"/>
      <c r="E201" s="1173"/>
      <c r="F201" s="1179"/>
      <c r="G201" s="1173"/>
      <c r="H201" s="1173"/>
      <c r="I201" s="1173"/>
      <c r="J201" s="1173"/>
      <c r="K201" s="1173"/>
      <c r="L201" s="1173"/>
      <c r="M201" s="1173"/>
      <c r="N201" s="1173"/>
      <c r="O201" s="1173"/>
      <c r="P201" s="1173"/>
      <c r="Q201" s="1173"/>
      <c r="R201" s="1173"/>
      <c r="S201" s="1173"/>
      <c r="T201" s="1173"/>
      <c r="U201" s="1173"/>
      <c r="V201" s="1173"/>
      <c r="W201" s="1173"/>
      <c r="X201" s="1173"/>
      <c r="Y201" s="1173"/>
      <c r="Z201" s="1173"/>
      <c r="AA201" s="1173"/>
      <c r="AB201" s="1173"/>
      <c r="AC201" s="1183"/>
      <c r="AD201" s="796"/>
      <c r="AE201" s="797"/>
    </row>
    <row r="202" spans="1:31" s="1169" customFormat="1" x14ac:dyDescent="0.2">
      <c r="A202" s="1177"/>
      <c r="B202" s="1174"/>
      <c r="C202" s="1170"/>
      <c r="D202" s="1174"/>
      <c r="E202" s="1174"/>
      <c r="F202" s="1180"/>
      <c r="G202" s="1174"/>
      <c r="H202" s="1174"/>
      <c r="I202" s="1174"/>
      <c r="J202" s="1174"/>
      <c r="K202" s="1174"/>
      <c r="L202" s="1174"/>
      <c r="M202" s="1174"/>
      <c r="N202" s="1174"/>
      <c r="O202" s="1174"/>
      <c r="P202" s="1174"/>
      <c r="Q202" s="1174"/>
      <c r="R202" s="1174"/>
      <c r="S202" s="1174"/>
      <c r="T202" s="1174"/>
      <c r="U202" s="1174"/>
      <c r="V202" s="1174"/>
      <c r="W202" s="1174"/>
      <c r="X202" s="1174"/>
      <c r="Y202" s="1174"/>
      <c r="Z202" s="1174"/>
      <c r="AA202" s="1174"/>
      <c r="AB202" s="1174"/>
      <c r="AC202" s="1184"/>
      <c r="AD202" s="798"/>
      <c r="AE202" s="799"/>
    </row>
    <row r="203" spans="1:31" s="1169" customFormat="1" x14ac:dyDescent="0.2">
      <c r="A203" s="1177"/>
      <c r="B203" s="1174"/>
      <c r="C203" s="1170"/>
      <c r="D203" s="1174"/>
      <c r="E203" s="1174"/>
      <c r="F203" s="1180"/>
      <c r="G203" s="1174"/>
      <c r="H203" s="1174"/>
      <c r="I203" s="1174"/>
      <c r="J203" s="1174"/>
      <c r="K203" s="1174"/>
      <c r="L203" s="1174"/>
      <c r="M203" s="1174"/>
      <c r="N203" s="1174"/>
      <c r="O203" s="1174"/>
      <c r="P203" s="1174"/>
      <c r="Q203" s="1174"/>
      <c r="R203" s="1174"/>
      <c r="S203" s="1174"/>
      <c r="T203" s="1174"/>
      <c r="U203" s="1174"/>
      <c r="V203" s="1174"/>
      <c r="W203" s="1174"/>
      <c r="X203" s="1174"/>
      <c r="Y203" s="1174"/>
      <c r="Z203" s="1174"/>
      <c r="AA203" s="1174"/>
      <c r="AB203" s="1174"/>
      <c r="AC203" s="1184"/>
      <c r="AD203" s="798"/>
      <c r="AE203" s="799"/>
    </row>
    <row r="204" spans="1:31" s="1169" customFormat="1" x14ac:dyDescent="0.2">
      <c r="A204" s="1177"/>
      <c r="B204" s="1174"/>
      <c r="C204" s="1170"/>
      <c r="D204" s="1174"/>
      <c r="E204" s="1174"/>
      <c r="F204" s="1180"/>
      <c r="G204" s="1174"/>
      <c r="H204" s="1174"/>
      <c r="I204" s="1174"/>
      <c r="J204" s="1174"/>
      <c r="K204" s="1174"/>
      <c r="L204" s="1174"/>
      <c r="M204" s="1174"/>
      <c r="N204" s="1174"/>
      <c r="O204" s="1174"/>
      <c r="P204" s="1174"/>
      <c r="Q204" s="1174"/>
      <c r="R204" s="1174"/>
      <c r="S204" s="1174"/>
      <c r="T204" s="1174"/>
      <c r="U204" s="1174"/>
      <c r="V204" s="1174"/>
      <c r="W204" s="1174"/>
      <c r="X204" s="1174"/>
      <c r="Y204" s="1174"/>
      <c r="Z204" s="1174"/>
      <c r="AA204" s="1174"/>
      <c r="AB204" s="1174"/>
      <c r="AC204" s="1184"/>
      <c r="AD204" s="798"/>
      <c r="AE204" s="799"/>
    </row>
    <row r="205" spans="1:31" s="1169" customFormat="1" x14ac:dyDescent="0.2">
      <c r="A205" s="1177"/>
      <c r="B205" s="1174"/>
      <c r="C205" s="1170"/>
      <c r="D205" s="1174"/>
      <c r="E205" s="1174"/>
      <c r="F205" s="1180"/>
      <c r="G205" s="1174"/>
      <c r="H205" s="1174"/>
      <c r="I205" s="1174"/>
      <c r="J205" s="1174"/>
      <c r="K205" s="1174"/>
      <c r="L205" s="1174"/>
      <c r="M205" s="1174"/>
      <c r="N205" s="1174"/>
      <c r="O205" s="1174"/>
      <c r="P205" s="1174"/>
      <c r="Q205" s="1174"/>
      <c r="R205" s="1174"/>
      <c r="S205" s="1174"/>
      <c r="T205" s="1174"/>
      <c r="U205" s="1174"/>
      <c r="V205" s="1174"/>
      <c r="W205" s="1174"/>
      <c r="X205" s="1174"/>
      <c r="Y205" s="1174"/>
      <c r="Z205" s="1174"/>
      <c r="AA205" s="1174"/>
      <c r="AB205" s="1174"/>
      <c r="AC205" s="1184"/>
      <c r="AD205" s="798"/>
      <c r="AE205" s="799"/>
    </row>
    <row r="206" spans="1:31" s="1169" customFormat="1" ht="16.5" thickBot="1" x14ac:dyDescent="0.25">
      <c r="A206" s="1178"/>
      <c r="B206" s="1175"/>
      <c r="C206" s="1172"/>
      <c r="D206" s="1175"/>
      <c r="E206" s="1175"/>
      <c r="F206" s="1181"/>
      <c r="G206" s="1175"/>
      <c r="H206" s="1175"/>
      <c r="I206" s="1175"/>
      <c r="J206" s="1175"/>
      <c r="K206" s="1175"/>
      <c r="L206" s="1175"/>
      <c r="M206" s="1175"/>
      <c r="N206" s="1175"/>
      <c r="O206" s="1175"/>
      <c r="P206" s="1175"/>
      <c r="Q206" s="1175"/>
      <c r="R206" s="1175"/>
      <c r="S206" s="1175"/>
      <c r="T206" s="1175"/>
      <c r="U206" s="1175"/>
      <c r="V206" s="1175"/>
      <c r="W206" s="1175"/>
      <c r="X206" s="1175"/>
      <c r="Y206" s="1175"/>
      <c r="Z206" s="1175"/>
      <c r="AA206" s="1175"/>
      <c r="AB206" s="1175"/>
      <c r="AC206" s="1185"/>
      <c r="AD206" s="792"/>
      <c r="AE206" s="793"/>
    </row>
    <row r="207" spans="1:31" s="218" customFormat="1" x14ac:dyDescent="0.2">
      <c r="F207" s="337"/>
      <c r="G207" s="337"/>
      <c r="H207" s="337"/>
      <c r="I207" s="337"/>
    </row>
    <row r="208" spans="1:31" s="218" customFormat="1" x14ac:dyDescent="0.2">
      <c r="F208" s="337"/>
      <c r="G208" s="337"/>
      <c r="H208" s="337"/>
      <c r="I208" s="337"/>
    </row>
    <row r="209" spans="1:9" s="218" customFormat="1" ht="16.5" thickBot="1" x14ac:dyDescent="0.25">
      <c r="F209" s="337"/>
      <c r="G209" s="337"/>
      <c r="H209" s="337"/>
      <c r="I209" s="337"/>
    </row>
    <row r="210" spans="1:9" ht="16.5" thickBot="1" x14ac:dyDescent="0.25">
      <c r="A210" s="555" t="s">
        <v>454</v>
      </c>
      <c r="B210" s="556" t="s">
        <v>455</v>
      </c>
    </row>
    <row r="211" spans="1:9" x14ac:dyDescent="0.2">
      <c r="A211" s="450" t="s">
        <v>456</v>
      </c>
      <c r="B211" s="557" t="s">
        <v>51</v>
      </c>
    </row>
    <row r="212" spans="1:9" x14ac:dyDescent="0.2">
      <c r="A212" s="558" t="s">
        <v>65</v>
      </c>
      <c r="B212" s="559" t="s">
        <v>51</v>
      </c>
    </row>
    <row r="213" spans="1:9" x14ac:dyDescent="0.2">
      <c r="A213" s="558" t="s">
        <v>257</v>
      </c>
      <c r="B213" s="559" t="s">
        <v>51</v>
      </c>
    </row>
    <row r="214" spans="1:9" x14ac:dyDescent="0.2">
      <c r="A214" s="558" t="s">
        <v>258</v>
      </c>
      <c r="B214" s="559" t="s">
        <v>51</v>
      </c>
    </row>
    <row r="215" spans="1:9" x14ac:dyDescent="0.2">
      <c r="A215" s="558" t="s">
        <v>259</v>
      </c>
      <c r="B215" s="559" t="s">
        <v>53</v>
      </c>
    </row>
    <row r="216" spans="1:9" x14ac:dyDescent="0.2">
      <c r="A216" s="558" t="s">
        <v>281</v>
      </c>
      <c r="B216" s="559" t="s">
        <v>53</v>
      </c>
    </row>
    <row r="217" spans="1:9" x14ac:dyDescent="0.2">
      <c r="A217" s="560" t="s">
        <v>279</v>
      </c>
      <c r="B217" s="559" t="s">
        <v>53</v>
      </c>
    </row>
    <row r="218" spans="1:9" x14ac:dyDescent="0.2">
      <c r="A218" s="560" t="s">
        <v>457</v>
      </c>
      <c r="B218" s="559" t="s">
        <v>53</v>
      </c>
      <c r="F218" s="69"/>
      <c r="G218" s="69"/>
      <c r="H218" s="69"/>
      <c r="I218" s="69"/>
    </row>
    <row r="219" spans="1:9" ht="16.5" thickBot="1" x14ac:dyDescent="0.25">
      <c r="A219" s="561" t="s">
        <v>460</v>
      </c>
      <c r="B219" s="562" t="s">
        <v>51</v>
      </c>
      <c r="F219" s="69"/>
      <c r="G219" s="69"/>
      <c r="H219" s="69"/>
      <c r="I219" s="69"/>
    </row>
  </sheetData>
  <sheetProtection formatCells="0" formatColumns="0" formatRows="0" insertColumns="0" insertRows="0" deleteColumns="0" deleteRows="0" sort="0" autoFilter="0"/>
  <autoFilter ref="A30:AB30" xr:uid="{00000000-0009-0000-0000-000009000000}"/>
  <sortState xmlns:xlrd2="http://schemas.microsoft.com/office/spreadsheetml/2017/richdata2" ref="A90:A126">
    <sortCondition ref="A126"/>
  </sortState>
  <dataConsolidate>
    <dataRefs count="2">
      <dataRef ref="B9" sheet="APPENDIX B-1  (FE - USWC)"/>
      <dataRef ref="A14:A18" sheet="APPENDIX B-1  (FE - USWC)"/>
    </dataRefs>
  </dataConsolidate>
  <mergeCells count="278">
    <mergeCell ref="AD202:AE202"/>
    <mergeCell ref="AD203:AE203"/>
    <mergeCell ref="AD204:AE204"/>
    <mergeCell ref="AD205:AE205"/>
    <mergeCell ref="AD206:AE206"/>
    <mergeCell ref="W199:W200"/>
    <mergeCell ref="X199:X200"/>
    <mergeCell ref="Y199:Y200"/>
    <mergeCell ref="Z199:Z200"/>
    <mergeCell ref="AA199:AA200"/>
    <mergeCell ref="AB199:AB200"/>
    <mergeCell ref="AC199:AC200"/>
    <mergeCell ref="AD199:AE200"/>
    <mergeCell ref="AD201:AE201"/>
    <mergeCell ref="E126:G126"/>
    <mergeCell ref="B122:D122"/>
    <mergeCell ref="E105:G105"/>
    <mergeCell ref="B117:D117"/>
    <mergeCell ref="E117:G117"/>
    <mergeCell ref="E107:G107"/>
    <mergeCell ref="B106:D106"/>
    <mergeCell ref="E106:G106"/>
    <mergeCell ref="B114:D114"/>
    <mergeCell ref="E114:G114"/>
    <mergeCell ref="B115:D115"/>
    <mergeCell ref="E115:G115"/>
    <mergeCell ref="B124:D124"/>
    <mergeCell ref="E124:G124"/>
    <mergeCell ref="E116:G116"/>
    <mergeCell ref="B118:D118"/>
    <mergeCell ref="E118:G118"/>
    <mergeCell ref="E111:G111"/>
    <mergeCell ref="B108:D108"/>
    <mergeCell ref="E108:G108"/>
    <mergeCell ref="B125:D125"/>
    <mergeCell ref="E125:G125"/>
    <mergeCell ref="L136:L137"/>
    <mergeCell ref="I143:I144"/>
    <mergeCell ref="J143:J144"/>
    <mergeCell ref="B119:D119"/>
    <mergeCell ref="E119:G119"/>
    <mergeCell ref="A133:I133"/>
    <mergeCell ref="A134:I134"/>
    <mergeCell ref="B123:D123"/>
    <mergeCell ref="E123:G123"/>
    <mergeCell ref="B132:D132"/>
    <mergeCell ref="E132:G132"/>
    <mergeCell ref="B127:D127"/>
    <mergeCell ref="E127:G127"/>
    <mergeCell ref="E120:G120"/>
    <mergeCell ref="B131:D131"/>
    <mergeCell ref="B121:D121"/>
    <mergeCell ref="E121:G121"/>
    <mergeCell ref="B120:D120"/>
    <mergeCell ref="B130:D130"/>
    <mergeCell ref="E130:G130"/>
    <mergeCell ref="B129:D129"/>
    <mergeCell ref="E129:G129"/>
    <mergeCell ref="E131:G131"/>
    <mergeCell ref="B128:D128"/>
    <mergeCell ref="M143:M144"/>
    <mergeCell ref="H143:H144"/>
    <mergeCell ref="L143:L144"/>
    <mergeCell ref="J136:J137"/>
    <mergeCell ref="K136:K137"/>
    <mergeCell ref="K143:K144"/>
    <mergeCell ref="I136:I137"/>
    <mergeCell ref="M193:N193"/>
    <mergeCell ref="M186:N187"/>
    <mergeCell ref="M188:N188"/>
    <mergeCell ref="M189:N189"/>
    <mergeCell ref="M192:N192"/>
    <mergeCell ref="E186:E187"/>
    <mergeCell ref="F186:F187"/>
    <mergeCell ref="J186:J187"/>
    <mergeCell ref="E199:E200"/>
    <mergeCell ref="M191:N191"/>
    <mergeCell ref="A198:H198"/>
    <mergeCell ref="G186:G187"/>
    <mergeCell ref="A196:G196"/>
    <mergeCell ref="L186:L187"/>
    <mergeCell ref="M190:N190"/>
    <mergeCell ref="I186:I187"/>
    <mergeCell ref="K186:K187"/>
    <mergeCell ref="A186:A187"/>
    <mergeCell ref="B186:B187"/>
    <mergeCell ref="G199:V199"/>
    <mergeCell ref="A185:E185"/>
    <mergeCell ref="A199:A200"/>
    <mergeCell ref="B199:B200"/>
    <mergeCell ref="C199:C200"/>
    <mergeCell ref="D199:D200"/>
    <mergeCell ref="F199:F200"/>
    <mergeCell ref="A181:B181"/>
    <mergeCell ref="B165:I165"/>
    <mergeCell ref="A151:E151"/>
    <mergeCell ref="A161:I161"/>
    <mergeCell ref="A155:F155"/>
    <mergeCell ref="B163:I163"/>
    <mergeCell ref="B167:I167"/>
    <mergeCell ref="B173:I173"/>
    <mergeCell ref="B164:I164"/>
    <mergeCell ref="B170:I170"/>
    <mergeCell ref="B175:I175"/>
    <mergeCell ref="C186:C187"/>
    <mergeCell ref="D186:D187"/>
    <mergeCell ref="H186:H187"/>
    <mergeCell ref="B176:I176"/>
    <mergeCell ref="B177:I177"/>
    <mergeCell ref="A153:F153"/>
    <mergeCell ref="A183:G183"/>
    <mergeCell ref="B174:I174"/>
    <mergeCell ref="B172:I172"/>
    <mergeCell ref="B171:I171"/>
    <mergeCell ref="B169:I169"/>
    <mergeCell ref="A154:F154"/>
    <mergeCell ref="B166:I166"/>
    <mergeCell ref="E143:E144"/>
    <mergeCell ref="F143:F144"/>
    <mergeCell ref="A136:D136"/>
    <mergeCell ref="A143:D143"/>
    <mergeCell ref="G143:G144"/>
    <mergeCell ref="H136:H137"/>
    <mergeCell ref="E136:E137"/>
    <mergeCell ref="F136:F137"/>
    <mergeCell ref="G136:G137"/>
    <mergeCell ref="B168:I168"/>
    <mergeCell ref="E128:G128"/>
    <mergeCell ref="E122:G122"/>
    <mergeCell ref="E113:G113"/>
    <mergeCell ref="B96:D96"/>
    <mergeCell ref="E96:G96"/>
    <mergeCell ref="B110:D110"/>
    <mergeCell ref="B113:D113"/>
    <mergeCell ref="E97:G97"/>
    <mergeCell ref="B97:D97"/>
    <mergeCell ref="B101:D101"/>
    <mergeCell ref="E101:G101"/>
    <mergeCell ref="B112:D112"/>
    <mergeCell ref="E110:G110"/>
    <mergeCell ref="B109:D109"/>
    <mergeCell ref="E109:G109"/>
    <mergeCell ref="E102:G102"/>
    <mergeCell ref="E112:G112"/>
    <mergeCell ref="B100:D100"/>
    <mergeCell ref="B102:D102"/>
    <mergeCell ref="E100:G100"/>
    <mergeCell ref="B111:D111"/>
    <mergeCell ref="B105:D105"/>
    <mergeCell ref="B116:D116"/>
    <mergeCell ref="B126:D126"/>
    <mergeCell ref="A73:C73"/>
    <mergeCell ref="B83:D83"/>
    <mergeCell ref="A47:D47"/>
    <mergeCell ref="A48:A49"/>
    <mergeCell ref="C48:C49"/>
    <mergeCell ref="B103:D103"/>
    <mergeCell ref="E103:G103"/>
    <mergeCell ref="B107:D107"/>
    <mergeCell ref="E93:G93"/>
    <mergeCell ref="B99:D99"/>
    <mergeCell ref="B93:D93"/>
    <mergeCell ref="E99:G99"/>
    <mergeCell ref="B68:D68"/>
    <mergeCell ref="A72:C72"/>
    <mergeCell ref="E104:G104"/>
    <mergeCell ref="B104:D104"/>
    <mergeCell ref="B98:D98"/>
    <mergeCell ref="E98:G98"/>
    <mergeCell ref="B95:D95"/>
    <mergeCell ref="E95:G95"/>
    <mergeCell ref="B81:D81"/>
    <mergeCell ref="A92:G92"/>
    <mergeCell ref="B82:D82"/>
    <mergeCell ref="B84:D84"/>
    <mergeCell ref="B94:D94"/>
    <mergeCell ref="E94:G94"/>
    <mergeCell ref="B88:I88"/>
    <mergeCell ref="A87:I87"/>
    <mergeCell ref="AA30:AA31"/>
    <mergeCell ref="L13:M13"/>
    <mergeCell ref="B14:I14"/>
    <mergeCell ref="J14:K14"/>
    <mergeCell ref="L14:M14"/>
    <mergeCell ref="B23:H23"/>
    <mergeCell ref="L15:M15"/>
    <mergeCell ref="J17:K17"/>
    <mergeCell ref="L17:M17"/>
    <mergeCell ref="J15:K15"/>
    <mergeCell ref="B20:H20"/>
    <mergeCell ref="L16:M16"/>
    <mergeCell ref="B21:H21"/>
    <mergeCell ref="B22:H22"/>
    <mergeCell ref="B16:I16"/>
    <mergeCell ref="B17:I17"/>
    <mergeCell ref="B24:H24"/>
    <mergeCell ref="D30:D31"/>
    <mergeCell ref="Y30:Y31"/>
    <mergeCell ref="Z30:Z31"/>
    <mergeCell ref="AC48:AC49"/>
    <mergeCell ref="AA48:AA49"/>
    <mergeCell ref="Y39:Y40"/>
    <mergeCell ref="Z39:Z40"/>
    <mergeCell ref="AB48:AB49"/>
    <mergeCell ref="X39:X40"/>
    <mergeCell ref="Z48:Z49"/>
    <mergeCell ref="F39:F40"/>
    <mergeCell ref="G39:G40"/>
    <mergeCell ref="H48:H49"/>
    <mergeCell ref="I39:I40"/>
    <mergeCell ref="AA39:AA40"/>
    <mergeCell ref="L48:L49"/>
    <mergeCell ref="K48:K49"/>
    <mergeCell ref="K39:K40"/>
    <mergeCell ref="J39:J40"/>
    <mergeCell ref="A6:B6"/>
    <mergeCell ref="C6:F6"/>
    <mergeCell ref="A12:J12"/>
    <mergeCell ref="B13:I13"/>
    <mergeCell ref="J13:K13"/>
    <mergeCell ref="J16:K16"/>
    <mergeCell ref="A8:B8"/>
    <mergeCell ref="C8:F8"/>
    <mergeCell ref="B15:I15"/>
    <mergeCell ref="A7:B7"/>
    <mergeCell ref="C7:F7"/>
    <mergeCell ref="K30:K31"/>
    <mergeCell ref="X30:X31"/>
    <mergeCell ref="J30:J31"/>
    <mergeCell ref="A39:A40"/>
    <mergeCell ref="H39:H40"/>
    <mergeCell ref="B39:B40"/>
    <mergeCell ref="C39:C40"/>
    <mergeCell ref="D39:D40"/>
    <mergeCell ref="E39:E40"/>
    <mergeCell ref="A30:A31"/>
    <mergeCell ref="F30:F31"/>
    <mergeCell ref="I30:I31"/>
    <mergeCell ref="B30:B31"/>
    <mergeCell ref="C30:C31"/>
    <mergeCell ref="L30:L31"/>
    <mergeCell ref="E30:E31"/>
    <mergeCell ref="G30:G31"/>
    <mergeCell ref="H30:H31"/>
    <mergeCell ref="A1:B1"/>
    <mergeCell ref="C1:F1"/>
    <mergeCell ref="A2:B2"/>
    <mergeCell ref="C2:F2"/>
    <mergeCell ref="A5:B5"/>
    <mergeCell ref="C4:F4"/>
    <mergeCell ref="C3:F3"/>
    <mergeCell ref="A4:B4"/>
    <mergeCell ref="C5:F5"/>
    <mergeCell ref="A3:B3"/>
    <mergeCell ref="M90:M92"/>
    <mergeCell ref="I48:I49"/>
    <mergeCell ref="A58:C58"/>
    <mergeCell ref="A57:C57"/>
    <mergeCell ref="M48:M49"/>
    <mergeCell ref="J48:J49"/>
    <mergeCell ref="B69:D69"/>
    <mergeCell ref="B66:D66"/>
    <mergeCell ref="B67:D67"/>
    <mergeCell ref="A86:I86"/>
    <mergeCell ref="B65:D65"/>
    <mergeCell ref="K90:K92"/>
    <mergeCell ref="L90:L92"/>
    <mergeCell ref="B48:B49"/>
    <mergeCell ref="F48:F49"/>
    <mergeCell ref="G48:G49"/>
    <mergeCell ref="J90:J92"/>
    <mergeCell ref="I90:I92"/>
    <mergeCell ref="A90:G90"/>
    <mergeCell ref="A91:G91"/>
    <mergeCell ref="B80:D80"/>
    <mergeCell ref="D48:D49"/>
    <mergeCell ref="H90:H92"/>
    <mergeCell ref="E48:E49"/>
  </mergeCells>
  <phoneticPr fontId="11" type="noConversion"/>
  <dataValidations count="33">
    <dataValidation type="list" allowBlank="1" showInputMessage="1" showErrorMessage="1" sqref="B211:B219" xr:uid="{00000000-0002-0000-0900-000000000000}">
      <formula1>Autom</formula1>
    </dataValidation>
    <dataValidation type="list" showInputMessage="1" showErrorMessage="1" sqref="C188:C193 C201:C206" xr:uid="{00000000-0002-0000-0900-000001000000}">
      <formula1>IF($B188="I",DDTARIFF,DDTARIFFUSE)</formula1>
    </dataValidation>
    <dataValidation type="list" allowBlank="1" showInputMessage="1" showErrorMessage="1" sqref="B188:B193 B201:B206" xr:uid="{00000000-0002-0000-0900-000002000000}">
      <formula1>EXPIMP</formula1>
    </dataValidation>
    <dataValidation type="list" allowBlank="1" showInputMessage="1" showErrorMessage="1" sqref="F188:F193 W201:W206" xr:uid="{00000000-0002-0000-0900-000003000000}">
      <formula1>EQTYPE</formula1>
    </dataValidation>
    <dataValidation type="list" allowBlank="1" showInputMessage="1" showErrorMessage="1" sqref="G188:G193 X201:X206" xr:uid="{00000000-0002-0000-0900-000004000000}">
      <formula1>OPREEFER</formula1>
    </dataValidation>
    <dataValidation type="list" allowBlank="1" showInputMessage="1" showErrorMessage="1" sqref="F201:F206" xr:uid="{73F4F156-E350-47ED-BAC1-DD5F67876568}">
      <formula1>CURRENCY</formula1>
    </dataValidation>
    <dataValidation type="whole" allowBlank="1" showInputMessage="1" showErrorMessage="1" error="Only whole numbers can be entered into this field" sqref="D188:D193 D201:D206" xr:uid="{00000000-0002-0000-0900-000006000000}">
      <formula1>1</formula1>
      <formula2>99</formula2>
    </dataValidation>
    <dataValidation type="list" showInputMessage="1" showErrorMessage="1" sqref="E188:E193 E201:E206" xr:uid="{00000000-0002-0000-0900-000007000000}">
      <formula1>DAYS</formula1>
    </dataValidation>
    <dataValidation type="whole" allowBlank="1" showInputMessage="1" showErrorMessage="1" error="Only whole numbers may be entered into this field_x000a_" sqref="G201:G206 S201:S206 O201:O206 K201:K206" xr:uid="{9D17B146-2F89-49B9-80C9-56401943FCAE}">
      <formula1>1</formula1>
      <formula2>99</formula2>
    </dataValidation>
    <dataValidation type="decimal" allowBlank="1" showInputMessage="1" showErrorMessage="1" error="Only numbers may be entered into this field" sqref="H201:J206 L201:N206 P201:R206 T201:V206" xr:uid="{2C927CF2-FC34-487B-9AB2-233E3D9119A4}">
      <formula1>1</formula1>
      <formula2>1000000000</formula2>
    </dataValidation>
    <dataValidation type="list" showInputMessage="1" showErrorMessage="1" sqref="K138:K141 K145:K148 N66:N69 A41:A44 A50:A53 A32:A35 N81:N84" xr:uid="{00000000-0002-0000-0900-00000A000000}">
      <formula1>$A$14:$A$18</formula1>
    </dataValidation>
    <dataValidation type="list" allowBlank="1" showInputMessage="1" showErrorMessage="1" sqref="J138:J141 J145:J148" xr:uid="{00000000-0002-0000-0900-00000B000000}">
      <formula1>GRIPSS</formula1>
    </dataValidation>
    <dataValidation type="decimal" allowBlank="1" showInputMessage="1" showErrorMessage="1" sqref="F145:I148 F138:I141 I32:L35 I41:K44 J81:M84 I50:L53" xr:uid="{00000000-0002-0000-0900-00000C000000}">
      <formula1>0</formula1>
      <formula2>999999999999999</formula2>
    </dataValidation>
    <dataValidation type="list" allowBlank="1" showInputMessage="1" showErrorMessage="1" sqref="E138:E141 E145:E148" xr:uid="{00000000-0002-0000-0900-00000D000000}">
      <formula1>GRIPSS_EQ</formula1>
    </dataValidation>
    <dataValidation type="list" showInputMessage="1" showErrorMessage="1" sqref="A188:A193 A201:A206" xr:uid="{00000000-0002-0000-0900-00000E000000}">
      <formula1>BULLET</formula1>
    </dataValidation>
    <dataValidation type="date" allowBlank="1" showInputMessage="1" showErrorMessage="1" sqref="X32:Y35 J93:K132" xr:uid="{00000000-0002-0000-0900-00000F000000}">
      <formula1>10101</formula1>
      <formula2>311299</formula2>
    </dataValidation>
    <dataValidation type="list" showDropDown="1" showErrorMessage="1" sqref="O65:P65 O80:P80" xr:uid="{00000000-0002-0000-0900-000010000000}">
      <formula1>Charges</formula1>
    </dataValidation>
    <dataValidation type="list" allowBlank="1" showInputMessage="1" showErrorMessage="1" sqref="O66:P69 O81:P84" xr:uid="{00000000-0002-0000-0900-000011000000}">
      <formula1 xml:space="preserve"> droppull</formula1>
    </dataValidation>
    <dataValidation type="list" allowBlank="1" showInputMessage="1" showErrorMessage="1" sqref="L41:L44 G66:G69 P50:P53 N41:N44 G81:G84" xr:uid="{00000000-0002-0000-0900-000012000000}">
      <formula1>YesNo</formula1>
    </dataValidation>
    <dataValidation type="list" allowBlank="1" showInputMessage="1" showErrorMessage="1" sqref="M50:M53" xr:uid="{00000000-0002-0000-0900-000013000000}">
      <formula1>Equip</formula1>
    </dataValidation>
    <dataValidation type="list" allowBlank="1" showInputMessage="1" showErrorMessage="1" sqref="F66:F69 F81:F84" xr:uid="{00000000-0002-0000-0900-000014000000}">
      <formula1>ArbMode</formula1>
    </dataValidation>
    <dataValidation type="list" allowBlank="1" showInputMessage="1" showErrorMessage="1" sqref="G41:G44 G50:G53 G32:G35" xr:uid="{00000000-0002-0000-0900-000015000000}">
      <formula1>SDD</formula1>
    </dataValidation>
    <dataValidation type="list" allowBlank="1" showInputMessage="1" showErrorMessage="1" sqref="M31:W31 Q49:Y49" xr:uid="{00000000-0002-0000-0900-000016000000}">
      <formula1>Container</formula1>
    </dataValidation>
    <dataValidation type="list" allowBlank="1" showInputMessage="1" showErrorMessage="1" sqref="O40:W40" xr:uid="{00000000-0002-0000-0900-000017000000}">
      <formula1>Reefer</formula1>
    </dataValidation>
    <dataValidation type="list" allowBlank="1" showInputMessage="1" showErrorMessage="1" sqref="F32:F35 F50:F53 F41:F44" xr:uid="{00000000-0002-0000-0900-000018000000}">
      <formula1>Mode</formula1>
    </dataValidation>
    <dataValidation type="list" allowBlank="1" showInputMessage="1" showErrorMessage="1" sqref="M41:M44 O50:O53" xr:uid="{00000000-0002-0000-0900-000019000000}">
      <formula1>ShipperOwn</formula1>
    </dataValidation>
    <dataValidation type="list" allowBlank="1" showInputMessage="1" showErrorMessage="1" sqref="N50:N53" xr:uid="{00000000-0002-0000-0900-00001A000000}">
      <formula1>OOG</formula1>
    </dataValidation>
    <dataValidation type="list" allowBlank="1" showErrorMessage="1" sqref="M30:W30 Q48:Y48 O39:W39" xr:uid="{00000000-0002-0000-0900-00001B000000}">
      <formula1>Exceptions</formula1>
    </dataValidation>
    <dataValidation type="list" allowBlank="1" showInputMessage="1" showErrorMessage="1" sqref="AA32:AA35 AC50:AC53 AA41:AA44" xr:uid="{00000000-0002-0000-0900-00001C000000}">
      <formula1>CST</formula1>
    </dataValidation>
    <dataValidation type="list" allowBlank="1" showInputMessage="1" showErrorMessage="1" sqref="I93:I132" xr:uid="{00000000-0002-0000-0900-00001D000000}">
      <formula1>$A$14:$A$18</formula1>
    </dataValidation>
    <dataValidation type="list" allowBlank="1" showErrorMessage="1" sqref="A93:A132" xr:uid="{00000000-0002-0000-0900-00001E000000}">
      <formula1>Charges</formula1>
    </dataValidation>
    <dataValidation allowBlank="1" showInputMessage="1" showErrorMessage="1" promptTitle="Acceptable Values:" prompt="- Applicable _x000a_- Not applicable _x000a_- Included_x000a_- Amount and OSPF for cases of fixed per D40 OSPF_x000a_    (example-  &quot;375 OSPF&quot;)" sqref="E93:G132" xr:uid="{00000000-0002-0000-0900-00001F000000}"/>
    <dataValidation type="list" allowBlank="1" showInputMessage="1" showErrorMessage="1" errorTitle="Pick up the list" promptTitle="Blank = ALL" sqref="H93:H132" xr:uid="{00000000-0002-0000-0900-000020000000}">
      <formula1>Type_note2</formula1>
    </dataValidation>
  </dataValidations>
  <pageMargins left="0.25" right="0.25" top="0.25" bottom="0.25" header="0.5" footer="0"/>
  <pageSetup scale="28" fitToHeight="0" orientation="landscape" r:id="rId1"/>
  <headerFooter alignWithMargins="0"/>
  <rowBreaks count="1" manualBreakCount="1">
    <brk id="88" max="16383" man="1"/>
  </rowBreaks>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0">
    <tabColor indexed="12"/>
    <pageSetUpPr fitToPage="1"/>
  </sheetPr>
  <dimension ref="A1:AZ221"/>
  <sheetViews>
    <sheetView showGridLines="0" topLeftCell="A169" zoomScale="75" zoomScaleNormal="75" zoomScaleSheetLayoutView="75" workbookViewId="0">
      <selection activeCell="X207" sqref="X207"/>
    </sheetView>
  </sheetViews>
  <sheetFormatPr defaultColWidth="9.140625" defaultRowHeight="15.75" x14ac:dyDescent="0.2"/>
  <cols>
    <col min="1" max="1" width="25.140625" style="69" customWidth="1"/>
    <col min="2" max="2" width="18.5703125" style="69" customWidth="1"/>
    <col min="3" max="3" width="18.28515625" style="69" customWidth="1"/>
    <col min="4" max="4" width="17.42578125" style="69" customWidth="1"/>
    <col min="5" max="5" width="19.28515625" style="69" customWidth="1"/>
    <col min="6" max="6" width="12.140625" style="211" customWidth="1"/>
    <col min="7" max="8" width="17.42578125" style="211" customWidth="1"/>
    <col min="9" max="9" width="17.7109375" style="211" customWidth="1"/>
    <col min="10" max="10" width="17.85546875" style="69" customWidth="1"/>
    <col min="11" max="11" width="16.5703125" style="69" customWidth="1"/>
    <col min="12" max="12" width="18.5703125" style="69" customWidth="1"/>
    <col min="13" max="13" width="17.28515625" style="69" customWidth="1"/>
    <col min="14" max="14" width="17.7109375" style="69" customWidth="1"/>
    <col min="15" max="16" width="16.5703125" style="69" customWidth="1"/>
    <col min="17" max="17" width="17.5703125" style="69" customWidth="1"/>
    <col min="18" max="18" width="15.85546875" style="69" customWidth="1"/>
    <col min="19" max="19" width="16.7109375" style="69" customWidth="1"/>
    <col min="20" max="20" width="16.5703125" style="69" customWidth="1"/>
    <col min="21" max="21" width="16.7109375" style="69" customWidth="1"/>
    <col min="22" max="22" width="12.7109375" style="69" customWidth="1"/>
    <col min="23" max="23" width="16.85546875" style="69" customWidth="1"/>
    <col min="24" max="24" width="10.7109375" style="69" customWidth="1"/>
    <col min="25" max="25" width="14.140625" style="69" customWidth="1"/>
    <col min="26" max="26" width="9.7109375" style="69" customWidth="1"/>
    <col min="27" max="27" width="14.140625" style="69" customWidth="1"/>
    <col min="28" max="16384" width="9.140625" style="69"/>
  </cols>
  <sheetData>
    <row r="1" spans="1:52" x14ac:dyDescent="0.2">
      <c r="A1" s="835" t="s">
        <v>511</v>
      </c>
      <c r="B1" s="837"/>
      <c r="C1" s="902" t="str">
        <f>Cover!B1</f>
        <v>22-XXXX</v>
      </c>
      <c r="D1" s="903"/>
      <c r="E1" s="903"/>
      <c r="F1" s="904"/>
      <c r="G1" s="69"/>
      <c r="H1" s="69"/>
      <c r="I1" s="69"/>
    </row>
    <row r="2" spans="1:52" x14ac:dyDescent="0.2">
      <c r="A2" s="885" t="s">
        <v>1236</v>
      </c>
      <c r="B2" s="886"/>
      <c r="C2" s="887"/>
      <c r="D2" s="888"/>
      <c r="E2" s="888"/>
      <c r="F2" s="889"/>
      <c r="G2" s="69"/>
      <c r="H2" s="69"/>
      <c r="I2" s="69"/>
    </row>
    <row r="3" spans="1:52" x14ac:dyDescent="0.2">
      <c r="A3" s="885" t="s">
        <v>522</v>
      </c>
      <c r="B3" s="886"/>
      <c r="C3" s="905">
        <f>Cover!B2</f>
        <v>0</v>
      </c>
      <c r="D3" s="906"/>
      <c r="E3" s="906"/>
      <c r="F3" s="907"/>
      <c r="G3" s="69"/>
      <c r="H3" s="69"/>
      <c r="I3" s="69"/>
    </row>
    <row r="4" spans="1:52" x14ac:dyDescent="0.2">
      <c r="A4" s="885" t="s">
        <v>1229</v>
      </c>
      <c r="B4" s="886"/>
      <c r="C4" s="884">
        <f>Cover!B7</f>
        <v>0</v>
      </c>
      <c r="D4" s="817"/>
      <c r="E4" s="817"/>
      <c r="F4" s="818"/>
      <c r="G4" s="69"/>
      <c r="H4" s="69"/>
      <c r="I4" s="69"/>
    </row>
    <row r="5" spans="1:52" x14ac:dyDescent="0.2">
      <c r="A5" s="885" t="s">
        <v>528</v>
      </c>
      <c r="B5" s="886"/>
      <c r="C5" s="887" t="s">
        <v>365</v>
      </c>
      <c r="D5" s="888"/>
      <c r="E5" s="888"/>
      <c r="F5" s="889"/>
      <c r="G5" s="69"/>
      <c r="H5" s="69"/>
      <c r="I5" s="69"/>
    </row>
    <row r="6" spans="1:52" ht="15.75" customHeight="1" x14ac:dyDescent="0.2">
      <c r="A6" s="885" t="s">
        <v>512</v>
      </c>
      <c r="B6" s="886"/>
      <c r="C6" s="887" t="s">
        <v>366</v>
      </c>
      <c r="D6" s="888"/>
      <c r="E6" s="888"/>
      <c r="F6" s="889"/>
      <c r="G6" s="69"/>
      <c r="H6" s="69"/>
      <c r="I6" s="69"/>
    </row>
    <row r="7" spans="1:52" ht="15.75" customHeight="1" x14ac:dyDescent="0.2">
      <c r="A7" s="885" t="s">
        <v>612</v>
      </c>
      <c r="B7" s="886"/>
      <c r="C7" s="887" t="s">
        <v>121</v>
      </c>
      <c r="D7" s="888"/>
      <c r="E7" s="888"/>
      <c r="F7" s="889"/>
      <c r="G7" s="69"/>
      <c r="H7" s="69"/>
      <c r="I7" s="69"/>
    </row>
    <row r="8" spans="1:52" ht="2.25" customHeight="1" thickBot="1" x14ac:dyDescent="0.25">
      <c r="A8" s="900"/>
      <c r="B8" s="901"/>
      <c r="C8" s="894"/>
      <c r="D8" s="895"/>
      <c r="E8" s="895"/>
      <c r="F8" s="896"/>
      <c r="G8" s="69"/>
      <c r="H8" s="69"/>
      <c r="I8" s="69"/>
    </row>
    <row r="9" spans="1:52" s="73" customFormat="1" x14ac:dyDescent="0.2">
      <c r="A9" s="442">
        <v>39</v>
      </c>
      <c r="B9" s="443" t="s">
        <v>615</v>
      </c>
      <c r="D9" s="444"/>
      <c r="E9" s="444"/>
      <c r="F9" s="445"/>
    </row>
    <row r="10" spans="1:52" s="73" customFormat="1" ht="16.5" thickBot="1" x14ac:dyDescent="0.25">
      <c r="A10" s="446"/>
      <c r="D10" s="444"/>
      <c r="E10" s="444"/>
      <c r="F10" s="445"/>
      <c r="G10" s="447"/>
      <c r="H10" s="444"/>
      <c r="I10" s="444"/>
      <c r="J10" s="444"/>
    </row>
    <row r="11" spans="1:52" ht="19.5" thickBot="1" x14ac:dyDescent="0.25">
      <c r="A11" s="448" t="s">
        <v>613</v>
      </c>
      <c r="B11" s="449"/>
      <c r="C11" s="73"/>
      <c r="D11" s="444"/>
      <c r="E11" s="444"/>
      <c r="F11" s="445"/>
      <c r="G11" s="447"/>
      <c r="H11" s="444"/>
      <c r="I11" s="444"/>
      <c r="J11" s="444"/>
    </row>
    <row r="12" spans="1:52" s="78" customFormat="1" ht="16.5" thickBot="1" x14ac:dyDescent="0.25">
      <c r="A12" s="897" t="s">
        <v>616</v>
      </c>
      <c r="B12" s="898"/>
      <c r="C12" s="898"/>
      <c r="D12" s="898"/>
      <c r="E12" s="898"/>
      <c r="F12" s="898"/>
      <c r="G12" s="898"/>
      <c r="H12" s="898"/>
      <c r="I12" s="898"/>
      <c r="J12" s="899"/>
    </row>
    <row r="13" spans="1:52" ht="17.25" customHeight="1" x14ac:dyDescent="0.2">
      <c r="A13" s="450" t="s">
        <v>617</v>
      </c>
      <c r="B13" s="881" t="s">
        <v>618</v>
      </c>
      <c r="C13" s="881"/>
      <c r="D13" s="881"/>
      <c r="E13" s="881"/>
      <c r="F13" s="881"/>
      <c r="G13" s="881"/>
      <c r="H13" s="881"/>
      <c r="I13" s="881"/>
      <c r="J13" s="882" t="s">
        <v>622</v>
      </c>
      <c r="K13" s="883"/>
      <c r="L13" s="890" t="s">
        <v>623</v>
      </c>
      <c r="M13" s="891"/>
      <c r="N13" s="350" t="s">
        <v>4</v>
      </c>
    </row>
    <row r="14" spans="1:52" s="81" customFormat="1" x14ac:dyDescent="0.2">
      <c r="A14" s="451"/>
      <c r="B14" s="862"/>
      <c r="C14" s="892"/>
      <c r="D14" s="892"/>
      <c r="E14" s="892"/>
      <c r="F14" s="892"/>
      <c r="G14" s="892"/>
      <c r="H14" s="892"/>
      <c r="I14" s="892"/>
      <c r="J14" s="870"/>
      <c r="K14" s="855"/>
      <c r="L14" s="893"/>
      <c r="M14" s="871"/>
      <c r="N14" s="349" t="str">
        <f>IF($A14&gt;0,$A14,"")</f>
        <v/>
      </c>
    </row>
    <row r="15" spans="1:52" s="453" customFormat="1" x14ac:dyDescent="0.2">
      <c r="A15" s="452"/>
      <c r="B15" s="879"/>
      <c r="C15" s="880"/>
      <c r="D15" s="880"/>
      <c r="E15" s="880"/>
      <c r="F15" s="880"/>
      <c r="G15" s="880"/>
      <c r="H15" s="880"/>
      <c r="I15" s="880"/>
      <c r="J15" s="870"/>
      <c r="K15" s="855"/>
      <c r="L15" s="870"/>
      <c r="M15" s="871"/>
      <c r="N15" s="349" t="str">
        <f>IF($A15&gt;0,$A15,"")</f>
        <v/>
      </c>
      <c r="AZ15" s="81"/>
    </row>
    <row r="16" spans="1:52" s="453" customFormat="1" x14ac:dyDescent="0.2">
      <c r="A16" s="452"/>
      <c r="B16" s="879"/>
      <c r="C16" s="880"/>
      <c r="D16" s="880"/>
      <c r="E16" s="880"/>
      <c r="F16" s="880"/>
      <c r="G16" s="880"/>
      <c r="H16" s="880"/>
      <c r="I16" s="880"/>
      <c r="J16" s="870"/>
      <c r="K16" s="855"/>
      <c r="L16" s="870"/>
      <c r="M16" s="871"/>
      <c r="N16" s="349" t="str">
        <f>IF($A16&gt;0,$A16,"")</f>
        <v/>
      </c>
      <c r="AZ16" s="81"/>
    </row>
    <row r="17" spans="1:52" s="453" customFormat="1" ht="16.5" thickBot="1" x14ac:dyDescent="0.25">
      <c r="A17" s="454"/>
      <c r="B17" s="864"/>
      <c r="C17" s="865"/>
      <c r="D17" s="865"/>
      <c r="E17" s="865"/>
      <c r="F17" s="865"/>
      <c r="G17" s="865"/>
      <c r="H17" s="865"/>
      <c r="I17" s="865"/>
      <c r="J17" s="866"/>
      <c r="K17" s="867"/>
      <c r="L17" s="857"/>
      <c r="M17" s="858"/>
      <c r="N17" s="349" t="str">
        <f>IF($A17&gt;0,$A17,"")</f>
        <v/>
      </c>
      <c r="AZ17" s="81"/>
    </row>
    <row r="18" spans="1:52" s="462" customFormat="1" ht="16.5" thickBot="1" x14ac:dyDescent="0.25">
      <c r="A18" s="455"/>
      <c r="B18" s="456"/>
      <c r="C18" s="457"/>
      <c r="D18" s="458"/>
      <c r="E18" s="458"/>
      <c r="F18" s="459"/>
      <c r="G18" s="459"/>
      <c r="H18" s="460"/>
      <c r="I18" s="461"/>
      <c r="J18" s="461"/>
      <c r="K18" s="457"/>
      <c r="L18" s="457"/>
      <c r="M18" s="457"/>
      <c r="N18" s="349" t="str">
        <f>IF($A18&gt;0,$A18,"")</f>
        <v/>
      </c>
      <c r="O18" s="457"/>
      <c r="P18" s="457"/>
      <c r="Q18" s="457"/>
      <c r="AZ18" s="81"/>
    </row>
    <row r="19" spans="1:52" s="462" customFormat="1" ht="19.5" thickBot="1" x14ac:dyDescent="0.25">
      <c r="A19" s="448" t="s">
        <v>419</v>
      </c>
      <c r="B19" s="463"/>
      <c r="I19" s="461"/>
      <c r="J19" s="461"/>
      <c r="K19" s="457"/>
      <c r="L19" s="457"/>
      <c r="M19" s="457"/>
      <c r="N19" s="457"/>
      <c r="O19" s="457"/>
      <c r="P19" s="457"/>
      <c r="Q19" s="457"/>
    </row>
    <row r="20" spans="1:52" s="462" customFormat="1" x14ac:dyDescent="0.2">
      <c r="A20" s="464" t="s">
        <v>419</v>
      </c>
      <c r="B20" s="859" t="s">
        <v>618</v>
      </c>
      <c r="C20" s="860"/>
      <c r="D20" s="860"/>
      <c r="E20" s="860"/>
      <c r="F20" s="860"/>
      <c r="G20" s="860"/>
      <c r="H20" s="861"/>
      <c r="I20" s="461"/>
      <c r="J20" s="461"/>
      <c r="K20" s="457"/>
      <c r="L20" s="457"/>
      <c r="M20" s="457"/>
      <c r="N20" s="457"/>
      <c r="O20" s="457"/>
      <c r="P20" s="457"/>
      <c r="Q20" s="457"/>
    </row>
    <row r="21" spans="1:52" s="467" customFormat="1" x14ac:dyDescent="0.2">
      <c r="A21" s="451"/>
      <c r="B21" s="862"/>
      <c r="C21" s="862"/>
      <c r="D21" s="862"/>
      <c r="E21" s="862"/>
      <c r="F21" s="862"/>
      <c r="G21" s="862"/>
      <c r="H21" s="863"/>
      <c r="I21" s="220"/>
      <c r="J21" s="465"/>
      <c r="K21" s="466"/>
      <c r="L21" s="466"/>
      <c r="M21" s="466"/>
      <c r="N21" s="466"/>
      <c r="O21" s="466"/>
      <c r="P21" s="466"/>
      <c r="Q21" s="466"/>
    </row>
    <row r="22" spans="1:52" s="467" customFormat="1" x14ac:dyDescent="0.2">
      <c r="A22" s="468"/>
      <c r="B22" s="862"/>
      <c r="C22" s="862"/>
      <c r="D22" s="862"/>
      <c r="E22" s="862"/>
      <c r="F22" s="862"/>
      <c r="G22" s="862"/>
      <c r="H22" s="863"/>
      <c r="I22" s="465"/>
      <c r="J22" s="465"/>
      <c r="K22" s="466"/>
      <c r="L22" s="466"/>
      <c r="M22" s="466"/>
      <c r="N22" s="466"/>
      <c r="O22" s="466"/>
      <c r="P22" s="466"/>
      <c r="Q22" s="466"/>
    </row>
    <row r="23" spans="1:52" s="467" customFormat="1" x14ac:dyDescent="0.2">
      <c r="A23" s="468"/>
      <c r="B23" s="854"/>
      <c r="C23" s="855"/>
      <c r="D23" s="855"/>
      <c r="E23" s="855"/>
      <c r="F23" s="855"/>
      <c r="G23" s="855"/>
      <c r="H23" s="856"/>
      <c r="I23" s="465"/>
      <c r="J23" s="465"/>
      <c r="K23" s="466"/>
      <c r="L23" s="466"/>
      <c r="M23" s="466"/>
      <c r="N23" s="466"/>
      <c r="O23" s="466"/>
      <c r="P23" s="466"/>
      <c r="Q23" s="466"/>
    </row>
    <row r="24" spans="1:52" s="467" customFormat="1" ht="16.5" thickBot="1" x14ac:dyDescent="0.25">
      <c r="A24" s="469"/>
      <c r="B24" s="877"/>
      <c r="C24" s="867"/>
      <c r="D24" s="867"/>
      <c r="E24" s="867"/>
      <c r="F24" s="867"/>
      <c r="G24" s="867"/>
      <c r="H24" s="878"/>
      <c r="I24" s="465"/>
      <c r="J24" s="465"/>
      <c r="K24" s="466"/>
      <c r="L24" s="466"/>
      <c r="M24" s="466"/>
      <c r="N24" s="466"/>
      <c r="O24" s="466"/>
      <c r="P24" s="466"/>
      <c r="Q24" s="466"/>
    </row>
    <row r="25" spans="1:52" s="462" customFormat="1" ht="16.5" thickBot="1" x14ac:dyDescent="0.25">
      <c r="A25" s="456"/>
      <c r="B25" s="95"/>
      <c r="C25" s="95"/>
      <c r="D25" s="95"/>
      <c r="E25" s="95"/>
      <c r="F25" s="95"/>
      <c r="G25" s="95"/>
      <c r="H25" s="95"/>
      <c r="I25" s="461"/>
      <c r="J25" s="461"/>
      <c r="K25" s="457"/>
      <c r="L25" s="457"/>
      <c r="M25" s="457"/>
      <c r="N25" s="457"/>
      <c r="O25" s="457"/>
      <c r="P25" s="457"/>
      <c r="Q25" s="457"/>
      <c r="R25" s="457"/>
      <c r="S25" s="457"/>
      <c r="T25" s="457"/>
      <c r="U25" s="457"/>
    </row>
    <row r="26" spans="1:52" s="462" customFormat="1" ht="19.5" thickBot="1" x14ac:dyDescent="0.25">
      <c r="A26" s="448" t="s">
        <v>624</v>
      </c>
      <c r="B26" s="449"/>
      <c r="I26" s="461"/>
      <c r="J26" s="461"/>
      <c r="K26" s="457"/>
      <c r="L26" s="457"/>
      <c r="M26" s="457"/>
      <c r="N26" s="457"/>
      <c r="O26" s="457"/>
      <c r="P26" s="457"/>
      <c r="Q26" s="457"/>
      <c r="R26" s="457"/>
      <c r="S26" s="457"/>
      <c r="T26" s="457"/>
      <c r="U26" s="457"/>
    </row>
    <row r="27" spans="1:52" s="462" customFormat="1" x14ac:dyDescent="0.2">
      <c r="A27" s="223" t="s">
        <v>886</v>
      </c>
      <c r="B27" s="470"/>
      <c r="C27" s="471"/>
      <c r="D27" s="472"/>
      <c r="E27" s="472"/>
      <c r="F27" s="473"/>
      <c r="G27" s="473"/>
      <c r="H27" s="473"/>
      <c r="I27" s="474"/>
      <c r="J27" s="475"/>
      <c r="K27" s="476"/>
      <c r="L27" s="457"/>
      <c r="M27" s="457"/>
      <c r="N27" s="457"/>
      <c r="O27" s="457"/>
      <c r="P27" s="457"/>
      <c r="Q27" s="457"/>
      <c r="R27" s="457"/>
      <c r="S27" s="457"/>
      <c r="T27" s="457"/>
      <c r="U27" s="457"/>
    </row>
    <row r="28" spans="1:52" s="462" customFormat="1" x14ac:dyDescent="0.2">
      <c r="A28" s="96" t="s">
        <v>626</v>
      </c>
      <c r="B28" s="214"/>
      <c r="C28" s="477"/>
      <c r="D28" s="478"/>
      <c r="E28" s="478"/>
      <c r="F28" s="479"/>
      <c r="G28" s="479"/>
      <c r="H28" s="479"/>
      <c r="I28" s="480"/>
      <c r="J28" s="481"/>
      <c r="K28" s="482"/>
      <c r="L28" s="457"/>
      <c r="M28" s="457"/>
      <c r="N28" s="457"/>
      <c r="O28" s="457"/>
      <c r="P28" s="457"/>
      <c r="Q28" s="457"/>
      <c r="R28" s="457"/>
    </row>
    <row r="29" spans="1:52" s="462" customFormat="1" ht="16.5" thickBot="1" x14ac:dyDescent="0.25">
      <c r="A29" s="110" t="s">
        <v>172</v>
      </c>
      <c r="B29" s="483"/>
      <c r="C29" s="484"/>
      <c r="D29" s="485"/>
      <c r="E29" s="485"/>
      <c r="F29" s="486"/>
      <c r="G29" s="486"/>
      <c r="H29" s="486"/>
      <c r="I29" s="487"/>
      <c r="J29" s="488"/>
      <c r="K29" s="489"/>
      <c r="L29" s="457"/>
      <c r="M29" s="457"/>
      <c r="N29" s="457"/>
      <c r="O29" s="457"/>
      <c r="P29" s="457"/>
      <c r="Q29" s="457"/>
      <c r="R29" s="457"/>
      <c r="S29" s="118"/>
      <c r="T29" s="118"/>
      <c r="U29" s="118"/>
      <c r="V29" s="457"/>
    </row>
    <row r="30" spans="1:52" s="491" customFormat="1" ht="32.25" customHeight="1" x14ac:dyDescent="0.2">
      <c r="A30" s="875" t="s">
        <v>627</v>
      </c>
      <c r="B30" s="868" t="s">
        <v>628</v>
      </c>
      <c r="C30" s="868" t="s">
        <v>11</v>
      </c>
      <c r="D30" s="868" t="s">
        <v>12</v>
      </c>
      <c r="E30" s="868" t="s">
        <v>13</v>
      </c>
      <c r="F30" s="868" t="s">
        <v>14</v>
      </c>
      <c r="G30" s="868" t="s">
        <v>15</v>
      </c>
      <c r="H30" s="868" t="s">
        <v>16</v>
      </c>
      <c r="I30" s="868" t="s">
        <v>17</v>
      </c>
      <c r="J30" s="868" t="s">
        <v>18</v>
      </c>
      <c r="K30" s="868" t="s">
        <v>19</v>
      </c>
      <c r="L30" s="868" t="s">
        <v>20</v>
      </c>
      <c r="M30" s="490"/>
      <c r="N30" s="490"/>
      <c r="O30" s="490"/>
      <c r="P30" s="490"/>
      <c r="Q30" s="490"/>
      <c r="R30" s="490"/>
      <c r="S30" s="490"/>
      <c r="T30" s="490"/>
      <c r="U30" s="490"/>
      <c r="V30" s="868" t="s">
        <v>22</v>
      </c>
      <c r="W30" s="868" t="s">
        <v>23</v>
      </c>
      <c r="X30" s="868" t="s">
        <v>24</v>
      </c>
      <c r="Y30" s="922" t="s">
        <v>352</v>
      </c>
    </row>
    <row r="31" spans="1:52" s="491" customFormat="1" ht="16.5" thickBot="1" x14ac:dyDescent="0.25">
      <c r="A31" s="876"/>
      <c r="B31" s="869"/>
      <c r="C31" s="869"/>
      <c r="D31" s="869"/>
      <c r="E31" s="869"/>
      <c r="F31" s="869"/>
      <c r="G31" s="872"/>
      <c r="H31" s="869"/>
      <c r="I31" s="869"/>
      <c r="J31" s="869"/>
      <c r="K31" s="869"/>
      <c r="L31" s="869"/>
      <c r="M31" s="492"/>
      <c r="N31" s="492"/>
      <c r="O31" s="492"/>
      <c r="P31" s="492"/>
      <c r="Q31" s="492"/>
      <c r="R31" s="492"/>
      <c r="S31" s="492"/>
      <c r="T31" s="492"/>
      <c r="U31" s="492"/>
      <c r="V31" s="869"/>
      <c r="W31" s="869"/>
      <c r="X31" s="869"/>
      <c r="Y31" s="923"/>
    </row>
    <row r="32" spans="1:52" s="136" customFormat="1" x14ac:dyDescent="0.2">
      <c r="A32" s="493"/>
      <c r="B32" s="49"/>
      <c r="C32" s="225"/>
      <c r="D32" s="225"/>
      <c r="E32" s="225"/>
      <c r="F32" s="225"/>
      <c r="G32" s="120"/>
      <c r="H32" s="225"/>
      <c r="I32" s="263"/>
      <c r="J32" s="263"/>
      <c r="K32" s="263"/>
      <c r="L32" s="263"/>
      <c r="M32" s="120"/>
      <c r="N32" s="120"/>
      <c r="O32" s="120"/>
      <c r="P32" s="226"/>
      <c r="Q32" s="226"/>
      <c r="R32" s="226"/>
      <c r="S32" s="120"/>
      <c r="T32" s="120"/>
      <c r="U32" s="120"/>
      <c r="V32" s="227"/>
      <c r="W32" s="227"/>
      <c r="X32" s="120"/>
      <c r="Y32" s="121"/>
    </row>
    <row r="33" spans="1:27" s="136" customFormat="1" x14ac:dyDescent="0.2">
      <c r="A33" s="494"/>
      <c r="B33" s="123"/>
      <c r="C33" s="123"/>
      <c r="D33" s="123"/>
      <c r="E33" s="123"/>
      <c r="F33" s="123"/>
      <c r="G33" s="124"/>
      <c r="H33" s="123"/>
      <c r="I33" s="255"/>
      <c r="J33" s="255"/>
      <c r="K33" s="255"/>
      <c r="L33" s="255"/>
      <c r="M33" s="125"/>
      <c r="N33" s="124"/>
      <c r="O33" s="124"/>
      <c r="P33" s="125"/>
      <c r="Q33" s="125"/>
      <c r="R33" s="125"/>
      <c r="S33" s="124"/>
      <c r="T33" s="124"/>
      <c r="U33" s="124"/>
      <c r="V33" s="126"/>
      <c r="W33" s="126"/>
      <c r="X33" s="124"/>
      <c r="Y33" s="127"/>
    </row>
    <row r="34" spans="1:27" s="136" customFormat="1" x14ac:dyDescent="0.2">
      <c r="A34" s="494"/>
      <c r="B34" s="123"/>
      <c r="C34" s="123"/>
      <c r="D34" s="123"/>
      <c r="E34" s="123"/>
      <c r="F34" s="123"/>
      <c r="G34" s="124"/>
      <c r="H34" s="123"/>
      <c r="I34" s="255"/>
      <c r="J34" s="255"/>
      <c r="K34" s="255"/>
      <c r="L34" s="255"/>
      <c r="M34" s="125"/>
      <c r="N34" s="124"/>
      <c r="O34" s="124"/>
      <c r="P34" s="125"/>
      <c r="Q34" s="125"/>
      <c r="R34" s="125"/>
      <c r="S34" s="124"/>
      <c r="T34" s="124"/>
      <c r="U34" s="124"/>
      <c r="V34" s="126"/>
      <c r="W34" s="126"/>
      <c r="X34" s="124"/>
      <c r="Y34" s="127"/>
    </row>
    <row r="35" spans="1:27" s="136" customFormat="1" ht="16.5" thickBot="1" x14ac:dyDescent="0.25">
      <c r="A35" s="495"/>
      <c r="B35" s="128"/>
      <c r="C35" s="128"/>
      <c r="D35" s="128"/>
      <c r="E35" s="128"/>
      <c r="F35" s="128"/>
      <c r="G35" s="129"/>
      <c r="H35" s="128"/>
      <c r="I35" s="256"/>
      <c r="J35" s="256"/>
      <c r="K35" s="256"/>
      <c r="L35" s="256"/>
      <c r="M35" s="129"/>
      <c r="N35" s="129"/>
      <c r="O35" s="129"/>
      <c r="P35" s="130"/>
      <c r="Q35" s="130"/>
      <c r="R35" s="130"/>
      <c r="S35" s="129"/>
      <c r="T35" s="129"/>
      <c r="U35" s="129"/>
      <c r="V35" s="131"/>
      <c r="W35" s="131"/>
      <c r="X35" s="129"/>
      <c r="Y35" s="132"/>
    </row>
    <row r="36" spans="1:27" s="73" customFormat="1" x14ac:dyDescent="0.2">
      <c r="A36" s="133"/>
      <c r="B36" s="133"/>
      <c r="C36" s="133"/>
      <c r="D36" s="133"/>
      <c r="E36" s="133"/>
      <c r="F36" s="133"/>
      <c r="G36" s="118"/>
      <c r="H36" s="118"/>
      <c r="I36" s="118"/>
      <c r="J36" s="118"/>
      <c r="K36" s="118"/>
      <c r="L36" s="118"/>
      <c r="M36" s="134"/>
      <c r="N36" s="118"/>
      <c r="O36" s="159"/>
      <c r="P36" s="159"/>
      <c r="Q36" s="159"/>
      <c r="R36" s="159"/>
      <c r="S36" s="159"/>
      <c r="T36" s="159"/>
      <c r="U36" s="159"/>
    </row>
    <row r="37" spans="1:27" s="73" customFormat="1" ht="16.5" thickBot="1" x14ac:dyDescent="0.25">
      <c r="A37" s="133"/>
      <c r="B37" s="133"/>
      <c r="C37" s="133"/>
      <c r="D37" s="133"/>
      <c r="E37" s="133"/>
      <c r="F37" s="133"/>
      <c r="G37" s="118"/>
      <c r="H37" s="118"/>
      <c r="I37" s="118"/>
      <c r="J37" s="118"/>
      <c r="K37" s="118"/>
      <c r="N37" s="118"/>
      <c r="O37" s="159"/>
      <c r="P37" s="159"/>
      <c r="Q37" s="159"/>
      <c r="R37" s="159"/>
      <c r="S37" s="159"/>
      <c r="T37" s="159"/>
      <c r="U37" s="159"/>
    </row>
    <row r="38" spans="1:27" s="73" customFormat="1" ht="16.5" thickBot="1" x14ac:dyDescent="0.25">
      <c r="A38" s="496" t="s">
        <v>25</v>
      </c>
      <c r="B38" s="133"/>
      <c r="C38" s="133"/>
      <c r="D38" s="133"/>
      <c r="E38" s="133"/>
      <c r="F38" s="133"/>
      <c r="G38" s="118"/>
      <c r="H38" s="118"/>
      <c r="I38" s="118"/>
      <c r="J38" s="118"/>
      <c r="K38" s="118"/>
      <c r="M38" s="118"/>
      <c r="N38" s="118"/>
      <c r="O38" s="159"/>
      <c r="P38" s="136"/>
      <c r="Q38" s="136"/>
      <c r="R38" s="136"/>
      <c r="S38" s="466"/>
      <c r="T38" s="466"/>
      <c r="U38" s="466"/>
    </row>
    <row r="39" spans="1:27" s="73" customFormat="1" ht="15.75" customHeight="1" x14ac:dyDescent="0.2">
      <c r="A39" s="875" t="s">
        <v>627</v>
      </c>
      <c r="B39" s="868" t="s">
        <v>628</v>
      </c>
      <c r="C39" s="868" t="s">
        <v>11</v>
      </c>
      <c r="D39" s="868" t="s">
        <v>12</v>
      </c>
      <c r="E39" s="868" t="s">
        <v>13</v>
      </c>
      <c r="F39" s="868" t="s">
        <v>14</v>
      </c>
      <c r="G39" s="868" t="s">
        <v>15</v>
      </c>
      <c r="H39" s="868" t="s">
        <v>16</v>
      </c>
      <c r="I39" s="868" t="s">
        <v>26</v>
      </c>
      <c r="J39" s="868" t="s">
        <v>27</v>
      </c>
      <c r="K39" s="945" t="s">
        <v>295</v>
      </c>
      <c r="L39" s="497" t="s">
        <v>63</v>
      </c>
      <c r="M39" s="498" t="s">
        <v>64</v>
      </c>
      <c r="N39" s="499" t="s">
        <v>65</v>
      </c>
      <c r="O39" s="490"/>
      <c r="P39" s="490"/>
      <c r="Q39" s="490"/>
      <c r="R39" s="490"/>
      <c r="S39" s="490"/>
      <c r="T39" s="490"/>
      <c r="U39" s="490"/>
      <c r="V39" s="868" t="s">
        <v>22</v>
      </c>
      <c r="W39" s="868" t="s">
        <v>23</v>
      </c>
      <c r="X39" s="868" t="s">
        <v>24</v>
      </c>
      <c r="Y39" s="922" t="s">
        <v>352</v>
      </c>
    </row>
    <row r="40" spans="1:27" s="73" customFormat="1" ht="31.7" customHeight="1" thickBot="1" x14ac:dyDescent="0.25">
      <c r="A40" s="876"/>
      <c r="B40" s="869"/>
      <c r="C40" s="869"/>
      <c r="D40" s="869"/>
      <c r="E40" s="869"/>
      <c r="F40" s="869"/>
      <c r="G40" s="872"/>
      <c r="H40" s="869"/>
      <c r="I40" s="869"/>
      <c r="J40" s="869"/>
      <c r="K40" s="946"/>
      <c r="L40" s="500" t="s">
        <v>66</v>
      </c>
      <c r="M40" s="501" t="s">
        <v>67</v>
      </c>
      <c r="N40" s="502" t="s">
        <v>68</v>
      </c>
      <c r="O40" s="503"/>
      <c r="P40" s="492"/>
      <c r="Q40" s="492"/>
      <c r="R40" s="492"/>
      <c r="S40" s="492"/>
      <c r="T40" s="492"/>
      <c r="U40" s="492"/>
      <c r="V40" s="869"/>
      <c r="W40" s="869"/>
      <c r="X40" s="869"/>
      <c r="Y40" s="923"/>
    </row>
    <row r="41" spans="1:27" s="136" customFormat="1" x14ac:dyDescent="0.2">
      <c r="A41" s="493"/>
      <c r="B41" s="225"/>
      <c r="C41" s="225"/>
      <c r="D41" s="225"/>
      <c r="E41" s="225"/>
      <c r="F41" s="225"/>
      <c r="G41" s="120"/>
      <c r="H41" s="225"/>
      <c r="I41" s="263"/>
      <c r="J41" s="263"/>
      <c r="K41" s="265"/>
      <c r="L41" s="268"/>
      <c r="M41" s="120"/>
      <c r="N41" s="121"/>
      <c r="O41" s="269"/>
      <c r="P41" s="226"/>
      <c r="Q41" s="226"/>
      <c r="R41" s="226"/>
      <c r="S41" s="120"/>
      <c r="T41" s="120"/>
      <c r="U41" s="120"/>
      <c r="V41" s="227"/>
      <c r="W41" s="227"/>
      <c r="X41" s="120"/>
      <c r="Y41" s="121"/>
    </row>
    <row r="42" spans="1:27" s="136" customFormat="1" x14ac:dyDescent="0.2">
      <c r="A42" s="494"/>
      <c r="B42" s="123"/>
      <c r="C42" s="123"/>
      <c r="D42" s="123"/>
      <c r="E42" s="123"/>
      <c r="F42" s="123"/>
      <c r="G42" s="124"/>
      <c r="H42" s="123"/>
      <c r="I42" s="255"/>
      <c r="J42" s="255"/>
      <c r="K42" s="266"/>
      <c r="L42" s="259"/>
      <c r="M42" s="124"/>
      <c r="N42" s="127"/>
      <c r="O42" s="248"/>
      <c r="P42" s="125"/>
      <c r="Q42" s="125"/>
      <c r="R42" s="125"/>
      <c r="S42" s="124"/>
      <c r="T42" s="124"/>
      <c r="U42" s="124"/>
      <c r="V42" s="126"/>
      <c r="W42" s="126"/>
      <c r="X42" s="124"/>
      <c r="Y42" s="127"/>
    </row>
    <row r="43" spans="1:27" s="136" customFormat="1" x14ac:dyDescent="0.2">
      <c r="A43" s="494"/>
      <c r="B43" s="123"/>
      <c r="C43" s="123"/>
      <c r="D43" s="123"/>
      <c r="E43" s="123"/>
      <c r="F43" s="123"/>
      <c r="G43" s="124"/>
      <c r="H43" s="123"/>
      <c r="I43" s="255"/>
      <c r="J43" s="255"/>
      <c r="K43" s="266"/>
      <c r="L43" s="259"/>
      <c r="M43" s="124"/>
      <c r="N43" s="127"/>
      <c r="O43" s="248"/>
      <c r="P43" s="125"/>
      <c r="Q43" s="125"/>
      <c r="R43" s="125"/>
      <c r="S43" s="124"/>
      <c r="T43" s="124"/>
      <c r="U43" s="124"/>
      <c r="V43" s="126"/>
      <c r="W43" s="126"/>
      <c r="X43" s="124"/>
      <c r="Y43" s="127"/>
    </row>
    <row r="44" spans="1:27" s="136" customFormat="1" ht="16.5" thickBot="1" x14ac:dyDescent="0.25">
      <c r="A44" s="495"/>
      <c r="B44" s="128"/>
      <c r="C44" s="128"/>
      <c r="D44" s="128"/>
      <c r="E44" s="128"/>
      <c r="F44" s="128"/>
      <c r="G44" s="129"/>
      <c r="H44" s="128"/>
      <c r="I44" s="256"/>
      <c r="J44" s="256"/>
      <c r="K44" s="267"/>
      <c r="L44" s="137"/>
      <c r="M44" s="129"/>
      <c r="N44" s="132"/>
      <c r="O44" s="137"/>
      <c r="P44" s="129"/>
      <c r="Q44" s="129"/>
      <c r="R44" s="129"/>
      <c r="S44" s="129"/>
      <c r="T44" s="129"/>
      <c r="U44" s="129"/>
      <c r="V44" s="131"/>
      <c r="W44" s="131"/>
      <c r="X44" s="129"/>
      <c r="Y44" s="132"/>
    </row>
    <row r="45" spans="1:27" s="73" customFormat="1" x14ac:dyDescent="0.2">
      <c r="A45" s="133"/>
      <c r="B45" s="133"/>
      <c r="C45" s="133"/>
      <c r="D45" s="133"/>
      <c r="E45" s="133"/>
      <c r="F45" s="133"/>
      <c r="G45" s="118"/>
      <c r="H45" s="118"/>
      <c r="I45" s="118"/>
      <c r="J45" s="118"/>
      <c r="K45" s="118"/>
      <c r="L45" s="118"/>
      <c r="M45" s="118"/>
      <c r="N45" s="118"/>
      <c r="O45" s="160"/>
      <c r="P45" s="159"/>
      <c r="Q45" s="159"/>
      <c r="R45" s="159"/>
      <c r="S45" s="136"/>
      <c r="T45" s="136"/>
      <c r="U45" s="136"/>
      <c r="V45" s="118"/>
    </row>
    <row r="46" spans="1:27" s="73" customFormat="1" ht="16.5" thickBot="1" x14ac:dyDescent="0.25">
      <c r="A46" s="133"/>
      <c r="B46" s="133"/>
      <c r="C46" s="133"/>
      <c r="D46" s="133"/>
      <c r="E46" s="133"/>
      <c r="F46" s="133"/>
      <c r="G46" s="118"/>
      <c r="H46" s="118"/>
      <c r="I46" s="118"/>
      <c r="J46" s="118"/>
      <c r="K46" s="118"/>
      <c r="L46" s="118"/>
      <c r="M46" s="118"/>
      <c r="N46" s="118"/>
      <c r="O46" s="160"/>
      <c r="P46" s="159"/>
      <c r="Q46" s="159"/>
      <c r="R46" s="159"/>
      <c r="S46" s="136"/>
      <c r="T46" s="136"/>
      <c r="U46" s="136"/>
      <c r="V46" s="118"/>
    </row>
    <row r="47" spans="1:27" s="73" customFormat="1" ht="16.5" thickBot="1" x14ac:dyDescent="0.25">
      <c r="A47" s="822" t="s">
        <v>307</v>
      </c>
      <c r="B47" s="873"/>
      <c r="C47" s="873"/>
      <c r="D47" s="874"/>
      <c r="E47" s="133"/>
      <c r="F47" s="133"/>
      <c r="G47" s="118"/>
      <c r="H47" s="118"/>
      <c r="I47" s="118"/>
      <c r="J47" s="118"/>
      <c r="K47" s="118"/>
      <c r="L47" s="118"/>
      <c r="M47" s="118"/>
      <c r="N47" s="118"/>
      <c r="O47" s="136"/>
      <c r="P47" s="159"/>
      <c r="Q47" s="159"/>
      <c r="R47" s="159"/>
      <c r="S47" s="466"/>
      <c r="T47" s="466"/>
      <c r="U47" s="466"/>
      <c r="V47" s="118"/>
      <c r="W47" s="118"/>
    </row>
    <row r="48" spans="1:27" s="73" customFormat="1" ht="15.75" customHeight="1" x14ac:dyDescent="0.2">
      <c r="A48" s="875" t="s">
        <v>627</v>
      </c>
      <c r="B48" s="868" t="s">
        <v>628</v>
      </c>
      <c r="C48" s="868" t="s">
        <v>11</v>
      </c>
      <c r="D48" s="868" t="s">
        <v>12</v>
      </c>
      <c r="E48" s="868" t="s">
        <v>13</v>
      </c>
      <c r="F48" s="868" t="s">
        <v>14</v>
      </c>
      <c r="G48" s="868" t="s">
        <v>15</v>
      </c>
      <c r="H48" s="868" t="s">
        <v>16</v>
      </c>
      <c r="I48" s="868">
        <v>20</v>
      </c>
      <c r="J48" s="868">
        <v>40</v>
      </c>
      <c r="K48" s="868" t="s">
        <v>19</v>
      </c>
      <c r="L48" s="922" t="s">
        <v>20</v>
      </c>
      <c r="M48" s="943" t="s">
        <v>28</v>
      </c>
      <c r="N48" s="504" t="s">
        <v>69</v>
      </c>
      <c r="O48" s="498" t="s">
        <v>64</v>
      </c>
      <c r="P48" s="499" t="s">
        <v>65</v>
      </c>
      <c r="Q48" s="490" t="s">
        <v>147</v>
      </c>
      <c r="R48" s="490" t="s">
        <v>71</v>
      </c>
      <c r="S48" s="490"/>
      <c r="T48" s="490"/>
      <c r="U48" s="490"/>
      <c r="V48" s="490"/>
      <c r="W48" s="490"/>
      <c r="X48" s="868" t="s">
        <v>22</v>
      </c>
      <c r="Y48" s="868" t="s">
        <v>23</v>
      </c>
      <c r="Z48" s="868" t="s">
        <v>24</v>
      </c>
      <c r="AA48" s="922" t="s">
        <v>352</v>
      </c>
    </row>
    <row r="49" spans="1:27" s="73" customFormat="1" ht="48" thickBot="1" x14ac:dyDescent="0.25">
      <c r="A49" s="876"/>
      <c r="B49" s="869"/>
      <c r="C49" s="869"/>
      <c r="D49" s="869"/>
      <c r="E49" s="869"/>
      <c r="F49" s="869"/>
      <c r="G49" s="872"/>
      <c r="H49" s="869"/>
      <c r="I49" s="869"/>
      <c r="J49" s="869"/>
      <c r="K49" s="869"/>
      <c r="L49" s="923"/>
      <c r="M49" s="944"/>
      <c r="N49" s="505" t="s">
        <v>70</v>
      </c>
      <c r="O49" s="501" t="s">
        <v>67</v>
      </c>
      <c r="P49" s="502" t="s">
        <v>68</v>
      </c>
      <c r="Q49" s="503" t="s">
        <v>84</v>
      </c>
      <c r="R49" s="492" t="s">
        <v>84</v>
      </c>
      <c r="S49" s="492"/>
      <c r="T49" s="492"/>
      <c r="U49" s="492"/>
      <c r="V49" s="492"/>
      <c r="W49" s="492"/>
      <c r="X49" s="924"/>
      <c r="Y49" s="924"/>
      <c r="Z49" s="924"/>
      <c r="AA49" s="923"/>
    </row>
    <row r="50" spans="1:27" s="136" customFormat="1" x14ac:dyDescent="0.2">
      <c r="A50" s="493"/>
      <c r="B50" s="225"/>
      <c r="C50" s="225"/>
      <c r="D50" s="225"/>
      <c r="E50" s="225"/>
      <c r="F50" s="225"/>
      <c r="G50" s="120"/>
      <c r="H50" s="225"/>
      <c r="I50" s="263"/>
      <c r="J50" s="263"/>
      <c r="K50" s="263"/>
      <c r="L50" s="265"/>
      <c r="M50" s="270"/>
      <c r="N50" s="268"/>
      <c r="O50" s="120"/>
      <c r="P50" s="121"/>
      <c r="Q50" s="269"/>
      <c r="R50" s="226"/>
      <c r="S50" s="226"/>
      <c r="T50" s="226"/>
      <c r="U50" s="226"/>
      <c r="V50" s="120"/>
      <c r="W50" s="120"/>
      <c r="X50" s="227"/>
      <c r="Y50" s="227"/>
      <c r="Z50" s="120"/>
      <c r="AA50" s="121"/>
    </row>
    <row r="51" spans="1:27" s="136" customFormat="1" x14ac:dyDescent="0.2">
      <c r="A51" s="494"/>
      <c r="B51" s="123"/>
      <c r="C51" s="123"/>
      <c r="D51" s="123"/>
      <c r="E51" s="123"/>
      <c r="F51" s="123"/>
      <c r="G51" s="124"/>
      <c r="H51" s="123"/>
      <c r="I51" s="255"/>
      <c r="J51" s="255"/>
      <c r="K51" s="255"/>
      <c r="L51" s="266"/>
      <c r="M51" s="271"/>
      <c r="N51" s="259"/>
      <c r="O51" s="124"/>
      <c r="P51" s="127"/>
      <c r="Q51" s="248"/>
      <c r="R51" s="125"/>
      <c r="S51" s="125"/>
      <c r="T51" s="125"/>
      <c r="U51" s="125"/>
      <c r="V51" s="124"/>
      <c r="W51" s="124"/>
      <c r="X51" s="126"/>
      <c r="Y51" s="126"/>
      <c r="Z51" s="124"/>
      <c r="AA51" s="127"/>
    </row>
    <row r="52" spans="1:27" s="136" customFormat="1" x14ac:dyDescent="0.2">
      <c r="A52" s="494"/>
      <c r="B52" s="123"/>
      <c r="C52" s="123"/>
      <c r="D52" s="123"/>
      <c r="E52" s="123"/>
      <c r="F52" s="123"/>
      <c r="G52" s="124"/>
      <c r="H52" s="123"/>
      <c r="I52" s="255"/>
      <c r="J52" s="255"/>
      <c r="K52" s="255"/>
      <c r="L52" s="266"/>
      <c r="M52" s="271"/>
      <c r="N52" s="259"/>
      <c r="O52" s="124"/>
      <c r="P52" s="127"/>
      <c r="Q52" s="248"/>
      <c r="R52" s="125"/>
      <c r="S52" s="125"/>
      <c r="T52" s="125"/>
      <c r="U52" s="125"/>
      <c r="V52" s="124"/>
      <c r="W52" s="124"/>
      <c r="X52" s="126"/>
      <c r="Y52" s="126"/>
      <c r="Z52" s="124"/>
      <c r="AA52" s="127"/>
    </row>
    <row r="53" spans="1:27" s="136" customFormat="1" ht="16.5" thickBot="1" x14ac:dyDescent="0.25">
      <c r="A53" s="495"/>
      <c r="B53" s="128"/>
      <c r="C53" s="128"/>
      <c r="D53" s="128"/>
      <c r="E53" s="128"/>
      <c r="F53" s="128"/>
      <c r="G53" s="129"/>
      <c r="H53" s="128"/>
      <c r="I53" s="256"/>
      <c r="J53" s="256"/>
      <c r="K53" s="256"/>
      <c r="L53" s="267"/>
      <c r="M53" s="161"/>
      <c r="N53" s="137"/>
      <c r="O53" s="129"/>
      <c r="P53" s="132"/>
      <c r="Q53" s="137"/>
      <c r="R53" s="129"/>
      <c r="S53" s="129"/>
      <c r="T53" s="129"/>
      <c r="U53" s="129"/>
      <c r="V53" s="129"/>
      <c r="W53" s="129"/>
      <c r="X53" s="131"/>
      <c r="Y53" s="131"/>
      <c r="Z53" s="129"/>
      <c r="AA53" s="132"/>
    </row>
    <row r="54" spans="1:27" s="73" customFormat="1" x14ac:dyDescent="0.2">
      <c r="A54" s="133"/>
      <c r="B54" s="133"/>
      <c r="C54" s="133"/>
      <c r="D54" s="133"/>
      <c r="E54" s="133"/>
      <c r="F54" s="133"/>
      <c r="G54" s="118"/>
      <c r="H54" s="118"/>
      <c r="I54" s="118"/>
      <c r="J54" s="118"/>
      <c r="K54" s="118"/>
      <c r="M54" s="118"/>
    </row>
    <row r="55" spans="1:27" s="73" customFormat="1" x14ac:dyDescent="0.2">
      <c r="A55" s="133"/>
      <c r="B55" s="133"/>
      <c r="C55" s="133"/>
      <c r="D55" s="133"/>
      <c r="E55" s="133"/>
      <c r="F55" s="118"/>
      <c r="G55" s="118"/>
      <c r="H55" s="118"/>
      <c r="I55" s="118"/>
      <c r="J55" s="118"/>
      <c r="K55" s="134"/>
      <c r="L55" s="118"/>
      <c r="M55" s="118"/>
      <c r="N55" s="118"/>
      <c r="S55" s="118"/>
      <c r="T55" s="118"/>
      <c r="U55" s="118"/>
    </row>
    <row r="56" spans="1:27" s="456" customFormat="1" ht="16.5" thickBot="1" x14ac:dyDescent="0.25">
      <c r="A56" s="133"/>
      <c r="B56" s="133"/>
      <c r="C56" s="133"/>
      <c r="D56" s="133"/>
      <c r="E56" s="118"/>
      <c r="F56" s="118"/>
      <c r="G56" s="118"/>
      <c r="H56" s="118"/>
      <c r="I56" s="118"/>
      <c r="J56" s="134"/>
      <c r="K56" s="134"/>
      <c r="L56" s="134"/>
      <c r="M56" s="134"/>
      <c r="R56" s="134"/>
    </row>
    <row r="57" spans="1:27" s="456" customFormat="1" ht="19.5" thickBot="1" x14ac:dyDescent="0.25">
      <c r="A57" s="938" t="s">
        <v>29</v>
      </c>
      <c r="B57" s="939"/>
      <c r="C57" s="940"/>
      <c r="D57" s="133"/>
      <c r="E57" s="133"/>
      <c r="F57" s="118"/>
      <c r="G57" s="118"/>
      <c r="H57" s="118"/>
      <c r="I57" s="118"/>
      <c r="J57" s="118"/>
      <c r="K57" s="134"/>
      <c r="L57" s="134"/>
      <c r="M57" s="134"/>
      <c r="N57" s="134"/>
      <c r="S57" s="134"/>
      <c r="T57" s="134"/>
      <c r="U57" s="134"/>
    </row>
    <row r="58" spans="1:27" s="456" customFormat="1" ht="16.5" thickBot="1" x14ac:dyDescent="0.25">
      <c r="A58" s="800" t="s">
        <v>625</v>
      </c>
      <c r="B58" s="801"/>
      <c r="C58" s="802"/>
      <c r="D58" s="133"/>
      <c r="E58" s="133"/>
      <c r="F58" s="133"/>
      <c r="G58" s="118"/>
      <c r="H58" s="118"/>
      <c r="I58" s="118"/>
      <c r="J58" s="118"/>
      <c r="K58" s="118"/>
      <c r="L58" s="134"/>
      <c r="N58" s="134"/>
      <c r="O58" s="134"/>
    </row>
    <row r="59" spans="1:27" s="456" customFormat="1" x14ac:dyDescent="0.2">
      <c r="A59" s="506" t="s">
        <v>30</v>
      </c>
      <c r="B59" s="507"/>
      <c r="C59" s="508" t="s">
        <v>155</v>
      </c>
      <c r="D59" s="509"/>
      <c r="E59" s="509"/>
      <c r="F59" s="510"/>
      <c r="G59" s="510"/>
      <c r="H59" s="509"/>
      <c r="I59" s="510"/>
      <c r="J59" s="509"/>
      <c r="K59" s="143"/>
      <c r="L59" s="144"/>
      <c r="N59" s="134"/>
      <c r="O59" s="134"/>
      <c r="P59" s="134"/>
    </row>
    <row r="60" spans="1:27" s="456" customFormat="1" x14ac:dyDescent="0.2">
      <c r="A60" s="96" t="s">
        <v>626</v>
      </c>
      <c r="B60" s="511"/>
      <c r="C60" s="511"/>
      <c r="D60" s="512"/>
      <c r="E60" s="512"/>
      <c r="F60" s="215"/>
      <c r="G60" s="215"/>
      <c r="H60" s="512"/>
      <c r="I60" s="215"/>
      <c r="J60" s="512"/>
      <c r="K60" s="149"/>
      <c r="L60" s="150"/>
      <c r="N60" s="134"/>
      <c r="O60" s="134"/>
      <c r="P60" s="134"/>
    </row>
    <row r="61" spans="1:27" s="456" customFormat="1" x14ac:dyDescent="0.2">
      <c r="A61" s="96" t="s">
        <v>173</v>
      </c>
      <c r="B61" s="511"/>
      <c r="C61" s="511"/>
      <c r="D61" s="512"/>
      <c r="E61" s="512"/>
      <c r="F61" s="215"/>
      <c r="G61" s="215"/>
      <c r="H61" s="512"/>
      <c r="I61" s="215"/>
      <c r="J61" s="512"/>
      <c r="K61" s="149"/>
      <c r="L61" s="150"/>
      <c r="N61" s="134"/>
      <c r="O61" s="134"/>
      <c r="P61" s="134"/>
    </row>
    <row r="62" spans="1:27" s="456" customFormat="1" x14ac:dyDescent="0.2">
      <c r="A62" s="96" t="s">
        <v>987</v>
      </c>
      <c r="B62" s="511"/>
      <c r="C62" s="511"/>
      <c r="D62" s="512"/>
      <c r="E62" s="512"/>
      <c r="F62" s="215"/>
      <c r="G62" s="215"/>
      <c r="H62" s="512"/>
      <c r="I62" s="215"/>
      <c r="J62" s="512"/>
      <c r="K62" s="149"/>
      <c r="L62" s="150"/>
      <c r="N62" s="134"/>
      <c r="O62" s="134"/>
      <c r="P62" s="134"/>
    </row>
    <row r="63" spans="1:27" s="456" customFormat="1" ht="16.5" thickBot="1" x14ac:dyDescent="0.25">
      <c r="A63" s="110" t="s">
        <v>988</v>
      </c>
      <c r="B63" s="513"/>
      <c r="C63" s="513"/>
      <c r="D63" s="514"/>
      <c r="E63" s="514"/>
      <c r="F63" s="515"/>
      <c r="G63" s="515"/>
      <c r="H63" s="514"/>
      <c r="I63" s="515"/>
      <c r="J63" s="514"/>
      <c r="K63" s="154"/>
      <c r="L63" s="155"/>
      <c r="N63" s="134"/>
      <c r="O63" s="134"/>
      <c r="P63" s="134"/>
    </row>
    <row r="64" spans="1:27" s="456" customFormat="1" ht="16.5" thickBot="1" x14ac:dyDescent="0.25">
      <c r="A64" s="516"/>
      <c r="B64" s="517"/>
      <c r="C64" s="134"/>
      <c r="D64" s="133"/>
      <c r="E64" s="133"/>
      <c r="F64" s="133"/>
      <c r="G64" s="133"/>
      <c r="H64" s="118"/>
      <c r="I64" s="118"/>
      <c r="J64" s="118"/>
      <c r="K64" s="118"/>
      <c r="L64" s="118"/>
      <c r="M64" s="134"/>
      <c r="O64" s="134"/>
      <c r="P64" s="134"/>
      <c r="Q64" s="118"/>
    </row>
    <row r="65" spans="1:22" s="14" customFormat="1" ht="48" thickBot="1" x14ac:dyDescent="0.25">
      <c r="A65" s="518" t="s">
        <v>31</v>
      </c>
      <c r="B65" s="932" t="s">
        <v>628</v>
      </c>
      <c r="C65" s="933"/>
      <c r="D65" s="934"/>
      <c r="E65" s="519" t="s">
        <v>11</v>
      </c>
      <c r="F65" s="519" t="s">
        <v>14</v>
      </c>
      <c r="G65" s="519" t="s">
        <v>287</v>
      </c>
      <c r="H65" s="519" t="s">
        <v>32</v>
      </c>
      <c r="I65" s="519" t="s">
        <v>16</v>
      </c>
      <c r="J65" s="519" t="s">
        <v>17</v>
      </c>
      <c r="K65" s="519" t="s">
        <v>18</v>
      </c>
      <c r="L65" s="519" t="s">
        <v>19</v>
      </c>
      <c r="M65" s="519" t="s">
        <v>20</v>
      </c>
      <c r="N65" s="520" t="s">
        <v>123</v>
      </c>
      <c r="O65" s="519" t="s">
        <v>96</v>
      </c>
      <c r="P65" s="521" t="s">
        <v>809</v>
      </c>
    </row>
    <row r="66" spans="1:22" s="303" customFormat="1" x14ac:dyDescent="0.2">
      <c r="A66" s="301"/>
      <c r="B66" s="927"/>
      <c r="C66" s="928"/>
      <c r="D66" s="928"/>
      <c r="E66" s="299"/>
      <c r="F66" s="299"/>
      <c r="G66" s="299"/>
      <c r="H66" s="299"/>
      <c r="I66" s="299"/>
      <c r="J66" s="296"/>
      <c r="K66" s="297"/>
      <c r="L66" s="297"/>
      <c r="M66" s="302"/>
      <c r="N66" s="321"/>
      <c r="O66" s="322"/>
      <c r="P66" s="323"/>
      <c r="Q66" s="159"/>
      <c r="R66" s="159"/>
      <c r="S66" s="159"/>
      <c r="T66" s="160"/>
      <c r="U66" s="160"/>
    </row>
    <row r="67" spans="1:22" s="303" customFormat="1" x14ac:dyDescent="0.2">
      <c r="A67" s="301"/>
      <c r="B67" s="927"/>
      <c r="C67" s="928"/>
      <c r="D67" s="928"/>
      <c r="E67" s="299"/>
      <c r="F67" s="299"/>
      <c r="G67" s="299"/>
      <c r="H67" s="299"/>
      <c r="I67" s="299"/>
      <c r="J67" s="296"/>
      <c r="K67" s="297"/>
      <c r="L67" s="297"/>
      <c r="M67" s="302"/>
      <c r="N67" s="298"/>
      <c r="O67" s="299"/>
      <c r="P67" s="300"/>
      <c r="Q67" s="159"/>
      <c r="R67" s="159"/>
      <c r="S67" s="159"/>
      <c r="T67" s="160"/>
      <c r="U67" s="160"/>
    </row>
    <row r="68" spans="1:22" s="308" customFormat="1" x14ac:dyDescent="0.2">
      <c r="A68" s="301"/>
      <c r="B68" s="927"/>
      <c r="C68" s="928"/>
      <c r="D68" s="928"/>
      <c r="E68" s="299"/>
      <c r="F68" s="299"/>
      <c r="G68" s="299"/>
      <c r="H68" s="299"/>
      <c r="I68" s="299"/>
      <c r="J68" s="296"/>
      <c r="K68" s="297"/>
      <c r="L68" s="297"/>
      <c r="M68" s="302"/>
      <c r="N68" s="298"/>
      <c r="O68" s="299"/>
      <c r="P68" s="300"/>
      <c r="Q68" s="173"/>
      <c r="R68" s="173"/>
      <c r="S68" s="172"/>
    </row>
    <row r="69" spans="1:22" s="303" customFormat="1" ht="16.5" thickBot="1" x14ac:dyDescent="0.25">
      <c r="A69" s="304"/>
      <c r="B69" s="968"/>
      <c r="C69" s="969"/>
      <c r="D69" s="970"/>
      <c r="E69" s="130"/>
      <c r="F69" s="130"/>
      <c r="G69" s="130"/>
      <c r="H69" s="130"/>
      <c r="I69" s="130"/>
      <c r="J69" s="258"/>
      <c r="K69" s="256"/>
      <c r="L69" s="256"/>
      <c r="M69" s="305"/>
      <c r="N69" s="29"/>
      <c r="O69" s="129"/>
      <c r="P69" s="132"/>
      <c r="Q69" s="159"/>
      <c r="R69" s="159"/>
      <c r="S69" s="159"/>
      <c r="T69" s="159"/>
      <c r="U69" s="159"/>
      <c r="V69" s="160"/>
    </row>
    <row r="70" spans="1:22" s="456" customFormat="1" x14ac:dyDescent="0.2">
      <c r="A70" s="134"/>
      <c r="B70" s="134"/>
      <c r="C70" s="522"/>
      <c r="D70" s="522"/>
      <c r="E70" s="134"/>
      <c r="F70" s="134"/>
      <c r="G70" s="134"/>
      <c r="H70" s="134"/>
      <c r="I70" s="134"/>
      <c r="J70" s="134"/>
      <c r="K70" s="134"/>
      <c r="L70" s="134"/>
      <c r="M70" s="134"/>
      <c r="O70" s="118"/>
      <c r="P70" s="118"/>
      <c r="Q70" s="118"/>
      <c r="R70" s="118"/>
      <c r="S70" s="118"/>
      <c r="T70" s="118"/>
      <c r="U70" s="118"/>
      <c r="V70" s="134"/>
    </row>
    <row r="71" spans="1:22" s="456" customFormat="1" ht="16.5" thickBot="1" x14ac:dyDescent="0.25">
      <c r="A71" s="133"/>
      <c r="B71" s="133"/>
      <c r="C71" s="133"/>
      <c r="D71" s="133"/>
      <c r="E71" s="133"/>
      <c r="F71" s="133"/>
      <c r="G71" s="133"/>
      <c r="H71" s="133"/>
      <c r="I71" s="118"/>
      <c r="J71" s="118"/>
      <c r="K71" s="118"/>
      <c r="L71" s="118"/>
      <c r="M71" s="118"/>
      <c r="N71" s="134"/>
      <c r="O71" s="134"/>
      <c r="P71" s="134"/>
      <c r="Q71" s="134"/>
      <c r="R71" s="134"/>
      <c r="S71" s="134"/>
      <c r="T71" s="134"/>
      <c r="U71" s="134"/>
    </row>
    <row r="72" spans="1:22" s="456" customFormat="1" ht="19.5" thickBot="1" x14ac:dyDescent="0.25">
      <c r="A72" s="938" t="s">
        <v>34</v>
      </c>
      <c r="B72" s="939"/>
      <c r="C72" s="940"/>
      <c r="D72" s="523"/>
      <c r="E72" s="133"/>
      <c r="F72" s="133"/>
      <c r="G72" s="133"/>
      <c r="H72" s="133"/>
      <c r="I72" s="118"/>
      <c r="J72" s="118"/>
      <c r="K72" s="118"/>
      <c r="L72" s="118"/>
      <c r="M72" s="118"/>
      <c r="N72" s="134"/>
      <c r="O72" s="134"/>
      <c r="P72" s="134"/>
      <c r="Q72" s="134"/>
      <c r="R72" s="134"/>
      <c r="S72" s="134"/>
      <c r="T72" s="134"/>
      <c r="U72" s="134"/>
    </row>
    <row r="73" spans="1:22" s="456" customFormat="1" ht="16.5" thickBot="1" x14ac:dyDescent="0.25">
      <c r="A73" s="800" t="s">
        <v>625</v>
      </c>
      <c r="B73" s="801"/>
      <c r="C73" s="802"/>
      <c r="D73" s="200"/>
      <c r="E73" s="200"/>
      <c r="F73" s="200"/>
      <c r="G73" s="200"/>
      <c r="H73" s="194"/>
      <c r="I73" s="194"/>
      <c r="J73" s="200"/>
      <c r="K73" s="194"/>
      <c r="L73" s="200"/>
      <c r="M73" s="118"/>
      <c r="N73" s="134"/>
      <c r="O73" s="134"/>
      <c r="P73" s="134"/>
      <c r="Q73" s="134"/>
      <c r="R73" s="134"/>
      <c r="S73" s="134"/>
      <c r="T73" s="134"/>
      <c r="U73" s="134"/>
    </row>
    <row r="74" spans="1:22" s="456" customFormat="1" x14ac:dyDescent="0.2">
      <c r="A74" s="506" t="s">
        <v>30</v>
      </c>
      <c r="B74" s="470"/>
      <c r="C74" s="508" t="s">
        <v>155</v>
      </c>
      <c r="D74" s="508"/>
      <c r="E74" s="509"/>
      <c r="F74" s="509"/>
      <c r="G74" s="509"/>
      <c r="H74" s="510"/>
      <c r="I74" s="510"/>
      <c r="J74" s="509"/>
      <c r="K74" s="510"/>
      <c r="L74" s="524"/>
      <c r="M74" s="118"/>
      <c r="N74" s="134"/>
      <c r="O74" s="134"/>
      <c r="P74" s="134"/>
      <c r="Q74" s="134"/>
      <c r="R74" s="134"/>
      <c r="S74" s="134"/>
      <c r="T74" s="134"/>
      <c r="U74" s="134"/>
    </row>
    <row r="75" spans="1:22" s="456" customFormat="1" x14ac:dyDescent="0.2">
      <c r="A75" s="96" t="s">
        <v>35</v>
      </c>
      <c r="B75" s="512"/>
      <c r="C75" s="512"/>
      <c r="D75" s="512"/>
      <c r="E75" s="512"/>
      <c r="F75" s="512"/>
      <c r="G75" s="512"/>
      <c r="H75" s="215"/>
      <c r="I75" s="215"/>
      <c r="J75" s="512"/>
      <c r="K75" s="215"/>
      <c r="L75" s="525"/>
      <c r="M75" s="118"/>
      <c r="N75" s="134"/>
      <c r="O75" s="134"/>
      <c r="P75" s="134"/>
      <c r="Q75" s="134"/>
      <c r="R75" s="134"/>
      <c r="S75" s="134"/>
      <c r="T75" s="134"/>
      <c r="U75" s="134"/>
    </row>
    <row r="76" spans="1:22" s="456" customFormat="1" x14ac:dyDescent="0.2">
      <c r="A76" s="96" t="s">
        <v>174</v>
      </c>
      <c r="B76" s="512"/>
      <c r="C76" s="512"/>
      <c r="D76" s="512"/>
      <c r="E76" s="512"/>
      <c r="F76" s="512"/>
      <c r="G76" s="512"/>
      <c r="H76" s="215"/>
      <c r="I76" s="215"/>
      <c r="J76" s="512"/>
      <c r="K76" s="215"/>
      <c r="L76" s="525"/>
      <c r="M76" s="118"/>
      <c r="N76" s="134"/>
      <c r="O76" s="134"/>
      <c r="P76" s="134"/>
      <c r="Q76" s="134"/>
      <c r="R76" s="134"/>
      <c r="S76" s="134"/>
      <c r="T76" s="134"/>
      <c r="U76" s="134"/>
    </row>
    <row r="77" spans="1:22" s="456" customFormat="1" x14ac:dyDescent="0.2">
      <c r="A77" s="96" t="s">
        <v>987</v>
      </c>
      <c r="B77" s="512"/>
      <c r="C77" s="512"/>
      <c r="D77" s="512"/>
      <c r="E77" s="512"/>
      <c r="F77" s="512"/>
      <c r="G77" s="512"/>
      <c r="H77" s="215"/>
      <c r="I77" s="215"/>
      <c r="J77" s="512"/>
      <c r="K77" s="215"/>
      <c r="L77" s="525"/>
      <c r="M77" s="118"/>
      <c r="N77" s="134"/>
      <c r="O77" s="134"/>
      <c r="P77" s="134"/>
      <c r="Q77" s="134"/>
      <c r="R77" s="134"/>
      <c r="S77" s="134"/>
      <c r="T77" s="134"/>
      <c r="U77" s="134"/>
    </row>
    <row r="78" spans="1:22" s="456" customFormat="1" ht="16.5" thickBot="1" x14ac:dyDescent="0.25">
      <c r="A78" s="110" t="s">
        <v>988</v>
      </c>
      <c r="B78" s="514"/>
      <c r="C78" s="514"/>
      <c r="D78" s="514"/>
      <c r="E78" s="514"/>
      <c r="F78" s="514"/>
      <c r="G78" s="514"/>
      <c r="H78" s="515"/>
      <c r="I78" s="515"/>
      <c r="J78" s="514"/>
      <c r="K78" s="515"/>
      <c r="L78" s="526"/>
      <c r="M78" s="118"/>
      <c r="N78" s="134"/>
      <c r="O78" s="134"/>
      <c r="P78" s="134"/>
      <c r="Q78" s="134"/>
      <c r="R78" s="134"/>
      <c r="S78" s="134"/>
      <c r="T78" s="134"/>
      <c r="U78" s="134"/>
    </row>
    <row r="79" spans="1:22" s="456" customFormat="1" ht="16.5" thickBot="1" x14ac:dyDescent="0.25">
      <c r="A79" s="527"/>
      <c r="E79" s="200"/>
      <c r="F79" s="200"/>
      <c r="G79" s="200"/>
      <c r="H79" s="194"/>
      <c r="I79" s="517"/>
      <c r="J79" s="200"/>
      <c r="K79" s="194"/>
      <c r="L79" s="200"/>
      <c r="M79" s="118"/>
      <c r="N79" s="134"/>
      <c r="O79" s="134"/>
      <c r="P79" s="134"/>
      <c r="Q79" s="134"/>
      <c r="R79" s="118"/>
    </row>
    <row r="80" spans="1:22" s="14" customFormat="1" ht="32.25" thickBot="1" x14ac:dyDescent="0.25">
      <c r="A80" s="518" t="s">
        <v>31</v>
      </c>
      <c r="B80" s="932" t="s">
        <v>13</v>
      </c>
      <c r="C80" s="933"/>
      <c r="D80" s="934"/>
      <c r="E80" s="519" t="s">
        <v>12</v>
      </c>
      <c r="F80" s="519" t="s">
        <v>14</v>
      </c>
      <c r="G80" s="519" t="s">
        <v>276</v>
      </c>
      <c r="H80" s="519" t="s">
        <v>32</v>
      </c>
      <c r="I80" s="519" t="s">
        <v>16</v>
      </c>
      <c r="J80" s="519" t="s">
        <v>17</v>
      </c>
      <c r="K80" s="519" t="s">
        <v>18</v>
      </c>
      <c r="L80" s="519" t="s">
        <v>19</v>
      </c>
      <c r="M80" s="519" t="s">
        <v>20</v>
      </c>
      <c r="N80" s="520" t="s">
        <v>123</v>
      </c>
      <c r="O80" s="519" t="s">
        <v>94</v>
      </c>
      <c r="P80" s="521" t="s">
        <v>807</v>
      </c>
    </row>
    <row r="81" spans="1:21" s="303" customFormat="1" x14ac:dyDescent="0.2">
      <c r="A81" s="269"/>
      <c r="B81" s="925"/>
      <c r="C81" s="926"/>
      <c r="D81" s="926"/>
      <c r="E81" s="226"/>
      <c r="F81" s="226"/>
      <c r="G81" s="226"/>
      <c r="H81" s="226"/>
      <c r="I81" s="226"/>
      <c r="J81" s="263"/>
      <c r="K81" s="263"/>
      <c r="L81" s="263"/>
      <c r="M81" s="263"/>
      <c r="N81" s="49"/>
      <c r="O81" s="226"/>
      <c r="P81" s="274"/>
      <c r="Q81" s="160"/>
      <c r="R81" s="160"/>
      <c r="S81" s="160"/>
      <c r="T81" s="160"/>
      <c r="U81" s="160"/>
    </row>
    <row r="82" spans="1:21" s="303" customFormat="1" x14ac:dyDescent="0.2">
      <c r="A82" s="248"/>
      <c r="B82" s="927"/>
      <c r="C82" s="928"/>
      <c r="D82" s="928"/>
      <c r="E82" s="125"/>
      <c r="F82" s="125"/>
      <c r="G82" s="125"/>
      <c r="H82" s="125"/>
      <c r="I82" s="125"/>
      <c r="J82" s="255"/>
      <c r="K82" s="255"/>
      <c r="L82" s="255"/>
      <c r="M82" s="255"/>
      <c r="N82" s="21"/>
      <c r="O82" s="125"/>
      <c r="P82" s="276"/>
      <c r="Q82" s="160"/>
      <c r="R82" s="160"/>
      <c r="S82" s="160"/>
      <c r="T82" s="160"/>
      <c r="U82" s="160"/>
    </row>
    <row r="83" spans="1:21" s="303" customFormat="1" x14ac:dyDescent="0.2">
      <c r="A83" s="248"/>
      <c r="B83" s="927"/>
      <c r="C83" s="928"/>
      <c r="D83" s="928"/>
      <c r="E83" s="125"/>
      <c r="F83" s="125"/>
      <c r="G83" s="125"/>
      <c r="H83" s="125"/>
      <c r="I83" s="125"/>
      <c r="J83" s="255"/>
      <c r="K83" s="255"/>
      <c r="L83" s="255"/>
      <c r="M83" s="255"/>
      <c r="N83" s="21"/>
      <c r="O83" s="125"/>
      <c r="P83" s="276"/>
      <c r="Q83" s="160"/>
      <c r="R83" s="160"/>
      <c r="S83" s="160"/>
      <c r="T83" s="160"/>
      <c r="U83" s="160"/>
    </row>
    <row r="84" spans="1:21" s="303" customFormat="1" ht="16.5" thickBot="1" x14ac:dyDescent="0.25">
      <c r="A84" s="304"/>
      <c r="B84" s="912"/>
      <c r="C84" s="913"/>
      <c r="D84" s="913"/>
      <c r="E84" s="130"/>
      <c r="F84" s="130"/>
      <c r="G84" s="130"/>
      <c r="H84" s="130"/>
      <c r="I84" s="130"/>
      <c r="J84" s="256"/>
      <c r="K84" s="256"/>
      <c r="L84" s="256"/>
      <c r="M84" s="256"/>
      <c r="N84" s="29"/>
      <c r="O84" s="129"/>
      <c r="P84" s="132"/>
      <c r="Q84" s="160"/>
      <c r="R84" s="160"/>
      <c r="S84" s="160"/>
      <c r="T84" s="160"/>
      <c r="U84" s="160"/>
    </row>
    <row r="85" spans="1:21" s="456" customFormat="1" ht="16.5" thickBot="1" x14ac:dyDescent="0.25">
      <c r="A85" s="133"/>
      <c r="B85" s="133"/>
      <c r="C85" s="133"/>
      <c r="D85" s="133"/>
      <c r="E85" s="133"/>
      <c r="F85" s="133"/>
      <c r="G85" s="133"/>
      <c r="H85" s="118"/>
      <c r="I85" s="118"/>
      <c r="J85" s="118"/>
      <c r="K85" s="118"/>
      <c r="L85" s="118"/>
      <c r="M85" s="134"/>
      <c r="N85" s="134"/>
      <c r="O85" s="134"/>
      <c r="P85" s="134"/>
      <c r="Q85" s="134"/>
      <c r="R85" s="134"/>
      <c r="S85" s="134"/>
      <c r="T85" s="134"/>
      <c r="U85" s="134"/>
    </row>
    <row r="86" spans="1:21" s="73" customFormat="1" ht="16.5" thickBot="1" x14ac:dyDescent="0.25">
      <c r="A86" s="822" t="s">
        <v>36</v>
      </c>
      <c r="B86" s="823"/>
      <c r="C86" s="823"/>
      <c r="D86" s="823"/>
      <c r="E86" s="823"/>
      <c r="F86" s="823"/>
      <c r="G86" s="823"/>
      <c r="H86" s="823"/>
      <c r="I86" s="824"/>
      <c r="J86" s="169"/>
      <c r="K86" s="118"/>
      <c r="L86" s="134"/>
      <c r="M86" s="134"/>
      <c r="N86" s="134"/>
      <c r="O86" s="134"/>
      <c r="P86" s="134"/>
      <c r="Q86" s="134"/>
      <c r="R86" s="134"/>
      <c r="S86" s="118"/>
      <c r="T86" s="118"/>
      <c r="U86" s="118"/>
    </row>
    <row r="87" spans="1:21" s="73" customFormat="1" ht="16.5" thickBot="1" x14ac:dyDescent="0.25">
      <c r="A87" s="935" t="s">
        <v>37</v>
      </c>
      <c r="B87" s="936"/>
      <c r="C87" s="936"/>
      <c r="D87" s="936"/>
      <c r="E87" s="936"/>
      <c r="F87" s="936"/>
      <c r="G87" s="936"/>
      <c r="H87" s="936"/>
      <c r="I87" s="937"/>
      <c r="J87" s="170"/>
      <c r="K87" s="118"/>
      <c r="L87" s="134"/>
      <c r="M87" s="134"/>
      <c r="N87" s="134"/>
      <c r="O87" s="134"/>
      <c r="P87" s="134"/>
      <c r="Q87" s="134"/>
      <c r="R87" s="134"/>
      <c r="S87" s="118"/>
      <c r="T87" s="118"/>
      <c r="U87" s="118"/>
    </row>
    <row r="88" spans="1:21" s="308" customFormat="1" ht="15.75" customHeight="1" thickBot="1" x14ac:dyDescent="0.25">
      <c r="A88" s="665" t="s">
        <v>296</v>
      </c>
      <c r="B88" s="909" t="s">
        <v>1129</v>
      </c>
      <c r="C88" s="910"/>
      <c r="D88" s="910"/>
      <c r="E88" s="910"/>
      <c r="F88" s="910"/>
      <c r="G88" s="910"/>
      <c r="H88" s="910"/>
      <c r="I88" s="911"/>
      <c r="J88" s="171"/>
      <c r="K88" s="172"/>
      <c r="L88" s="173"/>
      <c r="M88" s="173"/>
      <c r="N88" s="173"/>
      <c r="O88" s="173"/>
      <c r="P88" s="173"/>
      <c r="Q88" s="173"/>
      <c r="R88" s="173"/>
      <c r="S88" s="172"/>
      <c r="T88" s="172"/>
      <c r="U88" s="172"/>
    </row>
    <row r="89" spans="1:21" s="73" customFormat="1" ht="16.5" thickBot="1" x14ac:dyDescent="0.25">
      <c r="A89" s="196"/>
      <c r="B89" s="169"/>
      <c r="C89" s="169"/>
      <c r="D89" s="169"/>
      <c r="E89" s="169"/>
      <c r="F89" s="176"/>
      <c r="G89" s="176"/>
      <c r="H89" s="176"/>
      <c r="I89" s="176"/>
      <c r="J89" s="176"/>
      <c r="K89" s="118"/>
      <c r="L89" s="134"/>
      <c r="M89" s="134"/>
      <c r="N89" s="134"/>
      <c r="O89" s="134"/>
      <c r="P89" s="134"/>
      <c r="Q89" s="118"/>
    </row>
    <row r="90" spans="1:21" s="73" customFormat="1" ht="16.5" customHeight="1" thickBot="1" x14ac:dyDescent="0.25">
      <c r="A90" s="917" t="s">
        <v>214</v>
      </c>
      <c r="B90" s="918"/>
      <c r="C90" s="918"/>
      <c r="D90" s="918"/>
      <c r="E90" s="918"/>
      <c r="F90" s="918"/>
      <c r="G90" s="918"/>
      <c r="H90" s="930" t="s">
        <v>226</v>
      </c>
      <c r="I90" s="786" t="s">
        <v>627</v>
      </c>
      <c r="J90" s="786" t="s">
        <v>215</v>
      </c>
      <c r="K90" s="786" t="s">
        <v>23</v>
      </c>
      <c r="L90" s="786" t="s">
        <v>302</v>
      </c>
      <c r="M90" s="788" t="s">
        <v>83</v>
      </c>
      <c r="N90" s="134"/>
      <c r="O90" s="118"/>
      <c r="P90" s="456"/>
      <c r="Q90" s="528"/>
      <c r="R90" s="528"/>
    </row>
    <row r="91" spans="1:21" s="446" customFormat="1" ht="16.5" thickBot="1" x14ac:dyDescent="0.25">
      <c r="A91" s="919" t="s">
        <v>887</v>
      </c>
      <c r="B91" s="920"/>
      <c r="C91" s="920"/>
      <c r="D91" s="920"/>
      <c r="E91" s="920"/>
      <c r="F91" s="920"/>
      <c r="G91" s="921"/>
      <c r="H91" s="931"/>
      <c r="I91" s="908"/>
      <c r="J91" s="908"/>
      <c r="K91" s="908"/>
      <c r="L91" s="908"/>
      <c r="M91" s="929"/>
      <c r="N91" s="177"/>
      <c r="O91" s="177"/>
      <c r="P91" s="177"/>
      <c r="Q91" s="177"/>
      <c r="R91" s="177"/>
    </row>
    <row r="92" spans="1:21" s="446" customFormat="1" ht="15.75" customHeight="1" thickBot="1" x14ac:dyDescent="0.25">
      <c r="A92" s="919" t="s">
        <v>353</v>
      </c>
      <c r="B92" s="920"/>
      <c r="C92" s="920"/>
      <c r="D92" s="920"/>
      <c r="E92" s="920"/>
      <c r="F92" s="920"/>
      <c r="G92" s="921"/>
      <c r="H92" s="959"/>
      <c r="I92" s="787"/>
      <c r="J92" s="787"/>
      <c r="K92" s="787"/>
      <c r="L92" s="787"/>
      <c r="M92" s="789"/>
      <c r="N92" s="177"/>
      <c r="O92" s="177"/>
      <c r="P92" s="177"/>
      <c r="Q92" s="177"/>
      <c r="R92" s="177"/>
    </row>
    <row r="93" spans="1:21" s="136" customFormat="1" x14ac:dyDescent="0.2">
      <c r="A93" s="178" t="s">
        <v>103</v>
      </c>
      <c r="B93" s="942" t="str">
        <f>IF($A93="","",VLOOKUP($A93,Listes!$A$3:$C$193,2,FALSE))</f>
        <v>Alameda Corridor Surcharge export</v>
      </c>
      <c r="C93" s="942"/>
      <c r="D93" s="942"/>
      <c r="E93" s="941" t="s">
        <v>51</v>
      </c>
      <c r="F93" s="941"/>
      <c r="G93" s="941"/>
      <c r="H93" s="654"/>
      <c r="I93" s="529"/>
      <c r="J93" s="529"/>
      <c r="K93" s="529"/>
      <c r="L93" s="529"/>
      <c r="M93" s="530"/>
      <c r="N93" s="160"/>
      <c r="O93" s="160"/>
      <c r="P93" s="160"/>
      <c r="Q93" s="160"/>
      <c r="R93" s="159"/>
    </row>
    <row r="94" spans="1:21" s="136" customFormat="1" x14ac:dyDescent="0.2">
      <c r="A94" s="640" t="s">
        <v>346</v>
      </c>
      <c r="B94" s="966" t="str">
        <f>IF($A94="","",VLOOKUP($A94,Listes!$A$3:$C$193,2,FALSE))</f>
        <v>Aden Gulf Surcharge</v>
      </c>
      <c r="C94" s="966"/>
      <c r="D94" s="966"/>
      <c r="E94" s="967" t="s">
        <v>53</v>
      </c>
      <c r="F94" s="967"/>
      <c r="G94" s="967"/>
      <c r="H94" s="656"/>
      <c r="I94" s="642"/>
      <c r="J94" s="642"/>
      <c r="K94" s="642"/>
      <c r="L94" s="642"/>
      <c r="M94" s="643"/>
      <c r="N94" s="160"/>
      <c r="O94" s="160"/>
      <c r="P94" s="160"/>
      <c r="Q94" s="160"/>
      <c r="R94" s="159"/>
    </row>
    <row r="95" spans="1:21" s="136" customFormat="1" ht="15.75" customHeight="1" x14ac:dyDescent="0.2">
      <c r="A95" s="182" t="s">
        <v>234</v>
      </c>
      <c r="B95" s="813" t="str">
        <f>IF($A95="","",VLOOKUP($A95,Listes!$A$3:$C$193,2,FALSE))</f>
        <v>Bunker Adjustment Factor</v>
      </c>
      <c r="C95" s="813"/>
      <c r="D95" s="813"/>
      <c r="E95" s="814" t="s">
        <v>51</v>
      </c>
      <c r="F95" s="814"/>
      <c r="G95" s="814"/>
      <c r="H95" s="653"/>
      <c r="I95" s="531"/>
      <c r="J95" s="531"/>
      <c r="K95" s="531"/>
      <c r="L95" s="531"/>
      <c r="M95" s="532"/>
      <c r="N95" s="160"/>
      <c r="O95" s="160"/>
      <c r="P95" s="160"/>
      <c r="Q95" s="160"/>
      <c r="R95" s="159"/>
    </row>
    <row r="96" spans="1:21" s="136" customFormat="1" ht="15.75" customHeight="1" x14ac:dyDescent="0.2">
      <c r="A96" s="182" t="s">
        <v>557</v>
      </c>
      <c r="B96" s="813" t="str">
        <f>IF($A96="","",VLOOKUP($A96,Listes!$A$3:$C$193,2,FALSE))</f>
        <v>Cargo Facility Charge</v>
      </c>
      <c r="C96" s="813"/>
      <c r="D96" s="813"/>
      <c r="E96" s="814" t="s">
        <v>51</v>
      </c>
      <c r="F96" s="814"/>
      <c r="G96" s="814"/>
      <c r="H96" s="653"/>
      <c r="I96" s="531"/>
      <c r="J96" s="531"/>
      <c r="K96" s="531"/>
      <c r="L96" s="531"/>
      <c r="M96" s="532"/>
      <c r="N96" s="160"/>
      <c r="O96" s="160"/>
      <c r="P96" s="160"/>
      <c r="Q96" s="160"/>
      <c r="R96" s="159"/>
    </row>
    <row r="97" spans="1:18" s="136" customFormat="1" ht="15.75" customHeight="1" x14ac:dyDescent="0.2">
      <c r="A97" s="182" t="s">
        <v>1335</v>
      </c>
      <c r="B97" s="813" t="str">
        <f>IF($A97="","",VLOOKUP($A97,Listes!$A$3:$C$193,2,FALSE))</f>
        <v>Container Cleaning Surcharge Destination</v>
      </c>
      <c r="C97" s="813"/>
      <c r="D97" s="813"/>
      <c r="E97" s="814" t="s">
        <v>51</v>
      </c>
      <c r="F97" s="814"/>
      <c r="G97" s="814"/>
      <c r="H97" s="653"/>
      <c r="I97" s="531"/>
      <c r="J97" s="531"/>
      <c r="K97" s="531"/>
      <c r="L97" s="531"/>
      <c r="M97" s="532"/>
      <c r="N97" s="160"/>
      <c r="O97" s="160"/>
      <c r="P97" s="160"/>
      <c r="Q97" s="160"/>
      <c r="R97" s="159"/>
    </row>
    <row r="98" spans="1:18" s="136" customFormat="1" ht="15.75" customHeight="1" x14ac:dyDescent="0.2">
      <c r="A98" s="182" t="s">
        <v>202</v>
      </c>
      <c r="B98" s="813" t="str">
        <f>IF($A98="","",VLOOKUP($A98,Listes!$A$3:$C$193,2,FALSE))</f>
        <v>Container Inspection Fee/Survey Fee</v>
      </c>
      <c r="C98" s="813"/>
      <c r="D98" s="813"/>
      <c r="E98" s="814" t="s">
        <v>51</v>
      </c>
      <c r="F98" s="814"/>
      <c r="G98" s="814"/>
      <c r="H98" s="653"/>
      <c r="I98" s="531"/>
      <c r="J98" s="531"/>
      <c r="K98" s="531"/>
      <c r="L98" s="531"/>
      <c r="M98" s="532"/>
      <c r="N98" s="160"/>
      <c r="O98" s="160"/>
      <c r="P98" s="160"/>
      <c r="Q98" s="160"/>
      <c r="R98" s="159"/>
    </row>
    <row r="99" spans="1:18" s="136" customFormat="1" ht="15.75" customHeight="1" x14ac:dyDescent="0.2">
      <c r="A99" s="182" t="s">
        <v>1103</v>
      </c>
      <c r="B99" s="813" t="str">
        <f>IF($A99="","",VLOOKUP($A99,Listes!$A$3:$C$193,2,FALSE))</f>
        <v>Chassis Administration Fee Pre-Carriage</v>
      </c>
      <c r="C99" s="813"/>
      <c r="D99" s="813"/>
      <c r="E99" s="814" t="s">
        <v>51</v>
      </c>
      <c r="F99" s="814"/>
      <c r="G99" s="814"/>
      <c r="H99" s="653"/>
      <c r="I99" s="531"/>
      <c r="J99" s="531"/>
      <c r="K99" s="531"/>
      <c r="L99" s="531"/>
      <c r="M99" s="532"/>
      <c r="N99" s="160"/>
      <c r="O99" s="160"/>
      <c r="P99" s="160"/>
      <c r="Q99" s="160"/>
      <c r="R99" s="159"/>
    </row>
    <row r="100" spans="1:18" s="136" customFormat="1" ht="15.75" customHeight="1" x14ac:dyDescent="0.2">
      <c r="A100" s="182" t="s">
        <v>551</v>
      </c>
      <c r="B100" s="813" t="str">
        <f>IF($A100="","",VLOOKUP($A100,Listes!$A$3:$C$193,2,FALSE))</f>
        <v>Chassis Provision Charge</v>
      </c>
      <c r="C100" s="813"/>
      <c r="D100" s="813"/>
      <c r="E100" s="814" t="s">
        <v>51</v>
      </c>
      <c r="F100" s="814"/>
      <c r="G100" s="814"/>
      <c r="H100" s="653"/>
      <c r="I100" s="531"/>
      <c r="J100" s="531"/>
      <c r="K100" s="531"/>
      <c r="L100" s="531"/>
      <c r="M100" s="532"/>
      <c r="N100" s="160"/>
      <c r="O100" s="160"/>
      <c r="P100" s="160"/>
      <c r="Q100" s="160"/>
      <c r="R100" s="159"/>
    </row>
    <row r="101" spans="1:18" s="136" customFormat="1" ht="15.75" customHeight="1" x14ac:dyDescent="0.2">
      <c r="A101" s="182" t="s">
        <v>263</v>
      </c>
      <c r="B101" s="813" t="str">
        <f>IF($A101="","",VLOOKUP($A101,Listes!$A$3:$C$193,2,FALSE))</f>
        <v>Carrier Security Charge</v>
      </c>
      <c r="C101" s="813"/>
      <c r="D101" s="813"/>
      <c r="E101" s="814" t="s">
        <v>51</v>
      </c>
      <c r="F101" s="814"/>
      <c r="G101" s="814"/>
      <c r="H101" s="653"/>
      <c r="I101" s="531"/>
      <c r="J101" s="531"/>
      <c r="K101" s="531"/>
      <c r="L101" s="531"/>
      <c r="M101" s="532"/>
      <c r="N101" s="160"/>
      <c r="O101" s="160"/>
      <c r="P101" s="160"/>
      <c r="Q101" s="160"/>
      <c r="R101" s="159"/>
    </row>
    <row r="102" spans="1:18" s="136" customFormat="1" ht="15.75" customHeight="1" x14ac:dyDescent="0.2">
      <c r="A102" s="182" t="s">
        <v>1262</v>
      </c>
      <c r="B102" s="813" t="str">
        <f>IF($A102="","",VLOOKUP($A102,Listes!$A$3:$C$193,2,FALSE))</f>
        <v>Container Maintenance Charge Destination</v>
      </c>
      <c r="C102" s="813"/>
      <c r="D102" s="813"/>
      <c r="E102" s="814" t="s">
        <v>51</v>
      </c>
      <c r="F102" s="814"/>
      <c r="G102" s="814"/>
      <c r="H102" s="653"/>
      <c r="I102" s="531"/>
      <c r="J102" s="531"/>
      <c r="K102" s="531"/>
      <c r="L102" s="531"/>
      <c r="M102" s="532"/>
      <c r="N102" s="160"/>
      <c r="O102" s="160"/>
      <c r="P102" s="160"/>
      <c r="Q102" s="160"/>
      <c r="R102" s="159"/>
    </row>
    <row r="103" spans="1:18" s="136" customFormat="1" ht="15.75" customHeight="1" x14ac:dyDescent="0.2">
      <c r="A103" s="182" t="s">
        <v>230</v>
      </c>
      <c r="B103" s="813" t="str">
        <f>IF($A103="","",VLOOKUP($A103,Listes!$A$3:$C$193,2,FALSE))</f>
        <v>Destination THC / Destination Receiving Charge</v>
      </c>
      <c r="C103" s="813"/>
      <c r="D103" s="813"/>
      <c r="E103" s="814" t="s">
        <v>51</v>
      </c>
      <c r="F103" s="814"/>
      <c r="G103" s="814"/>
      <c r="H103" s="653"/>
      <c r="I103" s="531"/>
      <c r="J103" s="531"/>
      <c r="K103" s="531"/>
      <c r="L103" s="531"/>
      <c r="M103" s="532"/>
      <c r="N103" s="160"/>
      <c r="O103" s="160"/>
      <c r="P103" s="160"/>
      <c r="Q103" s="160"/>
      <c r="R103" s="159"/>
    </row>
    <row r="104" spans="1:18" s="136" customFormat="1" ht="15.75" customHeight="1" x14ac:dyDescent="0.2">
      <c r="A104" s="182" t="s">
        <v>470</v>
      </c>
      <c r="B104" s="813" t="str">
        <f>IF($A104="","",VLOOKUP($A104,Listes!$A$3:$C$193,2,FALSE))</f>
        <v>Emergency Terminal Congestion Surcharge / Emergency Port Surcharge</v>
      </c>
      <c r="C104" s="813"/>
      <c r="D104" s="813"/>
      <c r="E104" s="814" t="s">
        <v>53</v>
      </c>
      <c r="F104" s="814"/>
      <c r="G104" s="814"/>
      <c r="H104" s="653"/>
      <c r="I104" s="531"/>
      <c r="J104" s="531"/>
      <c r="K104" s="531"/>
      <c r="L104" s="531"/>
      <c r="M104" s="532"/>
      <c r="N104" s="160"/>
      <c r="O104" s="160"/>
      <c r="P104" s="160"/>
      <c r="Q104" s="160"/>
      <c r="R104" s="159"/>
    </row>
    <row r="105" spans="1:18" s="136" customFormat="1" ht="15.75" customHeight="1" x14ac:dyDescent="0.2">
      <c r="A105" s="182" t="s">
        <v>874</v>
      </c>
      <c r="B105" s="813" t="str">
        <f>IF($A105="","",VLOOKUP($A105,Listes!$A$3:$C$193,2,FALSE))</f>
        <v>Export Documentation Fees - Carrier</v>
      </c>
      <c r="C105" s="813"/>
      <c r="D105" s="813"/>
      <c r="E105" s="814" t="s">
        <v>51</v>
      </c>
      <c r="F105" s="814"/>
      <c r="G105" s="814"/>
      <c r="H105" s="653"/>
      <c r="I105" s="531"/>
      <c r="J105" s="531"/>
      <c r="K105" s="531"/>
      <c r="L105" s="531"/>
      <c r="M105" s="532"/>
      <c r="N105" s="160"/>
      <c r="O105" s="160"/>
      <c r="P105" s="160"/>
      <c r="Q105" s="160"/>
      <c r="R105" s="159"/>
    </row>
    <row r="106" spans="1:18" s="136" customFormat="1" ht="15.75" customHeight="1" x14ac:dyDescent="0.2">
      <c r="A106" s="182" t="s">
        <v>854</v>
      </c>
      <c r="B106" s="813" t="str">
        <f>IF($A106="","",VLOOKUP($A106,Listes!$A$3:$C$193,2,FALSE))</f>
        <v>Export Declaration Surcharge</v>
      </c>
      <c r="C106" s="813"/>
      <c r="D106" s="813"/>
      <c r="E106" s="814" t="s">
        <v>51</v>
      </c>
      <c r="F106" s="814"/>
      <c r="G106" s="814"/>
      <c r="H106" s="653"/>
      <c r="I106" s="531"/>
      <c r="J106" s="531"/>
      <c r="K106" s="531"/>
      <c r="L106" s="531"/>
      <c r="M106" s="532"/>
      <c r="N106" s="160"/>
      <c r="O106" s="160"/>
      <c r="P106" s="160"/>
      <c r="Q106" s="160"/>
      <c r="R106" s="159"/>
    </row>
    <row r="107" spans="1:18" s="136" customFormat="1" ht="15.75" customHeight="1" x14ac:dyDescent="0.2">
      <c r="A107" s="182" t="s">
        <v>472</v>
      </c>
      <c r="B107" s="813" t="str">
        <f>IF($A107="","",VLOOKUP($A107,Listes!$A$3:$C$193,2,FALSE))</f>
        <v>Extra Container Handling Charge Destination</v>
      </c>
      <c r="C107" s="813"/>
      <c r="D107" s="813"/>
      <c r="E107" s="814" t="s">
        <v>51</v>
      </c>
      <c r="F107" s="814"/>
      <c r="G107" s="814"/>
      <c r="H107" s="653"/>
      <c r="I107" s="531"/>
      <c r="J107" s="531"/>
      <c r="K107" s="531"/>
      <c r="L107" s="531"/>
      <c r="M107" s="532"/>
      <c r="N107" s="160"/>
      <c r="O107" s="160"/>
      <c r="P107" s="160"/>
      <c r="Q107" s="160"/>
      <c r="R107" s="159"/>
    </row>
    <row r="108" spans="1:18" s="136" customFormat="1" ht="15.75" customHeight="1" x14ac:dyDescent="0.2">
      <c r="A108" s="182" t="s">
        <v>1114</v>
      </c>
      <c r="B108" s="813" t="str">
        <f>IF($A108="","",VLOOKUP($A108,Listes!$A$3:$C$193,2,FALSE))</f>
        <v>Extra Risk Surcharge (Destination)</v>
      </c>
      <c r="C108" s="813"/>
      <c r="D108" s="813"/>
      <c r="E108" s="814" t="s">
        <v>51</v>
      </c>
      <c r="F108" s="814"/>
      <c r="G108" s="814"/>
      <c r="H108" s="653"/>
      <c r="I108" s="531"/>
      <c r="J108" s="531"/>
      <c r="K108" s="531"/>
      <c r="L108" s="531"/>
      <c r="M108" s="532"/>
      <c r="N108" s="160"/>
      <c r="O108" s="160"/>
      <c r="P108" s="160"/>
      <c r="Q108" s="160"/>
      <c r="R108" s="159"/>
    </row>
    <row r="109" spans="1:18" s="136" customFormat="1" ht="15.75" customHeight="1" x14ac:dyDescent="0.2">
      <c r="A109" s="182" t="s">
        <v>71</v>
      </c>
      <c r="B109" s="813" t="str">
        <f>IF($A109="","",VLOOKUP($A109,Listes!$A$3:$C$193,2,FALSE))</f>
        <v>Flat Rack</v>
      </c>
      <c r="C109" s="813"/>
      <c r="D109" s="813"/>
      <c r="E109" s="814" t="s">
        <v>51</v>
      </c>
      <c r="F109" s="814"/>
      <c r="G109" s="814"/>
      <c r="H109" s="653"/>
      <c r="I109" s="531"/>
      <c r="J109" s="531"/>
      <c r="K109" s="531"/>
      <c r="L109" s="531"/>
      <c r="M109" s="532"/>
      <c r="N109" s="160"/>
      <c r="O109" s="160"/>
      <c r="P109" s="160"/>
      <c r="Q109" s="160"/>
      <c r="R109" s="159"/>
    </row>
    <row r="110" spans="1:18" s="136" customFormat="1" ht="15.75" customHeight="1" x14ac:dyDescent="0.2">
      <c r="A110" s="182" t="s">
        <v>82</v>
      </c>
      <c r="B110" s="813" t="str">
        <f>IF($A110="","",VLOOKUP($A110,Listes!$A$3:$C$193,2,FALSE))</f>
        <v>General Rate Increase</v>
      </c>
      <c r="C110" s="813"/>
      <c r="D110" s="813"/>
      <c r="E110" s="814" t="s">
        <v>51</v>
      </c>
      <c r="F110" s="814"/>
      <c r="G110" s="814"/>
      <c r="H110" s="653"/>
      <c r="I110" s="531"/>
      <c r="J110" s="531"/>
      <c r="K110" s="531"/>
      <c r="L110" s="531"/>
      <c r="M110" s="532"/>
      <c r="N110" s="160"/>
      <c r="O110" s="160"/>
      <c r="P110" s="160"/>
      <c r="Q110" s="160"/>
      <c r="R110" s="159"/>
    </row>
    <row r="111" spans="1:18" s="136" customFormat="1" ht="15.75" customHeight="1" x14ac:dyDescent="0.2">
      <c r="A111" s="182" t="s">
        <v>358</v>
      </c>
      <c r="B111" s="813" t="str">
        <f>IF($A111="","",VLOOKUP($A111,Listes!$A$3:$C$193,2,FALSE))</f>
        <v>Harbor Dues / Port Dues</v>
      </c>
      <c r="C111" s="813"/>
      <c r="D111" s="813"/>
      <c r="E111" s="814" t="s">
        <v>630</v>
      </c>
      <c r="F111" s="814"/>
      <c r="G111" s="814"/>
      <c r="H111" s="653"/>
      <c r="I111" s="531"/>
      <c r="J111" s="531"/>
      <c r="K111" s="531"/>
      <c r="L111" s="531"/>
      <c r="M111" s="532"/>
      <c r="N111" s="160"/>
      <c r="O111" s="160"/>
      <c r="P111" s="160"/>
      <c r="Q111" s="160"/>
      <c r="R111" s="159"/>
    </row>
    <row r="112" spans="1:18" s="136" customFormat="1" ht="15.75" customHeight="1" x14ac:dyDescent="0.2">
      <c r="A112" s="182" t="s">
        <v>260</v>
      </c>
      <c r="B112" s="813" t="str">
        <f>IF($A112="","",VLOOKUP($A112,Listes!$A$3:$C$193,2,FALSE))</f>
        <v>Hazardous Fees (Ocean)</v>
      </c>
      <c r="C112" s="813"/>
      <c r="D112" s="813"/>
      <c r="E112" s="814" t="s">
        <v>51</v>
      </c>
      <c r="F112" s="814"/>
      <c r="G112" s="814"/>
      <c r="H112" s="653"/>
      <c r="I112" s="531"/>
      <c r="J112" s="531"/>
      <c r="K112" s="531"/>
      <c r="L112" s="531"/>
      <c r="M112" s="532"/>
      <c r="N112" s="160"/>
      <c r="O112" s="160"/>
      <c r="P112" s="160"/>
      <c r="Q112" s="160"/>
      <c r="R112" s="159"/>
    </row>
    <row r="113" spans="1:18" s="136" customFormat="1" ht="15.75" customHeight="1" x14ac:dyDescent="0.2">
      <c r="A113" s="182" t="s">
        <v>897</v>
      </c>
      <c r="B113" s="813" t="str">
        <f>IF($A113="","",VLOOKUP($A113,Listes!$A$3:$C$193,2,FALSE))</f>
        <v xml:space="preserve">Intermodal Door Precarriage Additional for </v>
      </c>
      <c r="C113" s="813"/>
      <c r="D113" s="813"/>
      <c r="E113" s="814" t="s">
        <v>51</v>
      </c>
      <c r="F113" s="814"/>
      <c r="G113" s="814"/>
      <c r="H113" s="653"/>
      <c r="I113" s="531"/>
      <c r="J113" s="531"/>
      <c r="K113" s="531"/>
      <c r="L113" s="531"/>
      <c r="M113" s="532"/>
      <c r="N113" s="160"/>
      <c r="O113" s="160"/>
      <c r="P113" s="160"/>
      <c r="Q113" s="160"/>
      <c r="R113" s="159"/>
    </row>
    <row r="114" spans="1:18" s="136" customFormat="1" ht="15.75" customHeight="1" x14ac:dyDescent="0.2">
      <c r="A114" s="182" t="s">
        <v>877</v>
      </c>
      <c r="B114" s="813" t="str">
        <f>IF($A114="","",VLOOKUP($A114,Listes!$A$3:$C$193,2,FALSE))</f>
        <v>Import Documentation / BL fee - Carrier</v>
      </c>
      <c r="C114" s="813"/>
      <c r="D114" s="813"/>
      <c r="E114" s="814" t="s">
        <v>51</v>
      </c>
      <c r="F114" s="814"/>
      <c r="G114" s="814"/>
      <c r="H114" s="687"/>
      <c r="I114" s="531"/>
      <c r="J114" s="531"/>
      <c r="K114" s="531"/>
      <c r="L114" s="531"/>
      <c r="M114" s="532"/>
      <c r="N114" s="160"/>
      <c r="O114" s="160"/>
      <c r="P114" s="160"/>
      <c r="Q114" s="160"/>
      <c r="R114" s="159"/>
    </row>
    <row r="115" spans="1:18" s="136" customFormat="1" ht="15.75" customHeight="1" x14ac:dyDescent="0.2">
      <c r="A115" s="182" t="s">
        <v>905</v>
      </c>
      <c r="B115" s="813" t="str">
        <f>IF($A115="","",VLOOKUP($A115,Listes!$A$3:$C$193,2,FALSE))</f>
        <v>Import Seal Fee</v>
      </c>
      <c r="C115" s="813"/>
      <c r="D115" s="813"/>
      <c r="E115" s="814" t="s">
        <v>51</v>
      </c>
      <c r="F115" s="814"/>
      <c r="G115" s="814"/>
      <c r="H115" s="653"/>
      <c r="I115" s="531"/>
      <c r="J115" s="531"/>
      <c r="K115" s="531"/>
      <c r="L115" s="531"/>
      <c r="M115" s="532"/>
      <c r="N115" s="160"/>
      <c r="O115" s="160"/>
      <c r="P115" s="160"/>
      <c r="Q115" s="160"/>
      <c r="R115" s="159"/>
    </row>
    <row r="116" spans="1:18" s="136" customFormat="1" ht="15.75" customHeight="1" x14ac:dyDescent="0.2">
      <c r="A116" s="182" t="s">
        <v>1290</v>
      </c>
      <c r="B116" s="813" t="str">
        <f>IF($A116="","",VLOOKUP($A116,Listes!$A$3:$C$193,2,FALSE))</f>
        <v>Local Port Charge Destination Sanitary Fee</v>
      </c>
      <c r="C116" s="813"/>
      <c r="D116" s="813"/>
      <c r="E116" s="814" t="s">
        <v>51</v>
      </c>
      <c r="F116" s="814"/>
      <c r="G116" s="814"/>
      <c r="H116" s="675"/>
      <c r="I116" s="531"/>
      <c r="J116" s="531"/>
      <c r="K116" s="531"/>
      <c r="L116" s="531"/>
      <c r="M116" s="532"/>
      <c r="N116" s="160"/>
      <c r="O116" s="160"/>
      <c r="P116" s="160"/>
      <c r="Q116" s="160"/>
      <c r="R116" s="159"/>
    </row>
    <row r="117" spans="1:18" s="136" customFormat="1" ht="15.75" customHeight="1" x14ac:dyDescent="0.2">
      <c r="A117" s="182" t="s">
        <v>1292</v>
      </c>
      <c r="B117" s="813" t="str">
        <f>IF($A117="","",VLOOKUP($A117,Listes!$A$3:$C$193,2,FALSE))</f>
        <v>Local Port Charge Origin Sanitary Fee</v>
      </c>
      <c r="C117" s="813"/>
      <c r="D117" s="813"/>
      <c r="E117" s="814" t="s">
        <v>51</v>
      </c>
      <c r="F117" s="814"/>
      <c r="G117" s="814"/>
      <c r="H117" s="675"/>
      <c r="I117" s="531"/>
      <c r="J117" s="531"/>
      <c r="K117" s="531"/>
      <c r="L117" s="531"/>
      <c r="M117" s="532"/>
      <c r="N117" s="160"/>
      <c r="O117" s="160"/>
      <c r="P117" s="160"/>
      <c r="Q117" s="160"/>
      <c r="R117" s="159"/>
    </row>
    <row r="118" spans="1:18" s="136" customFormat="1" ht="15.75" customHeight="1" x14ac:dyDescent="0.2">
      <c r="A118" s="182" t="s">
        <v>199</v>
      </c>
      <c r="B118" s="813" t="str">
        <f>IF($A118="","",VLOOKUP($A118,Listes!$A$3:$C$193,2,FALSE))</f>
        <v>Low Sulfur Surcharge</v>
      </c>
      <c r="C118" s="813"/>
      <c r="D118" s="813"/>
      <c r="E118" s="814" t="s">
        <v>53</v>
      </c>
      <c r="F118" s="814"/>
      <c r="G118" s="814"/>
      <c r="H118" s="653"/>
      <c r="I118" s="531"/>
      <c r="J118" s="531"/>
      <c r="K118" s="531"/>
      <c r="L118" s="531"/>
      <c r="M118" s="532"/>
      <c r="N118" s="160"/>
      <c r="O118" s="160"/>
      <c r="P118" s="160"/>
      <c r="Q118" s="160"/>
      <c r="R118" s="159"/>
    </row>
    <row r="119" spans="1:18" s="136" customFormat="1" ht="15.75" customHeight="1" x14ac:dyDescent="0.2">
      <c r="A119" s="182" t="s">
        <v>1124</v>
      </c>
      <c r="B119" s="813" t="str">
        <f>IF($A119="","",VLOOKUP($A119,Listes!$A$3:$C$193,2,FALSE))</f>
        <v>Low Sulfur Surcharge IMO2020</v>
      </c>
      <c r="C119" s="813"/>
      <c r="D119" s="813"/>
      <c r="E119" s="814" t="s">
        <v>53</v>
      </c>
      <c r="F119" s="814"/>
      <c r="G119" s="814"/>
      <c r="H119" s="667"/>
      <c r="I119" s="531"/>
      <c r="J119" s="531"/>
      <c r="K119" s="531"/>
      <c r="L119" s="531"/>
      <c r="M119" s="532"/>
      <c r="N119" s="160"/>
      <c r="O119" s="160"/>
      <c r="P119" s="160"/>
      <c r="Q119" s="160"/>
      <c r="R119" s="159"/>
    </row>
    <row r="120" spans="1:18" s="136" customFormat="1" ht="15.75" customHeight="1" x14ac:dyDescent="0.2">
      <c r="A120" s="182" t="s">
        <v>147</v>
      </c>
      <c r="B120" s="813" t="str">
        <f>IF($A120="","",VLOOKUP($A120,Listes!$A$3:$C$193,2,FALSE))</f>
        <v>Open Top</v>
      </c>
      <c r="C120" s="813"/>
      <c r="D120" s="813"/>
      <c r="E120" s="814" t="s">
        <v>51</v>
      </c>
      <c r="F120" s="814"/>
      <c r="G120" s="814"/>
      <c r="H120" s="653"/>
      <c r="I120" s="531"/>
      <c r="J120" s="531"/>
      <c r="K120" s="531"/>
      <c r="L120" s="531"/>
      <c r="M120" s="532"/>
      <c r="N120" s="160"/>
      <c r="O120" s="160"/>
      <c r="P120" s="160"/>
      <c r="Q120" s="160"/>
      <c r="R120" s="159"/>
    </row>
    <row r="121" spans="1:18" s="136" customFormat="1" ht="15.75" customHeight="1" x14ac:dyDescent="0.2">
      <c r="A121" s="182" t="s">
        <v>832</v>
      </c>
      <c r="B121" s="813" t="str">
        <f>IF($A121="","",VLOOKUP($A121,Listes!$A$3:$C$193,2,FALSE))</f>
        <v>Port Congestion Surcharge Destination</v>
      </c>
      <c r="C121" s="813"/>
      <c r="D121" s="813"/>
      <c r="E121" s="814" t="s">
        <v>51</v>
      </c>
      <c r="F121" s="814"/>
      <c r="G121" s="814"/>
      <c r="H121" s="653"/>
      <c r="I121" s="531"/>
      <c r="J121" s="531"/>
      <c r="K121" s="531"/>
      <c r="L121" s="531"/>
      <c r="M121" s="532"/>
      <c r="N121" s="160"/>
      <c r="O121" s="160"/>
      <c r="P121" s="160"/>
      <c r="Q121" s="160"/>
      <c r="R121" s="159"/>
    </row>
    <row r="122" spans="1:18" s="136" customFormat="1" ht="15.75" customHeight="1" x14ac:dyDescent="0.2">
      <c r="A122" s="182" t="s">
        <v>829</v>
      </c>
      <c r="B122" s="813" t="str">
        <f>IF($A122="","",VLOOKUP($A122,Listes!$A$3:$C$193,2,FALSE))</f>
        <v>Port Congestion Surcharge Origin</v>
      </c>
      <c r="C122" s="813"/>
      <c r="D122" s="813"/>
      <c r="E122" s="814" t="s">
        <v>51</v>
      </c>
      <c r="F122" s="814"/>
      <c r="G122" s="814"/>
      <c r="H122" s="653"/>
      <c r="I122" s="531"/>
      <c r="J122" s="531"/>
      <c r="K122" s="531"/>
      <c r="L122" s="531"/>
      <c r="M122" s="532"/>
      <c r="N122" s="160"/>
      <c r="O122" s="160"/>
      <c r="P122" s="160"/>
      <c r="Q122" s="160"/>
      <c r="R122" s="159"/>
    </row>
    <row r="123" spans="1:18" s="136" customFormat="1" x14ac:dyDescent="0.2">
      <c r="A123" s="182" t="s">
        <v>1060</v>
      </c>
      <c r="B123" s="813" t="str">
        <f>IF($A123="","",VLOOKUP($A123,Listes!$A$3:$C$193,2,FALSE))</f>
        <v>Pre-Carriage Emergency Inland Fuel Surcharge</v>
      </c>
      <c r="C123" s="813"/>
      <c r="D123" s="813"/>
      <c r="E123" s="814" t="s">
        <v>51</v>
      </c>
      <c r="F123" s="814"/>
      <c r="G123" s="814"/>
      <c r="H123" s="653"/>
      <c r="I123" s="531"/>
      <c r="J123" s="531"/>
      <c r="K123" s="531"/>
      <c r="L123" s="531"/>
      <c r="M123" s="532"/>
      <c r="N123" s="160"/>
      <c r="O123" s="160"/>
      <c r="P123" s="160"/>
      <c r="Q123" s="160"/>
      <c r="R123" s="159"/>
    </row>
    <row r="124" spans="1:18" s="136" customFormat="1" x14ac:dyDescent="0.2">
      <c r="A124" s="182" t="s">
        <v>1116</v>
      </c>
      <c r="B124" s="813" t="str">
        <f>IF($A124="","",VLOOKUP($A124,Listes!$A$3:$C$193,2,FALSE))</f>
        <v>Port Dues Destination</v>
      </c>
      <c r="C124" s="813"/>
      <c r="D124" s="813"/>
      <c r="E124" s="814" t="s">
        <v>51</v>
      </c>
      <c r="F124" s="814"/>
      <c r="G124" s="814"/>
      <c r="H124" s="688"/>
      <c r="I124" s="531"/>
      <c r="J124" s="531"/>
      <c r="K124" s="531"/>
      <c r="L124" s="531"/>
      <c r="M124" s="532"/>
      <c r="N124" s="160"/>
      <c r="O124" s="160"/>
      <c r="P124" s="160"/>
      <c r="Q124" s="160"/>
      <c r="R124" s="159"/>
    </row>
    <row r="125" spans="1:18" s="136" customFormat="1" ht="31.5" x14ac:dyDescent="0.2">
      <c r="A125" s="182" t="s">
        <v>1046</v>
      </c>
      <c r="B125" s="813" t="str">
        <f>IF($A125="","",VLOOKUP($A125,Listes!$A$3:$C$193,2,FALSE))</f>
        <v>Pre-Carriage Emergency Intermodal Surcharge</v>
      </c>
      <c r="C125" s="813"/>
      <c r="D125" s="813"/>
      <c r="E125" s="814" t="s">
        <v>51</v>
      </c>
      <c r="F125" s="814"/>
      <c r="G125" s="814"/>
      <c r="H125" s="653"/>
      <c r="I125" s="531"/>
      <c r="J125" s="531"/>
      <c r="K125" s="531"/>
      <c r="L125" s="531"/>
      <c r="M125" s="532"/>
      <c r="N125" s="160"/>
      <c r="O125" s="160"/>
      <c r="P125" s="160"/>
      <c r="Q125" s="160"/>
      <c r="R125" s="159"/>
    </row>
    <row r="126" spans="1:18" s="136" customFormat="1" ht="15.75" customHeight="1" x14ac:dyDescent="0.2">
      <c r="A126" s="182" t="s">
        <v>500</v>
      </c>
      <c r="B126" s="813" t="str">
        <f>IF($A126="","",VLOOKUP($A126,Listes!$A$3:$C$193,2,FALSE))</f>
        <v>Inland Hazardous Charge Precarriage</v>
      </c>
      <c r="C126" s="813"/>
      <c r="D126" s="813"/>
      <c r="E126" s="814" t="s">
        <v>51</v>
      </c>
      <c r="F126" s="814"/>
      <c r="G126" s="814"/>
      <c r="H126" s="653"/>
      <c r="I126" s="531"/>
      <c r="J126" s="531"/>
      <c r="K126" s="531"/>
      <c r="L126" s="531"/>
      <c r="M126" s="532"/>
      <c r="N126" s="160"/>
      <c r="O126" s="160"/>
      <c r="P126" s="160"/>
      <c r="Q126" s="160"/>
      <c r="R126" s="159"/>
    </row>
    <row r="127" spans="1:18" s="136" customFormat="1" ht="15.75" customHeight="1" x14ac:dyDescent="0.2">
      <c r="A127" s="182" t="s">
        <v>826</v>
      </c>
      <c r="B127" s="813" t="str">
        <f>IF($A127="","",VLOOKUP($A127,Listes!$A$3:$C$193,2,FALSE))</f>
        <v>Port Service Charge / Port Additional Surcharge Destination</v>
      </c>
      <c r="C127" s="813"/>
      <c r="D127" s="813"/>
      <c r="E127" s="814" t="s">
        <v>630</v>
      </c>
      <c r="F127" s="814"/>
      <c r="G127" s="814"/>
      <c r="H127" s="653"/>
      <c r="I127" s="531"/>
      <c r="J127" s="531"/>
      <c r="K127" s="531"/>
      <c r="L127" s="531"/>
      <c r="M127" s="532"/>
      <c r="N127" s="160"/>
      <c r="O127" s="160"/>
      <c r="P127" s="160"/>
      <c r="Q127" s="160"/>
      <c r="R127" s="159"/>
    </row>
    <row r="128" spans="1:18" s="136" customFormat="1" ht="15.75" customHeight="1" x14ac:dyDescent="0.2">
      <c r="A128" s="182" t="s">
        <v>87</v>
      </c>
      <c r="B128" s="813" t="str">
        <f>IF($A128="","",VLOOKUP($A128,Listes!$A$3:$C$193,2,FALSE))</f>
        <v>Peak Season</v>
      </c>
      <c r="C128" s="813"/>
      <c r="D128" s="813"/>
      <c r="E128" s="814" t="s">
        <v>51</v>
      </c>
      <c r="F128" s="814"/>
      <c r="G128" s="814"/>
      <c r="H128" s="653"/>
      <c r="I128" s="531"/>
      <c r="J128" s="531"/>
      <c r="K128" s="531"/>
      <c r="L128" s="531"/>
      <c r="M128" s="532"/>
      <c r="N128" s="160"/>
      <c r="O128" s="160"/>
      <c r="P128" s="160"/>
      <c r="Q128" s="160"/>
      <c r="R128" s="159"/>
    </row>
    <row r="129" spans="1:21" s="136" customFormat="1" ht="15.75" customHeight="1" x14ac:dyDescent="0.2">
      <c r="A129" s="182" t="s">
        <v>278</v>
      </c>
      <c r="B129" s="960" t="str">
        <f>IF($A129="","",VLOOKUP($A129,Listes!$A$3:$C$193,2,FALSE))</f>
        <v>Destination Terminal Security Charge</v>
      </c>
      <c r="C129" s="961"/>
      <c r="D129" s="962"/>
      <c r="E129" s="963" t="s">
        <v>51</v>
      </c>
      <c r="F129" s="964"/>
      <c r="G129" s="965"/>
      <c r="H129" s="653"/>
      <c r="I129" s="531"/>
      <c r="J129" s="531"/>
      <c r="K129" s="531"/>
      <c r="L129" s="531"/>
      <c r="M129" s="532"/>
      <c r="N129" s="160"/>
      <c r="O129" s="160"/>
      <c r="P129" s="160"/>
      <c r="Q129" s="160"/>
      <c r="R129" s="159"/>
    </row>
    <row r="130" spans="1:21" s="136" customFormat="1" ht="15.75" customHeight="1" x14ac:dyDescent="0.2">
      <c r="A130" s="182" t="s">
        <v>277</v>
      </c>
      <c r="B130" s="960" t="str">
        <f>IF($A130="","",VLOOKUP($A130,Listes!$A$3:$C$193,2,FALSE))</f>
        <v>Origin Terminal Security Charge</v>
      </c>
      <c r="C130" s="961"/>
      <c r="D130" s="962"/>
      <c r="E130" s="963" t="s">
        <v>51</v>
      </c>
      <c r="F130" s="964"/>
      <c r="G130" s="965"/>
      <c r="H130" s="653"/>
      <c r="I130" s="531"/>
      <c r="J130" s="531"/>
      <c r="K130" s="531"/>
      <c r="L130" s="531"/>
      <c r="M130" s="532"/>
      <c r="N130" s="160"/>
      <c r="O130" s="160"/>
      <c r="P130" s="160"/>
      <c r="Q130" s="160"/>
      <c r="R130" s="159"/>
    </row>
    <row r="131" spans="1:21" s="136" customFormat="1" ht="15.75" customHeight="1" x14ac:dyDescent="0.2">
      <c r="A131" s="182" t="s">
        <v>489</v>
      </c>
      <c r="B131" s="813" t="str">
        <f>IF($A131="","",VLOOKUP($A131,Listes!$A$3:$C$193,2,FALSE))</f>
        <v>Shipper Owned Container Surcharge</v>
      </c>
      <c r="C131" s="813"/>
      <c r="D131" s="813"/>
      <c r="E131" s="814" t="s">
        <v>53</v>
      </c>
      <c r="F131" s="814"/>
      <c r="G131" s="814"/>
      <c r="H131" s="653"/>
      <c r="I131" s="531"/>
      <c r="J131" s="531"/>
      <c r="K131" s="531"/>
      <c r="L131" s="531"/>
      <c r="M131" s="532"/>
      <c r="N131" s="160"/>
      <c r="O131" s="160"/>
      <c r="P131" s="160"/>
      <c r="Q131" s="160"/>
      <c r="R131" s="159"/>
    </row>
    <row r="132" spans="1:21" s="136" customFormat="1" ht="16.5" customHeight="1" x14ac:dyDescent="0.2">
      <c r="A132" s="182" t="s">
        <v>907</v>
      </c>
      <c r="B132" s="813" t="str">
        <f>IF($A132="","",VLOOKUP($A132,Listes!$A$3:$C$193,2,FALSE))</f>
        <v>Terminal Fees, Not Otherwise Specified</v>
      </c>
      <c r="C132" s="813"/>
      <c r="D132" s="813"/>
      <c r="E132" s="814" t="s">
        <v>51</v>
      </c>
      <c r="F132" s="814"/>
      <c r="G132" s="814"/>
      <c r="H132" s="653"/>
      <c r="I132" s="531"/>
      <c r="J132" s="531"/>
      <c r="K132" s="531"/>
      <c r="L132" s="531"/>
      <c r="M132" s="532"/>
      <c r="N132" s="160"/>
      <c r="O132" s="160"/>
      <c r="P132" s="160"/>
      <c r="Q132" s="160"/>
      <c r="R132" s="159"/>
    </row>
    <row r="133" spans="1:21" s="136" customFormat="1" ht="15.75" customHeight="1" x14ac:dyDescent="0.2">
      <c r="A133" s="182" t="s">
        <v>368</v>
      </c>
      <c r="B133" s="813" t="str">
        <f>IF($A133="","",VLOOKUP($A133,Listes!$A$3:$C$193,2,FALSE))</f>
        <v>Tri-Axle / Super Chassis Precarriage Surcharge</v>
      </c>
      <c r="C133" s="813"/>
      <c r="D133" s="813"/>
      <c r="E133" s="814" t="s">
        <v>51</v>
      </c>
      <c r="F133" s="814"/>
      <c r="G133" s="814"/>
      <c r="H133" s="653"/>
      <c r="I133" s="531"/>
      <c r="J133" s="531"/>
      <c r="K133" s="531"/>
      <c r="L133" s="531"/>
      <c r="M133" s="532"/>
      <c r="N133" s="160"/>
      <c r="O133" s="160"/>
      <c r="P133" s="160"/>
      <c r="Q133" s="160"/>
      <c r="R133" s="159"/>
    </row>
    <row r="134" spans="1:21" s="136" customFormat="1" ht="15.75" customHeight="1" thickBot="1" x14ac:dyDescent="0.25">
      <c r="A134" s="185" t="s">
        <v>833</v>
      </c>
      <c r="B134" s="812" t="str">
        <f>IF($A134="","",VLOOKUP($A134,Listes!$A$3:$C$193,2,FALSE))</f>
        <v>Wharfage (Origin)</v>
      </c>
      <c r="C134" s="812"/>
      <c r="D134" s="812"/>
      <c r="E134" s="973" t="s">
        <v>51</v>
      </c>
      <c r="F134" s="974"/>
      <c r="G134" s="975"/>
      <c r="H134" s="655"/>
      <c r="I134" s="533"/>
      <c r="J134" s="533"/>
      <c r="K134" s="533"/>
      <c r="L134" s="533"/>
      <c r="M134" s="534"/>
      <c r="N134" s="160"/>
      <c r="O134" s="160"/>
      <c r="P134" s="160"/>
      <c r="Q134" s="160"/>
      <c r="R134" s="159"/>
    </row>
    <row r="135" spans="1:21" s="73" customFormat="1" ht="16.5" thickBot="1" x14ac:dyDescent="0.25">
      <c r="A135" s="850" t="s">
        <v>216</v>
      </c>
      <c r="B135" s="851"/>
      <c r="C135" s="851"/>
      <c r="D135" s="851"/>
      <c r="E135" s="852"/>
      <c r="F135" s="852"/>
      <c r="G135" s="852"/>
      <c r="H135" s="852"/>
      <c r="I135" s="853"/>
      <c r="J135" s="169"/>
      <c r="K135" s="118"/>
      <c r="L135" s="134"/>
      <c r="M135" s="134"/>
      <c r="N135" s="134"/>
      <c r="O135" s="134"/>
      <c r="P135" s="134"/>
      <c r="Q135" s="118"/>
    </row>
    <row r="136" spans="1:21" s="73" customFormat="1" ht="16.5" thickBot="1" x14ac:dyDescent="0.25">
      <c r="A136" s="849" t="s">
        <v>597</v>
      </c>
      <c r="B136" s="833"/>
      <c r="C136" s="833"/>
      <c r="D136" s="833"/>
      <c r="E136" s="833"/>
      <c r="F136" s="833"/>
      <c r="G136" s="833"/>
      <c r="H136" s="833"/>
      <c r="I136" s="834"/>
      <c r="J136" s="169"/>
      <c r="K136" s="134"/>
      <c r="L136" s="134"/>
      <c r="M136" s="134"/>
      <c r="N136" s="134"/>
      <c r="O136" s="118"/>
    </row>
    <row r="137" spans="1:21" s="73" customFormat="1" ht="16.5" thickBot="1" x14ac:dyDescent="0.25">
      <c r="A137" s="187"/>
      <c r="B137" s="187"/>
      <c r="C137" s="188"/>
      <c r="D137" s="189"/>
      <c r="E137" s="170"/>
      <c r="F137" s="170"/>
      <c r="G137" s="170"/>
      <c r="H137" s="170"/>
      <c r="I137" s="170"/>
      <c r="J137" s="189"/>
      <c r="K137" s="169"/>
      <c r="L137" s="118"/>
      <c r="M137" s="134"/>
      <c r="N137" s="134"/>
      <c r="O137" s="134"/>
      <c r="P137" s="134"/>
      <c r="Q137" s="134"/>
      <c r="R137" s="118"/>
    </row>
    <row r="138" spans="1:21" s="73" customFormat="1" ht="15.6" customHeight="1" x14ac:dyDescent="0.2">
      <c r="A138" s="830" t="s">
        <v>523</v>
      </c>
      <c r="B138" s="831"/>
      <c r="C138" s="831"/>
      <c r="D138" s="831"/>
      <c r="E138" s="842" t="s">
        <v>288</v>
      </c>
      <c r="F138" s="842">
        <v>20</v>
      </c>
      <c r="G138" s="842">
        <v>40</v>
      </c>
      <c r="H138" s="842" t="s">
        <v>19</v>
      </c>
      <c r="I138" s="842" t="s">
        <v>20</v>
      </c>
      <c r="J138" s="848" t="s">
        <v>297</v>
      </c>
      <c r="K138" s="848" t="s">
        <v>33</v>
      </c>
      <c r="L138" s="846" t="s">
        <v>217</v>
      </c>
      <c r="M138" s="189"/>
      <c r="N138" s="134"/>
      <c r="O138" s="134"/>
      <c r="P138" s="134"/>
      <c r="Q138" s="134"/>
      <c r="R138" s="134"/>
      <c r="S138" s="134"/>
      <c r="T138" s="134"/>
      <c r="U138" s="134"/>
    </row>
    <row r="139" spans="1:21" s="73" customFormat="1" x14ac:dyDescent="0.2">
      <c r="A139" s="537" t="s">
        <v>218</v>
      </c>
      <c r="B139" s="538" t="s">
        <v>11</v>
      </c>
      <c r="C139" s="538" t="s">
        <v>12</v>
      </c>
      <c r="D139" s="538" t="s">
        <v>219</v>
      </c>
      <c r="E139" s="843"/>
      <c r="F139" s="843"/>
      <c r="G139" s="843"/>
      <c r="H139" s="843"/>
      <c r="I139" s="843"/>
      <c r="J139" s="843"/>
      <c r="K139" s="843"/>
      <c r="L139" s="847"/>
      <c r="M139" s="189"/>
      <c r="N139" s="134"/>
      <c r="O139" s="134"/>
      <c r="P139" s="134"/>
      <c r="Q139" s="134"/>
      <c r="R139" s="134"/>
      <c r="S139" s="134"/>
      <c r="T139" s="134"/>
      <c r="U139" s="134"/>
    </row>
    <row r="140" spans="1:21" s="136" customFormat="1" x14ac:dyDescent="0.2">
      <c r="A140" s="539"/>
      <c r="B140" s="540"/>
      <c r="C140" s="540"/>
      <c r="D140" s="540"/>
      <c r="E140" s="540"/>
      <c r="F140" s="255"/>
      <c r="G140" s="255"/>
      <c r="H140" s="255"/>
      <c r="I140" s="255"/>
      <c r="J140" s="540"/>
      <c r="K140" s="21"/>
      <c r="L140" s="541"/>
      <c r="M140" s="190"/>
      <c r="N140" s="160"/>
      <c r="O140" s="160"/>
      <c r="P140" s="160"/>
      <c r="Q140" s="160"/>
      <c r="R140" s="160"/>
      <c r="S140" s="160"/>
      <c r="T140" s="160"/>
      <c r="U140" s="160"/>
    </row>
    <row r="141" spans="1:21" s="136" customFormat="1" x14ac:dyDescent="0.2">
      <c r="A141" s="542"/>
      <c r="B141" s="540"/>
      <c r="C141" s="540"/>
      <c r="D141" s="540"/>
      <c r="E141" s="540"/>
      <c r="F141" s="255"/>
      <c r="G141" s="255"/>
      <c r="H141" s="255"/>
      <c r="I141" s="255"/>
      <c r="J141" s="24"/>
      <c r="K141" s="21"/>
      <c r="L141" s="25"/>
      <c r="M141" s="191"/>
      <c r="N141" s="160"/>
      <c r="O141" s="160"/>
      <c r="P141" s="160"/>
      <c r="Q141" s="160"/>
      <c r="R141" s="160"/>
      <c r="S141" s="160"/>
      <c r="T141" s="160"/>
      <c r="U141" s="160"/>
    </row>
    <row r="142" spans="1:21" s="136" customFormat="1" x14ac:dyDescent="0.2">
      <c r="A142" s="542"/>
      <c r="B142" s="540"/>
      <c r="C142" s="540"/>
      <c r="D142" s="540"/>
      <c r="E142" s="540"/>
      <c r="F142" s="255"/>
      <c r="G142" s="255"/>
      <c r="H142" s="255"/>
      <c r="I142" s="255"/>
      <c r="J142" s="24"/>
      <c r="K142" s="21"/>
      <c r="L142" s="25"/>
      <c r="M142" s="191"/>
      <c r="N142" s="160"/>
      <c r="O142" s="160"/>
      <c r="P142" s="160"/>
      <c r="Q142" s="160"/>
      <c r="R142" s="160"/>
      <c r="S142" s="160"/>
      <c r="T142" s="160"/>
      <c r="U142" s="160"/>
    </row>
    <row r="143" spans="1:21" s="136" customFormat="1" ht="16.5" thickBot="1" x14ac:dyDescent="0.25">
      <c r="A143" s="543"/>
      <c r="B143" s="544"/>
      <c r="C143" s="544"/>
      <c r="D143" s="544"/>
      <c r="E143" s="544"/>
      <c r="F143" s="256"/>
      <c r="G143" s="256"/>
      <c r="H143" s="256"/>
      <c r="I143" s="256"/>
      <c r="J143" s="28"/>
      <c r="K143" s="29"/>
      <c r="L143" s="30"/>
      <c r="M143" s="191"/>
      <c r="N143" s="160"/>
      <c r="O143" s="160"/>
      <c r="P143" s="160"/>
      <c r="Q143" s="160"/>
      <c r="R143" s="160"/>
      <c r="S143" s="160"/>
      <c r="T143" s="160"/>
      <c r="U143" s="160"/>
    </row>
    <row r="144" spans="1:21" s="136" customFormat="1" x14ac:dyDescent="0.2">
      <c r="A144" s="173"/>
      <c r="B144" s="545"/>
      <c r="C144" s="545"/>
      <c r="D144" s="545"/>
      <c r="E144" s="545"/>
      <c r="F144" s="545"/>
      <c r="G144" s="545"/>
      <c r="H144" s="545"/>
      <c r="I144" s="545"/>
      <c r="J144" s="33"/>
      <c r="K144" s="33"/>
      <c r="L144" s="34"/>
      <c r="M144" s="191"/>
      <c r="N144" s="160"/>
      <c r="O144" s="160"/>
      <c r="P144" s="160"/>
      <c r="Q144" s="160"/>
      <c r="R144" s="160"/>
      <c r="S144" s="160"/>
      <c r="T144" s="160"/>
      <c r="U144" s="160"/>
    </row>
    <row r="145" spans="1:21" s="73" customFormat="1" ht="15.6" customHeight="1" x14ac:dyDescent="0.2">
      <c r="A145" s="841" t="s">
        <v>596</v>
      </c>
      <c r="B145" s="840"/>
      <c r="C145" s="840"/>
      <c r="D145" s="840"/>
      <c r="E145" s="840" t="s">
        <v>288</v>
      </c>
      <c r="F145" s="840">
        <v>20</v>
      </c>
      <c r="G145" s="840">
        <v>40</v>
      </c>
      <c r="H145" s="840" t="s">
        <v>19</v>
      </c>
      <c r="I145" s="840" t="s">
        <v>20</v>
      </c>
      <c r="J145" s="845" t="s">
        <v>297</v>
      </c>
      <c r="K145" s="845" t="s">
        <v>33</v>
      </c>
      <c r="L145" s="844" t="s">
        <v>217</v>
      </c>
      <c r="M145" s="844" t="s">
        <v>23</v>
      </c>
      <c r="N145" s="169"/>
      <c r="O145" s="118"/>
      <c r="P145" s="134"/>
      <c r="Q145" s="134"/>
      <c r="R145" s="134"/>
      <c r="S145" s="134"/>
      <c r="T145" s="134"/>
      <c r="U145" s="134"/>
    </row>
    <row r="146" spans="1:21" s="73" customFormat="1" x14ac:dyDescent="0.2">
      <c r="A146" s="546" t="s">
        <v>218</v>
      </c>
      <c r="B146" s="546" t="s">
        <v>11</v>
      </c>
      <c r="C146" s="546" t="s">
        <v>12</v>
      </c>
      <c r="D146" s="546" t="s">
        <v>219</v>
      </c>
      <c r="E146" s="840"/>
      <c r="F146" s="840"/>
      <c r="G146" s="840"/>
      <c r="H146" s="840"/>
      <c r="I146" s="840"/>
      <c r="J146" s="840"/>
      <c r="K146" s="840"/>
      <c r="L146" s="844"/>
      <c r="M146" s="844"/>
      <c r="N146" s="169"/>
      <c r="O146" s="118"/>
      <c r="P146" s="134"/>
      <c r="Q146" s="134"/>
      <c r="R146" s="134"/>
      <c r="S146" s="134"/>
      <c r="T146" s="134"/>
      <c r="U146" s="134"/>
    </row>
    <row r="147" spans="1:21" s="136" customFormat="1" x14ac:dyDescent="0.2">
      <c r="A147" s="372"/>
      <c r="B147" s="547"/>
      <c r="C147" s="547"/>
      <c r="D147" s="547"/>
      <c r="E147" s="547"/>
      <c r="F147" s="368"/>
      <c r="G147" s="368"/>
      <c r="H147" s="368"/>
      <c r="I147" s="368"/>
      <c r="J147" s="369"/>
      <c r="K147" s="370"/>
      <c r="L147" s="548"/>
      <c r="M147" s="548"/>
      <c r="N147" s="192"/>
      <c r="O147" s="159"/>
      <c r="P147" s="160"/>
      <c r="Q147" s="160"/>
      <c r="R147" s="160"/>
      <c r="S147" s="160"/>
      <c r="T147" s="160"/>
      <c r="U147" s="160"/>
    </row>
    <row r="148" spans="1:21" s="136" customFormat="1" x14ac:dyDescent="0.2">
      <c r="A148" s="372"/>
      <c r="B148" s="547"/>
      <c r="C148" s="547"/>
      <c r="D148" s="547"/>
      <c r="E148" s="547"/>
      <c r="F148" s="368"/>
      <c r="G148" s="368"/>
      <c r="H148" s="368"/>
      <c r="I148" s="368"/>
      <c r="J148" s="369"/>
      <c r="K148" s="370"/>
      <c r="L148" s="548"/>
      <c r="M148" s="548"/>
      <c r="N148" s="192"/>
      <c r="O148" s="159"/>
      <c r="P148" s="160"/>
      <c r="Q148" s="160"/>
      <c r="R148" s="160"/>
      <c r="S148" s="160"/>
      <c r="T148" s="160"/>
      <c r="U148" s="160"/>
    </row>
    <row r="149" spans="1:21" s="136" customFormat="1" x14ac:dyDescent="0.2">
      <c r="A149" s="372"/>
      <c r="B149" s="547"/>
      <c r="C149" s="547"/>
      <c r="D149" s="547"/>
      <c r="E149" s="547"/>
      <c r="F149" s="368"/>
      <c r="G149" s="368"/>
      <c r="H149" s="368"/>
      <c r="I149" s="368"/>
      <c r="J149" s="369"/>
      <c r="K149" s="370"/>
      <c r="L149" s="548"/>
      <c r="M149" s="548"/>
      <c r="N149" s="192"/>
      <c r="O149" s="159"/>
      <c r="P149" s="160"/>
      <c r="Q149" s="160"/>
      <c r="R149" s="160"/>
      <c r="S149" s="160"/>
      <c r="T149" s="160"/>
      <c r="U149" s="160"/>
    </row>
    <row r="150" spans="1:21" s="136" customFormat="1" x14ac:dyDescent="0.2">
      <c r="A150" s="372"/>
      <c r="B150" s="547"/>
      <c r="C150" s="547"/>
      <c r="D150" s="547"/>
      <c r="E150" s="547"/>
      <c r="F150" s="368"/>
      <c r="G150" s="368"/>
      <c r="H150" s="368"/>
      <c r="I150" s="368"/>
      <c r="J150" s="369"/>
      <c r="K150" s="370"/>
      <c r="L150" s="373"/>
      <c r="M150" s="373"/>
      <c r="N150" s="191"/>
      <c r="O150" s="159"/>
      <c r="P150" s="160"/>
      <c r="Q150" s="160"/>
      <c r="R150" s="160"/>
      <c r="S150" s="160"/>
      <c r="T150" s="160"/>
      <c r="U150" s="160"/>
    </row>
    <row r="151" spans="1:21" s="73" customFormat="1" x14ac:dyDescent="0.2">
      <c r="A151" s="456"/>
      <c r="B151" s="549"/>
      <c r="C151" s="549"/>
      <c r="D151" s="549"/>
      <c r="E151" s="549"/>
      <c r="F151" s="194"/>
      <c r="G151" s="522"/>
      <c r="H151" s="195"/>
      <c r="I151" s="195"/>
      <c r="J151" s="176"/>
      <c r="K151" s="118"/>
      <c r="L151" s="134"/>
      <c r="M151" s="134"/>
      <c r="N151" s="134"/>
      <c r="O151" s="134"/>
      <c r="P151" s="134"/>
      <c r="Q151" s="134"/>
    </row>
    <row r="152" spans="1:21" s="456" customFormat="1" ht="16.5" thickBot="1" x14ac:dyDescent="0.25">
      <c r="A152" s="196"/>
      <c r="B152" s="197"/>
      <c r="C152" s="198"/>
      <c r="D152" s="198"/>
      <c r="E152" s="169"/>
      <c r="F152" s="176"/>
      <c r="G152" s="176"/>
      <c r="H152" s="176"/>
      <c r="I152" s="176"/>
      <c r="J152" s="170"/>
      <c r="K152" s="118"/>
      <c r="L152" s="134"/>
      <c r="M152" s="134"/>
      <c r="N152" s="134"/>
      <c r="O152" s="134"/>
      <c r="P152" s="134"/>
      <c r="Q152" s="134"/>
      <c r="R152" s="134"/>
      <c r="S152" s="118"/>
      <c r="T152" s="118"/>
      <c r="U152" s="118"/>
    </row>
    <row r="153" spans="1:21" s="456" customFormat="1" ht="16.5" thickBot="1" x14ac:dyDescent="0.25">
      <c r="A153" s="822" t="s">
        <v>220</v>
      </c>
      <c r="B153" s="823"/>
      <c r="C153" s="823"/>
      <c r="D153" s="823"/>
      <c r="E153" s="824"/>
      <c r="F153" s="176"/>
      <c r="G153" s="176"/>
      <c r="H153" s="176"/>
      <c r="I153" s="176"/>
      <c r="J153" s="170"/>
      <c r="K153" s="118"/>
      <c r="L153" s="134"/>
      <c r="M153" s="134"/>
      <c r="N153" s="134"/>
      <c r="O153" s="134"/>
      <c r="P153" s="134"/>
      <c r="Q153" s="134"/>
      <c r="R153" s="134"/>
      <c r="S153" s="118"/>
      <c r="T153" s="118"/>
      <c r="U153" s="118"/>
    </row>
    <row r="154" spans="1:21" s="73" customFormat="1" ht="16.5" thickBot="1" x14ac:dyDescent="0.25">
      <c r="A154" s="550"/>
      <c r="B154" s="456"/>
      <c r="C154" s="456"/>
      <c r="D154" s="456"/>
      <c r="E154" s="456"/>
      <c r="F154" s="194"/>
      <c r="G154" s="456"/>
      <c r="H154" s="200"/>
      <c r="I154" s="194"/>
      <c r="J154" s="194"/>
      <c r="K154" s="118"/>
      <c r="L154" s="134"/>
      <c r="M154" s="134"/>
      <c r="N154" s="134"/>
      <c r="O154" s="134"/>
      <c r="P154" s="134"/>
      <c r="Q154" s="134"/>
      <c r="R154" s="134"/>
      <c r="S154" s="118"/>
      <c r="T154" s="118"/>
      <c r="U154" s="118"/>
    </row>
    <row r="155" spans="1:21" s="73" customFormat="1" ht="16.5" thickBot="1" x14ac:dyDescent="0.25">
      <c r="A155" s="825" t="s">
        <v>221</v>
      </c>
      <c r="B155" s="838"/>
      <c r="C155" s="838"/>
      <c r="D155" s="838"/>
      <c r="E155" s="838"/>
      <c r="F155" s="839"/>
      <c r="G155" s="456"/>
      <c r="H155" s="200"/>
      <c r="I155" s="194"/>
      <c r="J155" s="194"/>
      <c r="K155" s="118"/>
      <c r="L155" s="134"/>
      <c r="M155" s="134"/>
      <c r="N155" s="134"/>
      <c r="O155" s="134"/>
      <c r="P155" s="134"/>
      <c r="Q155" s="134"/>
      <c r="R155" s="134"/>
      <c r="S155" s="118"/>
      <c r="T155" s="118"/>
      <c r="U155" s="118"/>
    </row>
    <row r="156" spans="1:21" s="73" customFormat="1" ht="16.5" customHeight="1" x14ac:dyDescent="0.2">
      <c r="A156" s="835" t="s">
        <v>222</v>
      </c>
      <c r="B156" s="836"/>
      <c r="C156" s="836"/>
      <c r="D156" s="836"/>
      <c r="E156" s="836"/>
      <c r="F156" s="837"/>
      <c r="G156" s="456"/>
      <c r="H156" s="201"/>
      <c r="I156" s="170"/>
      <c r="J156" s="170"/>
      <c r="K156" s="118"/>
      <c r="L156" s="134"/>
      <c r="M156" s="134"/>
      <c r="N156" s="134"/>
      <c r="O156" s="134"/>
      <c r="P156" s="134"/>
      <c r="Q156" s="134"/>
      <c r="R156" s="134"/>
      <c r="S156" s="118"/>
      <c r="T156" s="118"/>
      <c r="U156" s="118"/>
    </row>
    <row r="157" spans="1:21" ht="16.5" thickBot="1" x14ac:dyDescent="0.25">
      <c r="A157" s="832" t="s">
        <v>223</v>
      </c>
      <c r="B157" s="833"/>
      <c r="C157" s="833"/>
      <c r="D157" s="833"/>
      <c r="E157" s="833"/>
      <c r="F157" s="834"/>
      <c r="G157" s="176"/>
      <c r="H157" s="176"/>
      <c r="I157" s="176"/>
      <c r="J157" s="169"/>
      <c r="K157" s="169"/>
      <c r="L157" s="169"/>
      <c r="M157" s="169"/>
      <c r="N157" s="169"/>
      <c r="O157" s="169"/>
      <c r="P157" s="169"/>
      <c r="Q157" s="169"/>
      <c r="R157" s="169"/>
      <c r="S157" s="169"/>
      <c r="T157" s="169"/>
      <c r="U157" s="169"/>
    </row>
    <row r="158" spans="1:21" x14ac:dyDescent="0.2">
      <c r="A158" s="551" t="s">
        <v>224</v>
      </c>
      <c r="B158" s="450" t="s">
        <v>225</v>
      </c>
      <c r="C158" s="552" t="s">
        <v>226</v>
      </c>
      <c r="D158" s="553" t="s">
        <v>227</v>
      </c>
      <c r="E158" s="176"/>
      <c r="F158" s="176"/>
      <c r="G158" s="176"/>
      <c r="H158" s="169"/>
      <c r="I158" s="169"/>
      <c r="J158" s="169"/>
      <c r="K158" s="169"/>
      <c r="L158" s="169"/>
      <c r="M158" s="169"/>
      <c r="N158" s="169"/>
      <c r="O158" s="169"/>
      <c r="P158" s="169"/>
      <c r="Q158" s="169"/>
      <c r="R158" s="169"/>
    </row>
    <row r="159" spans="1:21" s="192" customFormat="1" x14ac:dyDescent="0.2">
      <c r="A159" s="203"/>
      <c r="B159" s="204"/>
      <c r="C159" s="205"/>
      <c r="D159" s="206"/>
      <c r="E159" s="191"/>
      <c r="F159" s="191"/>
      <c r="G159" s="191"/>
    </row>
    <row r="160" spans="1:21" s="192" customFormat="1" x14ac:dyDescent="0.2">
      <c r="A160" s="203"/>
      <c r="B160" s="204"/>
      <c r="C160" s="205"/>
      <c r="D160" s="206"/>
      <c r="E160" s="191"/>
      <c r="F160" s="191"/>
      <c r="G160" s="191"/>
    </row>
    <row r="161" spans="1:21" s="192" customFormat="1" ht="16.5" thickBot="1" x14ac:dyDescent="0.25">
      <c r="A161" s="207"/>
      <c r="B161" s="208"/>
      <c r="C161" s="209"/>
      <c r="D161" s="210"/>
      <c r="E161" s="191"/>
      <c r="F161" s="191"/>
      <c r="G161" s="191"/>
    </row>
    <row r="162" spans="1:21" ht="16.5" thickBot="1" x14ac:dyDescent="0.25"/>
    <row r="163" spans="1:21" s="73" customFormat="1" ht="16.5" thickBot="1" x14ac:dyDescent="0.25">
      <c r="A163" s="822" t="s">
        <v>228</v>
      </c>
      <c r="B163" s="823"/>
      <c r="C163" s="823"/>
      <c r="D163" s="823"/>
      <c r="E163" s="823"/>
      <c r="F163" s="823"/>
      <c r="G163" s="823"/>
      <c r="H163" s="823"/>
      <c r="I163" s="824"/>
      <c r="J163" s="169"/>
      <c r="K163" s="118"/>
      <c r="L163" s="134"/>
      <c r="M163" s="134"/>
      <c r="N163" s="134"/>
      <c r="O163" s="134"/>
      <c r="P163" s="134"/>
      <c r="Q163" s="134"/>
      <c r="R163" s="134"/>
      <c r="S163" s="118"/>
      <c r="T163" s="118"/>
      <c r="U163" s="118"/>
    </row>
    <row r="164" spans="1:21" s="73" customFormat="1" ht="16.5" thickBot="1" x14ac:dyDescent="0.25">
      <c r="A164" s="554" t="s">
        <v>229</v>
      </c>
      <c r="B164" s="213"/>
      <c r="C164" s="214"/>
      <c r="D164" s="214"/>
      <c r="E164" s="214"/>
      <c r="F164" s="214"/>
      <c r="G164" s="215"/>
      <c r="H164" s="216"/>
      <c r="I164" s="217"/>
      <c r="J164" s="170"/>
      <c r="K164" s="118"/>
      <c r="L164" s="134"/>
      <c r="M164" s="134"/>
      <c r="N164" s="134"/>
      <c r="O164" s="134"/>
      <c r="P164" s="134"/>
      <c r="Q164" s="134"/>
      <c r="R164" s="134"/>
      <c r="S164" s="118"/>
      <c r="T164" s="118"/>
      <c r="U164" s="118"/>
    </row>
    <row r="165" spans="1:21" s="308" customFormat="1" ht="16.5" thickBot="1" x14ac:dyDescent="0.25">
      <c r="A165" s="228" t="s">
        <v>473</v>
      </c>
      <c r="B165" s="949" t="s">
        <v>975</v>
      </c>
      <c r="C165" s="950"/>
      <c r="D165" s="950"/>
      <c r="E165" s="950"/>
      <c r="F165" s="950"/>
      <c r="G165" s="950"/>
      <c r="H165" s="950"/>
      <c r="I165" s="951"/>
      <c r="J165" s="171"/>
      <c r="K165" s="172"/>
      <c r="L165" s="173"/>
      <c r="M165" s="173"/>
      <c r="N165" s="173"/>
      <c r="O165" s="173"/>
      <c r="P165" s="173"/>
      <c r="Q165" s="173"/>
      <c r="R165" s="173"/>
      <c r="S165" s="172"/>
      <c r="T165" s="172"/>
      <c r="U165" s="172"/>
    </row>
    <row r="166" spans="1:21" s="218" customFormat="1" ht="169.5" customHeight="1" x14ac:dyDescent="0.2">
      <c r="A166" s="611" t="s">
        <v>974</v>
      </c>
      <c r="B166" s="827" t="s">
        <v>1063</v>
      </c>
      <c r="C166" s="828"/>
      <c r="D166" s="828"/>
      <c r="E166" s="828"/>
      <c r="F166" s="828"/>
      <c r="G166" s="828"/>
      <c r="H166" s="828"/>
      <c r="I166" s="829"/>
    </row>
    <row r="167" spans="1:21" s="218" customFormat="1" x14ac:dyDescent="0.2">
      <c r="A167" s="281"/>
      <c r="B167" s="816"/>
      <c r="C167" s="817"/>
      <c r="D167" s="817"/>
      <c r="E167" s="817"/>
      <c r="F167" s="817"/>
      <c r="G167" s="817"/>
      <c r="H167" s="817"/>
      <c r="I167" s="818"/>
    </row>
    <row r="168" spans="1:21" s="218" customFormat="1" x14ac:dyDescent="0.2">
      <c r="A168" s="281"/>
      <c r="B168" s="816"/>
      <c r="C168" s="817"/>
      <c r="D168" s="817"/>
      <c r="E168" s="817"/>
      <c r="F168" s="817"/>
      <c r="G168" s="817"/>
      <c r="H168" s="817"/>
      <c r="I168" s="818"/>
    </row>
    <row r="169" spans="1:21" s="218" customFormat="1" x14ac:dyDescent="0.2">
      <c r="A169" s="281"/>
      <c r="B169" s="816"/>
      <c r="C169" s="817"/>
      <c r="D169" s="817"/>
      <c r="E169" s="817"/>
      <c r="F169" s="817"/>
      <c r="G169" s="817"/>
      <c r="H169" s="817"/>
      <c r="I169" s="818"/>
    </row>
    <row r="170" spans="1:21" s="218" customFormat="1" x14ac:dyDescent="0.2">
      <c r="A170" s="281"/>
      <c r="B170" s="816"/>
      <c r="C170" s="817"/>
      <c r="D170" s="817"/>
      <c r="E170" s="817"/>
      <c r="F170" s="817"/>
      <c r="G170" s="817"/>
      <c r="H170" s="817"/>
      <c r="I170" s="818"/>
    </row>
    <row r="171" spans="1:21" s="218" customFormat="1" x14ac:dyDescent="0.2">
      <c r="A171" s="281"/>
      <c r="B171" s="816"/>
      <c r="C171" s="817"/>
      <c r="D171" s="817"/>
      <c r="E171" s="817"/>
      <c r="F171" s="817"/>
      <c r="G171" s="817"/>
      <c r="H171" s="817"/>
      <c r="I171" s="818"/>
    </row>
    <row r="172" spans="1:21" s="218" customFormat="1" x14ac:dyDescent="0.2">
      <c r="A172" s="281"/>
      <c r="B172" s="816"/>
      <c r="C172" s="817"/>
      <c r="D172" s="817"/>
      <c r="E172" s="817"/>
      <c r="F172" s="817"/>
      <c r="G172" s="817"/>
      <c r="H172" s="817"/>
      <c r="I172" s="818"/>
    </row>
    <row r="173" spans="1:21" s="218" customFormat="1" x14ac:dyDescent="0.2">
      <c r="A173" s="281"/>
      <c r="B173" s="816"/>
      <c r="C173" s="817"/>
      <c r="D173" s="817"/>
      <c r="E173" s="817"/>
      <c r="F173" s="817"/>
      <c r="G173" s="817"/>
      <c r="H173" s="817"/>
      <c r="I173" s="818"/>
    </row>
    <row r="174" spans="1:21" s="218" customFormat="1" x14ac:dyDescent="0.2">
      <c r="A174" s="281"/>
      <c r="B174" s="816"/>
      <c r="C174" s="817"/>
      <c r="D174" s="817"/>
      <c r="E174" s="817"/>
      <c r="F174" s="817"/>
      <c r="G174" s="817"/>
      <c r="H174" s="817"/>
      <c r="I174" s="818"/>
    </row>
    <row r="175" spans="1:21" s="218" customFormat="1" x14ac:dyDescent="0.2">
      <c r="A175" s="281"/>
      <c r="B175" s="816"/>
      <c r="C175" s="817"/>
      <c r="D175" s="817"/>
      <c r="E175" s="817"/>
      <c r="F175" s="817"/>
      <c r="G175" s="817"/>
      <c r="H175" s="817"/>
      <c r="I175" s="818"/>
    </row>
    <row r="176" spans="1:21" s="218" customFormat="1" x14ac:dyDescent="0.2">
      <c r="A176" s="281"/>
      <c r="B176" s="816"/>
      <c r="C176" s="817"/>
      <c r="D176" s="817"/>
      <c r="E176" s="817"/>
      <c r="F176" s="817"/>
      <c r="G176" s="817"/>
      <c r="H176" s="817"/>
      <c r="I176" s="818"/>
    </row>
    <row r="177" spans="1:14" s="218" customFormat="1" x14ac:dyDescent="0.2">
      <c r="A177" s="281"/>
      <c r="B177" s="816"/>
      <c r="C177" s="817"/>
      <c r="D177" s="817"/>
      <c r="E177" s="817"/>
      <c r="F177" s="817"/>
      <c r="G177" s="817"/>
      <c r="H177" s="817"/>
      <c r="I177" s="818"/>
    </row>
    <row r="178" spans="1:14" s="218" customFormat="1" x14ac:dyDescent="0.2">
      <c r="A178" s="281"/>
      <c r="B178" s="816"/>
      <c r="C178" s="817"/>
      <c r="D178" s="817"/>
      <c r="E178" s="817"/>
      <c r="F178" s="817"/>
      <c r="G178" s="817"/>
      <c r="H178" s="817"/>
      <c r="I178" s="818"/>
    </row>
    <row r="179" spans="1:14" s="218" customFormat="1" ht="16.5" thickBot="1" x14ac:dyDescent="0.25">
      <c r="A179" s="282"/>
      <c r="B179" s="819"/>
      <c r="C179" s="820"/>
      <c r="D179" s="820"/>
      <c r="E179" s="820"/>
      <c r="F179" s="820"/>
      <c r="G179" s="820"/>
      <c r="H179" s="820"/>
      <c r="I179" s="821"/>
    </row>
    <row r="181" spans="1:14" s="218" customFormat="1" x14ac:dyDescent="0.2">
      <c r="F181" s="337"/>
      <c r="G181" s="337"/>
      <c r="H181" s="337"/>
      <c r="I181" s="337"/>
    </row>
    <row r="182" spans="1:14" s="218" customFormat="1" ht="16.5" thickBot="1" x14ac:dyDescent="0.25">
      <c r="F182" s="337"/>
      <c r="G182" s="337"/>
      <c r="H182" s="337"/>
      <c r="I182" s="337"/>
    </row>
    <row r="183" spans="1:14" s="218" customFormat="1" ht="16.5" thickBot="1" x14ac:dyDescent="0.25">
      <c r="A183" s="825" t="s">
        <v>3</v>
      </c>
      <c r="B183" s="826"/>
      <c r="F183" s="337"/>
      <c r="G183" s="337"/>
      <c r="H183" s="337"/>
      <c r="I183" s="337"/>
    </row>
    <row r="184" spans="1:14" s="347" customFormat="1" ht="16.5" thickBot="1" x14ac:dyDescent="0.25">
      <c r="A184" s="338"/>
      <c r="B184" s="338"/>
      <c r="F184" s="348"/>
      <c r="G184" s="348"/>
      <c r="H184" s="348"/>
      <c r="I184" s="348"/>
    </row>
    <row r="185" spans="1:14" s="218" customFormat="1" ht="15.75" customHeight="1" thickBot="1" x14ac:dyDescent="0.25">
      <c r="A185" s="800" t="s">
        <v>2</v>
      </c>
      <c r="B185" s="801"/>
      <c r="C185" s="801"/>
      <c r="D185" s="801"/>
      <c r="E185" s="801"/>
      <c r="F185" s="801"/>
      <c r="G185" s="802"/>
      <c r="H185" s="337"/>
      <c r="I185" s="337"/>
    </row>
    <row r="186" spans="1:14" s="347" customFormat="1" ht="15.75" customHeight="1" thickBot="1" x14ac:dyDescent="0.25">
      <c r="A186" s="338"/>
      <c r="B186" s="338"/>
      <c r="C186" s="338"/>
      <c r="D186" s="338"/>
      <c r="E186" s="338"/>
      <c r="F186" s="338"/>
      <c r="G186" s="338"/>
      <c r="H186" s="348"/>
      <c r="I186" s="348"/>
    </row>
    <row r="187" spans="1:14" s="218" customFormat="1" ht="15.75" customHeight="1" thickBot="1" x14ac:dyDescent="0.25">
      <c r="A187" s="807" t="s">
        <v>1</v>
      </c>
      <c r="B187" s="808"/>
      <c r="C187" s="808"/>
      <c r="D187" s="808"/>
      <c r="E187" s="809"/>
      <c r="F187" s="339"/>
      <c r="G187" s="339"/>
      <c r="H187" s="337"/>
      <c r="I187" s="337"/>
    </row>
    <row r="188" spans="1:14" s="218" customFormat="1" x14ac:dyDescent="0.2">
      <c r="A188" s="803" t="s">
        <v>627</v>
      </c>
      <c r="B188" s="805" t="s">
        <v>888</v>
      </c>
      <c r="C188" s="786" t="s">
        <v>0</v>
      </c>
      <c r="D188" s="786" t="s">
        <v>609</v>
      </c>
      <c r="E188" s="805" t="s">
        <v>889</v>
      </c>
      <c r="F188" s="786" t="s">
        <v>436</v>
      </c>
      <c r="G188" s="786" t="s">
        <v>421</v>
      </c>
      <c r="H188" s="786" t="s">
        <v>628</v>
      </c>
      <c r="I188" s="786" t="s">
        <v>11</v>
      </c>
      <c r="J188" s="786" t="s">
        <v>12</v>
      </c>
      <c r="K188" s="786" t="s">
        <v>13</v>
      </c>
      <c r="L188" s="786" t="s">
        <v>449</v>
      </c>
      <c r="M188" s="786" t="s">
        <v>610</v>
      </c>
      <c r="N188" s="788"/>
    </row>
    <row r="189" spans="1:14" s="218" customFormat="1" ht="32.25" customHeight="1" thickBot="1" x14ac:dyDescent="0.25">
      <c r="A189" s="804"/>
      <c r="B189" s="806"/>
      <c r="C189" s="787"/>
      <c r="D189" s="787"/>
      <c r="E189" s="806"/>
      <c r="F189" s="787"/>
      <c r="G189" s="787"/>
      <c r="H189" s="787"/>
      <c r="I189" s="787"/>
      <c r="J189" s="787"/>
      <c r="K189" s="787"/>
      <c r="L189" s="787"/>
      <c r="M189" s="787"/>
      <c r="N189" s="789"/>
    </row>
    <row r="190" spans="1:14" s="218" customFormat="1" x14ac:dyDescent="0.2">
      <c r="A190" s="344"/>
      <c r="B190" s="340"/>
      <c r="C190" s="394"/>
      <c r="D190" s="340"/>
      <c r="E190" s="340"/>
      <c r="F190" s="340"/>
      <c r="G190" s="340"/>
      <c r="H190" s="340"/>
      <c r="I190" s="340"/>
      <c r="J190" s="340"/>
      <c r="K190" s="340"/>
      <c r="L190" s="661"/>
      <c r="M190" s="810"/>
      <c r="N190" s="811"/>
    </row>
    <row r="191" spans="1:14" s="218" customFormat="1" x14ac:dyDescent="0.2">
      <c r="A191" s="345"/>
      <c r="B191" s="341"/>
      <c r="C191" s="392"/>
      <c r="D191" s="341"/>
      <c r="E191" s="341"/>
      <c r="F191" s="341"/>
      <c r="G191" s="341"/>
      <c r="H191" s="341"/>
      <c r="I191" s="341"/>
      <c r="J191" s="341"/>
      <c r="K191" s="341"/>
      <c r="L191" s="662"/>
      <c r="M191" s="790"/>
      <c r="N191" s="791"/>
    </row>
    <row r="192" spans="1:14" s="218" customFormat="1" x14ac:dyDescent="0.2">
      <c r="A192" s="345"/>
      <c r="B192" s="341"/>
      <c r="C192" s="392"/>
      <c r="D192" s="341"/>
      <c r="E192" s="341"/>
      <c r="F192" s="341"/>
      <c r="G192" s="341"/>
      <c r="H192" s="341"/>
      <c r="I192" s="341"/>
      <c r="J192" s="341"/>
      <c r="K192" s="341"/>
      <c r="L192" s="662"/>
      <c r="M192" s="790"/>
      <c r="N192" s="791"/>
    </row>
    <row r="193" spans="1:31" s="218" customFormat="1" x14ac:dyDescent="0.2">
      <c r="A193" s="345"/>
      <c r="B193" s="341"/>
      <c r="C193" s="392"/>
      <c r="D193" s="341"/>
      <c r="E193" s="341"/>
      <c r="F193" s="341"/>
      <c r="G193" s="341"/>
      <c r="H193" s="341"/>
      <c r="I193" s="341"/>
      <c r="J193" s="341"/>
      <c r="K193" s="341"/>
      <c r="L193" s="662"/>
      <c r="M193" s="790"/>
      <c r="N193" s="791"/>
    </row>
    <row r="194" spans="1:31" s="218" customFormat="1" x14ac:dyDescent="0.2">
      <c r="A194" s="345"/>
      <c r="B194" s="341"/>
      <c r="C194" s="392"/>
      <c r="D194" s="341"/>
      <c r="E194" s="341"/>
      <c r="F194" s="341"/>
      <c r="G194" s="341"/>
      <c r="H194" s="341"/>
      <c r="I194" s="341"/>
      <c r="J194" s="341"/>
      <c r="K194" s="341"/>
      <c r="L194" s="662"/>
      <c r="M194" s="790"/>
      <c r="N194" s="791"/>
    </row>
    <row r="195" spans="1:31" s="218" customFormat="1" ht="16.5" thickBot="1" x14ac:dyDescent="0.25">
      <c r="A195" s="346"/>
      <c r="B195" s="342"/>
      <c r="C195" s="336"/>
      <c r="D195" s="342"/>
      <c r="E195" s="342"/>
      <c r="F195" s="342"/>
      <c r="G195" s="342"/>
      <c r="H195" s="342"/>
      <c r="I195" s="342"/>
      <c r="J195" s="342"/>
      <c r="K195" s="342"/>
      <c r="L195" s="663"/>
      <c r="M195" s="794"/>
      <c r="N195" s="795"/>
    </row>
    <row r="196" spans="1:31" s="218" customFormat="1" x14ac:dyDescent="0.2">
      <c r="F196" s="337"/>
      <c r="G196" s="337"/>
      <c r="H196" s="337"/>
      <c r="I196" s="337"/>
    </row>
    <row r="197" spans="1:31" s="218" customFormat="1" ht="16.5" thickBot="1" x14ac:dyDescent="0.25">
      <c r="F197" s="337"/>
      <c r="G197" s="337"/>
      <c r="H197" s="337"/>
      <c r="I197" s="337"/>
    </row>
    <row r="198" spans="1:31" s="218" customFormat="1" ht="16.5" thickBot="1" x14ac:dyDescent="0.25">
      <c r="A198" s="800" t="s">
        <v>790</v>
      </c>
      <c r="B198" s="801"/>
      <c r="C198" s="801"/>
      <c r="D198" s="801"/>
      <c r="E198" s="801"/>
      <c r="F198" s="801"/>
      <c r="G198" s="802"/>
      <c r="H198" s="337"/>
      <c r="I198" s="337"/>
    </row>
    <row r="199" spans="1:31" s="192" customFormat="1" ht="16.5" thickBot="1" x14ac:dyDescent="0.25">
      <c r="F199" s="191"/>
      <c r="G199" s="191"/>
      <c r="H199" s="191"/>
      <c r="I199" s="191"/>
    </row>
    <row r="200" spans="1:31" s="218" customFormat="1" ht="16.5" thickBot="1" x14ac:dyDescent="0.25">
      <c r="A200" s="807" t="s">
        <v>1</v>
      </c>
      <c r="B200" s="808"/>
      <c r="C200" s="808"/>
      <c r="D200" s="808"/>
      <c r="E200" s="808"/>
      <c r="F200" s="808"/>
      <c r="G200" s="808"/>
      <c r="H200" s="809"/>
      <c r="I200" s="337"/>
    </row>
    <row r="201" spans="1:31" s="1169" customFormat="1" ht="36.75" customHeight="1" thickBot="1" x14ac:dyDescent="0.25">
      <c r="A201" s="803" t="s">
        <v>627</v>
      </c>
      <c r="B201" s="805" t="s">
        <v>888</v>
      </c>
      <c r="C201" s="786" t="s">
        <v>0</v>
      </c>
      <c r="D201" s="786" t="s">
        <v>609</v>
      </c>
      <c r="E201" s="805" t="s">
        <v>889</v>
      </c>
      <c r="F201" s="971" t="s">
        <v>42</v>
      </c>
      <c r="G201" s="1165" t="s">
        <v>789</v>
      </c>
      <c r="H201" s="1163"/>
      <c r="I201" s="1163"/>
      <c r="J201" s="1163"/>
      <c r="K201" s="1163"/>
      <c r="L201" s="1163"/>
      <c r="M201" s="1163"/>
      <c r="N201" s="1163"/>
      <c r="O201" s="1163"/>
      <c r="P201" s="1163"/>
      <c r="Q201" s="1163"/>
      <c r="R201" s="1163"/>
      <c r="S201" s="1163"/>
      <c r="T201" s="1163"/>
      <c r="U201" s="1163"/>
      <c r="V201" s="1164"/>
      <c r="W201" s="930" t="s">
        <v>436</v>
      </c>
      <c r="X201" s="786" t="s">
        <v>421</v>
      </c>
      <c r="Y201" s="786" t="s">
        <v>628</v>
      </c>
      <c r="Z201" s="786" t="s">
        <v>11</v>
      </c>
      <c r="AA201" s="786" t="s">
        <v>12</v>
      </c>
      <c r="AB201" s="786" t="s">
        <v>13</v>
      </c>
      <c r="AC201" s="786" t="s">
        <v>449</v>
      </c>
      <c r="AD201" s="971" t="s">
        <v>610</v>
      </c>
      <c r="AE201" s="1161"/>
    </row>
    <row r="202" spans="1:31" s="1169" customFormat="1" ht="45.75" customHeight="1" thickBot="1" x14ac:dyDescent="0.25">
      <c r="A202" s="804"/>
      <c r="B202" s="806"/>
      <c r="C202" s="787"/>
      <c r="D202" s="787"/>
      <c r="E202" s="806"/>
      <c r="F202" s="787"/>
      <c r="G202" s="1186" t="s">
        <v>432</v>
      </c>
      <c r="H202" s="1186" t="s">
        <v>1380</v>
      </c>
      <c r="I202" s="1186" t="s">
        <v>1381</v>
      </c>
      <c r="J202" s="1186" t="s">
        <v>1382</v>
      </c>
      <c r="K202" s="1186" t="s">
        <v>433</v>
      </c>
      <c r="L202" s="1186" t="s">
        <v>1383</v>
      </c>
      <c r="M202" s="1182" t="s">
        <v>1386</v>
      </c>
      <c r="N202" s="1182" t="s">
        <v>1387</v>
      </c>
      <c r="O202" s="1186" t="s">
        <v>434</v>
      </c>
      <c r="P202" s="1186" t="s">
        <v>1384</v>
      </c>
      <c r="Q202" s="1182" t="s">
        <v>1388</v>
      </c>
      <c r="R202" s="1182" t="s">
        <v>1389</v>
      </c>
      <c r="S202" s="1186" t="s">
        <v>435</v>
      </c>
      <c r="T202" s="1186" t="s">
        <v>1385</v>
      </c>
      <c r="U202" s="1182" t="s">
        <v>1390</v>
      </c>
      <c r="V202" s="1182" t="s">
        <v>1391</v>
      </c>
      <c r="W202" s="959"/>
      <c r="X202" s="787"/>
      <c r="Y202" s="787"/>
      <c r="Z202" s="787"/>
      <c r="AA202" s="787"/>
      <c r="AB202" s="787"/>
      <c r="AC202" s="787"/>
      <c r="AD202" s="972"/>
      <c r="AE202" s="1162"/>
    </row>
    <row r="203" spans="1:31" s="1169" customFormat="1" x14ac:dyDescent="0.2">
      <c r="A203" s="1176"/>
      <c r="B203" s="1173"/>
      <c r="C203" s="1171"/>
      <c r="D203" s="1173"/>
      <c r="E203" s="1173"/>
      <c r="F203" s="1179"/>
      <c r="G203" s="1173"/>
      <c r="H203" s="1173"/>
      <c r="I203" s="1173"/>
      <c r="J203" s="1173"/>
      <c r="K203" s="1173"/>
      <c r="L203" s="1173"/>
      <c r="M203" s="1173"/>
      <c r="N203" s="1173"/>
      <c r="O203" s="1173"/>
      <c r="P203" s="1173"/>
      <c r="Q203" s="1173"/>
      <c r="R203" s="1173"/>
      <c r="S203" s="1173"/>
      <c r="T203" s="1173"/>
      <c r="U203" s="1173"/>
      <c r="V203" s="1173"/>
      <c r="W203" s="1173"/>
      <c r="X203" s="1173"/>
      <c r="Y203" s="1173"/>
      <c r="Z203" s="1173"/>
      <c r="AA203" s="1173"/>
      <c r="AB203" s="1173"/>
      <c r="AC203" s="1183"/>
      <c r="AD203" s="796"/>
      <c r="AE203" s="797"/>
    </row>
    <row r="204" spans="1:31" s="1169" customFormat="1" x14ac:dyDescent="0.2">
      <c r="A204" s="1177"/>
      <c r="B204" s="1174"/>
      <c r="C204" s="1170"/>
      <c r="D204" s="1174"/>
      <c r="E204" s="1174"/>
      <c r="F204" s="1180"/>
      <c r="G204" s="1174"/>
      <c r="H204" s="1174"/>
      <c r="I204" s="1174"/>
      <c r="J204" s="1174"/>
      <c r="K204" s="1174"/>
      <c r="L204" s="1174"/>
      <c r="M204" s="1174"/>
      <c r="N204" s="1174"/>
      <c r="O204" s="1174"/>
      <c r="P204" s="1174"/>
      <c r="Q204" s="1174"/>
      <c r="R204" s="1174"/>
      <c r="S204" s="1174"/>
      <c r="T204" s="1174"/>
      <c r="U204" s="1174"/>
      <c r="V204" s="1174"/>
      <c r="W204" s="1174"/>
      <c r="X204" s="1174"/>
      <c r="Y204" s="1174"/>
      <c r="Z204" s="1174"/>
      <c r="AA204" s="1174"/>
      <c r="AB204" s="1174"/>
      <c r="AC204" s="1184"/>
      <c r="AD204" s="798"/>
      <c r="AE204" s="799"/>
    </row>
    <row r="205" spans="1:31" s="1169" customFormat="1" x14ac:dyDescent="0.2">
      <c r="A205" s="1177"/>
      <c r="B205" s="1174"/>
      <c r="C205" s="1170"/>
      <c r="D205" s="1174"/>
      <c r="E205" s="1174"/>
      <c r="F205" s="1180"/>
      <c r="G205" s="1174"/>
      <c r="H205" s="1174"/>
      <c r="I205" s="1174"/>
      <c r="J205" s="1174"/>
      <c r="K205" s="1174"/>
      <c r="L205" s="1174"/>
      <c r="M205" s="1174"/>
      <c r="N205" s="1174"/>
      <c r="O205" s="1174"/>
      <c r="P205" s="1174"/>
      <c r="Q205" s="1174"/>
      <c r="R205" s="1174"/>
      <c r="S205" s="1174"/>
      <c r="T205" s="1174"/>
      <c r="U205" s="1174"/>
      <c r="V205" s="1174"/>
      <c r="W205" s="1174"/>
      <c r="X205" s="1174"/>
      <c r="Y205" s="1174"/>
      <c r="Z205" s="1174"/>
      <c r="AA205" s="1174"/>
      <c r="AB205" s="1174"/>
      <c r="AC205" s="1184"/>
      <c r="AD205" s="798"/>
      <c r="AE205" s="799"/>
    </row>
    <row r="206" spans="1:31" s="1169" customFormat="1" x14ac:dyDescent="0.2">
      <c r="A206" s="1177"/>
      <c r="B206" s="1174"/>
      <c r="C206" s="1170"/>
      <c r="D206" s="1174"/>
      <c r="E206" s="1174"/>
      <c r="F206" s="1180"/>
      <c r="G206" s="1174"/>
      <c r="H206" s="1174"/>
      <c r="I206" s="1174"/>
      <c r="J206" s="1174"/>
      <c r="K206" s="1174"/>
      <c r="L206" s="1174"/>
      <c r="M206" s="1174"/>
      <c r="N206" s="1174"/>
      <c r="O206" s="1174"/>
      <c r="P206" s="1174"/>
      <c r="Q206" s="1174"/>
      <c r="R206" s="1174"/>
      <c r="S206" s="1174"/>
      <c r="T206" s="1174"/>
      <c r="U206" s="1174"/>
      <c r="V206" s="1174"/>
      <c r="W206" s="1174"/>
      <c r="X206" s="1174"/>
      <c r="Y206" s="1174"/>
      <c r="Z206" s="1174"/>
      <c r="AA206" s="1174"/>
      <c r="AB206" s="1174"/>
      <c r="AC206" s="1184"/>
      <c r="AD206" s="798"/>
      <c r="AE206" s="799"/>
    </row>
    <row r="207" spans="1:31" s="1169" customFormat="1" x14ac:dyDescent="0.2">
      <c r="A207" s="1177"/>
      <c r="B207" s="1174"/>
      <c r="C207" s="1170"/>
      <c r="D207" s="1174"/>
      <c r="E207" s="1174"/>
      <c r="F207" s="1180"/>
      <c r="G207" s="1174"/>
      <c r="H207" s="1174"/>
      <c r="I207" s="1174"/>
      <c r="J207" s="1174"/>
      <c r="K207" s="1174"/>
      <c r="L207" s="1174"/>
      <c r="M207" s="1174"/>
      <c r="N207" s="1174"/>
      <c r="O207" s="1174"/>
      <c r="P207" s="1174"/>
      <c r="Q207" s="1174"/>
      <c r="R207" s="1174"/>
      <c r="S207" s="1174"/>
      <c r="T207" s="1174"/>
      <c r="U207" s="1174"/>
      <c r="V207" s="1174"/>
      <c r="W207" s="1174"/>
      <c r="X207" s="1174"/>
      <c r="Y207" s="1174"/>
      <c r="Z207" s="1174"/>
      <c r="AA207" s="1174"/>
      <c r="AB207" s="1174"/>
      <c r="AC207" s="1184"/>
      <c r="AD207" s="798"/>
      <c r="AE207" s="799"/>
    </row>
    <row r="208" spans="1:31" s="1169" customFormat="1" ht="16.5" thickBot="1" x14ac:dyDescent="0.25">
      <c r="A208" s="1178"/>
      <c r="B208" s="1175"/>
      <c r="C208" s="1172"/>
      <c r="D208" s="1175"/>
      <c r="E208" s="1175"/>
      <c r="F208" s="1181"/>
      <c r="G208" s="1175"/>
      <c r="H208" s="1175"/>
      <c r="I208" s="1175"/>
      <c r="J208" s="1175"/>
      <c r="K208" s="1175"/>
      <c r="L208" s="1175"/>
      <c r="M208" s="1175"/>
      <c r="N208" s="1175"/>
      <c r="O208" s="1175"/>
      <c r="P208" s="1175"/>
      <c r="Q208" s="1175"/>
      <c r="R208" s="1175"/>
      <c r="S208" s="1175"/>
      <c r="T208" s="1175"/>
      <c r="U208" s="1175"/>
      <c r="V208" s="1175"/>
      <c r="W208" s="1175"/>
      <c r="X208" s="1175"/>
      <c r="Y208" s="1175"/>
      <c r="Z208" s="1175"/>
      <c r="AA208" s="1175"/>
      <c r="AB208" s="1175"/>
      <c r="AC208" s="1185"/>
      <c r="AD208" s="792"/>
      <c r="AE208" s="793"/>
    </row>
    <row r="209" spans="1:9" s="218" customFormat="1" x14ac:dyDescent="0.2">
      <c r="F209" s="337"/>
      <c r="G209" s="337"/>
      <c r="H209" s="337"/>
      <c r="I209" s="337"/>
    </row>
    <row r="210" spans="1:9" s="218" customFormat="1" x14ac:dyDescent="0.2">
      <c r="F210" s="337"/>
      <c r="G210" s="337"/>
      <c r="H210" s="337"/>
      <c r="I210" s="337"/>
    </row>
    <row r="211" spans="1:9" s="218" customFormat="1" ht="16.5" thickBot="1" x14ac:dyDescent="0.25">
      <c r="F211" s="337"/>
      <c r="G211" s="337"/>
      <c r="H211" s="337"/>
      <c r="I211" s="337"/>
    </row>
    <row r="212" spans="1:9" ht="16.5" thickBot="1" x14ac:dyDescent="0.25">
      <c r="A212" s="555" t="s">
        <v>454</v>
      </c>
      <c r="B212" s="556" t="s">
        <v>455</v>
      </c>
    </row>
    <row r="213" spans="1:9" x14ac:dyDescent="0.2">
      <c r="A213" s="450" t="s">
        <v>456</v>
      </c>
      <c r="B213" s="557" t="s">
        <v>51</v>
      </c>
    </row>
    <row r="214" spans="1:9" x14ac:dyDescent="0.2">
      <c r="A214" s="558" t="s">
        <v>65</v>
      </c>
      <c r="B214" s="559" t="s">
        <v>51</v>
      </c>
    </row>
    <row r="215" spans="1:9" x14ac:dyDescent="0.2">
      <c r="A215" s="558" t="s">
        <v>257</v>
      </c>
      <c r="B215" s="559" t="s">
        <v>51</v>
      </c>
    </row>
    <row r="216" spans="1:9" x14ac:dyDescent="0.2">
      <c r="A216" s="558" t="s">
        <v>258</v>
      </c>
      <c r="B216" s="559" t="s">
        <v>51</v>
      </c>
    </row>
    <row r="217" spans="1:9" x14ac:dyDescent="0.2">
      <c r="A217" s="558" t="s">
        <v>259</v>
      </c>
      <c r="B217" s="559" t="s">
        <v>53</v>
      </c>
    </row>
    <row r="218" spans="1:9" x14ac:dyDescent="0.2">
      <c r="A218" s="558" t="s">
        <v>281</v>
      </c>
      <c r="B218" s="559" t="s">
        <v>53</v>
      </c>
    </row>
    <row r="219" spans="1:9" x14ac:dyDescent="0.2">
      <c r="A219" s="560" t="s">
        <v>279</v>
      </c>
      <c r="B219" s="559" t="s">
        <v>53</v>
      </c>
    </row>
    <row r="220" spans="1:9" x14ac:dyDescent="0.2">
      <c r="A220" s="560" t="s">
        <v>457</v>
      </c>
      <c r="B220" s="559" t="s">
        <v>53</v>
      </c>
    </row>
    <row r="221" spans="1:9" ht="16.5" thickBot="1" x14ac:dyDescent="0.25">
      <c r="A221" s="561" t="s">
        <v>460</v>
      </c>
      <c r="B221" s="562" t="s">
        <v>51</v>
      </c>
    </row>
  </sheetData>
  <sheetProtection formatCells="0" formatColumns="0" formatRows="0" insertColumns="0" insertRows="0" deleteColumns="0" deleteRows="0" sort="0" autoFilter="0"/>
  <autoFilter ref="A30:Y31" xr:uid="{00000000-0009-0000-0000-00000A000000}"/>
  <sortState xmlns:xlrd2="http://schemas.microsoft.com/office/spreadsheetml/2017/richdata2" ref="A90:A132">
    <sortCondition ref="A89"/>
  </sortState>
  <dataConsolidate>
    <dataRefs count="2">
      <dataRef ref="B9" sheet="APPENDIX B-1  (FE - USWC)"/>
      <dataRef ref="A14:A18" sheet="APPENDIX B-1  (FE - USWC)"/>
    </dataRefs>
  </dataConsolidate>
  <mergeCells count="282">
    <mergeCell ref="AD204:AE204"/>
    <mergeCell ref="AD205:AE205"/>
    <mergeCell ref="AD206:AE206"/>
    <mergeCell ref="AD207:AE207"/>
    <mergeCell ref="AD208:AE208"/>
    <mergeCell ref="W201:W202"/>
    <mergeCell ref="X201:X202"/>
    <mergeCell ref="Y201:Y202"/>
    <mergeCell ref="Z201:Z202"/>
    <mergeCell ref="AA201:AA202"/>
    <mergeCell ref="AB201:AB202"/>
    <mergeCell ref="AC201:AC202"/>
    <mergeCell ref="AD201:AE202"/>
    <mergeCell ref="AD203:AE203"/>
    <mergeCell ref="B102:D102"/>
    <mergeCell ref="E102:G102"/>
    <mergeCell ref="B125:D125"/>
    <mergeCell ref="E125:G125"/>
    <mergeCell ref="B167:I167"/>
    <mergeCell ref="B166:I166"/>
    <mergeCell ref="B113:D113"/>
    <mergeCell ref="E113:G113"/>
    <mergeCell ref="B115:D115"/>
    <mergeCell ref="E115:G115"/>
    <mergeCell ref="E126:G126"/>
    <mergeCell ref="B123:D123"/>
    <mergeCell ref="E123:G123"/>
    <mergeCell ref="B130:D130"/>
    <mergeCell ref="E130:G130"/>
    <mergeCell ref="B122:D122"/>
    <mergeCell ref="E122:G122"/>
    <mergeCell ref="B126:D126"/>
    <mergeCell ref="A163:I163"/>
    <mergeCell ref="B165:I165"/>
    <mergeCell ref="A155:F155"/>
    <mergeCell ref="F145:F146"/>
    <mergeCell ref="B120:D120"/>
    <mergeCell ref="E118:G118"/>
    <mergeCell ref="A136:I136"/>
    <mergeCell ref="E134:G134"/>
    <mergeCell ref="B134:D134"/>
    <mergeCell ref="A135:I135"/>
    <mergeCell ref="E133:G133"/>
    <mergeCell ref="E132:G132"/>
    <mergeCell ref="B119:D119"/>
    <mergeCell ref="E119:G119"/>
    <mergeCell ref="E131:G131"/>
    <mergeCell ref="E121:G121"/>
    <mergeCell ref="B127:D127"/>
    <mergeCell ref="E127:G127"/>
    <mergeCell ref="B121:D121"/>
    <mergeCell ref="B131:D131"/>
    <mergeCell ref="B124:D124"/>
    <mergeCell ref="E124:G124"/>
    <mergeCell ref="B128:D128"/>
    <mergeCell ref="E128:G128"/>
    <mergeCell ref="B171:I171"/>
    <mergeCell ref="B174:I174"/>
    <mergeCell ref="B173:I173"/>
    <mergeCell ref="A187:E187"/>
    <mergeCell ref="A185:G185"/>
    <mergeCell ref="A183:B183"/>
    <mergeCell ref="B175:I175"/>
    <mergeCell ref="B172:I172"/>
    <mergeCell ref="B176:I176"/>
    <mergeCell ref="B179:I179"/>
    <mergeCell ref="A157:F157"/>
    <mergeCell ref="B169:I169"/>
    <mergeCell ref="B178:I178"/>
    <mergeCell ref="B168:I168"/>
    <mergeCell ref="B177:I177"/>
    <mergeCell ref="B170:I170"/>
    <mergeCell ref="M190:N190"/>
    <mergeCell ref="M188:N189"/>
    <mergeCell ref="H188:H189"/>
    <mergeCell ref="A188:A189"/>
    <mergeCell ref="B188:B189"/>
    <mergeCell ref="I188:I189"/>
    <mergeCell ref="J188:J189"/>
    <mergeCell ref="K188:K189"/>
    <mergeCell ref="A201:A202"/>
    <mergeCell ref="A198:G198"/>
    <mergeCell ref="B201:B202"/>
    <mergeCell ref="C201:C202"/>
    <mergeCell ref="D201:D202"/>
    <mergeCell ref="F201:F202"/>
    <mergeCell ref="C188:C189"/>
    <mergeCell ref="E201:E202"/>
    <mergeCell ref="A200:H200"/>
    <mergeCell ref="M191:N191"/>
    <mergeCell ref="L188:L189"/>
    <mergeCell ref="M195:N195"/>
    <mergeCell ref="M192:N192"/>
    <mergeCell ref="M194:N194"/>
    <mergeCell ref="M193:N193"/>
    <mergeCell ref="E188:E189"/>
    <mergeCell ref="D188:D189"/>
    <mergeCell ref="F188:F189"/>
    <mergeCell ref="G188:G189"/>
    <mergeCell ref="G201:V201"/>
    <mergeCell ref="E101:G101"/>
    <mergeCell ref="M145:M146"/>
    <mergeCell ref="B107:D107"/>
    <mergeCell ref="E107:G107"/>
    <mergeCell ref="B112:D112"/>
    <mergeCell ref="E112:G112"/>
    <mergeCell ref="B110:D110"/>
    <mergeCell ref="E110:G110"/>
    <mergeCell ref="B111:D111"/>
    <mergeCell ref="E111:G111"/>
    <mergeCell ref="B103:D103"/>
    <mergeCell ref="E103:G103"/>
    <mergeCell ref="B132:D132"/>
    <mergeCell ref="L145:L146"/>
    <mergeCell ref="B106:D106"/>
    <mergeCell ref="J145:J146"/>
    <mergeCell ref="H145:H146"/>
    <mergeCell ref="L138:L139"/>
    <mergeCell ref="E106:G106"/>
    <mergeCell ref="E109:G109"/>
    <mergeCell ref="B109:D109"/>
    <mergeCell ref="B116:D116"/>
    <mergeCell ref="E116:G116"/>
    <mergeCell ref="B133:D133"/>
    <mergeCell ref="A156:F156"/>
    <mergeCell ref="H138:H139"/>
    <mergeCell ref="G145:G146"/>
    <mergeCell ref="J138:J139"/>
    <mergeCell ref="F138:F139"/>
    <mergeCell ref="I138:I139"/>
    <mergeCell ref="G138:G139"/>
    <mergeCell ref="K138:K139"/>
    <mergeCell ref="K145:K146"/>
    <mergeCell ref="A145:D145"/>
    <mergeCell ref="A138:D138"/>
    <mergeCell ref="E138:E139"/>
    <mergeCell ref="I145:I146"/>
    <mergeCell ref="E145:E146"/>
    <mergeCell ref="A153:E153"/>
    <mergeCell ref="E117:G117"/>
    <mergeCell ref="B114:D114"/>
    <mergeCell ref="E114:G114"/>
    <mergeCell ref="B13:I13"/>
    <mergeCell ref="L16:M16"/>
    <mergeCell ref="L15:M15"/>
    <mergeCell ref="E95:G95"/>
    <mergeCell ref="E120:G120"/>
    <mergeCell ref="H90:H92"/>
    <mergeCell ref="B23:H23"/>
    <mergeCell ref="B100:D100"/>
    <mergeCell ref="B98:D98"/>
    <mergeCell ref="E30:E31"/>
    <mergeCell ref="H48:H49"/>
    <mergeCell ref="G39:G40"/>
    <mergeCell ref="B30:B31"/>
    <mergeCell ref="G30:G31"/>
    <mergeCell ref="H30:H31"/>
    <mergeCell ref="B82:D82"/>
    <mergeCell ref="E93:G93"/>
    <mergeCell ref="J16:K16"/>
    <mergeCell ref="L13:M13"/>
    <mergeCell ref="L14:M14"/>
    <mergeCell ref="B101:D101"/>
    <mergeCell ref="B108:D108"/>
    <mergeCell ref="E108:G108"/>
    <mergeCell ref="B118:D118"/>
    <mergeCell ref="L90:L92"/>
    <mergeCell ref="A1:B1"/>
    <mergeCell ref="C1:F1"/>
    <mergeCell ref="A2:B2"/>
    <mergeCell ref="C2:F2"/>
    <mergeCell ref="A7:B7"/>
    <mergeCell ref="A8:B8"/>
    <mergeCell ref="C8:F8"/>
    <mergeCell ref="C7:F7"/>
    <mergeCell ref="A5:B5"/>
    <mergeCell ref="C5:F5"/>
    <mergeCell ref="A6:B6"/>
    <mergeCell ref="C6:F6"/>
    <mergeCell ref="A3:B3"/>
    <mergeCell ref="C3:F3"/>
    <mergeCell ref="A4:B4"/>
    <mergeCell ref="C4:F4"/>
    <mergeCell ref="L17:M17"/>
    <mergeCell ref="B20:H20"/>
    <mergeCell ref="B24:H24"/>
    <mergeCell ref="B117:D117"/>
    <mergeCell ref="A12:J12"/>
    <mergeCell ref="A47:D47"/>
    <mergeCell ref="K48:K49"/>
    <mergeCell ref="L48:L49"/>
    <mergeCell ref="D39:D40"/>
    <mergeCell ref="J13:K13"/>
    <mergeCell ref="B16:I16"/>
    <mergeCell ref="J48:J49"/>
    <mergeCell ref="B15:I15"/>
    <mergeCell ref="A90:G90"/>
    <mergeCell ref="B22:H22"/>
    <mergeCell ref="A30:A31"/>
    <mergeCell ref="B84:D84"/>
    <mergeCell ref="B80:D80"/>
    <mergeCell ref="A39:A40"/>
    <mergeCell ref="B14:I14"/>
    <mergeCell ref="J14:K14"/>
    <mergeCell ref="A73:C73"/>
    <mergeCell ref="B67:D67"/>
    <mergeCell ref="B83:D83"/>
    <mergeCell ref="I48:I49"/>
    <mergeCell ref="C48:C49"/>
    <mergeCell ref="B68:D68"/>
    <mergeCell ref="F30:F31"/>
    <mergeCell ref="C39:C40"/>
    <mergeCell ref="J15:K15"/>
    <mergeCell ref="E39:E40"/>
    <mergeCell ref="B17:I17"/>
    <mergeCell ref="K90:K92"/>
    <mergeCell ref="I90:I92"/>
    <mergeCell ref="B21:H21"/>
    <mergeCell ref="J17:K17"/>
    <mergeCell ref="A86:I86"/>
    <mergeCell ref="AA48:AA49"/>
    <mergeCell ref="Y48:Y49"/>
    <mergeCell ref="M90:M92"/>
    <mergeCell ref="B65:D65"/>
    <mergeCell ref="A72:C72"/>
    <mergeCell ref="B81:D81"/>
    <mergeCell ref="A87:I87"/>
    <mergeCell ref="J90:J92"/>
    <mergeCell ref="A48:A49"/>
    <mergeCell ref="Z48:Z49"/>
    <mergeCell ref="X48:X49"/>
    <mergeCell ref="E48:E49"/>
    <mergeCell ref="F48:F49"/>
    <mergeCell ref="G48:G49"/>
    <mergeCell ref="A58:C58"/>
    <mergeCell ref="D48:D49"/>
    <mergeCell ref="A57:C57"/>
    <mergeCell ref="B48:B49"/>
    <mergeCell ref="B88:I88"/>
    <mergeCell ref="M48:M49"/>
    <mergeCell ref="A91:G91"/>
    <mergeCell ref="A92:G92"/>
    <mergeCell ref="B66:D66"/>
    <mergeCell ref="B69:D69"/>
    <mergeCell ref="Y30:Y31"/>
    <mergeCell ref="Y39:Y40"/>
    <mergeCell ref="V39:V40"/>
    <mergeCell ref="H39:H40"/>
    <mergeCell ref="B39:B40"/>
    <mergeCell ref="J39:J40"/>
    <mergeCell ref="X30:X31"/>
    <mergeCell ref="W39:W40"/>
    <mergeCell ref="X39:X40"/>
    <mergeCell ref="J30:J31"/>
    <mergeCell ref="W30:W31"/>
    <mergeCell ref="I39:I40"/>
    <mergeCell ref="L30:L31"/>
    <mergeCell ref="I30:I31"/>
    <mergeCell ref="K39:K40"/>
    <mergeCell ref="C30:C31"/>
    <mergeCell ref="D30:D31"/>
    <mergeCell ref="V30:V31"/>
    <mergeCell ref="F39:F40"/>
    <mergeCell ref="K30:K31"/>
    <mergeCell ref="B93:D93"/>
    <mergeCell ref="B94:D94"/>
    <mergeCell ref="E94:G94"/>
    <mergeCell ref="B96:D96"/>
    <mergeCell ref="E97:G97"/>
    <mergeCell ref="B97:D97"/>
    <mergeCell ref="E100:G100"/>
    <mergeCell ref="E98:G98"/>
    <mergeCell ref="B95:D95"/>
    <mergeCell ref="E96:G96"/>
    <mergeCell ref="B99:D99"/>
    <mergeCell ref="E99:G99"/>
    <mergeCell ref="B104:D104"/>
    <mergeCell ref="E104:G104"/>
    <mergeCell ref="B105:D105"/>
    <mergeCell ref="E105:G105"/>
    <mergeCell ref="B129:D129"/>
    <mergeCell ref="E129:G129"/>
  </mergeCells>
  <phoneticPr fontId="11" type="noConversion"/>
  <dataValidations count="34">
    <dataValidation type="list" showInputMessage="1" showErrorMessage="1" sqref="C190:C195 C203:C208" xr:uid="{00000000-0002-0000-0A00-000000000000}">
      <formula1>IF($B190="I",DDTARIFF,DDTARIFFUSE)</formula1>
    </dataValidation>
    <dataValidation type="list" allowBlank="1" showInputMessage="1" showErrorMessage="1" sqref="B213:B221" xr:uid="{00000000-0002-0000-0A00-000001000000}">
      <formula1>Autom</formula1>
    </dataValidation>
    <dataValidation type="list" allowBlank="1" showInputMessage="1" showErrorMessage="1" sqref="B190:B195 B203:B208" xr:uid="{00000000-0002-0000-0A00-000002000000}">
      <formula1>EXPIMP</formula1>
    </dataValidation>
    <dataValidation type="list" allowBlank="1" showInputMessage="1" showErrorMessage="1" sqref="F190:F195 W203:W208" xr:uid="{00000000-0002-0000-0A00-000003000000}">
      <formula1>EQTYPE</formula1>
    </dataValidation>
    <dataValidation type="list" allowBlank="1" showInputMessage="1" showErrorMessage="1" sqref="G190:G195 X203:X208" xr:uid="{00000000-0002-0000-0A00-000004000000}">
      <formula1>OPREEFER</formula1>
    </dataValidation>
    <dataValidation type="list" allowBlank="1" showInputMessage="1" showErrorMessage="1" sqref="F203:F208" xr:uid="{7448BE2E-AE10-439B-83FB-749E427AFA5B}">
      <formula1>CURRENCY</formula1>
    </dataValidation>
    <dataValidation type="whole" allowBlank="1" showInputMessage="1" showErrorMessage="1" error="Only whole numbers can be entered into this field" sqref="D190:D195 D203:D208" xr:uid="{00000000-0002-0000-0A00-000006000000}">
      <formula1>1</formula1>
      <formula2>99</formula2>
    </dataValidation>
    <dataValidation type="list" showInputMessage="1" showErrorMessage="1" sqref="E190:E195 E203:E208" xr:uid="{00000000-0002-0000-0A00-000007000000}">
      <formula1>DAYS</formula1>
    </dataValidation>
    <dataValidation type="whole" allowBlank="1" showInputMessage="1" showErrorMessage="1" error="Only whole numbers may be entered into this field_x000a_" sqref="G203:G208 S203:S208 O203:O208 K203:K208" xr:uid="{E88989AB-B6B8-4E10-B782-46294BB28CE7}">
      <formula1>1</formula1>
      <formula2>99</formula2>
    </dataValidation>
    <dataValidation type="decimal" allowBlank="1" showInputMessage="1" showErrorMessage="1" error="Only numbers may be entered into this field" sqref="H203:J208 L203:N208 P203:R208 T203:V208" xr:uid="{AD43C594-2666-46BA-97A1-F1053C56CCE4}">
      <formula1>1</formula1>
      <formula2>1000000000</formula2>
    </dataValidation>
    <dataValidation type="list" showInputMessage="1" showErrorMessage="1" sqref="K140:K143 K147:K150 N69 N81:N84 A41:A44 A50:A53 A32:A35" xr:uid="{00000000-0002-0000-0A00-00000A000000}">
      <formula1>$A$14:$A$18</formula1>
    </dataValidation>
    <dataValidation type="list" allowBlank="1" showInputMessage="1" showErrorMessage="1" sqref="J140:J143 J147:J150" xr:uid="{00000000-0002-0000-0A00-00000B000000}">
      <formula1>GRIPSS</formula1>
    </dataValidation>
    <dataValidation type="decimal" allowBlank="1" showInputMessage="1" showErrorMessage="1" sqref="F147:I150 F140:I143 J81:M84 I32:L35 I41:K44 I50:L53 J66:M68" xr:uid="{00000000-0002-0000-0A00-00000C000000}">
      <formula1>0</formula1>
      <formula2>999999999999999</formula2>
    </dataValidation>
    <dataValidation type="list" allowBlank="1" showInputMessage="1" showErrorMessage="1" sqref="E140:E143 E147:E150" xr:uid="{00000000-0002-0000-0A00-00000D000000}">
      <formula1>GRIPSS_EQ</formula1>
    </dataValidation>
    <dataValidation type="list" showInputMessage="1" showErrorMessage="1" sqref="A190:A195 A203:A208" xr:uid="{00000000-0002-0000-0A00-00000E000000}">
      <formula1>BULLET</formula1>
    </dataValidation>
    <dataValidation type="date" allowBlank="1" showInputMessage="1" showErrorMessage="1" sqref="V32:W35 J93:K134" xr:uid="{00000000-0002-0000-0A00-00000F000000}">
      <formula1>10101</formula1>
      <formula2>311299</formula2>
    </dataValidation>
    <dataValidation type="list" allowBlank="1" showInputMessage="1" showErrorMessage="1" sqref="Y32:Y35 Y41:Y44 AA50:AA53" xr:uid="{00000000-0002-0000-0A00-000010000000}">
      <formula1>CST</formula1>
    </dataValidation>
    <dataValidation type="list" showDropDown="1" showErrorMessage="1" sqref="O80:P80 O65:P65" xr:uid="{00000000-0002-0000-0A00-000011000000}">
      <formula1>Charges</formula1>
    </dataValidation>
    <dataValidation type="list" allowBlank="1" showInputMessage="1" showErrorMessage="1" sqref="O81:P84 O66:P69" xr:uid="{00000000-0002-0000-0A00-000012000000}">
      <formula1 xml:space="preserve"> droppull</formula1>
    </dataValidation>
    <dataValidation type="list" allowBlank="1" showInputMessage="1" showErrorMessage="1" sqref="G81:G84 P50:P53 N41:N44 G66:G69 L41:L44" xr:uid="{00000000-0002-0000-0A00-000013000000}">
      <formula1>YesNo</formula1>
    </dataValidation>
    <dataValidation type="list" allowBlank="1" showInputMessage="1" showErrorMessage="1" sqref="F81:F84 F66:F69" xr:uid="{00000000-0002-0000-0A00-000014000000}">
      <formula1>ArbMode</formula1>
    </dataValidation>
    <dataValidation type="list" allowBlank="1" showInputMessage="1" showErrorMessage="1" sqref="M50:M53" xr:uid="{00000000-0002-0000-0A00-000015000000}">
      <formula1>Equip</formula1>
    </dataValidation>
    <dataValidation type="list" allowBlank="1" showInputMessage="1" showErrorMessage="1" sqref="G41:G44 G50:G53 G32:G35" xr:uid="{00000000-0002-0000-0A00-000016000000}">
      <formula1>SDD</formula1>
    </dataValidation>
    <dataValidation type="list" allowBlank="1" showInputMessage="1" showErrorMessage="1" sqref="M31:U31 Q49:W49" xr:uid="{00000000-0002-0000-0A00-000017000000}">
      <formula1>Container</formula1>
    </dataValidation>
    <dataValidation type="list" allowBlank="1" showInputMessage="1" showErrorMessage="1" sqref="O40:U40" xr:uid="{00000000-0002-0000-0A00-000018000000}">
      <formula1>Reefer</formula1>
    </dataValidation>
    <dataValidation type="list" allowBlank="1" showInputMessage="1" showErrorMessage="1" sqref="F32:F35 F50:F53 F41:F44" xr:uid="{00000000-0002-0000-0A00-000019000000}">
      <formula1>Mode</formula1>
    </dataValidation>
    <dataValidation type="list" allowBlank="1" showInputMessage="1" showErrorMessage="1" sqref="M41:M44 O50:O53" xr:uid="{00000000-0002-0000-0A00-00001A000000}">
      <formula1>ShipperOwn</formula1>
    </dataValidation>
    <dataValidation type="list" allowBlank="1" showInputMessage="1" showErrorMessage="1" sqref="N50:N53" xr:uid="{00000000-0002-0000-0A00-00001B000000}">
      <formula1>OOG</formula1>
    </dataValidation>
    <dataValidation type="list" allowBlank="1" showErrorMessage="1" sqref="M30:U30 Q48:W48 O39:U39" xr:uid="{00000000-0002-0000-0A00-00001C000000}">
      <formula1>Exceptions</formula1>
    </dataValidation>
    <dataValidation type="list" showInputMessage="1" showErrorMessage="1" sqref="N66:N68" xr:uid="{00000000-0002-0000-0A00-00001D000000}">
      <formula1>$A$14:$A$17</formula1>
    </dataValidation>
    <dataValidation type="list" allowBlank="1" showInputMessage="1" showErrorMessage="1" sqref="I93:I134" xr:uid="{00000000-0002-0000-0A00-00001E000000}">
      <formula1>$A$14:$A$18</formula1>
    </dataValidation>
    <dataValidation type="list" allowBlank="1" showErrorMessage="1" sqref="A93:A134" xr:uid="{00000000-0002-0000-0A00-00001F000000}">
      <formula1>Charges</formula1>
    </dataValidation>
    <dataValidation allowBlank="1" showInputMessage="1" showErrorMessage="1" promptTitle="Acceptable Values:" prompt="- Applicable _x000a_- Not applicable _x000a_- Included_x000a_- Amount and OSPF for cases of fixed per D40 OSPF_x000a_    (example-  &quot;375 OSPF&quot;)" sqref="E93:G134" xr:uid="{00000000-0002-0000-0A00-000020000000}"/>
    <dataValidation type="list" allowBlank="1" showInputMessage="1" showErrorMessage="1" errorTitle="Pick up the list" promptTitle="Blank = ALL" sqref="H93:H134" xr:uid="{00000000-0002-0000-0A00-000021000000}">
      <formula1>Type_note2</formula1>
    </dataValidation>
  </dataValidations>
  <pageMargins left="0.25" right="0.25" top="0.25" bottom="0.25" header="0.5" footer="0"/>
  <pageSetup scale="30" fitToHeight="0" orientation="landscape" r:id="rId1"/>
  <headerFooter alignWithMargins="0"/>
  <rowBreaks count="1" manualBreakCount="1">
    <brk id="88" max="16383" man="1"/>
  </rowBreaks>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3">
    <tabColor indexed="46"/>
    <pageSetUpPr fitToPage="1"/>
  </sheetPr>
  <dimension ref="A1:BB215"/>
  <sheetViews>
    <sheetView showGridLines="0" topLeftCell="A175" zoomScale="75" zoomScaleNormal="75" zoomScaleSheetLayoutView="75" workbookViewId="0">
      <selection activeCell="G195" sqref="A195:XFD202"/>
    </sheetView>
  </sheetViews>
  <sheetFormatPr defaultColWidth="9.140625" defaultRowHeight="15.75" x14ac:dyDescent="0.2"/>
  <cols>
    <col min="1" max="1" width="25.140625" style="69" customWidth="1"/>
    <col min="2" max="2" width="18.5703125" style="69" customWidth="1"/>
    <col min="3" max="3" width="18.28515625" style="69" customWidth="1"/>
    <col min="4" max="4" width="17.42578125" style="69" customWidth="1"/>
    <col min="5" max="5" width="19.28515625" style="69" customWidth="1"/>
    <col min="6" max="6" width="12.140625" style="211" customWidth="1"/>
    <col min="7" max="8" width="17.42578125" style="211" customWidth="1"/>
    <col min="9" max="9" width="17.7109375" style="211" customWidth="1"/>
    <col min="10" max="10" width="17.85546875" style="69" customWidth="1"/>
    <col min="11" max="11" width="16.5703125" style="69" customWidth="1"/>
    <col min="12" max="12" width="18.5703125" style="69" customWidth="1"/>
    <col min="13" max="13" width="17.28515625" style="69" customWidth="1"/>
    <col min="14" max="14" width="17.7109375" style="69" customWidth="1"/>
    <col min="15" max="16" width="16.5703125" style="69" customWidth="1"/>
    <col min="17" max="17" width="17.5703125" style="69" customWidth="1"/>
    <col min="18" max="18" width="15.85546875" style="69" customWidth="1"/>
    <col min="19" max="19" width="16.7109375" style="69" customWidth="1"/>
    <col min="20" max="20" width="16.5703125" style="69" customWidth="1"/>
    <col min="21" max="21" width="16.7109375" style="69" customWidth="1"/>
    <col min="22" max="22" width="17.5703125" style="69" customWidth="1"/>
    <col min="23" max="23" width="18" style="69" customWidth="1"/>
    <col min="24" max="24" width="12.7109375" style="69" customWidth="1"/>
    <col min="25" max="25" width="16.85546875" style="69" customWidth="1"/>
    <col min="26" max="26" width="9.7109375" style="69" customWidth="1"/>
    <col min="27" max="27" width="14.140625" style="69" customWidth="1"/>
    <col min="28" max="28" width="9.7109375" style="69" customWidth="1"/>
    <col min="29" max="29" width="14.140625" style="69" customWidth="1"/>
    <col min="30" max="16384" width="9.140625" style="69"/>
  </cols>
  <sheetData>
    <row r="1" spans="1:54" x14ac:dyDescent="0.2">
      <c r="A1" s="835" t="s">
        <v>511</v>
      </c>
      <c r="B1" s="837"/>
      <c r="C1" s="902" t="str">
        <f>Cover!B1</f>
        <v>22-XXXX</v>
      </c>
      <c r="D1" s="903"/>
      <c r="E1" s="903"/>
      <c r="F1" s="904"/>
      <c r="G1" s="69"/>
      <c r="H1" s="69"/>
      <c r="I1" s="69"/>
    </row>
    <row r="2" spans="1:54" x14ac:dyDescent="0.2">
      <c r="A2" s="885" t="s">
        <v>1236</v>
      </c>
      <c r="B2" s="886"/>
      <c r="C2" s="887"/>
      <c r="D2" s="888"/>
      <c r="E2" s="888"/>
      <c r="F2" s="889"/>
      <c r="G2" s="69"/>
      <c r="H2" s="69"/>
      <c r="I2" s="69"/>
    </row>
    <row r="3" spans="1:54" x14ac:dyDescent="0.2">
      <c r="A3" s="885" t="s">
        <v>522</v>
      </c>
      <c r="B3" s="886"/>
      <c r="C3" s="905">
        <f>Cover!B2</f>
        <v>0</v>
      </c>
      <c r="D3" s="906"/>
      <c r="E3" s="906"/>
      <c r="F3" s="907"/>
      <c r="G3" s="69"/>
      <c r="H3" s="69"/>
      <c r="I3" s="69"/>
    </row>
    <row r="4" spans="1:54" x14ac:dyDescent="0.2">
      <c r="A4" s="885" t="s">
        <v>1229</v>
      </c>
      <c r="B4" s="886"/>
      <c r="C4" s="884">
        <f>Cover!B7</f>
        <v>0</v>
      </c>
      <c r="D4" s="817"/>
      <c r="E4" s="817"/>
      <c r="F4" s="818"/>
      <c r="G4" s="69"/>
      <c r="H4" s="69"/>
      <c r="I4" s="69"/>
    </row>
    <row r="5" spans="1:54" x14ac:dyDescent="0.2">
      <c r="A5" s="885" t="s">
        <v>528</v>
      </c>
      <c r="B5" s="886"/>
      <c r="C5" s="887" t="s">
        <v>563</v>
      </c>
      <c r="D5" s="888"/>
      <c r="E5" s="888"/>
      <c r="F5" s="889"/>
      <c r="G5" s="69"/>
      <c r="H5" s="69"/>
      <c r="I5" s="69"/>
    </row>
    <row r="6" spans="1:54" ht="15.75" customHeight="1" x14ac:dyDescent="0.2">
      <c r="A6" s="885" t="s">
        <v>512</v>
      </c>
      <c r="B6" s="886"/>
      <c r="C6" s="887" t="s">
        <v>570</v>
      </c>
      <c r="D6" s="888"/>
      <c r="E6" s="888"/>
      <c r="F6" s="889"/>
      <c r="G6" s="69"/>
      <c r="H6" s="69"/>
      <c r="I6" s="69"/>
    </row>
    <row r="7" spans="1:54" ht="15.75" customHeight="1" x14ac:dyDescent="0.2">
      <c r="A7" s="885" t="s">
        <v>612</v>
      </c>
      <c r="B7" s="886"/>
      <c r="C7" s="887" t="s">
        <v>184</v>
      </c>
      <c r="D7" s="888"/>
      <c r="E7" s="888"/>
      <c r="F7" s="889"/>
      <c r="G7" s="69"/>
      <c r="H7" s="69"/>
      <c r="I7" s="69"/>
    </row>
    <row r="8" spans="1:54" ht="2.25" customHeight="1" thickBot="1" x14ac:dyDescent="0.25">
      <c r="A8" s="900"/>
      <c r="B8" s="901"/>
      <c r="C8" s="894"/>
      <c r="D8" s="895"/>
      <c r="E8" s="895"/>
      <c r="F8" s="896"/>
      <c r="G8" s="69"/>
      <c r="H8" s="69"/>
      <c r="I8" s="69"/>
    </row>
    <row r="9" spans="1:54" s="73" customFormat="1" x14ac:dyDescent="0.2">
      <c r="A9" s="442">
        <v>39</v>
      </c>
      <c r="B9" s="443" t="s">
        <v>614</v>
      </c>
      <c r="D9" s="444"/>
      <c r="E9" s="444"/>
      <c r="F9" s="445"/>
    </row>
    <row r="10" spans="1:54" s="73" customFormat="1" ht="16.5" thickBot="1" x14ac:dyDescent="0.25">
      <c r="A10" s="446"/>
      <c r="D10" s="444"/>
      <c r="E10" s="444"/>
      <c r="F10" s="445"/>
      <c r="G10" s="447"/>
      <c r="H10" s="444"/>
      <c r="I10" s="444"/>
      <c r="J10" s="444"/>
    </row>
    <row r="11" spans="1:54" ht="19.5" thickBot="1" x14ac:dyDescent="0.25">
      <c r="A11" s="448" t="s">
        <v>613</v>
      </c>
      <c r="B11" s="449"/>
      <c r="C11" s="73"/>
      <c r="D11" s="444"/>
      <c r="E11" s="444"/>
      <c r="F11" s="445"/>
      <c r="G11" s="447"/>
      <c r="H11" s="444"/>
      <c r="I11" s="444"/>
      <c r="J11" s="444"/>
    </row>
    <row r="12" spans="1:54" s="78" customFormat="1" ht="16.5" thickBot="1" x14ac:dyDescent="0.25">
      <c r="A12" s="897" t="s">
        <v>616</v>
      </c>
      <c r="B12" s="898"/>
      <c r="C12" s="898"/>
      <c r="D12" s="898"/>
      <c r="E12" s="898"/>
      <c r="F12" s="898"/>
      <c r="G12" s="898"/>
      <c r="H12" s="898"/>
      <c r="I12" s="898"/>
      <c r="J12" s="899"/>
    </row>
    <row r="13" spans="1:54" ht="17.25" customHeight="1" x14ac:dyDescent="0.2">
      <c r="A13" s="450" t="s">
        <v>617</v>
      </c>
      <c r="B13" s="881" t="s">
        <v>618</v>
      </c>
      <c r="C13" s="881"/>
      <c r="D13" s="881"/>
      <c r="E13" s="881"/>
      <c r="F13" s="881"/>
      <c r="G13" s="881"/>
      <c r="H13" s="881"/>
      <c r="I13" s="881"/>
      <c r="J13" s="882" t="s">
        <v>622</v>
      </c>
      <c r="K13" s="883"/>
      <c r="L13" s="890" t="s">
        <v>623</v>
      </c>
      <c r="M13" s="891"/>
      <c r="N13" s="350" t="s">
        <v>4</v>
      </c>
    </row>
    <row r="14" spans="1:54" s="81" customFormat="1" x14ac:dyDescent="0.2">
      <c r="A14" s="451"/>
      <c r="B14" s="862"/>
      <c r="C14" s="892"/>
      <c r="D14" s="892"/>
      <c r="E14" s="892"/>
      <c r="F14" s="892"/>
      <c r="G14" s="892"/>
      <c r="H14" s="892"/>
      <c r="I14" s="892"/>
      <c r="J14" s="870"/>
      <c r="K14" s="855"/>
      <c r="L14" s="893"/>
      <c r="M14" s="871"/>
      <c r="N14" s="349" t="str">
        <f>IF($A14&gt;0,$A14,"")</f>
        <v/>
      </c>
    </row>
    <row r="15" spans="1:54" s="453" customFormat="1" x14ac:dyDescent="0.2">
      <c r="A15" s="452"/>
      <c r="B15" s="879"/>
      <c r="C15" s="880"/>
      <c r="D15" s="880"/>
      <c r="E15" s="880"/>
      <c r="F15" s="880"/>
      <c r="G15" s="880"/>
      <c r="H15" s="880"/>
      <c r="I15" s="880"/>
      <c r="J15" s="870"/>
      <c r="K15" s="855"/>
      <c r="L15" s="870"/>
      <c r="M15" s="871"/>
      <c r="N15" s="349" t="str">
        <f>IF($A15&gt;0,$A15,"")</f>
        <v/>
      </c>
      <c r="BB15" s="81"/>
    </row>
    <row r="16" spans="1:54" s="453" customFormat="1" x14ac:dyDescent="0.2">
      <c r="A16" s="452"/>
      <c r="B16" s="879"/>
      <c r="C16" s="880"/>
      <c r="D16" s="880"/>
      <c r="E16" s="880"/>
      <c r="F16" s="880"/>
      <c r="G16" s="880"/>
      <c r="H16" s="880"/>
      <c r="I16" s="880"/>
      <c r="J16" s="870"/>
      <c r="K16" s="855"/>
      <c r="L16" s="870"/>
      <c r="M16" s="871"/>
      <c r="N16" s="349" t="str">
        <f>IF($A16&gt;0,$A16,"")</f>
        <v/>
      </c>
      <c r="BB16" s="81"/>
    </row>
    <row r="17" spans="1:54" s="453" customFormat="1" ht="16.5" thickBot="1" x14ac:dyDescent="0.25">
      <c r="A17" s="454"/>
      <c r="B17" s="864"/>
      <c r="C17" s="865"/>
      <c r="D17" s="865"/>
      <c r="E17" s="865"/>
      <c r="F17" s="865"/>
      <c r="G17" s="865"/>
      <c r="H17" s="865"/>
      <c r="I17" s="865"/>
      <c r="J17" s="866"/>
      <c r="K17" s="867"/>
      <c r="L17" s="857"/>
      <c r="M17" s="858"/>
      <c r="N17" s="349" t="str">
        <f>IF($A17&gt;0,$A17,"")</f>
        <v/>
      </c>
      <c r="BB17" s="81"/>
    </row>
    <row r="18" spans="1:54" s="462" customFormat="1" ht="16.5" thickBot="1" x14ac:dyDescent="0.25">
      <c r="A18" s="455"/>
      <c r="B18" s="456"/>
      <c r="C18" s="457"/>
      <c r="D18" s="458"/>
      <c r="E18" s="458"/>
      <c r="F18" s="459"/>
      <c r="G18" s="459"/>
      <c r="H18" s="460"/>
      <c r="I18" s="461"/>
      <c r="J18" s="461"/>
      <c r="K18" s="457"/>
      <c r="L18" s="457"/>
      <c r="M18" s="457"/>
      <c r="N18" s="349" t="str">
        <f>IF($A18&gt;0,$A18,"")</f>
        <v/>
      </c>
      <c r="O18" s="457"/>
      <c r="P18" s="457"/>
      <c r="Q18" s="457"/>
      <c r="BB18" s="81"/>
    </row>
    <row r="19" spans="1:54" s="462" customFormat="1" ht="19.5" thickBot="1" x14ac:dyDescent="0.25">
      <c r="A19" s="448" t="s">
        <v>419</v>
      </c>
      <c r="B19" s="463"/>
      <c r="I19" s="461"/>
      <c r="J19" s="461"/>
      <c r="K19" s="457"/>
      <c r="L19" s="457"/>
      <c r="M19" s="457"/>
      <c r="N19" s="457"/>
      <c r="O19" s="457"/>
      <c r="P19" s="457"/>
      <c r="Q19" s="457"/>
    </row>
    <row r="20" spans="1:54" s="462" customFormat="1" x14ac:dyDescent="0.2">
      <c r="A20" s="464" t="s">
        <v>419</v>
      </c>
      <c r="B20" s="859" t="s">
        <v>618</v>
      </c>
      <c r="C20" s="860"/>
      <c r="D20" s="860"/>
      <c r="E20" s="860"/>
      <c r="F20" s="860"/>
      <c r="G20" s="860"/>
      <c r="H20" s="861"/>
      <c r="I20" s="461"/>
      <c r="J20" s="461"/>
      <c r="K20" s="457"/>
      <c r="L20" s="457"/>
      <c r="M20" s="457"/>
      <c r="N20" s="457"/>
      <c r="O20" s="457"/>
      <c r="P20" s="457"/>
      <c r="Q20" s="457"/>
    </row>
    <row r="21" spans="1:54" s="467" customFormat="1" ht="15.75" customHeight="1" x14ac:dyDescent="0.2">
      <c r="A21" s="451" t="s">
        <v>463</v>
      </c>
      <c r="B21" s="862" t="s">
        <v>478</v>
      </c>
      <c r="C21" s="862"/>
      <c r="D21" s="862"/>
      <c r="E21" s="862"/>
      <c r="F21" s="862"/>
      <c r="G21" s="862"/>
      <c r="H21" s="863"/>
      <c r="I21" s="220"/>
      <c r="J21" s="465"/>
      <c r="K21" s="466"/>
      <c r="L21" s="466"/>
      <c r="M21" s="466"/>
      <c r="N21" s="466"/>
      <c r="O21" s="466"/>
      <c r="P21" s="466"/>
      <c r="Q21" s="466"/>
    </row>
    <row r="22" spans="1:54" s="467" customFormat="1" x14ac:dyDescent="0.2">
      <c r="A22" s="468" t="s">
        <v>793</v>
      </c>
      <c r="B22" s="980" t="s">
        <v>822</v>
      </c>
      <c r="C22" s="981"/>
      <c r="D22" s="981"/>
      <c r="E22" s="981"/>
      <c r="F22" s="981"/>
      <c r="G22" s="981"/>
      <c r="H22" s="982"/>
      <c r="I22" s="465"/>
      <c r="J22" s="465"/>
      <c r="K22" s="466"/>
      <c r="L22" s="466"/>
      <c r="M22" s="466"/>
      <c r="N22" s="466"/>
      <c r="O22" s="466"/>
      <c r="P22" s="466"/>
      <c r="Q22" s="466"/>
    </row>
    <row r="23" spans="1:54" s="467" customFormat="1" x14ac:dyDescent="0.2">
      <c r="A23" s="468" t="s">
        <v>925</v>
      </c>
      <c r="B23" s="977" t="s">
        <v>1024</v>
      </c>
      <c r="C23" s="978"/>
      <c r="D23" s="978"/>
      <c r="E23" s="978"/>
      <c r="F23" s="978"/>
      <c r="G23" s="978"/>
      <c r="H23" s="979"/>
      <c r="I23" s="465"/>
      <c r="J23" s="465"/>
      <c r="K23" s="466"/>
      <c r="L23" s="466"/>
      <c r="M23" s="466"/>
      <c r="N23" s="466"/>
      <c r="O23" s="466"/>
      <c r="P23" s="466"/>
      <c r="Q23" s="466"/>
    </row>
    <row r="24" spans="1:54" s="467" customFormat="1" x14ac:dyDescent="0.2">
      <c r="A24" s="468" t="s">
        <v>1023</v>
      </c>
      <c r="B24" s="854" t="s">
        <v>926</v>
      </c>
      <c r="C24" s="855"/>
      <c r="D24" s="855"/>
      <c r="E24" s="855"/>
      <c r="F24" s="855"/>
      <c r="G24" s="855"/>
      <c r="H24" s="856"/>
      <c r="I24" s="465"/>
      <c r="J24" s="465"/>
      <c r="K24" s="466"/>
      <c r="L24" s="466"/>
      <c r="M24" s="466"/>
      <c r="N24" s="466"/>
      <c r="O24" s="466"/>
      <c r="P24" s="466"/>
      <c r="Q24" s="466"/>
    </row>
    <row r="25" spans="1:54" s="467" customFormat="1" ht="16.5" thickBot="1" x14ac:dyDescent="0.25">
      <c r="A25" s="469"/>
      <c r="B25" s="877"/>
      <c r="C25" s="867"/>
      <c r="D25" s="867"/>
      <c r="E25" s="867"/>
      <c r="F25" s="867"/>
      <c r="G25" s="867"/>
      <c r="H25" s="878"/>
      <c r="I25" s="465"/>
      <c r="J25" s="465"/>
      <c r="K25" s="466"/>
      <c r="L25" s="466"/>
      <c r="M25" s="466"/>
      <c r="N25" s="466"/>
      <c r="O25" s="466"/>
      <c r="P25" s="466"/>
      <c r="Q25" s="466"/>
    </row>
    <row r="26" spans="1:54" s="462" customFormat="1" ht="16.5" thickBot="1" x14ac:dyDescent="0.25">
      <c r="A26" s="456"/>
      <c r="B26" s="95"/>
      <c r="C26" s="95"/>
      <c r="D26" s="95"/>
      <c r="E26" s="95"/>
      <c r="F26" s="95"/>
      <c r="G26" s="95"/>
      <c r="H26" s="95"/>
      <c r="I26" s="461"/>
      <c r="J26" s="461"/>
      <c r="K26" s="457"/>
      <c r="L26" s="457"/>
      <c r="M26" s="457"/>
      <c r="N26" s="457"/>
      <c r="O26" s="457"/>
      <c r="P26" s="457"/>
      <c r="Q26" s="457"/>
      <c r="R26" s="457"/>
      <c r="S26" s="457"/>
      <c r="T26" s="457"/>
      <c r="U26" s="457"/>
    </row>
    <row r="27" spans="1:54" s="462" customFormat="1" ht="19.5" thickBot="1" x14ac:dyDescent="0.25">
      <c r="A27" s="448" t="s">
        <v>624</v>
      </c>
      <c r="B27" s="449"/>
      <c r="I27" s="461"/>
      <c r="J27" s="461"/>
      <c r="K27" s="457"/>
      <c r="L27" s="457"/>
      <c r="M27" s="457"/>
      <c r="N27" s="457"/>
      <c r="O27" s="457"/>
      <c r="P27" s="457"/>
      <c r="Q27" s="457"/>
      <c r="R27" s="457"/>
      <c r="S27" s="457"/>
      <c r="T27" s="457"/>
      <c r="U27" s="457"/>
    </row>
    <row r="28" spans="1:54" s="462" customFormat="1" x14ac:dyDescent="0.2">
      <c r="A28" s="223" t="s">
        <v>886</v>
      </c>
      <c r="B28" s="470"/>
      <c r="C28" s="471"/>
      <c r="D28" s="472"/>
      <c r="E28" s="472"/>
      <c r="F28" s="473"/>
      <c r="G28" s="473"/>
      <c r="H28" s="473"/>
      <c r="I28" s="474"/>
      <c r="J28" s="475"/>
      <c r="K28" s="476"/>
      <c r="L28" s="457"/>
      <c r="M28" s="457"/>
      <c r="N28" s="457"/>
      <c r="O28" s="457"/>
      <c r="P28" s="457"/>
      <c r="Q28" s="457"/>
      <c r="R28" s="457"/>
      <c r="S28" s="457"/>
      <c r="T28" s="457"/>
      <c r="U28" s="457"/>
      <c r="V28" s="457"/>
    </row>
    <row r="29" spans="1:54" s="462" customFormat="1" x14ac:dyDescent="0.2">
      <c r="A29" s="96" t="s">
        <v>626</v>
      </c>
      <c r="B29" s="214"/>
      <c r="C29" s="477"/>
      <c r="D29" s="478"/>
      <c r="E29" s="478"/>
      <c r="F29" s="479"/>
      <c r="G29" s="479"/>
      <c r="H29" s="479"/>
      <c r="I29" s="480"/>
      <c r="J29" s="481"/>
      <c r="K29" s="482"/>
      <c r="L29" s="457"/>
      <c r="M29" s="457"/>
      <c r="N29" s="457"/>
      <c r="O29" s="457"/>
      <c r="P29" s="457"/>
      <c r="Q29" s="457"/>
      <c r="R29" s="457"/>
    </row>
    <row r="30" spans="1:54" s="462" customFormat="1" ht="16.5" thickBot="1" x14ac:dyDescent="0.25">
      <c r="A30" s="110" t="s">
        <v>172</v>
      </c>
      <c r="B30" s="483"/>
      <c r="C30" s="484"/>
      <c r="D30" s="485"/>
      <c r="E30" s="485"/>
      <c r="F30" s="486"/>
      <c r="G30" s="486"/>
      <c r="H30" s="486"/>
      <c r="I30" s="487"/>
      <c r="J30" s="488"/>
      <c r="K30" s="489"/>
      <c r="L30" s="457"/>
      <c r="M30" s="457"/>
      <c r="N30" s="457"/>
      <c r="O30" s="457"/>
      <c r="P30" s="457"/>
      <c r="Q30" s="457"/>
      <c r="R30" s="457"/>
      <c r="S30" s="118"/>
      <c r="T30" s="118"/>
      <c r="U30" s="118"/>
      <c r="V30" s="457"/>
      <c r="W30" s="457"/>
      <c r="X30" s="457"/>
    </row>
    <row r="31" spans="1:54" s="491" customFormat="1" ht="32.25" customHeight="1" x14ac:dyDescent="0.2">
      <c r="A31" s="875" t="s">
        <v>627</v>
      </c>
      <c r="B31" s="868" t="s">
        <v>628</v>
      </c>
      <c r="C31" s="868" t="s">
        <v>11</v>
      </c>
      <c r="D31" s="868" t="s">
        <v>12</v>
      </c>
      <c r="E31" s="868" t="s">
        <v>13</v>
      </c>
      <c r="F31" s="868" t="s">
        <v>14</v>
      </c>
      <c r="G31" s="868" t="s">
        <v>15</v>
      </c>
      <c r="H31" s="868" t="s">
        <v>16</v>
      </c>
      <c r="I31" s="868" t="s">
        <v>17</v>
      </c>
      <c r="J31" s="868" t="s">
        <v>18</v>
      </c>
      <c r="K31" s="868" t="s">
        <v>19</v>
      </c>
      <c r="L31" s="868" t="s">
        <v>20</v>
      </c>
      <c r="M31" s="490"/>
      <c r="N31" s="490"/>
      <c r="O31" s="490"/>
      <c r="P31" s="490"/>
      <c r="Q31" s="490"/>
      <c r="R31" s="490"/>
      <c r="S31" s="490"/>
      <c r="T31" s="490"/>
      <c r="U31" s="490"/>
      <c r="V31" s="490"/>
      <c r="W31" s="490"/>
      <c r="X31" s="868" t="s">
        <v>22</v>
      </c>
      <c r="Y31" s="868" t="s">
        <v>23</v>
      </c>
      <c r="Z31" s="868" t="s">
        <v>24</v>
      </c>
      <c r="AA31" s="922" t="s">
        <v>352</v>
      </c>
    </row>
    <row r="32" spans="1:54" s="491" customFormat="1" ht="16.5" thickBot="1" x14ac:dyDescent="0.25">
      <c r="A32" s="876"/>
      <c r="B32" s="869"/>
      <c r="C32" s="869"/>
      <c r="D32" s="869"/>
      <c r="E32" s="869"/>
      <c r="F32" s="869"/>
      <c r="G32" s="872"/>
      <c r="H32" s="869"/>
      <c r="I32" s="869"/>
      <c r="J32" s="869"/>
      <c r="K32" s="869"/>
      <c r="L32" s="869"/>
      <c r="M32" s="492"/>
      <c r="N32" s="492"/>
      <c r="O32" s="492"/>
      <c r="P32" s="492"/>
      <c r="Q32" s="492"/>
      <c r="R32" s="492"/>
      <c r="S32" s="492"/>
      <c r="T32" s="492"/>
      <c r="U32" s="492"/>
      <c r="V32" s="492"/>
      <c r="W32" s="492"/>
      <c r="X32" s="869"/>
      <c r="Y32" s="869"/>
      <c r="Z32" s="869"/>
      <c r="AA32" s="923"/>
    </row>
    <row r="33" spans="1:27" s="136" customFormat="1" x14ac:dyDescent="0.2">
      <c r="A33" s="493"/>
      <c r="B33" s="49"/>
      <c r="C33" s="225"/>
      <c r="D33" s="225"/>
      <c r="E33" s="225"/>
      <c r="F33" s="225"/>
      <c r="G33" s="120"/>
      <c r="H33" s="225"/>
      <c r="I33" s="263"/>
      <c r="J33" s="263"/>
      <c r="K33" s="263"/>
      <c r="L33" s="263"/>
      <c r="M33" s="120"/>
      <c r="N33" s="120"/>
      <c r="O33" s="120"/>
      <c r="P33" s="226"/>
      <c r="Q33" s="226"/>
      <c r="R33" s="226"/>
      <c r="S33" s="120"/>
      <c r="T33" s="120"/>
      <c r="U33" s="120"/>
      <c r="V33" s="120"/>
      <c r="W33" s="120"/>
      <c r="X33" s="227"/>
      <c r="Y33" s="227"/>
      <c r="Z33" s="120"/>
      <c r="AA33" s="121"/>
    </row>
    <row r="34" spans="1:27" s="136" customFormat="1" x14ac:dyDescent="0.2">
      <c r="A34" s="494"/>
      <c r="B34" s="123"/>
      <c r="C34" s="123"/>
      <c r="D34" s="123"/>
      <c r="E34" s="123"/>
      <c r="F34" s="123"/>
      <c r="G34" s="124"/>
      <c r="H34" s="123"/>
      <c r="I34" s="255"/>
      <c r="J34" s="255"/>
      <c r="K34" s="255"/>
      <c r="L34" s="255"/>
      <c r="M34" s="125"/>
      <c r="N34" s="124"/>
      <c r="O34" s="124"/>
      <c r="P34" s="125"/>
      <c r="Q34" s="125"/>
      <c r="R34" s="125"/>
      <c r="S34" s="124"/>
      <c r="T34" s="124"/>
      <c r="U34" s="124"/>
      <c r="V34" s="124"/>
      <c r="W34" s="124"/>
      <c r="X34" s="126"/>
      <c r="Y34" s="126"/>
      <c r="Z34" s="124"/>
      <c r="AA34" s="127"/>
    </row>
    <row r="35" spans="1:27" s="136" customFormat="1" x14ac:dyDescent="0.2">
      <c r="A35" s="494"/>
      <c r="B35" s="123"/>
      <c r="C35" s="123"/>
      <c r="D35" s="123"/>
      <c r="E35" s="123"/>
      <c r="F35" s="123"/>
      <c r="G35" s="124"/>
      <c r="H35" s="123"/>
      <c r="I35" s="255"/>
      <c r="J35" s="255"/>
      <c r="K35" s="255"/>
      <c r="L35" s="255"/>
      <c r="M35" s="125"/>
      <c r="N35" s="124"/>
      <c r="O35" s="124"/>
      <c r="P35" s="125"/>
      <c r="Q35" s="125"/>
      <c r="R35" s="125"/>
      <c r="S35" s="124"/>
      <c r="T35" s="124"/>
      <c r="U35" s="124"/>
      <c r="V35" s="124"/>
      <c r="W35" s="124"/>
      <c r="X35" s="126"/>
      <c r="Y35" s="126"/>
      <c r="Z35" s="124"/>
      <c r="AA35" s="127"/>
    </row>
    <row r="36" spans="1:27" s="136" customFormat="1" ht="16.5" thickBot="1" x14ac:dyDescent="0.25">
      <c r="A36" s="495"/>
      <c r="B36" s="128"/>
      <c r="C36" s="128"/>
      <c r="D36" s="128"/>
      <c r="E36" s="128"/>
      <c r="F36" s="128"/>
      <c r="G36" s="129"/>
      <c r="H36" s="128"/>
      <c r="I36" s="256"/>
      <c r="J36" s="256"/>
      <c r="K36" s="256"/>
      <c r="L36" s="256"/>
      <c r="M36" s="129"/>
      <c r="N36" s="129"/>
      <c r="O36" s="129"/>
      <c r="P36" s="130"/>
      <c r="Q36" s="130"/>
      <c r="R36" s="130"/>
      <c r="S36" s="129"/>
      <c r="T36" s="129"/>
      <c r="U36" s="129"/>
      <c r="V36" s="129"/>
      <c r="W36" s="129"/>
      <c r="X36" s="131"/>
      <c r="Y36" s="131"/>
      <c r="Z36" s="129"/>
      <c r="AA36" s="132"/>
    </row>
    <row r="37" spans="1:27" s="73" customFormat="1" x14ac:dyDescent="0.2">
      <c r="A37" s="133"/>
      <c r="B37" s="133"/>
      <c r="C37" s="133"/>
      <c r="D37" s="133"/>
      <c r="E37" s="133"/>
      <c r="F37" s="133"/>
      <c r="G37" s="118"/>
      <c r="H37" s="118"/>
      <c r="I37" s="118"/>
      <c r="J37" s="118"/>
      <c r="K37" s="118"/>
      <c r="L37" s="118"/>
      <c r="M37" s="134"/>
      <c r="N37" s="118"/>
      <c r="O37" s="159"/>
      <c r="P37" s="159"/>
      <c r="Q37" s="159"/>
      <c r="R37" s="159"/>
      <c r="S37" s="159"/>
      <c r="T37" s="159"/>
      <c r="U37" s="159"/>
      <c r="V37" s="159"/>
      <c r="W37" s="466"/>
    </row>
    <row r="38" spans="1:27" s="73" customFormat="1" ht="16.5" thickBot="1" x14ac:dyDescent="0.25">
      <c r="A38" s="133"/>
      <c r="B38" s="133"/>
      <c r="C38" s="133"/>
      <c r="D38" s="133"/>
      <c r="E38" s="133"/>
      <c r="F38" s="133"/>
      <c r="G38" s="118"/>
      <c r="H38" s="118"/>
      <c r="I38" s="118"/>
      <c r="J38" s="118"/>
      <c r="K38" s="118"/>
      <c r="N38" s="118"/>
      <c r="O38" s="159"/>
      <c r="P38" s="159"/>
      <c r="Q38" s="159"/>
      <c r="R38" s="159"/>
      <c r="S38" s="159"/>
      <c r="T38" s="159"/>
      <c r="U38" s="159"/>
      <c r="V38" s="159"/>
      <c r="W38" s="467"/>
    </row>
    <row r="39" spans="1:27" s="73" customFormat="1" ht="16.5" thickBot="1" x14ac:dyDescent="0.25">
      <c r="A39" s="496" t="s">
        <v>25</v>
      </c>
      <c r="B39" s="133"/>
      <c r="C39" s="133"/>
      <c r="D39" s="133"/>
      <c r="E39" s="133"/>
      <c r="F39" s="133"/>
      <c r="G39" s="118"/>
      <c r="H39" s="118"/>
      <c r="I39" s="118"/>
      <c r="J39" s="118"/>
      <c r="K39" s="118"/>
      <c r="M39" s="118"/>
      <c r="N39" s="118"/>
      <c r="O39" s="159"/>
      <c r="P39" s="136"/>
      <c r="Q39" s="136"/>
      <c r="R39" s="136"/>
      <c r="S39" s="466"/>
      <c r="T39" s="466"/>
      <c r="U39" s="466"/>
      <c r="V39" s="466"/>
      <c r="W39" s="159"/>
    </row>
    <row r="40" spans="1:27" s="73" customFormat="1" ht="15.75" customHeight="1" x14ac:dyDescent="0.2">
      <c r="A40" s="875" t="s">
        <v>627</v>
      </c>
      <c r="B40" s="868" t="s">
        <v>628</v>
      </c>
      <c r="C40" s="868" t="s">
        <v>11</v>
      </c>
      <c r="D40" s="868" t="s">
        <v>12</v>
      </c>
      <c r="E40" s="868" t="s">
        <v>13</v>
      </c>
      <c r="F40" s="868" t="s">
        <v>14</v>
      </c>
      <c r="G40" s="868" t="s">
        <v>15</v>
      </c>
      <c r="H40" s="868" t="s">
        <v>16</v>
      </c>
      <c r="I40" s="868" t="s">
        <v>26</v>
      </c>
      <c r="J40" s="868" t="s">
        <v>27</v>
      </c>
      <c r="K40" s="945" t="s">
        <v>295</v>
      </c>
      <c r="L40" s="497" t="s">
        <v>63</v>
      </c>
      <c r="M40" s="498" t="s">
        <v>64</v>
      </c>
      <c r="N40" s="499" t="s">
        <v>65</v>
      </c>
      <c r="O40" s="490"/>
      <c r="P40" s="490"/>
      <c r="Q40" s="490"/>
      <c r="R40" s="490"/>
      <c r="S40" s="490"/>
      <c r="T40" s="490"/>
      <c r="U40" s="490"/>
      <c r="V40" s="490"/>
      <c r="W40" s="490"/>
      <c r="X40" s="868" t="s">
        <v>22</v>
      </c>
      <c r="Y40" s="868" t="s">
        <v>23</v>
      </c>
      <c r="Z40" s="868" t="s">
        <v>24</v>
      </c>
      <c r="AA40" s="922" t="s">
        <v>352</v>
      </c>
    </row>
    <row r="41" spans="1:27" s="73" customFormat="1" ht="31.7" customHeight="1" thickBot="1" x14ac:dyDescent="0.25">
      <c r="A41" s="876"/>
      <c r="B41" s="869"/>
      <c r="C41" s="869"/>
      <c r="D41" s="869"/>
      <c r="E41" s="869"/>
      <c r="F41" s="869"/>
      <c r="G41" s="872"/>
      <c r="H41" s="869"/>
      <c r="I41" s="869"/>
      <c r="J41" s="869"/>
      <c r="K41" s="946"/>
      <c r="L41" s="500" t="s">
        <v>66</v>
      </c>
      <c r="M41" s="501" t="s">
        <v>67</v>
      </c>
      <c r="N41" s="502" t="s">
        <v>68</v>
      </c>
      <c r="O41" s="503"/>
      <c r="P41" s="492"/>
      <c r="Q41" s="492"/>
      <c r="R41" s="492"/>
      <c r="S41" s="492"/>
      <c r="T41" s="492"/>
      <c r="U41" s="492"/>
      <c r="V41" s="492"/>
      <c r="W41" s="492"/>
      <c r="X41" s="869"/>
      <c r="Y41" s="869"/>
      <c r="Z41" s="869"/>
      <c r="AA41" s="923"/>
    </row>
    <row r="42" spans="1:27" s="136" customFormat="1" x14ac:dyDescent="0.2">
      <c r="A42" s="493"/>
      <c r="B42" s="225"/>
      <c r="C42" s="225"/>
      <c r="D42" s="225"/>
      <c r="E42" s="225"/>
      <c r="F42" s="225"/>
      <c r="G42" s="120"/>
      <c r="H42" s="225"/>
      <c r="I42" s="263"/>
      <c r="J42" s="263"/>
      <c r="K42" s="265"/>
      <c r="L42" s="268"/>
      <c r="M42" s="120"/>
      <c r="N42" s="121"/>
      <c r="O42" s="269"/>
      <c r="P42" s="226"/>
      <c r="Q42" s="226"/>
      <c r="R42" s="226"/>
      <c r="S42" s="120"/>
      <c r="T42" s="120"/>
      <c r="U42" s="120"/>
      <c r="V42" s="120"/>
      <c r="W42" s="120"/>
      <c r="X42" s="227"/>
      <c r="Y42" s="227"/>
      <c r="Z42" s="120"/>
      <c r="AA42" s="121"/>
    </row>
    <row r="43" spans="1:27" s="136" customFormat="1" x14ac:dyDescent="0.2">
      <c r="A43" s="494"/>
      <c r="B43" s="123"/>
      <c r="C43" s="123"/>
      <c r="D43" s="123"/>
      <c r="E43" s="123"/>
      <c r="F43" s="123"/>
      <c r="G43" s="124"/>
      <c r="H43" s="123"/>
      <c r="I43" s="255"/>
      <c r="J43" s="255"/>
      <c r="K43" s="266"/>
      <c r="L43" s="259"/>
      <c r="M43" s="124"/>
      <c r="N43" s="127"/>
      <c r="O43" s="248"/>
      <c r="P43" s="125"/>
      <c r="Q43" s="125"/>
      <c r="R43" s="125"/>
      <c r="S43" s="124"/>
      <c r="T43" s="124"/>
      <c r="U43" s="124"/>
      <c r="V43" s="124"/>
      <c r="W43" s="124"/>
      <c r="X43" s="126"/>
      <c r="Y43" s="126"/>
      <c r="Z43" s="124"/>
      <c r="AA43" s="127"/>
    </row>
    <row r="44" spans="1:27" s="136" customFormat="1" x14ac:dyDescent="0.2">
      <c r="A44" s="494"/>
      <c r="B44" s="123"/>
      <c r="C44" s="123"/>
      <c r="D44" s="123"/>
      <c r="E44" s="123"/>
      <c r="F44" s="123"/>
      <c r="G44" s="124"/>
      <c r="H44" s="123"/>
      <c r="I44" s="255"/>
      <c r="J44" s="255"/>
      <c r="K44" s="266"/>
      <c r="L44" s="259"/>
      <c r="M44" s="124"/>
      <c r="N44" s="127"/>
      <c r="O44" s="248"/>
      <c r="P44" s="125"/>
      <c r="Q44" s="125"/>
      <c r="R44" s="125"/>
      <c r="S44" s="124"/>
      <c r="T44" s="124"/>
      <c r="U44" s="124"/>
      <c r="V44" s="124"/>
      <c r="W44" s="124"/>
      <c r="X44" s="126"/>
      <c r="Y44" s="126"/>
      <c r="Z44" s="124"/>
      <c r="AA44" s="127"/>
    </row>
    <row r="45" spans="1:27" s="136" customFormat="1" ht="16.5" thickBot="1" x14ac:dyDescent="0.25">
      <c r="A45" s="495"/>
      <c r="B45" s="128"/>
      <c r="C45" s="128"/>
      <c r="D45" s="128"/>
      <c r="E45" s="128"/>
      <c r="F45" s="128"/>
      <c r="G45" s="129"/>
      <c r="H45" s="128"/>
      <c r="I45" s="256"/>
      <c r="J45" s="256"/>
      <c r="K45" s="267"/>
      <c r="L45" s="137"/>
      <c r="M45" s="129"/>
      <c r="N45" s="132"/>
      <c r="O45" s="137"/>
      <c r="P45" s="129"/>
      <c r="Q45" s="129"/>
      <c r="R45" s="129"/>
      <c r="S45" s="129"/>
      <c r="T45" s="129"/>
      <c r="U45" s="129"/>
      <c r="V45" s="129"/>
      <c r="W45" s="129"/>
      <c r="X45" s="131"/>
      <c r="Y45" s="131"/>
      <c r="Z45" s="129"/>
      <c r="AA45" s="132"/>
    </row>
    <row r="46" spans="1:27" s="73" customFormat="1" x14ac:dyDescent="0.2">
      <c r="A46" s="133"/>
      <c r="B46" s="133"/>
      <c r="C46" s="133"/>
      <c r="D46" s="133"/>
      <c r="E46" s="133"/>
      <c r="F46" s="133"/>
      <c r="G46" s="118"/>
      <c r="H46" s="118"/>
      <c r="I46" s="118"/>
      <c r="J46" s="118"/>
      <c r="K46" s="118"/>
      <c r="L46" s="118"/>
      <c r="M46" s="118"/>
      <c r="N46" s="118"/>
      <c r="O46" s="160"/>
      <c r="P46" s="159"/>
      <c r="Q46" s="159"/>
      <c r="R46" s="159"/>
      <c r="S46" s="136"/>
      <c r="T46" s="136"/>
      <c r="U46" s="136"/>
      <c r="V46" s="136"/>
      <c r="W46" s="136"/>
      <c r="X46" s="118"/>
    </row>
    <row r="47" spans="1:27" s="73" customFormat="1" ht="16.5" thickBot="1" x14ac:dyDescent="0.25">
      <c r="A47" s="133"/>
      <c r="B47" s="133"/>
      <c r="C47" s="133"/>
      <c r="D47" s="133"/>
      <c r="E47" s="133"/>
      <c r="F47" s="133"/>
      <c r="G47" s="118"/>
      <c r="H47" s="118"/>
      <c r="I47" s="118"/>
      <c r="J47" s="118"/>
      <c r="K47" s="118"/>
      <c r="L47" s="118"/>
      <c r="M47" s="118"/>
      <c r="N47" s="118"/>
      <c r="O47" s="160"/>
      <c r="P47" s="159"/>
      <c r="Q47" s="159"/>
      <c r="R47" s="159"/>
      <c r="S47" s="136"/>
      <c r="T47" s="136"/>
      <c r="U47" s="136"/>
      <c r="V47" s="136"/>
      <c r="W47" s="136"/>
      <c r="X47" s="118"/>
    </row>
    <row r="48" spans="1:27" s="73" customFormat="1" ht="16.5" thickBot="1" x14ac:dyDescent="0.25">
      <c r="A48" s="822" t="s">
        <v>307</v>
      </c>
      <c r="B48" s="873"/>
      <c r="C48" s="873"/>
      <c r="D48" s="874"/>
      <c r="E48" s="133"/>
      <c r="F48" s="133"/>
      <c r="G48" s="118"/>
      <c r="H48" s="118"/>
      <c r="I48" s="118"/>
      <c r="J48" s="118"/>
      <c r="K48" s="118"/>
      <c r="L48" s="118"/>
      <c r="M48" s="118"/>
      <c r="N48" s="118"/>
      <c r="O48" s="136"/>
      <c r="P48" s="159"/>
      <c r="Q48" s="159"/>
      <c r="R48" s="159"/>
      <c r="S48" s="466"/>
      <c r="T48" s="466"/>
      <c r="U48" s="466"/>
      <c r="V48" s="466"/>
      <c r="W48" s="159"/>
      <c r="X48" s="118"/>
      <c r="Y48" s="118"/>
    </row>
    <row r="49" spans="1:29" s="73" customFormat="1" ht="15.75" customHeight="1" x14ac:dyDescent="0.2">
      <c r="A49" s="875" t="s">
        <v>627</v>
      </c>
      <c r="B49" s="868" t="s">
        <v>628</v>
      </c>
      <c r="C49" s="868" t="s">
        <v>11</v>
      </c>
      <c r="D49" s="868" t="s">
        <v>12</v>
      </c>
      <c r="E49" s="868" t="s">
        <v>13</v>
      </c>
      <c r="F49" s="868" t="s">
        <v>14</v>
      </c>
      <c r="G49" s="868" t="s">
        <v>15</v>
      </c>
      <c r="H49" s="868" t="s">
        <v>16</v>
      </c>
      <c r="I49" s="868">
        <v>20</v>
      </c>
      <c r="J49" s="868">
        <v>40</v>
      </c>
      <c r="K49" s="868" t="s">
        <v>19</v>
      </c>
      <c r="L49" s="922" t="s">
        <v>20</v>
      </c>
      <c r="M49" s="943" t="s">
        <v>28</v>
      </c>
      <c r="N49" s="504" t="s">
        <v>69</v>
      </c>
      <c r="O49" s="498" t="s">
        <v>64</v>
      </c>
      <c r="P49" s="499" t="s">
        <v>65</v>
      </c>
      <c r="Q49" s="490" t="s">
        <v>147</v>
      </c>
      <c r="R49" s="490" t="s">
        <v>71</v>
      </c>
      <c r="S49" s="490"/>
      <c r="T49" s="490"/>
      <c r="U49" s="490"/>
      <c r="V49" s="490"/>
      <c r="W49" s="490"/>
      <c r="X49" s="490"/>
      <c r="Y49" s="490"/>
      <c r="Z49" s="868" t="s">
        <v>22</v>
      </c>
      <c r="AA49" s="868" t="s">
        <v>23</v>
      </c>
      <c r="AB49" s="868" t="s">
        <v>24</v>
      </c>
      <c r="AC49" s="922" t="s">
        <v>352</v>
      </c>
    </row>
    <row r="50" spans="1:29" s="73" customFormat="1" ht="48" thickBot="1" x14ac:dyDescent="0.25">
      <c r="A50" s="876"/>
      <c r="B50" s="869"/>
      <c r="C50" s="869"/>
      <c r="D50" s="869"/>
      <c r="E50" s="869"/>
      <c r="F50" s="869"/>
      <c r="G50" s="872"/>
      <c r="H50" s="869"/>
      <c r="I50" s="869"/>
      <c r="J50" s="869"/>
      <c r="K50" s="869"/>
      <c r="L50" s="923"/>
      <c r="M50" s="944"/>
      <c r="N50" s="505" t="s">
        <v>70</v>
      </c>
      <c r="O50" s="501" t="s">
        <v>67</v>
      </c>
      <c r="P50" s="502" t="s">
        <v>68</v>
      </c>
      <c r="Q50" s="503" t="s">
        <v>84</v>
      </c>
      <c r="R50" s="492" t="s">
        <v>84</v>
      </c>
      <c r="S50" s="492"/>
      <c r="T50" s="492"/>
      <c r="U50" s="492"/>
      <c r="V50" s="492"/>
      <c r="W50" s="492"/>
      <c r="X50" s="492"/>
      <c r="Y50" s="492"/>
      <c r="Z50" s="924"/>
      <c r="AA50" s="924"/>
      <c r="AB50" s="924"/>
      <c r="AC50" s="923"/>
    </row>
    <row r="51" spans="1:29" s="136" customFormat="1" x14ac:dyDescent="0.2">
      <c r="A51" s="493"/>
      <c r="B51" s="225"/>
      <c r="C51" s="225"/>
      <c r="D51" s="225"/>
      <c r="E51" s="225"/>
      <c r="F51" s="225"/>
      <c r="G51" s="120"/>
      <c r="H51" s="225"/>
      <c r="I51" s="263"/>
      <c r="J51" s="263"/>
      <c r="K51" s="263"/>
      <c r="L51" s="265"/>
      <c r="M51" s="270"/>
      <c r="N51" s="268"/>
      <c r="O51" s="120"/>
      <c r="P51" s="121"/>
      <c r="Q51" s="269"/>
      <c r="R51" s="226"/>
      <c r="S51" s="226"/>
      <c r="T51" s="226"/>
      <c r="U51" s="226"/>
      <c r="V51" s="226"/>
      <c r="W51" s="120"/>
      <c r="X51" s="120"/>
      <c r="Y51" s="120"/>
      <c r="Z51" s="227"/>
      <c r="AA51" s="227"/>
      <c r="AB51" s="120"/>
      <c r="AC51" s="121"/>
    </row>
    <row r="52" spans="1:29" s="136" customFormat="1" x14ac:dyDescent="0.2">
      <c r="A52" s="494"/>
      <c r="B52" s="123"/>
      <c r="C52" s="123"/>
      <c r="D52" s="123"/>
      <c r="E52" s="123"/>
      <c r="F52" s="123"/>
      <c r="G52" s="124"/>
      <c r="H52" s="123"/>
      <c r="I52" s="255"/>
      <c r="J52" s="255"/>
      <c r="K52" s="255"/>
      <c r="L52" s="266"/>
      <c r="M52" s="271"/>
      <c r="N52" s="259"/>
      <c r="O52" s="124"/>
      <c r="P52" s="127"/>
      <c r="Q52" s="248"/>
      <c r="R52" s="125"/>
      <c r="S52" s="125"/>
      <c r="T52" s="125"/>
      <c r="U52" s="125"/>
      <c r="V52" s="125"/>
      <c r="W52" s="124"/>
      <c r="X52" s="124"/>
      <c r="Y52" s="124"/>
      <c r="Z52" s="126"/>
      <c r="AA52" s="126"/>
      <c r="AB52" s="124"/>
      <c r="AC52" s="127"/>
    </row>
    <row r="53" spans="1:29" s="136" customFormat="1" x14ac:dyDescent="0.2">
      <c r="A53" s="494"/>
      <c r="B53" s="123"/>
      <c r="C53" s="123"/>
      <c r="D53" s="123"/>
      <c r="E53" s="123"/>
      <c r="F53" s="123"/>
      <c r="G53" s="124"/>
      <c r="H53" s="123"/>
      <c r="I53" s="255"/>
      <c r="J53" s="255"/>
      <c r="K53" s="255"/>
      <c r="L53" s="266"/>
      <c r="M53" s="271"/>
      <c r="N53" s="259"/>
      <c r="O53" s="124"/>
      <c r="P53" s="127"/>
      <c r="Q53" s="248"/>
      <c r="R53" s="125"/>
      <c r="S53" s="125"/>
      <c r="T53" s="125"/>
      <c r="U53" s="125"/>
      <c r="V53" s="125"/>
      <c r="W53" s="124"/>
      <c r="X53" s="124"/>
      <c r="Y53" s="124"/>
      <c r="Z53" s="126"/>
      <c r="AA53" s="126"/>
      <c r="AB53" s="124"/>
      <c r="AC53" s="127"/>
    </row>
    <row r="54" spans="1:29" s="136" customFormat="1" ht="16.5" thickBot="1" x14ac:dyDescent="0.25">
      <c r="A54" s="495"/>
      <c r="B54" s="128"/>
      <c r="C54" s="128"/>
      <c r="D54" s="128"/>
      <c r="E54" s="128"/>
      <c r="F54" s="128"/>
      <c r="G54" s="129"/>
      <c r="H54" s="128"/>
      <c r="I54" s="256"/>
      <c r="J54" s="256"/>
      <c r="K54" s="256"/>
      <c r="L54" s="267"/>
      <c r="M54" s="161"/>
      <c r="N54" s="137"/>
      <c r="O54" s="129"/>
      <c r="P54" s="132"/>
      <c r="Q54" s="137"/>
      <c r="R54" s="129"/>
      <c r="S54" s="129"/>
      <c r="T54" s="129"/>
      <c r="U54" s="129"/>
      <c r="V54" s="129"/>
      <c r="W54" s="129"/>
      <c r="X54" s="129"/>
      <c r="Y54" s="129"/>
      <c r="Z54" s="131"/>
      <c r="AA54" s="131"/>
      <c r="AB54" s="129"/>
      <c r="AC54" s="132"/>
    </row>
    <row r="55" spans="1:29" s="73" customFormat="1" x14ac:dyDescent="0.2">
      <c r="A55" s="133"/>
      <c r="B55" s="133"/>
      <c r="C55" s="133"/>
      <c r="D55" s="133"/>
      <c r="E55" s="133"/>
      <c r="F55" s="133"/>
      <c r="G55" s="118"/>
      <c r="H55" s="118"/>
      <c r="I55" s="118"/>
      <c r="J55" s="118"/>
      <c r="K55" s="118"/>
      <c r="M55" s="118"/>
      <c r="V55" s="118"/>
      <c r="W55" s="118"/>
    </row>
    <row r="56" spans="1:29" s="73" customFormat="1" x14ac:dyDescent="0.2">
      <c r="A56" s="133"/>
      <c r="B56" s="133"/>
      <c r="C56" s="133"/>
      <c r="D56" s="133"/>
      <c r="E56" s="133"/>
      <c r="F56" s="118"/>
      <c r="G56" s="118"/>
      <c r="H56" s="118"/>
      <c r="I56" s="118"/>
      <c r="J56" s="118"/>
      <c r="K56" s="134"/>
      <c r="L56" s="118"/>
      <c r="M56" s="118"/>
      <c r="N56" s="118"/>
      <c r="S56" s="118"/>
      <c r="T56" s="118"/>
      <c r="U56" s="118"/>
    </row>
    <row r="57" spans="1:29" s="456" customFormat="1" ht="16.5" thickBot="1" x14ac:dyDescent="0.25">
      <c r="A57" s="133"/>
      <c r="B57" s="133"/>
      <c r="C57" s="133"/>
      <c r="D57" s="133"/>
      <c r="E57" s="118"/>
      <c r="F57" s="118"/>
      <c r="G57" s="118"/>
      <c r="H57" s="118"/>
      <c r="I57" s="118"/>
      <c r="J57" s="134"/>
      <c r="K57" s="134"/>
      <c r="L57" s="134"/>
      <c r="M57" s="134"/>
      <c r="R57" s="134"/>
    </row>
    <row r="58" spans="1:29" s="456" customFormat="1" ht="19.5" thickBot="1" x14ac:dyDescent="0.25">
      <c r="A58" s="938" t="s">
        <v>29</v>
      </c>
      <c r="B58" s="939"/>
      <c r="C58" s="940"/>
      <c r="D58" s="133"/>
      <c r="E58" s="133"/>
      <c r="F58" s="118"/>
      <c r="G58" s="118"/>
      <c r="H58" s="118"/>
      <c r="I58" s="118"/>
      <c r="J58" s="118"/>
      <c r="K58" s="134"/>
      <c r="L58" s="134"/>
      <c r="M58" s="134"/>
      <c r="N58" s="134"/>
      <c r="S58" s="134"/>
      <c r="T58" s="134"/>
      <c r="U58" s="134"/>
    </row>
    <row r="59" spans="1:29" s="456" customFormat="1" ht="16.5" thickBot="1" x14ac:dyDescent="0.25">
      <c r="A59" s="800" t="s">
        <v>625</v>
      </c>
      <c r="B59" s="801"/>
      <c r="C59" s="802"/>
      <c r="D59" s="133"/>
      <c r="E59" s="133"/>
      <c r="F59" s="133"/>
      <c r="G59" s="118"/>
      <c r="H59" s="118"/>
      <c r="I59" s="118"/>
      <c r="J59" s="118"/>
      <c r="K59" s="118"/>
      <c r="L59" s="134"/>
      <c r="N59" s="134"/>
      <c r="O59" s="134"/>
      <c r="V59" s="134"/>
    </row>
    <row r="60" spans="1:29" s="456" customFormat="1" x14ac:dyDescent="0.2">
      <c r="A60" s="506" t="s">
        <v>30</v>
      </c>
      <c r="B60" s="507"/>
      <c r="C60" s="508" t="s">
        <v>155</v>
      </c>
      <c r="D60" s="509"/>
      <c r="E60" s="509"/>
      <c r="F60" s="510"/>
      <c r="G60" s="510"/>
      <c r="H60" s="509"/>
      <c r="I60" s="510"/>
      <c r="J60" s="509"/>
      <c r="K60" s="143"/>
      <c r="L60" s="144"/>
      <c r="N60" s="134"/>
      <c r="O60" s="134"/>
      <c r="P60" s="134"/>
    </row>
    <row r="61" spans="1:29" s="456" customFormat="1" x14ac:dyDescent="0.2">
      <c r="A61" s="96" t="s">
        <v>626</v>
      </c>
      <c r="B61" s="511"/>
      <c r="C61" s="511"/>
      <c r="D61" s="512"/>
      <c r="E61" s="512"/>
      <c r="F61" s="215"/>
      <c r="G61" s="215"/>
      <c r="H61" s="512"/>
      <c r="I61" s="215"/>
      <c r="J61" s="512"/>
      <c r="K61" s="149"/>
      <c r="L61" s="150"/>
      <c r="N61" s="134"/>
      <c r="O61" s="134"/>
      <c r="P61" s="134"/>
    </row>
    <row r="62" spans="1:29" s="456" customFormat="1" x14ac:dyDescent="0.2">
      <c r="A62" s="96" t="s">
        <v>173</v>
      </c>
      <c r="B62" s="511"/>
      <c r="C62" s="511"/>
      <c r="D62" s="512"/>
      <c r="E62" s="512"/>
      <c r="F62" s="215"/>
      <c r="G62" s="215"/>
      <c r="H62" s="512"/>
      <c r="I62" s="215"/>
      <c r="J62" s="512"/>
      <c r="K62" s="149"/>
      <c r="L62" s="150"/>
      <c r="N62" s="134"/>
      <c r="O62" s="134"/>
      <c r="P62" s="134"/>
    </row>
    <row r="63" spans="1:29" s="456" customFormat="1" x14ac:dyDescent="0.2">
      <c r="A63" s="96" t="s">
        <v>987</v>
      </c>
      <c r="B63" s="511"/>
      <c r="C63" s="511"/>
      <c r="D63" s="512"/>
      <c r="E63" s="512"/>
      <c r="F63" s="215"/>
      <c r="G63" s="215"/>
      <c r="H63" s="512"/>
      <c r="I63" s="215"/>
      <c r="J63" s="512"/>
      <c r="K63" s="149"/>
      <c r="L63" s="150"/>
      <c r="N63" s="134"/>
      <c r="O63" s="134"/>
      <c r="P63" s="134"/>
    </row>
    <row r="64" spans="1:29" s="456" customFormat="1" ht="16.5" thickBot="1" x14ac:dyDescent="0.25">
      <c r="A64" s="110" t="s">
        <v>988</v>
      </c>
      <c r="B64" s="513"/>
      <c r="C64" s="513"/>
      <c r="D64" s="514"/>
      <c r="E64" s="514"/>
      <c r="F64" s="515"/>
      <c r="G64" s="515"/>
      <c r="H64" s="514"/>
      <c r="I64" s="515"/>
      <c r="J64" s="514"/>
      <c r="K64" s="154"/>
      <c r="L64" s="155"/>
      <c r="N64" s="134"/>
      <c r="O64" s="134"/>
      <c r="P64" s="134"/>
    </row>
    <row r="65" spans="1:24" s="456" customFormat="1" ht="16.5" thickBot="1" x14ac:dyDescent="0.25">
      <c r="A65" s="516"/>
      <c r="B65" s="517"/>
      <c r="C65" s="134"/>
      <c r="D65" s="133"/>
      <c r="E65" s="133"/>
      <c r="F65" s="133"/>
      <c r="G65" s="133"/>
      <c r="H65" s="118"/>
      <c r="I65" s="118"/>
      <c r="J65" s="118"/>
      <c r="K65" s="118"/>
      <c r="L65" s="118"/>
      <c r="M65" s="134"/>
      <c r="O65" s="134"/>
      <c r="P65" s="134"/>
      <c r="Q65" s="118"/>
    </row>
    <row r="66" spans="1:24" s="14" customFormat="1" ht="48" thickBot="1" x14ac:dyDescent="0.25">
      <c r="A66" s="518" t="s">
        <v>31</v>
      </c>
      <c r="B66" s="932" t="s">
        <v>628</v>
      </c>
      <c r="C66" s="933"/>
      <c r="D66" s="934"/>
      <c r="E66" s="519" t="s">
        <v>11</v>
      </c>
      <c r="F66" s="519" t="s">
        <v>14</v>
      </c>
      <c r="G66" s="519" t="s">
        <v>287</v>
      </c>
      <c r="H66" s="519" t="s">
        <v>32</v>
      </c>
      <c r="I66" s="519" t="s">
        <v>16</v>
      </c>
      <c r="J66" s="519" t="s">
        <v>17</v>
      </c>
      <c r="K66" s="519" t="s">
        <v>18</v>
      </c>
      <c r="L66" s="519" t="s">
        <v>19</v>
      </c>
      <c r="M66" s="519" t="s">
        <v>20</v>
      </c>
      <c r="N66" s="520" t="s">
        <v>123</v>
      </c>
      <c r="O66" s="519" t="s">
        <v>96</v>
      </c>
      <c r="P66" s="521" t="s">
        <v>809</v>
      </c>
    </row>
    <row r="67" spans="1:24" s="303" customFormat="1" x14ac:dyDescent="0.2">
      <c r="A67" s="269"/>
      <c r="B67" s="925"/>
      <c r="C67" s="926"/>
      <c r="D67" s="926"/>
      <c r="E67" s="226"/>
      <c r="F67" s="226"/>
      <c r="G67" s="226"/>
      <c r="H67" s="226"/>
      <c r="I67" s="226"/>
      <c r="J67" s="273"/>
      <c r="K67" s="263"/>
      <c r="L67" s="263"/>
      <c r="M67" s="306"/>
      <c r="N67" s="49"/>
      <c r="O67" s="226"/>
      <c r="P67" s="274"/>
      <c r="Q67" s="159"/>
      <c r="R67" s="159"/>
      <c r="S67" s="159"/>
      <c r="T67" s="159"/>
      <c r="U67" s="159"/>
      <c r="V67" s="160"/>
      <c r="W67" s="160"/>
      <c r="X67" s="160"/>
    </row>
    <row r="68" spans="1:24" s="303" customFormat="1" x14ac:dyDescent="0.2">
      <c r="A68" s="248"/>
      <c r="B68" s="927"/>
      <c r="C68" s="928"/>
      <c r="D68" s="928"/>
      <c r="E68" s="125"/>
      <c r="F68" s="125"/>
      <c r="G68" s="125"/>
      <c r="H68" s="125"/>
      <c r="I68" s="125"/>
      <c r="J68" s="275"/>
      <c r="K68" s="255"/>
      <c r="L68" s="255"/>
      <c r="M68" s="307"/>
      <c r="N68" s="21"/>
      <c r="O68" s="125"/>
      <c r="P68" s="276"/>
      <c r="Q68" s="159"/>
      <c r="R68" s="159"/>
      <c r="S68" s="159"/>
      <c r="T68" s="159"/>
      <c r="U68" s="159"/>
      <c r="V68" s="160"/>
      <c r="W68" s="160"/>
      <c r="X68" s="160"/>
    </row>
    <row r="69" spans="1:24" s="303" customFormat="1" x14ac:dyDescent="0.2">
      <c r="A69" s="248"/>
      <c r="B69" s="927"/>
      <c r="C69" s="928"/>
      <c r="D69" s="928"/>
      <c r="E69" s="125"/>
      <c r="F69" s="125"/>
      <c r="G69" s="125"/>
      <c r="H69" s="125"/>
      <c r="I69" s="125"/>
      <c r="J69" s="275"/>
      <c r="K69" s="255"/>
      <c r="L69" s="255"/>
      <c r="M69" s="307"/>
      <c r="N69" s="21"/>
      <c r="O69" s="125"/>
      <c r="P69" s="276"/>
      <c r="Q69" s="159"/>
      <c r="R69" s="159"/>
      <c r="S69" s="159"/>
      <c r="T69" s="159"/>
      <c r="U69" s="159"/>
      <c r="V69" s="160"/>
      <c r="W69" s="160"/>
      <c r="X69" s="160"/>
    </row>
    <row r="70" spans="1:24" s="303" customFormat="1" ht="16.5" thickBot="1" x14ac:dyDescent="0.25">
      <c r="A70" s="304"/>
      <c r="B70" s="912"/>
      <c r="C70" s="913"/>
      <c r="D70" s="913"/>
      <c r="E70" s="130"/>
      <c r="F70" s="130"/>
      <c r="G70" s="130"/>
      <c r="H70" s="130"/>
      <c r="I70" s="130"/>
      <c r="J70" s="258"/>
      <c r="K70" s="256"/>
      <c r="L70" s="256"/>
      <c r="M70" s="305"/>
      <c r="N70" s="29"/>
      <c r="O70" s="129"/>
      <c r="P70" s="132"/>
      <c r="Q70" s="159"/>
      <c r="R70" s="159"/>
      <c r="S70" s="159"/>
      <c r="T70" s="159"/>
      <c r="U70" s="159"/>
      <c r="V70" s="160"/>
      <c r="W70" s="160"/>
      <c r="X70" s="160"/>
    </row>
    <row r="71" spans="1:24" s="456" customFormat="1" x14ac:dyDescent="0.2">
      <c r="A71" s="134"/>
      <c r="B71" s="134"/>
      <c r="C71" s="522"/>
      <c r="D71" s="522"/>
      <c r="E71" s="134"/>
      <c r="F71" s="134"/>
      <c r="G71" s="134"/>
      <c r="H71" s="134"/>
      <c r="I71" s="134"/>
      <c r="J71" s="134"/>
      <c r="K71" s="134"/>
      <c r="L71" s="134"/>
      <c r="M71" s="134"/>
      <c r="O71" s="118"/>
      <c r="P71" s="118"/>
      <c r="Q71" s="118"/>
      <c r="R71" s="118"/>
      <c r="S71" s="118"/>
      <c r="T71" s="118"/>
      <c r="U71" s="118"/>
      <c r="V71" s="134"/>
      <c r="W71" s="134"/>
      <c r="X71" s="134"/>
    </row>
    <row r="72" spans="1:24" s="456" customFormat="1" ht="16.5" thickBot="1" x14ac:dyDescent="0.25">
      <c r="A72" s="133"/>
      <c r="B72" s="133"/>
      <c r="C72" s="133"/>
      <c r="D72" s="133"/>
      <c r="E72" s="133"/>
      <c r="F72" s="133"/>
      <c r="G72" s="133"/>
      <c r="H72" s="133"/>
      <c r="I72" s="118"/>
      <c r="J72" s="118"/>
      <c r="K72" s="118"/>
      <c r="L72" s="118"/>
      <c r="M72" s="118"/>
      <c r="N72" s="134"/>
      <c r="O72" s="134"/>
      <c r="P72" s="134"/>
      <c r="Q72" s="134"/>
      <c r="R72" s="134"/>
      <c r="S72" s="134"/>
      <c r="T72" s="134"/>
      <c r="U72" s="134"/>
      <c r="V72" s="134"/>
      <c r="W72" s="118"/>
    </row>
    <row r="73" spans="1:24" s="456" customFormat="1" ht="19.5" thickBot="1" x14ac:dyDescent="0.25">
      <c r="A73" s="938" t="s">
        <v>34</v>
      </c>
      <c r="B73" s="939"/>
      <c r="C73" s="940"/>
      <c r="D73" s="523"/>
      <c r="E73" s="133"/>
      <c r="F73" s="133"/>
      <c r="G73" s="133"/>
      <c r="H73" s="133"/>
      <c r="I73" s="118"/>
      <c r="J73" s="118"/>
      <c r="K73" s="118"/>
      <c r="L73" s="118"/>
      <c r="M73" s="118"/>
      <c r="N73" s="134"/>
      <c r="O73" s="134"/>
      <c r="P73" s="134"/>
      <c r="Q73" s="134"/>
      <c r="R73" s="134"/>
      <c r="S73" s="134"/>
      <c r="T73" s="134"/>
      <c r="U73" s="134"/>
      <c r="V73" s="134"/>
      <c r="W73" s="118"/>
    </row>
    <row r="74" spans="1:24" s="456" customFormat="1" ht="16.5" thickBot="1" x14ac:dyDescent="0.25">
      <c r="A74" s="800" t="s">
        <v>625</v>
      </c>
      <c r="B74" s="801"/>
      <c r="C74" s="802"/>
      <c r="D74" s="200"/>
      <c r="E74" s="200"/>
      <c r="F74" s="200"/>
      <c r="G74" s="200"/>
      <c r="H74" s="194"/>
      <c r="I74" s="194"/>
      <c r="J74" s="200"/>
      <c r="K74" s="194"/>
      <c r="L74" s="200"/>
      <c r="M74" s="118"/>
      <c r="N74" s="134"/>
      <c r="O74" s="134"/>
      <c r="P74" s="134"/>
      <c r="Q74" s="134"/>
      <c r="R74" s="134"/>
      <c r="S74" s="134"/>
      <c r="T74" s="134"/>
      <c r="U74" s="134"/>
      <c r="V74" s="134"/>
      <c r="W74" s="118"/>
    </row>
    <row r="75" spans="1:24" s="456" customFormat="1" x14ac:dyDescent="0.2">
      <c r="A75" s="506" t="s">
        <v>30</v>
      </c>
      <c r="B75" s="470"/>
      <c r="C75" s="508" t="s">
        <v>155</v>
      </c>
      <c r="D75" s="508"/>
      <c r="E75" s="509"/>
      <c r="F75" s="509"/>
      <c r="G75" s="509"/>
      <c r="H75" s="510"/>
      <c r="I75" s="510"/>
      <c r="J75" s="509"/>
      <c r="K75" s="510"/>
      <c r="L75" s="524"/>
      <c r="M75" s="118"/>
      <c r="N75" s="134"/>
      <c r="O75" s="134"/>
      <c r="P75" s="134"/>
      <c r="Q75" s="134"/>
      <c r="R75" s="134"/>
      <c r="S75" s="134"/>
      <c r="T75" s="134"/>
      <c r="U75" s="134"/>
      <c r="V75" s="134"/>
      <c r="W75" s="118"/>
    </row>
    <row r="76" spans="1:24" s="456" customFormat="1" x14ac:dyDescent="0.2">
      <c r="A76" s="96" t="s">
        <v>35</v>
      </c>
      <c r="B76" s="512"/>
      <c r="C76" s="512"/>
      <c r="D76" s="512"/>
      <c r="E76" s="512"/>
      <c r="F76" s="512"/>
      <c r="G76" s="512"/>
      <c r="H76" s="215"/>
      <c r="I76" s="215"/>
      <c r="J76" s="512"/>
      <c r="K76" s="215"/>
      <c r="L76" s="525"/>
      <c r="M76" s="118"/>
      <c r="N76" s="134"/>
      <c r="O76" s="134"/>
      <c r="P76" s="134"/>
      <c r="Q76" s="134"/>
      <c r="R76" s="134"/>
      <c r="S76" s="134"/>
      <c r="T76" s="134"/>
      <c r="U76" s="134"/>
      <c r="V76" s="134"/>
      <c r="W76" s="118"/>
    </row>
    <row r="77" spans="1:24" s="456" customFormat="1" x14ac:dyDescent="0.2">
      <c r="A77" s="96" t="s">
        <v>174</v>
      </c>
      <c r="B77" s="512"/>
      <c r="C77" s="512"/>
      <c r="D77" s="512"/>
      <c r="E77" s="512"/>
      <c r="F77" s="512"/>
      <c r="G77" s="512"/>
      <c r="H77" s="215"/>
      <c r="I77" s="215"/>
      <c r="J77" s="512"/>
      <c r="K77" s="215"/>
      <c r="L77" s="525"/>
      <c r="M77" s="118"/>
      <c r="N77" s="134"/>
      <c r="O77" s="134"/>
      <c r="P77" s="134"/>
      <c r="Q77" s="134"/>
      <c r="R77" s="134"/>
      <c r="S77" s="134"/>
      <c r="T77" s="134"/>
      <c r="U77" s="134"/>
      <c r="V77" s="134"/>
      <c r="W77" s="118"/>
    </row>
    <row r="78" spans="1:24" s="456" customFormat="1" x14ac:dyDescent="0.2">
      <c r="A78" s="96" t="s">
        <v>987</v>
      </c>
      <c r="B78" s="512"/>
      <c r="C78" s="512"/>
      <c r="D78" s="512"/>
      <c r="E78" s="512"/>
      <c r="F78" s="512"/>
      <c r="G78" s="512"/>
      <c r="H78" s="215"/>
      <c r="I78" s="215"/>
      <c r="J78" s="512"/>
      <c r="K78" s="215"/>
      <c r="L78" s="525"/>
      <c r="M78" s="118"/>
      <c r="N78" s="134"/>
      <c r="O78" s="134"/>
      <c r="P78" s="134"/>
      <c r="Q78" s="134"/>
      <c r="R78" s="134"/>
      <c r="S78" s="134"/>
      <c r="T78" s="134"/>
      <c r="U78" s="134"/>
      <c r="V78" s="134"/>
      <c r="W78" s="118"/>
    </row>
    <row r="79" spans="1:24" s="456" customFormat="1" ht="16.5" thickBot="1" x14ac:dyDescent="0.25">
      <c r="A79" s="110" t="s">
        <v>988</v>
      </c>
      <c r="B79" s="514"/>
      <c r="C79" s="514"/>
      <c r="D79" s="514"/>
      <c r="E79" s="514"/>
      <c r="F79" s="514"/>
      <c r="G79" s="514"/>
      <c r="H79" s="515"/>
      <c r="I79" s="515"/>
      <c r="J79" s="514"/>
      <c r="K79" s="515"/>
      <c r="L79" s="526"/>
      <c r="M79" s="118"/>
      <c r="N79" s="134"/>
      <c r="O79" s="134"/>
      <c r="P79" s="134"/>
      <c r="Q79" s="134"/>
      <c r="R79" s="134"/>
      <c r="S79" s="134"/>
      <c r="T79" s="134"/>
      <c r="U79" s="134"/>
      <c r="V79" s="134"/>
      <c r="W79" s="118"/>
    </row>
    <row r="80" spans="1:24" s="456" customFormat="1" ht="16.5" thickBot="1" x14ac:dyDescent="0.25">
      <c r="A80" s="527"/>
      <c r="E80" s="200"/>
      <c r="F80" s="200"/>
      <c r="G80" s="200"/>
      <c r="H80" s="194"/>
      <c r="I80" s="517"/>
      <c r="J80" s="200"/>
      <c r="K80" s="194"/>
      <c r="L80" s="200"/>
      <c r="M80" s="118"/>
      <c r="N80" s="134"/>
      <c r="O80" s="134"/>
      <c r="P80" s="134"/>
      <c r="Q80" s="134"/>
      <c r="R80" s="118"/>
      <c r="V80" s="528"/>
      <c r="W80" s="528"/>
    </row>
    <row r="81" spans="1:23" s="14" customFormat="1" ht="32.25" thickBot="1" x14ac:dyDescent="0.25">
      <c r="A81" s="518" t="s">
        <v>31</v>
      </c>
      <c r="B81" s="932" t="s">
        <v>13</v>
      </c>
      <c r="C81" s="933"/>
      <c r="D81" s="934"/>
      <c r="E81" s="519" t="s">
        <v>12</v>
      </c>
      <c r="F81" s="519" t="s">
        <v>14</v>
      </c>
      <c r="G81" s="519" t="s">
        <v>276</v>
      </c>
      <c r="H81" s="519" t="s">
        <v>32</v>
      </c>
      <c r="I81" s="519" t="s">
        <v>16</v>
      </c>
      <c r="J81" s="519" t="s">
        <v>17</v>
      </c>
      <c r="K81" s="519" t="s">
        <v>18</v>
      </c>
      <c r="L81" s="519" t="s">
        <v>19</v>
      </c>
      <c r="M81" s="519" t="s">
        <v>20</v>
      </c>
      <c r="N81" s="520" t="s">
        <v>123</v>
      </c>
      <c r="O81" s="519" t="s">
        <v>94</v>
      </c>
      <c r="P81" s="521" t="s">
        <v>807</v>
      </c>
      <c r="W81" s="13"/>
    </row>
    <row r="82" spans="1:23" s="303" customFormat="1" x14ac:dyDescent="0.2">
      <c r="A82" s="269"/>
      <c r="B82" s="925"/>
      <c r="C82" s="926"/>
      <c r="D82" s="926"/>
      <c r="E82" s="226"/>
      <c r="F82" s="226"/>
      <c r="G82" s="226"/>
      <c r="H82" s="226"/>
      <c r="I82" s="226"/>
      <c r="J82" s="263"/>
      <c r="K82" s="263"/>
      <c r="L82" s="263"/>
      <c r="M82" s="263"/>
      <c r="N82" s="49"/>
      <c r="O82" s="226"/>
      <c r="P82" s="274"/>
      <c r="Q82" s="160"/>
      <c r="R82" s="160"/>
      <c r="S82" s="160"/>
      <c r="T82" s="160"/>
      <c r="U82" s="160"/>
      <c r="V82" s="160"/>
      <c r="W82" s="159"/>
    </row>
    <row r="83" spans="1:23" s="303" customFormat="1" x14ac:dyDescent="0.2">
      <c r="A83" s="248"/>
      <c r="B83" s="927"/>
      <c r="C83" s="928"/>
      <c r="D83" s="928"/>
      <c r="E83" s="125"/>
      <c r="F83" s="125"/>
      <c r="G83" s="125"/>
      <c r="H83" s="125"/>
      <c r="I83" s="125"/>
      <c r="J83" s="255"/>
      <c r="K83" s="255"/>
      <c r="L83" s="255"/>
      <c r="M83" s="255"/>
      <c r="N83" s="21"/>
      <c r="O83" s="125"/>
      <c r="P83" s="276"/>
      <c r="Q83" s="160"/>
      <c r="R83" s="160"/>
      <c r="S83" s="160"/>
      <c r="T83" s="160"/>
      <c r="U83" s="160"/>
      <c r="V83" s="160"/>
      <c r="W83" s="159"/>
    </row>
    <row r="84" spans="1:23" s="303" customFormat="1" x14ac:dyDescent="0.2">
      <c r="A84" s="248"/>
      <c r="B84" s="927"/>
      <c r="C84" s="928"/>
      <c r="D84" s="928"/>
      <c r="E84" s="125"/>
      <c r="F84" s="125"/>
      <c r="G84" s="125"/>
      <c r="H84" s="125"/>
      <c r="I84" s="125"/>
      <c r="J84" s="255"/>
      <c r="K84" s="255"/>
      <c r="L84" s="255"/>
      <c r="M84" s="255"/>
      <c r="N84" s="21"/>
      <c r="O84" s="125"/>
      <c r="P84" s="276"/>
      <c r="Q84" s="160"/>
      <c r="R84" s="160"/>
      <c r="S84" s="160"/>
      <c r="T84" s="160"/>
      <c r="U84" s="160"/>
      <c r="V84" s="160"/>
      <c r="W84" s="159"/>
    </row>
    <row r="85" spans="1:23" s="303" customFormat="1" ht="16.5" thickBot="1" x14ac:dyDescent="0.25">
      <c r="A85" s="304"/>
      <c r="B85" s="912"/>
      <c r="C85" s="913"/>
      <c r="D85" s="913"/>
      <c r="E85" s="130"/>
      <c r="F85" s="130"/>
      <c r="G85" s="130"/>
      <c r="H85" s="130"/>
      <c r="I85" s="130"/>
      <c r="J85" s="256"/>
      <c r="K85" s="256"/>
      <c r="L85" s="256"/>
      <c r="M85" s="256"/>
      <c r="N85" s="29"/>
      <c r="O85" s="129"/>
      <c r="P85" s="132"/>
      <c r="Q85" s="160"/>
      <c r="R85" s="160"/>
      <c r="S85" s="160"/>
      <c r="T85" s="160"/>
      <c r="U85" s="160"/>
      <c r="V85" s="160"/>
      <c r="W85" s="159"/>
    </row>
    <row r="86" spans="1:23" s="456" customFormat="1" ht="16.5" thickBot="1" x14ac:dyDescent="0.25">
      <c r="A86" s="133"/>
      <c r="B86" s="133"/>
      <c r="C86" s="133"/>
      <c r="D86" s="133"/>
      <c r="E86" s="133"/>
      <c r="F86" s="133"/>
      <c r="G86" s="133"/>
      <c r="H86" s="118"/>
      <c r="I86" s="118"/>
      <c r="J86" s="118"/>
      <c r="K86" s="118"/>
      <c r="L86" s="118"/>
      <c r="M86" s="134"/>
      <c r="N86" s="134"/>
      <c r="O86" s="134"/>
      <c r="P86" s="134"/>
      <c r="Q86" s="134"/>
      <c r="R86" s="134"/>
      <c r="S86" s="134"/>
      <c r="T86" s="134"/>
      <c r="U86" s="134"/>
      <c r="V86" s="118"/>
    </row>
    <row r="87" spans="1:23" s="73" customFormat="1" ht="16.5" thickBot="1" x14ac:dyDescent="0.25">
      <c r="A87" s="822" t="s">
        <v>36</v>
      </c>
      <c r="B87" s="823"/>
      <c r="C87" s="823"/>
      <c r="D87" s="823"/>
      <c r="E87" s="823"/>
      <c r="F87" s="823"/>
      <c r="G87" s="823"/>
      <c r="H87" s="823"/>
      <c r="I87" s="824"/>
      <c r="J87" s="169"/>
      <c r="K87" s="118"/>
      <c r="L87" s="134"/>
      <c r="M87" s="134"/>
      <c r="N87" s="134"/>
      <c r="O87" s="134"/>
      <c r="P87" s="134"/>
      <c r="Q87" s="134"/>
      <c r="R87" s="134"/>
      <c r="S87" s="118"/>
      <c r="T87" s="118"/>
      <c r="U87" s="118"/>
    </row>
    <row r="88" spans="1:23" s="73" customFormat="1" ht="16.5" thickBot="1" x14ac:dyDescent="0.25">
      <c r="A88" s="935" t="s">
        <v>37</v>
      </c>
      <c r="B88" s="936"/>
      <c r="C88" s="936"/>
      <c r="D88" s="936"/>
      <c r="E88" s="936"/>
      <c r="F88" s="936"/>
      <c r="G88" s="936"/>
      <c r="H88" s="936"/>
      <c r="I88" s="937"/>
      <c r="J88" s="170"/>
      <c r="K88" s="118"/>
      <c r="L88" s="134"/>
      <c r="M88" s="134"/>
      <c r="N88" s="134"/>
      <c r="O88" s="134"/>
      <c r="P88" s="134"/>
      <c r="Q88" s="134"/>
      <c r="R88" s="134"/>
      <c r="S88" s="118"/>
      <c r="T88" s="118"/>
      <c r="U88" s="118"/>
    </row>
    <row r="89" spans="1:23" s="308" customFormat="1" ht="15.75" customHeight="1" thickBot="1" x14ac:dyDescent="0.25">
      <c r="A89" s="665" t="s">
        <v>296</v>
      </c>
      <c r="B89" s="909" t="s">
        <v>1129</v>
      </c>
      <c r="C89" s="910"/>
      <c r="D89" s="910"/>
      <c r="E89" s="910"/>
      <c r="F89" s="910"/>
      <c r="G89" s="910"/>
      <c r="H89" s="910"/>
      <c r="I89" s="911"/>
      <c r="J89" s="171"/>
      <c r="K89" s="172"/>
      <c r="L89" s="173"/>
      <c r="M89" s="173"/>
      <c r="N89" s="173"/>
      <c r="O89" s="173"/>
      <c r="P89" s="173"/>
      <c r="Q89" s="173"/>
      <c r="R89" s="173"/>
      <c r="S89" s="172"/>
      <c r="T89" s="172"/>
      <c r="U89" s="172"/>
    </row>
    <row r="90" spans="1:23" s="73" customFormat="1" ht="16.5" thickBot="1" x14ac:dyDescent="0.25">
      <c r="A90" s="196"/>
      <c r="B90" s="169"/>
      <c r="C90" s="169"/>
      <c r="D90" s="169"/>
      <c r="E90" s="169"/>
      <c r="F90" s="176"/>
      <c r="G90" s="176"/>
      <c r="H90" s="176"/>
      <c r="I90" s="176"/>
      <c r="J90" s="176"/>
      <c r="K90" s="118"/>
      <c r="L90" s="134"/>
      <c r="M90" s="134"/>
      <c r="N90" s="134"/>
      <c r="O90" s="134"/>
      <c r="P90" s="134"/>
      <c r="Q90" s="118"/>
    </row>
    <row r="91" spans="1:23" s="73" customFormat="1" ht="16.5" customHeight="1" thickBot="1" x14ac:dyDescent="0.25">
      <c r="A91" s="917" t="s">
        <v>214</v>
      </c>
      <c r="B91" s="918"/>
      <c r="C91" s="918"/>
      <c r="D91" s="918"/>
      <c r="E91" s="918"/>
      <c r="F91" s="918"/>
      <c r="G91" s="918"/>
      <c r="H91" s="930" t="s">
        <v>226</v>
      </c>
      <c r="I91" s="786" t="s">
        <v>627</v>
      </c>
      <c r="J91" s="786" t="s">
        <v>215</v>
      </c>
      <c r="K91" s="786" t="s">
        <v>23</v>
      </c>
      <c r="L91" s="786" t="s">
        <v>302</v>
      </c>
      <c r="M91" s="788" t="s">
        <v>83</v>
      </c>
      <c r="N91" s="134"/>
      <c r="O91" s="118"/>
      <c r="P91" s="456"/>
      <c r="Q91" s="528"/>
      <c r="R91" s="528"/>
    </row>
    <row r="92" spans="1:23" s="446" customFormat="1" ht="16.5" thickBot="1" x14ac:dyDescent="0.25">
      <c r="A92" s="919" t="s">
        <v>887</v>
      </c>
      <c r="B92" s="920"/>
      <c r="C92" s="920"/>
      <c r="D92" s="920"/>
      <c r="E92" s="920"/>
      <c r="F92" s="920"/>
      <c r="G92" s="921"/>
      <c r="H92" s="931"/>
      <c r="I92" s="908"/>
      <c r="J92" s="908"/>
      <c r="K92" s="908"/>
      <c r="L92" s="908"/>
      <c r="M92" s="929"/>
      <c r="N92" s="177"/>
      <c r="O92" s="177"/>
      <c r="P92" s="177"/>
      <c r="Q92" s="177"/>
      <c r="R92" s="177"/>
    </row>
    <row r="93" spans="1:23" s="446" customFormat="1" ht="15.75" customHeight="1" thickBot="1" x14ac:dyDescent="0.25">
      <c r="A93" s="914" t="s">
        <v>353</v>
      </c>
      <c r="B93" s="915"/>
      <c r="C93" s="915"/>
      <c r="D93" s="915"/>
      <c r="E93" s="915"/>
      <c r="F93" s="915"/>
      <c r="G93" s="916"/>
      <c r="H93" s="931"/>
      <c r="I93" s="908"/>
      <c r="J93" s="908"/>
      <c r="K93" s="908"/>
      <c r="L93" s="908"/>
      <c r="M93" s="929"/>
      <c r="N93" s="177"/>
      <c r="O93" s="177"/>
      <c r="P93" s="177"/>
      <c r="Q93" s="177"/>
      <c r="R93" s="177"/>
    </row>
    <row r="94" spans="1:23" s="136" customFormat="1" ht="15.75" customHeight="1" x14ac:dyDescent="0.2">
      <c r="A94" s="178" t="s">
        <v>234</v>
      </c>
      <c r="B94" s="942" t="str">
        <f>IF($A94="","",VLOOKUP($A94,Listes!$A$3:$C$193,2,FALSE))</f>
        <v>Bunker Adjustment Factor</v>
      </c>
      <c r="C94" s="942"/>
      <c r="D94" s="942"/>
      <c r="E94" s="941" t="s">
        <v>51</v>
      </c>
      <c r="F94" s="941"/>
      <c r="G94" s="941"/>
      <c r="H94" s="614"/>
      <c r="I94" s="529"/>
      <c r="J94" s="529"/>
      <c r="K94" s="529"/>
      <c r="L94" s="529"/>
      <c r="M94" s="530"/>
      <c r="N94" s="160"/>
      <c r="O94" s="160"/>
      <c r="P94" s="160"/>
      <c r="Q94" s="160"/>
      <c r="R94" s="159"/>
    </row>
    <row r="95" spans="1:23" s="136" customFormat="1" ht="15.75" customHeight="1" x14ac:dyDescent="0.2">
      <c r="A95" s="182" t="s">
        <v>557</v>
      </c>
      <c r="B95" s="813" t="str">
        <f>IF($A95="","",VLOOKUP($A95,Listes!$A$3:$C$193,2,FALSE))</f>
        <v>Cargo Facility Charge</v>
      </c>
      <c r="C95" s="813"/>
      <c r="D95" s="813"/>
      <c r="E95" s="814" t="s">
        <v>51</v>
      </c>
      <c r="F95" s="814"/>
      <c r="G95" s="814"/>
      <c r="H95" s="612"/>
      <c r="I95" s="531"/>
      <c r="J95" s="531"/>
      <c r="K95" s="531"/>
      <c r="L95" s="531"/>
      <c r="M95" s="532"/>
      <c r="N95" s="160"/>
      <c r="O95" s="160"/>
      <c r="P95" s="160"/>
      <c r="Q95" s="160"/>
      <c r="R95" s="159"/>
    </row>
    <row r="96" spans="1:23" s="136" customFormat="1" ht="15.75" customHeight="1" x14ac:dyDescent="0.2">
      <c r="A96" s="182" t="s">
        <v>1337</v>
      </c>
      <c r="B96" s="813" t="str">
        <f>IF($A96="","",VLOOKUP($A96,Listes!$A$3:$C$193,2,FALSE))</f>
        <v>Container Cleaning Surcharge Origin</v>
      </c>
      <c r="C96" s="813"/>
      <c r="D96" s="813"/>
      <c r="E96" s="814" t="s">
        <v>51</v>
      </c>
      <c r="F96" s="814"/>
      <c r="G96" s="814"/>
      <c r="H96" s="612"/>
      <c r="I96" s="531"/>
      <c r="J96" s="531"/>
      <c r="K96" s="531"/>
      <c r="L96" s="531"/>
      <c r="M96" s="532"/>
      <c r="N96" s="160"/>
      <c r="O96" s="160"/>
      <c r="P96" s="160"/>
      <c r="Q96" s="160"/>
      <c r="R96" s="159"/>
    </row>
    <row r="97" spans="1:18" s="136" customFormat="1" ht="15.75" customHeight="1" x14ac:dyDescent="0.2">
      <c r="A97" s="182" t="s">
        <v>1105</v>
      </c>
      <c r="B97" s="813" t="str">
        <f>IF($A97="","",VLOOKUP($A97,Listes!$A$3:$C$193,2,FALSE))</f>
        <v>Chassis Administration Fee On-Carriage</v>
      </c>
      <c r="C97" s="813"/>
      <c r="D97" s="813"/>
      <c r="E97" s="814" t="s">
        <v>51</v>
      </c>
      <c r="F97" s="814"/>
      <c r="G97" s="814"/>
      <c r="H97" s="647"/>
      <c r="I97" s="531"/>
      <c r="J97" s="531"/>
      <c r="K97" s="531"/>
      <c r="L97" s="531"/>
      <c r="M97" s="532"/>
      <c r="N97" s="160"/>
      <c r="O97" s="160"/>
      <c r="P97" s="160"/>
      <c r="Q97" s="160"/>
      <c r="R97" s="159"/>
    </row>
    <row r="98" spans="1:18" s="136" customFormat="1" ht="15.75" customHeight="1" x14ac:dyDescent="0.2">
      <c r="A98" s="182" t="s">
        <v>551</v>
      </c>
      <c r="B98" s="813" t="str">
        <f>IF($A98="","",VLOOKUP($A98,Listes!$A$3:$C$193,2,FALSE))</f>
        <v>Chassis Provision Charge</v>
      </c>
      <c r="C98" s="813"/>
      <c r="D98" s="813"/>
      <c r="E98" s="814" t="s">
        <v>51</v>
      </c>
      <c r="F98" s="814"/>
      <c r="G98" s="814"/>
      <c r="H98" s="612"/>
      <c r="I98" s="531"/>
      <c r="J98" s="531"/>
      <c r="K98" s="531"/>
      <c r="L98" s="531"/>
      <c r="M98" s="532"/>
      <c r="N98" s="160"/>
      <c r="O98" s="160"/>
      <c r="P98" s="160"/>
      <c r="Q98" s="160"/>
      <c r="R98" s="159"/>
    </row>
    <row r="99" spans="1:18" s="136" customFormat="1" ht="15.75" customHeight="1" x14ac:dyDescent="0.2">
      <c r="A99" s="182" t="s">
        <v>263</v>
      </c>
      <c r="B99" s="813" t="str">
        <f>IF($A99="","",VLOOKUP($A99,Listes!$A$3:$C$193,2,FALSE))</f>
        <v>Carrier Security Charge</v>
      </c>
      <c r="C99" s="813"/>
      <c r="D99" s="813"/>
      <c r="E99" s="814" t="s">
        <v>51</v>
      </c>
      <c r="F99" s="814"/>
      <c r="G99" s="814"/>
      <c r="H99" s="625"/>
      <c r="I99" s="531"/>
      <c r="J99" s="531"/>
      <c r="K99" s="531"/>
      <c r="L99" s="531"/>
      <c r="M99" s="532"/>
      <c r="N99" s="160"/>
      <c r="O99" s="160"/>
      <c r="P99" s="160"/>
      <c r="Q99" s="160"/>
      <c r="R99" s="159"/>
    </row>
    <row r="100" spans="1:18" s="136" customFormat="1" ht="15.75" customHeight="1" x14ac:dyDescent="0.2">
      <c r="A100" s="182" t="s">
        <v>1262</v>
      </c>
      <c r="B100" s="813" t="str">
        <f>IF($A100="","",VLOOKUP($A100,Listes!$A$3:$C$193,2,FALSE))</f>
        <v>Container Maintenance Charge Destination</v>
      </c>
      <c r="C100" s="813"/>
      <c r="D100" s="813"/>
      <c r="E100" s="814" t="s">
        <v>51</v>
      </c>
      <c r="F100" s="814"/>
      <c r="G100" s="814"/>
      <c r="H100" s="647"/>
      <c r="I100" s="531"/>
      <c r="J100" s="531"/>
      <c r="K100" s="531"/>
      <c r="L100" s="531"/>
      <c r="M100" s="532"/>
      <c r="N100" s="160"/>
      <c r="O100" s="160"/>
      <c r="P100" s="160"/>
      <c r="Q100" s="160"/>
      <c r="R100" s="159"/>
    </row>
    <row r="101" spans="1:18" s="136" customFormat="1" ht="15.75" customHeight="1" x14ac:dyDescent="0.2">
      <c r="A101" s="182" t="s">
        <v>997</v>
      </c>
      <c r="B101" s="813" t="str">
        <f>IF($A101="","",VLOOKUP($A101,Listes!$A$3:$C$193,2,FALSE))</f>
        <v>Custom clearance origin</v>
      </c>
      <c r="C101" s="813"/>
      <c r="D101" s="813"/>
      <c r="E101" s="814" t="s">
        <v>51</v>
      </c>
      <c r="F101" s="814"/>
      <c r="G101" s="814"/>
      <c r="H101" s="612"/>
      <c r="I101" s="531"/>
      <c r="J101" s="531"/>
      <c r="K101" s="531"/>
      <c r="L101" s="531"/>
      <c r="M101" s="532"/>
      <c r="N101" s="160"/>
      <c r="O101" s="160"/>
      <c r="P101" s="160"/>
      <c r="Q101" s="160"/>
      <c r="R101" s="159"/>
    </row>
    <row r="102" spans="1:18" s="136" customFormat="1" ht="15.75" customHeight="1" x14ac:dyDescent="0.2">
      <c r="A102" s="182" t="s">
        <v>230</v>
      </c>
      <c r="B102" s="813" t="str">
        <f>IF($A102="","",VLOOKUP($A102,Listes!$A$3:$C$193,2,FALSE))</f>
        <v>Destination THC / Destination Receiving Charge</v>
      </c>
      <c r="C102" s="813"/>
      <c r="D102" s="813"/>
      <c r="E102" s="814" t="s">
        <v>53</v>
      </c>
      <c r="F102" s="814"/>
      <c r="G102" s="814"/>
      <c r="H102" s="612"/>
      <c r="I102" s="531"/>
      <c r="J102" s="531"/>
      <c r="K102" s="531"/>
      <c r="L102" s="531"/>
      <c r="M102" s="532"/>
      <c r="N102" s="160"/>
      <c r="O102" s="160"/>
      <c r="P102" s="160"/>
      <c r="Q102" s="160"/>
      <c r="R102" s="159"/>
    </row>
    <row r="103" spans="1:18" s="136" customFormat="1" ht="15.75" customHeight="1" x14ac:dyDescent="0.2">
      <c r="A103" s="182" t="s">
        <v>1081</v>
      </c>
      <c r="B103" s="813" t="str">
        <f>IF($A103="","",VLOOKUP($A103,Listes!$A$3:$C$193,2,FALSE))</f>
        <v>Equipment Imbalance Surcharge at Origin</v>
      </c>
      <c r="C103" s="813"/>
      <c r="D103" s="813"/>
      <c r="E103" s="814" t="s">
        <v>53</v>
      </c>
      <c r="F103" s="814"/>
      <c r="G103" s="814"/>
      <c r="H103" s="631"/>
      <c r="I103" s="531"/>
      <c r="J103" s="531"/>
      <c r="K103" s="531"/>
      <c r="L103" s="531"/>
      <c r="M103" s="532"/>
      <c r="N103" s="160"/>
      <c r="O103" s="160"/>
      <c r="P103" s="160"/>
      <c r="Q103" s="160"/>
      <c r="R103" s="159"/>
    </row>
    <row r="104" spans="1:18" s="136" customFormat="1" ht="15.75" customHeight="1" x14ac:dyDescent="0.2">
      <c r="A104" s="182" t="s">
        <v>1082</v>
      </c>
      <c r="B104" s="813" t="str">
        <f>IF($A104="","",VLOOKUP($A104,Listes!$A$3:$C$193,2,FALSE))</f>
        <v>Equipment Imbalance Surcharge at Destination</v>
      </c>
      <c r="C104" s="813"/>
      <c r="D104" s="813"/>
      <c r="E104" s="814" t="s">
        <v>53</v>
      </c>
      <c r="F104" s="814"/>
      <c r="G104" s="814"/>
      <c r="H104" s="646"/>
      <c r="I104" s="531"/>
      <c r="J104" s="531"/>
      <c r="K104" s="531"/>
      <c r="L104" s="531"/>
      <c r="M104" s="532"/>
      <c r="N104" s="160"/>
      <c r="O104" s="160"/>
      <c r="P104" s="160"/>
      <c r="Q104" s="160"/>
      <c r="R104" s="159"/>
    </row>
    <row r="105" spans="1:18" s="136" customFormat="1" ht="15.75" customHeight="1" x14ac:dyDescent="0.2">
      <c r="A105" s="182" t="s">
        <v>874</v>
      </c>
      <c r="B105" s="813" t="str">
        <f>IF($A105="","",VLOOKUP($A105,Listes!$A$3:$C$193,2,FALSE))</f>
        <v>Export Documentation Fees - Carrier</v>
      </c>
      <c r="C105" s="813"/>
      <c r="D105" s="813"/>
      <c r="E105" s="814" t="s">
        <v>51</v>
      </c>
      <c r="F105" s="814"/>
      <c r="G105" s="814"/>
      <c r="H105" s="612"/>
      <c r="I105" s="531"/>
      <c r="J105" s="531"/>
      <c r="K105" s="531"/>
      <c r="L105" s="531"/>
      <c r="M105" s="532"/>
      <c r="N105" s="160"/>
      <c r="O105" s="160"/>
      <c r="P105" s="160"/>
      <c r="Q105" s="160"/>
      <c r="R105" s="159"/>
    </row>
    <row r="106" spans="1:18" s="136" customFormat="1" ht="15.75" customHeight="1" x14ac:dyDescent="0.2">
      <c r="A106" s="182" t="s">
        <v>854</v>
      </c>
      <c r="B106" s="813" t="str">
        <f>IF($A106="","",VLOOKUP($A106,Listes!$A$3:$C$193,2,FALSE))</f>
        <v>Export Declaration Surcharge</v>
      </c>
      <c r="C106" s="813"/>
      <c r="D106" s="813"/>
      <c r="E106" s="814" t="s">
        <v>51</v>
      </c>
      <c r="F106" s="814"/>
      <c r="G106" s="814"/>
      <c r="H106" s="612"/>
      <c r="I106" s="531"/>
      <c r="J106" s="531"/>
      <c r="K106" s="531"/>
      <c r="L106" s="531"/>
      <c r="M106" s="532"/>
      <c r="N106" s="160"/>
      <c r="O106" s="160"/>
      <c r="P106" s="160"/>
      <c r="Q106" s="160"/>
      <c r="R106" s="159"/>
    </row>
    <row r="107" spans="1:18" s="136" customFormat="1" ht="15.75" customHeight="1" x14ac:dyDescent="0.2">
      <c r="A107" s="182" t="s">
        <v>1320</v>
      </c>
      <c r="B107" s="813" t="str">
        <f>IF($A107="","",VLOOKUP($A107,Listes!$A$3:$C$193,2,FALSE))</f>
        <v>Export Seal Fee</v>
      </c>
      <c r="C107" s="813"/>
      <c r="D107" s="813"/>
      <c r="E107" s="814" t="s">
        <v>51</v>
      </c>
      <c r="F107" s="814"/>
      <c r="G107" s="814"/>
      <c r="H107" s="686"/>
      <c r="I107" s="531"/>
      <c r="J107" s="531"/>
      <c r="K107" s="531"/>
      <c r="L107" s="531"/>
      <c r="M107" s="532"/>
      <c r="N107" s="160"/>
      <c r="O107" s="160"/>
      <c r="P107" s="160"/>
      <c r="Q107" s="160"/>
      <c r="R107" s="159"/>
    </row>
    <row r="108" spans="1:18" s="136" customFormat="1" ht="15.75" customHeight="1" x14ac:dyDescent="0.2">
      <c r="A108" s="182" t="s">
        <v>194</v>
      </c>
      <c r="B108" s="813" t="str">
        <f>IF($A108="","",VLOOKUP($A108,Listes!$A$3:$C$193,2,FALSE))</f>
        <v>Extra Container Handling Charge Origin</v>
      </c>
      <c r="C108" s="813"/>
      <c r="D108" s="813"/>
      <c r="E108" s="814" t="s">
        <v>51</v>
      </c>
      <c r="F108" s="814"/>
      <c r="G108" s="814"/>
      <c r="H108" s="612"/>
      <c r="I108" s="531"/>
      <c r="J108" s="531"/>
      <c r="K108" s="531"/>
      <c r="L108" s="531"/>
      <c r="M108" s="532"/>
      <c r="N108" s="160"/>
      <c r="O108" s="160"/>
      <c r="P108" s="160"/>
      <c r="Q108" s="160"/>
      <c r="R108" s="159"/>
    </row>
    <row r="109" spans="1:18" s="136" customFormat="1" ht="15.75" customHeight="1" x14ac:dyDescent="0.2">
      <c r="A109" s="182" t="s">
        <v>293</v>
      </c>
      <c r="B109" s="813" t="str">
        <f>IF($A109="","",VLOOKUP($A109,Listes!$A$3:$C$193,2,FALSE))</f>
        <v>Forwarding Agent Commission</v>
      </c>
      <c r="C109" s="813"/>
      <c r="D109" s="813"/>
      <c r="E109" s="814" t="s">
        <v>53</v>
      </c>
      <c r="F109" s="814"/>
      <c r="G109" s="814"/>
      <c r="H109" s="612"/>
      <c r="I109" s="531"/>
      <c r="J109" s="531"/>
      <c r="K109" s="531"/>
      <c r="L109" s="531"/>
      <c r="M109" s="532"/>
      <c r="N109" s="160"/>
      <c r="O109" s="160"/>
      <c r="P109" s="160"/>
      <c r="Q109" s="160"/>
      <c r="R109" s="159"/>
    </row>
    <row r="110" spans="1:18" s="136" customFormat="1" ht="15.75" customHeight="1" x14ac:dyDescent="0.2">
      <c r="A110" s="182" t="s">
        <v>82</v>
      </c>
      <c r="B110" s="813" t="str">
        <f>IF($A110="","",VLOOKUP($A110,Listes!$A$3:$C$193,2,FALSE))</f>
        <v>General Rate Increase</v>
      </c>
      <c r="C110" s="813"/>
      <c r="D110" s="813"/>
      <c r="E110" s="814" t="s">
        <v>51</v>
      </c>
      <c r="F110" s="814"/>
      <c r="G110" s="814"/>
      <c r="H110" s="612"/>
      <c r="I110" s="531"/>
      <c r="J110" s="531"/>
      <c r="K110" s="531"/>
      <c r="L110" s="531"/>
      <c r="M110" s="532"/>
      <c r="N110" s="160"/>
      <c r="O110" s="160"/>
      <c r="P110" s="160"/>
      <c r="Q110" s="160"/>
      <c r="R110" s="159"/>
    </row>
    <row r="111" spans="1:18" s="136" customFormat="1" ht="15.75" customHeight="1" x14ac:dyDescent="0.2">
      <c r="A111" s="182" t="s">
        <v>260</v>
      </c>
      <c r="B111" s="927" t="str">
        <f>IF($A111="","",VLOOKUP($A111,Listes!$A$3:$C$193,2,FALSE))</f>
        <v>Hazardous Fees (Ocean)</v>
      </c>
      <c r="C111" s="927"/>
      <c r="D111" s="927"/>
      <c r="E111" s="976" t="s">
        <v>51</v>
      </c>
      <c r="F111" s="976"/>
      <c r="G111" s="976"/>
      <c r="H111" s="612"/>
      <c r="I111" s="531"/>
      <c r="J111" s="531"/>
      <c r="K111" s="531"/>
      <c r="L111" s="531"/>
      <c r="M111" s="532"/>
      <c r="N111" s="160"/>
      <c r="O111" s="160"/>
      <c r="P111" s="160"/>
      <c r="Q111" s="160"/>
      <c r="R111" s="159"/>
    </row>
    <row r="112" spans="1:18" s="136" customFormat="1" ht="15.75" customHeight="1" x14ac:dyDescent="0.2">
      <c r="A112" s="182" t="s">
        <v>898</v>
      </c>
      <c r="B112" s="813" t="str">
        <f>IF($A112="","",VLOOKUP($A112,Listes!$A$3:$C$193,2,FALSE))</f>
        <v>Oncarriage Additional Intermodal Door Delivery Surcharge</v>
      </c>
      <c r="C112" s="813"/>
      <c r="D112" s="813"/>
      <c r="E112" s="814" t="s">
        <v>53</v>
      </c>
      <c r="F112" s="814"/>
      <c r="G112" s="814"/>
      <c r="H112" s="612"/>
      <c r="I112" s="531"/>
      <c r="J112" s="531"/>
      <c r="K112" s="531"/>
      <c r="L112" s="531"/>
      <c r="M112" s="532"/>
      <c r="N112" s="160"/>
      <c r="O112" s="160"/>
      <c r="P112" s="160"/>
      <c r="Q112" s="160"/>
      <c r="R112" s="159"/>
    </row>
    <row r="113" spans="1:18" s="136" customFormat="1" ht="15.75" customHeight="1" x14ac:dyDescent="0.2">
      <c r="A113" s="376" t="s">
        <v>94</v>
      </c>
      <c r="B113" s="813" t="str">
        <f>IF($A113="","",VLOOKUP($A113,Listes!$A$3:$C$193,2,FALSE))</f>
        <v>Oncarriage Inland Fuel Charge</v>
      </c>
      <c r="C113" s="813"/>
      <c r="D113" s="813"/>
      <c r="E113" s="814" t="s">
        <v>51</v>
      </c>
      <c r="F113" s="814"/>
      <c r="G113" s="814"/>
      <c r="H113" s="612"/>
      <c r="I113" s="531"/>
      <c r="J113" s="531"/>
      <c r="K113" s="531"/>
      <c r="L113" s="531"/>
      <c r="M113" s="532"/>
      <c r="N113" s="160"/>
      <c r="O113" s="160"/>
      <c r="P113" s="160"/>
      <c r="Q113" s="160"/>
      <c r="R113" s="159"/>
    </row>
    <row r="114" spans="1:18" s="136" customFormat="1" ht="15.75" customHeight="1" x14ac:dyDescent="0.2">
      <c r="A114" s="182" t="s">
        <v>1290</v>
      </c>
      <c r="B114" s="813" t="str">
        <f>IF($A114="","",VLOOKUP($A114,Listes!$A$3:$C$193,2,FALSE))</f>
        <v>Local Port Charge Destination Sanitary Fee</v>
      </c>
      <c r="C114" s="813"/>
      <c r="D114" s="813"/>
      <c r="E114" s="814" t="s">
        <v>51</v>
      </c>
      <c r="F114" s="814"/>
      <c r="G114" s="814"/>
      <c r="H114" s="675"/>
      <c r="I114" s="531"/>
      <c r="J114" s="531"/>
      <c r="K114" s="531"/>
      <c r="L114" s="531"/>
      <c r="M114" s="532"/>
      <c r="N114" s="160"/>
      <c r="O114" s="160"/>
      <c r="P114" s="160"/>
      <c r="Q114" s="160"/>
      <c r="R114" s="159"/>
    </row>
    <row r="115" spans="1:18" s="136" customFormat="1" ht="15.75" customHeight="1" x14ac:dyDescent="0.2">
      <c r="A115" s="182" t="s">
        <v>1292</v>
      </c>
      <c r="B115" s="813" t="str">
        <f>IF($A115="","",VLOOKUP($A115,Listes!$A$3:$C$193,2,FALSE))</f>
        <v>Local Port Charge Origin Sanitary Fee</v>
      </c>
      <c r="C115" s="813"/>
      <c r="D115" s="813"/>
      <c r="E115" s="814" t="s">
        <v>51</v>
      </c>
      <c r="F115" s="814"/>
      <c r="G115" s="814"/>
      <c r="H115" s="675"/>
      <c r="I115" s="531"/>
      <c r="J115" s="531"/>
      <c r="K115" s="531"/>
      <c r="L115" s="531"/>
      <c r="M115" s="532"/>
      <c r="N115" s="160"/>
      <c r="O115" s="160"/>
      <c r="P115" s="160"/>
      <c r="Q115" s="160"/>
      <c r="R115" s="159"/>
    </row>
    <row r="116" spans="1:18" s="136" customFormat="1" ht="15.75" customHeight="1" x14ac:dyDescent="0.2">
      <c r="A116" s="182" t="s">
        <v>199</v>
      </c>
      <c r="B116" s="813" t="str">
        <f>IF($A116="","",VLOOKUP($A116,Listes!$A$3:$C$193,2,FALSE))</f>
        <v>Low Sulfur Surcharge</v>
      </c>
      <c r="C116" s="813"/>
      <c r="D116" s="813"/>
      <c r="E116" s="814" t="s">
        <v>53</v>
      </c>
      <c r="F116" s="814"/>
      <c r="G116" s="814"/>
      <c r="H116" s="612"/>
      <c r="I116" s="531"/>
      <c r="J116" s="531"/>
      <c r="K116" s="531"/>
      <c r="L116" s="531"/>
      <c r="M116" s="532"/>
      <c r="N116" s="160"/>
      <c r="O116" s="160"/>
      <c r="P116" s="160"/>
      <c r="Q116" s="160"/>
      <c r="R116" s="159"/>
    </row>
    <row r="117" spans="1:18" s="136" customFormat="1" ht="15.75" customHeight="1" x14ac:dyDescent="0.2">
      <c r="A117" s="182" t="s">
        <v>1124</v>
      </c>
      <c r="B117" s="813" t="str">
        <f>IF($A117="","",VLOOKUP($A117,Listes!$A$3:$C$193,2,FALSE))</f>
        <v>Low Sulfur Surcharge IMO2020</v>
      </c>
      <c r="C117" s="813"/>
      <c r="D117" s="813"/>
      <c r="E117" s="814" t="s">
        <v>53</v>
      </c>
      <c r="F117" s="814"/>
      <c r="G117" s="814"/>
      <c r="H117" s="667"/>
      <c r="I117" s="531"/>
      <c r="J117" s="531"/>
      <c r="K117" s="531"/>
      <c r="L117" s="531"/>
      <c r="M117" s="532"/>
      <c r="N117" s="160"/>
      <c r="O117" s="160"/>
      <c r="P117" s="160"/>
      <c r="Q117" s="160"/>
      <c r="R117" s="159"/>
    </row>
    <row r="118" spans="1:18" s="136" customFormat="1" x14ac:dyDescent="0.2">
      <c r="A118" s="182" t="s">
        <v>1059</v>
      </c>
      <c r="B118" s="813" t="str">
        <f>IF($A118="","",VLOOKUP($A118,Listes!$A$3:$C$193,2,FALSE))</f>
        <v>On-Carriage Emergency Inland Fuel Surcharge</v>
      </c>
      <c r="C118" s="813"/>
      <c r="D118" s="813"/>
      <c r="E118" s="814" t="s">
        <v>51</v>
      </c>
      <c r="F118" s="814"/>
      <c r="G118" s="814"/>
      <c r="H118" s="645"/>
      <c r="I118" s="531"/>
      <c r="J118" s="531"/>
      <c r="K118" s="531"/>
      <c r="L118" s="531"/>
      <c r="M118" s="532"/>
      <c r="N118" s="160"/>
      <c r="O118" s="160"/>
      <c r="P118" s="160"/>
      <c r="Q118" s="160"/>
      <c r="R118" s="159"/>
    </row>
    <row r="119" spans="1:18" s="136" customFormat="1" ht="31.5" x14ac:dyDescent="0.2">
      <c r="A119" s="182" t="s">
        <v>1088</v>
      </c>
      <c r="B119" s="813" t="str">
        <f>IF($A119="","",VLOOKUP($A119,Listes!$A$3:$C$193,2,FALSE))</f>
        <v>On-Carriage Emergency Intermodal Surcharge</v>
      </c>
      <c r="C119" s="813"/>
      <c r="D119" s="813"/>
      <c r="E119" s="814" t="s">
        <v>51</v>
      </c>
      <c r="F119" s="814"/>
      <c r="G119" s="814"/>
      <c r="H119" s="647"/>
      <c r="I119" s="531"/>
      <c r="J119" s="531"/>
      <c r="K119" s="531"/>
      <c r="L119" s="531"/>
      <c r="M119" s="532"/>
      <c r="N119" s="160"/>
      <c r="O119" s="160"/>
      <c r="P119" s="160"/>
      <c r="Q119" s="160"/>
      <c r="R119" s="159"/>
    </row>
    <row r="120" spans="1:18" s="136" customFormat="1" ht="15.75" customHeight="1" x14ac:dyDescent="0.2">
      <c r="A120" s="182" t="s">
        <v>497</v>
      </c>
      <c r="B120" s="813" t="str">
        <f>IF($A120="","",VLOOKUP($A120,Listes!$A$3:$C$193,2,FALSE))</f>
        <v>Inland Hazardous Charge Oncarriage</v>
      </c>
      <c r="C120" s="813"/>
      <c r="D120" s="813"/>
      <c r="E120" s="814" t="s">
        <v>51</v>
      </c>
      <c r="F120" s="814"/>
      <c r="G120" s="814"/>
      <c r="H120" s="612"/>
      <c r="I120" s="531"/>
      <c r="J120" s="531"/>
      <c r="K120" s="531"/>
      <c r="L120" s="531"/>
      <c r="M120" s="532"/>
      <c r="N120" s="160"/>
      <c r="O120" s="160"/>
      <c r="P120" s="160"/>
      <c r="Q120" s="160"/>
      <c r="R120" s="159"/>
    </row>
    <row r="121" spans="1:18" s="136" customFormat="1" x14ac:dyDescent="0.2">
      <c r="A121" s="182" t="s">
        <v>89</v>
      </c>
      <c r="B121" s="813" t="str">
        <f>IF($A121="","",VLOOKUP($A121,Listes!$A$3:$C$193,2,FALSE))</f>
        <v>Origin THC / Origin Receiving Charge</v>
      </c>
      <c r="C121" s="813"/>
      <c r="D121" s="813"/>
      <c r="E121" s="814" t="s">
        <v>51</v>
      </c>
      <c r="F121" s="814"/>
      <c r="G121" s="814"/>
      <c r="H121" s="612"/>
      <c r="I121" s="531"/>
      <c r="J121" s="531"/>
      <c r="K121" s="531"/>
      <c r="L121" s="531"/>
      <c r="M121" s="532"/>
      <c r="N121" s="160"/>
      <c r="O121" s="160"/>
      <c r="P121" s="160"/>
      <c r="Q121" s="160"/>
      <c r="R121" s="159"/>
    </row>
    <row r="122" spans="1:18" s="136" customFormat="1" ht="15.75" customHeight="1" x14ac:dyDescent="0.2">
      <c r="A122" s="182" t="s">
        <v>894</v>
      </c>
      <c r="B122" s="813" t="str">
        <f>IF($A122="","",VLOOKUP($A122,Listes!$A$3:$C$193,2,FALSE))</f>
        <v>Overweight Freight Additional Surcharge</v>
      </c>
      <c r="C122" s="813"/>
      <c r="D122" s="813"/>
      <c r="E122" s="814" t="s">
        <v>53</v>
      </c>
      <c r="F122" s="814"/>
      <c r="G122" s="814"/>
      <c r="H122" s="612"/>
      <c r="I122" s="531"/>
      <c r="J122" s="531"/>
      <c r="K122" s="531"/>
      <c r="L122" s="531"/>
      <c r="M122" s="532"/>
      <c r="N122" s="160"/>
      <c r="O122" s="160"/>
      <c r="P122" s="160"/>
      <c r="Q122" s="160"/>
      <c r="R122" s="159"/>
    </row>
    <row r="123" spans="1:18" s="136" customFormat="1" ht="15.75" customHeight="1" x14ac:dyDescent="0.2">
      <c r="A123" s="182" t="s">
        <v>500</v>
      </c>
      <c r="B123" s="813" t="str">
        <f>IF($A123="","",VLOOKUP($A123,Listes!$A$3:$C$193,2,FALSE))</f>
        <v>Inland Hazardous Charge Precarriage</v>
      </c>
      <c r="C123" s="813"/>
      <c r="D123" s="813"/>
      <c r="E123" s="814" t="s">
        <v>51</v>
      </c>
      <c r="F123" s="814"/>
      <c r="G123" s="814"/>
      <c r="H123" s="612"/>
      <c r="I123" s="531"/>
      <c r="J123" s="531"/>
      <c r="K123" s="531"/>
      <c r="L123" s="531"/>
      <c r="M123" s="532"/>
      <c r="N123" s="160"/>
      <c r="O123" s="160"/>
      <c r="P123" s="160"/>
      <c r="Q123" s="160"/>
      <c r="R123" s="159"/>
    </row>
    <row r="124" spans="1:18" s="136" customFormat="1" ht="15.75" customHeight="1" x14ac:dyDescent="0.2">
      <c r="A124" s="182" t="s">
        <v>91</v>
      </c>
      <c r="B124" s="927" t="str">
        <f>IF($A124="","",VLOOKUP($A124,Listes!$A$3:$C$193,2,FALSE))</f>
        <v>Turkey (Primage)</v>
      </c>
      <c r="C124" s="927"/>
      <c r="D124" s="927"/>
      <c r="E124" s="976" t="s">
        <v>51</v>
      </c>
      <c r="F124" s="976"/>
      <c r="G124" s="976"/>
      <c r="H124" s="612"/>
      <c r="I124" s="531"/>
      <c r="J124" s="531"/>
      <c r="K124" s="531"/>
      <c r="L124" s="531"/>
      <c r="M124" s="532"/>
      <c r="N124" s="160"/>
      <c r="O124" s="160"/>
      <c r="P124" s="160"/>
      <c r="Q124" s="160"/>
      <c r="R124" s="159"/>
    </row>
    <row r="125" spans="1:18" s="136" customFormat="1" ht="15.75" customHeight="1" x14ac:dyDescent="0.2">
      <c r="A125" s="182" t="s">
        <v>278</v>
      </c>
      <c r="B125" s="813" t="str">
        <f>IF($A125="","",VLOOKUP($A125,Listes!$A$3:$C$193,2,FALSE))</f>
        <v>Destination Terminal Security Charge</v>
      </c>
      <c r="C125" s="813"/>
      <c r="D125" s="813"/>
      <c r="E125" s="814" t="s">
        <v>51</v>
      </c>
      <c r="F125" s="814"/>
      <c r="G125" s="814"/>
      <c r="H125" s="612"/>
      <c r="I125" s="531"/>
      <c r="J125" s="531"/>
      <c r="K125" s="531"/>
      <c r="L125" s="531"/>
      <c r="M125" s="532"/>
      <c r="N125" s="160"/>
      <c r="O125" s="160"/>
      <c r="P125" s="160"/>
      <c r="Q125" s="160"/>
      <c r="R125" s="159"/>
    </row>
    <row r="126" spans="1:18" s="136" customFormat="1" ht="15.75" customHeight="1" x14ac:dyDescent="0.2">
      <c r="A126" s="376" t="s">
        <v>277</v>
      </c>
      <c r="B126" s="813" t="str">
        <f>IF($A126="","",VLOOKUP($A126,Listes!$A$3:$C$193,2,FALSE))</f>
        <v>Origin Terminal Security Charge</v>
      </c>
      <c r="C126" s="813"/>
      <c r="D126" s="813"/>
      <c r="E126" s="814" t="s">
        <v>51</v>
      </c>
      <c r="F126" s="814"/>
      <c r="G126" s="814"/>
      <c r="H126" s="612"/>
      <c r="I126" s="531"/>
      <c r="J126" s="531"/>
      <c r="K126" s="531"/>
      <c r="L126" s="531"/>
      <c r="M126" s="532"/>
      <c r="N126" s="160"/>
      <c r="O126" s="160"/>
      <c r="P126" s="160"/>
      <c r="Q126" s="160"/>
      <c r="R126" s="159"/>
    </row>
    <row r="127" spans="1:18" s="136" customFormat="1" ht="31.5" x14ac:dyDescent="0.2">
      <c r="A127" s="182" t="s">
        <v>367</v>
      </c>
      <c r="B127" s="813" t="str">
        <f>IF($A127="","",VLOOKUP($A127,Listes!$A$3:$C$193,2,FALSE))</f>
        <v>Tri-Axle / Super Chassis Oncarriage Surcharge</v>
      </c>
      <c r="C127" s="813"/>
      <c r="D127" s="813"/>
      <c r="E127" s="814" t="s">
        <v>51</v>
      </c>
      <c r="F127" s="814"/>
      <c r="G127" s="814"/>
      <c r="H127" s="612"/>
      <c r="I127" s="531"/>
      <c r="J127" s="531"/>
      <c r="K127" s="531"/>
      <c r="L127" s="531"/>
      <c r="M127" s="532"/>
      <c r="N127" s="160"/>
      <c r="O127" s="160"/>
      <c r="P127" s="160"/>
      <c r="Q127" s="160"/>
      <c r="R127" s="159"/>
    </row>
    <row r="128" spans="1:18" s="136" customFormat="1" ht="16.5" thickBot="1" x14ac:dyDescent="0.25">
      <c r="A128" s="185" t="s">
        <v>742</v>
      </c>
      <c r="B128" s="812" t="str">
        <f>IF($A128="","",VLOOKUP($A128,Listes!$A$3:$C$193,2,FALSE))</f>
        <v>Wharfage (Destination)</v>
      </c>
      <c r="C128" s="812"/>
      <c r="D128" s="812"/>
      <c r="E128" s="815" t="s">
        <v>51</v>
      </c>
      <c r="F128" s="815"/>
      <c r="G128" s="815"/>
      <c r="H128" s="613"/>
      <c r="I128" s="533"/>
      <c r="J128" s="533"/>
      <c r="K128" s="533"/>
      <c r="L128" s="533"/>
      <c r="M128" s="534"/>
      <c r="N128" s="160"/>
      <c r="O128" s="160"/>
      <c r="P128" s="160"/>
      <c r="Q128" s="160"/>
      <c r="R128" s="159"/>
    </row>
    <row r="129" spans="1:23" s="73" customFormat="1" ht="16.5" thickBot="1" x14ac:dyDescent="0.25">
      <c r="A129" s="850" t="s">
        <v>216</v>
      </c>
      <c r="B129" s="851"/>
      <c r="C129" s="851"/>
      <c r="D129" s="851"/>
      <c r="E129" s="852"/>
      <c r="F129" s="852"/>
      <c r="G129" s="852"/>
      <c r="H129" s="852"/>
      <c r="I129" s="853"/>
      <c r="J129" s="169"/>
      <c r="K129" s="118"/>
      <c r="L129" s="134"/>
      <c r="M129" s="134"/>
      <c r="N129" s="134"/>
      <c r="O129" s="134"/>
      <c r="P129" s="134"/>
      <c r="Q129" s="118"/>
    </row>
    <row r="130" spans="1:23" s="73" customFormat="1" ht="16.5" thickBot="1" x14ac:dyDescent="0.25">
      <c r="A130" s="849" t="s">
        <v>597</v>
      </c>
      <c r="B130" s="833"/>
      <c r="C130" s="833"/>
      <c r="D130" s="833"/>
      <c r="E130" s="833"/>
      <c r="F130" s="833"/>
      <c r="G130" s="833"/>
      <c r="H130" s="833"/>
      <c r="I130" s="834"/>
      <c r="J130" s="169"/>
      <c r="K130" s="134"/>
      <c r="L130" s="134"/>
      <c r="M130" s="134"/>
      <c r="N130" s="134"/>
      <c r="O130" s="118"/>
    </row>
    <row r="131" spans="1:23" s="73" customFormat="1" ht="16.5" thickBot="1" x14ac:dyDescent="0.25">
      <c r="A131" s="187"/>
      <c r="B131" s="187"/>
      <c r="C131" s="188"/>
      <c r="D131" s="189"/>
      <c r="E131" s="170"/>
      <c r="F131" s="170"/>
      <c r="G131" s="170"/>
      <c r="H131" s="170"/>
      <c r="I131" s="170"/>
      <c r="J131" s="189"/>
      <c r="K131" s="169"/>
      <c r="L131" s="118"/>
      <c r="M131" s="134"/>
      <c r="N131" s="134"/>
      <c r="O131" s="134"/>
      <c r="P131" s="134"/>
      <c r="Q131" s="134"/>
      <c r="R131" s="118"/>
    </row>
    <row r="132" spans="1:23" s="73" customFormat="1" ht="15.6" customHeight="1" x14ac:dyDescent="0.2">
      <c r="A132" s="830" t="s">
        <v>523</v>
      </c>
      <c r="B132" s="831"/>
      <c r="C132" s="831"/>
      <c r="D132" s="831"/>
      <c r="E132" s="842" t="s">
        <v>288</v>
      </c>
      <c r="F132" s="842">
        <v>20</v>
      </c>
      <c r="G132" s="842">
        <v>40</v>
      </c>
      <c r="H132" s="842" t="s">
        <v>19</v>
      </c>
      <c r="I132" s="842" t="s">
        <v>20</v>
      </c>
      <c r="J132" s="848" t="s">
        <v>297</v>
      </c>
      <c r="K132" s="848" t="s">
        <v>33</v>
      </c>
      <c r="L132" s="846" t="s">
        <v>217</v>
      </c>
      <c r="M132" s="189"/>
      <c r="N132" s="134"/>
      <c r="O132" s="134"/>
      <c r="P132" s="134"/>
      <c r="Q132" s="134"/>
      <c r="R132" s="134"/>
      <c r="S132" s="134"/>
      <c r="T132" s="134"/>
      <c r="U132" s="134"/>
    </row>
    <row r="133" spans="1:23" s="73" customFormat="1" x14ac:dyDescent="0.2">
      <c r="A133" s="537" t="s">
        <v>218</v>
      </c>
      <c r="B133" s="538" t="s">
        <v>11</v>
      </c>
      <c r="C133" s="538" t="s">
        <v>12</v>
      </c>
      <c r="D133" s="538" t="s">
        <v>219</v>
      </c>
      <c r="E133" s="843"/>
      <c r="F133" s="843"/>
      <c r="G133" s="843"/>
      <c r="H133" s="843"/>
      <c r="I133" s="843"/>
      <c r="J133" s="843"/>
      <c r="K133" s="843"/>
      <c r="L133" s="847"/>
      <c r="M133" s="189"/>
      <c r="N133" s="134"/>
      <c r="O133" s="134"/>
      <c r="P133" s="134"/>
      <c r="Q133" s="134"/>
      <c r="R133" s="134"/>
      <c r="S133" s="134"/>
      <c r="T133" s="134"/>
      <c r="U133" s="134"/>
    </row>
    <row r="134" spans="1:23" s="136" customFormat="1" x14ac:dyDescent="0.2">
      <c r="A134" s="539"/>
      <c r="B134" s="540"/>
      <c r="C134" s="540"/>
      <c r="D134" s="540"/>
      <c r="E134" s="540"/>
      <c r="F134" s="255"/>
      <c r="G134" s="255"/>
      <c r="H134" s="255"/>
      <c r="I134" s="255"/>
      <c r="J134" s="540"/>
      <c r="K134" s="21"/>
      <c r="L134" s="541"/>
      <c r="M134" s="190"/>
      <c r="N134" s="160"/>
      <c r="O134" s="160"/>
      <c r="P134" s="160"/>
      <c r="Q134" s="160"/>
      <c r="R134" s="160"/>
      <c r="S134" s="160"/>
      <c r="T134" s="160"/>
      <c r="U134" s="160"/>
    </row>
    <row r="135" spans="1:23" s="136" customFormat="1" x14ac:dyDescent="0.2">
      <c r="A135" s="542"/>
      <c r="B135" s="540"/>
      <c r="C135" s="540"/>
      <c r="D135" s="540"/>
      <c r="E135" s="540"/>
      <c r="F135" s="255"/>
      <c r="G135" s="255"/>
      <c r="H135" s="255"/>
      <c r="I135" s="255"/>
      <c r="J135" s="24"/>
      <c r="K135" s="21"/>
      <c r="L135" s="25"/>
      <c r="M135" s="191"/>
      <c r="N135" s="160"/>
      <c r="O135" s="160"/>
      <c r="P135" s="160"/>
      <c r="Q135" s="160"/>
      <c r="R135" s="160"/>
      <c r="S135" s="160"/>
      <c r="T135" s="160"/>
      <c r="U135" s="160"/>
    </row>
    <row r="136" spans="1:23" s="136" customFormat="1" x14ac:dyDescent="0.2">
      <c r="A136" s="542"/>
      <c r="B136" s="540"/>
      <c r="C136" s="540"/>
      <c r="D136" s="540"/>
      <c r="E136" s="540"/>
      <c r="F136" s="255"/>
      <c r="G136" s="255"/>
      <c r="H136" s="255"/>
      <c r="I136" s="255"/>
      <c r="J136" s="24"/>
      <c r="K136" s="21"/>
      <c r="L136" s="25"/>
      <c r="M136" s="191"/>
      <c r="N136" s="160"/>
      <c r="O136" s="160"/>
      <c r="P136" s="160"/>
      <c r="Q136" s="160"/>
      <c r="R136" s="160"/>
      <c r="S136" s="160"/>
      <c r="T136" s="160"/>
      <c r="U136" s="160"/>
    </row>
    <row r="137" spans="1:23" s="136" customFormat="1" ht="16.5" thickBot="1" x14ac:dyDescent="0.25">
      <c r="A137" s="543"/>
      <c r="B137" s="544"/>
      <c r="C137" s="544"/>
      <c r="D137" s="544"/>
      <c r="E137" s="544"/>
      <c r="F137" s="256"/>
      <c r="G137" s="256"/>
      <c r="H137" s="256"/>
      <c r="I137" s="256"/>
      <c r="J137" s="28"/>
      <c r="K137" s="29"/>
      <c r="L137" s="30"/>
      <c r="M137" s="191"/>
      <c r="N137" s="160"/>
      <c r="O137" s="160"/>
      <c r="P137" s="160"/>
      <c r="Q137" s="160"/>
      <c r="R137" s="160"/>
      <c r="S137" s="160"/>
      <c r="T137" s="160"/>
      <c r="U137" s="160"/>
    </row>
    <row r="138" spans="1:23" s="136" customFormat="1" x14ac:dyDescent="0.2">
      <c r="A138" s="173"/>
      <c r="B138" s="545"/>
      <c r="C138" s="545"/>
      <c r="D138" s="545"/>
      <c r="E138" s="545"/>
      <c r="F138" s="545"/>
      <c r="G138" s="545"/>
      <c r="H138" s="545"/>
      <c r="I138" s="545"/>
      <c r="J138" s="33"/>
      <c r="K138" s="33"/>
      <c r="L138" s="34"/>
      <c r="M138" s="191"/>
      <c r="N138" s="160"/>
      <c r="O138" s="160"/>
      <c r="P138" s="160"/>
      <c r="Q138" s="160"/>
      <c r="R138" s="160"/>
      <c r="S138" s="160"/>
      <c r="T138" s="160"/>
      <c r="U138" s="160"/>
    </row>
    <row r="139" spans="1:23" s="73" customFormat="1" ht="15.6" customHeight="1" x14ac:dyDescent="0.2">
      <c r="A139" s="841" t="s">
        <v>596</v>
      </c>
      <c r="B139" s="840"/>
      <c r="C139" s="840"/>
      <c r="D139" s="840"/>
      <c r="E139" s="840" t="s">
        <v>288</v>
      </c>
      <c r="F139" s="840">
        <v>20</v>
      </c>
      <c r="G139" s="840">
        <v>40</v>
      </c>
      <c r="H139" s="840" t="s">
        <v>19</v>
      </c>
      <c r="I139" s="840" t="s">
        <v>20</v>
      </c>
      <c r="J139" s="845" t="s">
        <v>297</v>
      </c>
      <c r="K139" s="845" t="s">
        <v>33</v>
      </c>
      <c r="L139" s="844" t="s">
        <v>217</v>
      </c>
      <c r="M139" s="844" t="s">
        <v>23</v>
      </c>
      <c r="N139" s="169"/>
      <c r="O139" s="118"/>
      <c r="P139" s="134"/>
      <c r="Q139" s="134"/>
      <c r="R139" s="134"/>
      <c r="S139" s="134"/>
      <c r="T139" s="134"/>
      <c r="U139" s="134"/>
      <c r="V139" s="134"/>
      <c r="W139" s="134"/>
    </row>
    <row r="140" spans="1:23" s="73" customFormat="1" x14ac:dyDescent="0.2">
      <c r="A140" s="546" t="s">
        <v>218</v>
      </c>
      <c r="B140" s="546" t="s">
        <v>11</v>
      </c>
      <c r="C140" s="546" t="s">
        <v>12</v>
      </c>
      <c r="D140" s="546" t="s">
        <v>219</v>
      </c>
      <c r="E140" s="840"/>
      <c r="F140" s="840"/>
      <c r="G140" s="840"/>
      <c r="H140" s="840"/>
      <c r="I140" s="840"/>
      <c r="J140" s="840"/>
      <c r="K140" s="840"/>
      <c r="L140" s="844"/>
      <c r="M140" s="844"/>
      <c r="N140" s="169"/>
      <c r="O140" s="118"/>
      <c r="P140" s="134"/>
      <c r="Q140" s="134"/>
      <c r="R140" s="134"/>
      <c r="S140" s="134"/>
      <c r="T140" s="134"/>
      <c r="U140" s="134"/>
      <c r="V140" s="134"/>
      <c r="W140" s="134"/>
    </row>
    <row r="141" spans="1:23" s="136" customFormat="1" x14ac:dyDescent="0.2">
      <c r="A141" s="372"/>
      <c r="B141" s="547"/>
      <c r="C141" s="547"/>
      <c r="D141" s="547"/>
      <c r="E141" s="547"/>
      <c r="F141" s="368"/>
      <c r="G141" s="368"/>
      <c r="H141" s="368"/>
      <c r="I141" s="368"/>
      <c r="J141" s="369"/>
      <c r="K141" s="370"/>
      <c r="L141" s="548"/>
      <c r="M141" s="548"/>
      <c r="N141" s="192"/>
      <c r="O141" s="159"/>
      <c r="P141" s="160"/>
      <c r="Q141" s="160"/>
      <c r="R141" s="160"/>
      <c r="S141" s="160"/>
      <c r="T141" s="160"/>
      <c r="U141" s="160"/>
      <c r="V141" s="160"/>
      <c r="W141" s="160"/>
    </row>
    <row r="142" spans="1:23" s="136" customFormat="1" x14ac:dyDescent="0.2">
      <c r="A142" s="372"/>
      <c r="B142" s="547"/>
      <c r="C142" s="547"/>
      <c r="D142" s="547"/>
      <c r="E142" s="547"/>
      <c r="F142" s="368"/>
      <c r="G142" s="368"/>
      <c r="H142" s="368"/>
      <c r="I142" s="368"/>
      <c r="J142" s="369"/>
      <c r="K142" s="370"/>
      <c r="L142" s="548"/>
      <c r="M142" s="548"/>
      <c r="N142" s="192"/>
      <c r="O142" s="159"/>
      <c r="P142" s="160"/>
      <c r="Q142" s="160"/>
      <c r="R142" s="160"/>
      <c r="S142" s="160"/>
      <c r="T142" s="160"/>
      <c r="U142" s="160"/>
      <c r="V142" s="160"/>
      <c r="W142" s="160"/>
    </row>
    <row r="143" spans="1:23" s="136" customFormat="1" x14ac:dyDescent="0.2">
      <c r="A143" s="372"/>
      <c r="B143" s="547"/>
      <c r="C143" s="547"/>
      <c r="D143" s="547"/>
      <c r="E143" s="547"/>
      <c r="F143" s="368"/>
      <c r="G143" s="368"/>
      <c r="H143" s="368"/>
      <c r="I143" s="368"/>
      <c r="J143" s="369"/>
      <c r="K143" s="370"/>
      <c r="L143" s="548"/>
      <c r="M143" s="548"/>
      <c r="N143" s="192"/>
      <c r="O143" s="159"/>
      <c r="P143" s="160"/>
      <c r="Q143" s="160"/>
      <c r="R143" s="160"/>
      <c r="S143" s="160"/>
      <c r="T143" s="160"/>
      <c r="U143" s="160"/>
      <c r="V143" s="160"/>
      <c r="W143" s="160"/>
    </row>
    <row r="144" spans="1:23" s="136" customFormat="1" x14ac:dyDescent="0.2">
      <c r="A144" s="372"/>
      <c r="B144" s="547"/>
      <c r="C144" s="547"/>
      <c r="D144" s="547"/>
      <c r="E144" s="547"/>
      <c r="F144" s="368"/>
      <c r="G144" s="368"/>
      <c r="H144" s="368"/>
      <c r="I144" s="368"/>
      <c r="J144" s="369"/>
      <c r="K144" s="370"/>
      <c r="L144" s="373"/>
      <c r="M144" s="373"/>
      <c r="N144" s="191"/>
      <c r="O144" s="159"/>
      <c r="P144" s="160"/>
      <c r="Q144" s="160"/>
      <c r="R144" s="160"/>
      <c r="S144" s="160"/>
      <c r="T144" s="160"/>
      <c r="U144" s="160"/>
      <c r="V144" s="160"/>
      <c r="W144" s="160"/>
    </row>
    <row r="145" spans="1:21" s="73" customFormat="1" x14ac:dyDescent="0.2">
      <c r="A145" s="456"/>
      <c r="B145" s="549"/>
      <c r="C145" s="549"/>
      <c r="D145" s="549"/>
      <c r="E145" s="549"/>
      <c r="F145" s="194"/>
      <c r="G145" s="522"/>
      <c r="H145" s="195"/>
      <c r="I145" s="195"/>
      <c r="J145" s="176"/>
      <c r="K145" s="118"/>
      <c r="L145" s="134"/>
      <c r="M145" s="134"/>
      <c r="N145" s="134"/>
      <c r="O145" s="134"/>
      <c r="P145" s="134"/>
      <c r="Q145" s="134"/>
    </row>
    <row r="146" spans="1:21" s="456" customFormat="1" ht="16.5" thickBot="1" x14ac:dyDescent="0.25">
      <c r="A146" s="196"/>
      <c r="B146" s="197"/>
      <c r="C146" s="198"/>
      <c r="D146" s="198"/>
      <c r="E146" s="169"/>
      <c r="F146" s="176"/>
      <c r="G146" s="176"/>
      <c r="H146" s="176"/>
      <c r="I146" s="176"/>
      <c r="J146" s="170"/>
      <c r="K146" s="118"/>
      <c r="L146" s="134"/>
      <c r="M146" s="134"/>
      <c r="N146" s="134"/>
      <c r="O146" s="134"/>
      <c r="P146" s="134"/>
      <c r="Q146" s="134"/>
      <c r="R146" s="134"/>
      <c r="S146" s="118"/>
      <c r="T146" s="118"/>
      <c r="U146" s="118"/>
    </row>
    <row r="147" spans="1:21" s="456" customFormat="1" ht="16.5" thickBot="1" x14ac:dyDescent="0.25">
      <c r="A147" s="822" t="s">
        <v>220</v>
      </c>
      <c r="B147" s="823"/>
      <c r="C147" s="823"/>
      <c r="D147" s="823"/>
      <c r="E147" s="824"/>
      <c r="F147" s="176"/>
      <c r="G147" s="176"/>
      <c r="H147" s="176"/>
      <c r="I147" s="176"/>
      <c r="J147" s="170"/>
      <c r="K147" s="118"/>
      <c r="L147" s="134"/>
      <c r="M147" s="134"/>
      <c r="N147" s="134"/>
      <c r="O147" s="134"/>
      <c r="P147" s="134"/>
      <c r="Q147" s="134"/>
      <c r="R147" s="134"/>
      <c r="S147" s="118"/>
      <c r="T147" s="118"/>
      <c r="U147" s="118"/>
    </row>
    <row r="148" spans="1:21" s="73" customFormat="1" ht="16.5" thickBot="1" x14ac:dyDescent="0.25">
      <c r="A148" s="550"/>
      <c r="B148" s="456"/>
      <c r="C148" s="456"/>
      <c r="D148" s="456"/>
      <c r="E148" s="456"/>
      <c r="F148" s="194"/>
      <c r="G148" s="456"/>
      <c r="H148" s="200"/>
      <c r="I148" s="194"/>
      <c r="J148" s="194"/>
      <c r="K148" s="118"/>
      <c r="L148" s="134"/>
      <c r="M148" s="134"/>
      <c r="N148" s="134"/>
      <c r="O148" s="134"/>
      <c r="P148" s="134"/>
      <c r="Q148" s="134"/>
      <c r="R148" s="134"/>
      <c r="S148" s="118"/>
      <c r="T148" s="118"/>
      <c r="U148" s="118"/>
    </row>
    <row r="149" spans="1:21" s="73" customFormat="1" ht="16.5" thickBot="1" x14ac:dyDescent="0.25">
      <c r="A149" s="825" t="s">
        <v>221</v>
      </c>
      <c r="B149" s="838"/>
      <c r="C149" s="838"/>
      <c r="D149" s="838"/>
      <c r="E149" s="838"/>
      <c r="F149" s="839"/>
      <c r="G149" s="456"/>
      <c r="H149" s="200"/>
      <c r="I149" s="194"/>
      <c r="J149" s="194"/>
      <c r="K149" s="118"/>
      <c r="L149" s="134"/>
      <c r="M149" s="134"/>
      <c r="N149" s="134"/>
      <c r="O149" s="134"/>
      <c r="P149" s="134"/>
      <c r="Q149" s="134"/>
      <c r="R149" s="134"/>
      <c r="S149" s="118"/>
      <c r="T149" s="118"/>
      <c r="U149" s="118"/>
    </row>
    <row r="150" spans="1:21" s="73" customFormat="1" ht="16.5" customHeight="1" x14ac:dyDescent="0.2">
      <c r="A150" s="835" t="s">
        <v>222</v>
      </c>
      <c r="B150" s="836"/>
      <c r="C150" s="836"/>
      <c r="D150" s="836"/>
      <c r="E150" s="836"/>
      <c r="F150" s="837"/>
      <c r="G150" s="456"/>
      <c r="H150" s="201"/>
      <c r="I150" s="170"/>
      <c r="J150" s="170"/>
      <c r="K150" s="118"/>
      <c r="L150" s="134"/>
      <c r="M150" s="134"/>
      <c r="N150" s="134"/>
      <c r="O150" s="134"/>
      <c r="P150" s="134"/>
      <c r="Q150" s="134"/>
      <c r="R150" s="134"/>
      <c r="S150" s="118"/>
      <c r="T150" s="118"/>
      <c r="U150" s="118"/>
    </row>
    <row r="151" spans="1:21" ht="16.5" thickBot="1" x14ac:dyDescent="0.25">
      <c r="A151" s="832" t="s">
        <v>223</v>
      </c>
      <c r="B151" s="833"/>
      <c r="C151" s="833"/>
      <c r="D151" s="833"/>
      <c r="E151" s="833"/>
      <c r="F151" s="834"/>
      <c r="G151" s="176"/>
      <c r="H151" s="176"/>
      <c r="I151" s="176"/>
      <c r="J151" s="169"/>
      <c r="K151" s="169"/>
      <c r="L151" s="169"/>
      <c r="M151" s="169"/>
      <c r="N151" s="169"/>
      <c r="O151" s="169"/>
      <c r="P151" s="169"/>
      <c r="Q151" s="169"/>
      <c r="R151" s="169"/>
      <c r="S151" s="169"/>
      <c r="T151" s="169"/>
      <c r="U151" s="169"/>
    </row>
    <row r="152" spans="1:21" x14ac:dyDescent="0.2">
      <c r="A152" s="551" t="s">
        <v>224</v>
      </c>
      <c r="B152" s="450" t="s">
        <v>225</v>
      </c>
      <c r="C152" s="552" t="s">
        <v>226</v>
      </c>
      <c r="D152" s="553" t="s">
        <v>227</v>
      </c>
      <c r="E152" s="176"/>
      <c r="F152" s="176"/>
      <c r="G152" s="176"/>
      <c r="H152" s="169"/>
      <c r="I152" s="169"/>
      <c r="J152" s="169"/>
      <c r="K152" s="169"/>
      <c r="L152" s="169"/>
      <c r="M152" s="169"/>
      <c r="N152" s="169"/>
      <c r="O152" s="169"/>
      <c r="P152" s="169"/>
      <c r="Q152" s="169"/>
      <c r="R152" s="169"/>
    </row>
    <row r="153" spans="1:21" s="192" customFormat="1" x14ac:dyDescent="0.2">
      <c r="A153" s="203"/>
      <c r="B153" s="204" t="s">
        <v>344</v>
      </c>
      <c r="C153" s="205" t="s">
        <v>62</v>
      </c>
      <c r="D153" s="206">
        <v>0.9</v>
      </c>
      <c r="E153" s="191"/>
      <c r="F153" s="191"/>
      <c r="G153" s="191"/>
    </row>
    <row r="154" spans="1:21" s="192" customFormat="1" x14ac:dyDescent="0.2">
      <c r="A154" s="203"/>
      <c r="B154" s="204" t="s">
        <v>344</v>
      </c>
      <c r="C154" s="205" t="s">
        <v>417</v>
      </c>
      <c r="D154" s="206">
        <v>1.125</v>
      </c>
      <c r="E154" s="191"/>
      <c r="F154" s="191"/>
      <c r="G154" s="191"/>
    </row>
    <row r="155" spans="1:21" s="192" customFormat="1" ht="16.5" thickBot="1" x14ac:dyDescent="0.25">
      <c r="A155" s="207"/>
      <c r="B155" s="208" t="s">
        <v>344</v>
      </c>
      <c r="C155" s="209" t="s">
        <v>418</v>
      </c>
      <c r="D155" s="210">
        <v>1.266</v>
      </c>
      <c r="E155" s="191"/>
      <c r="F155" s="191"/>
      <c r="G155" s="191"/>
    </row>
    <row r="156" spans="1:21" ht="16.5" thickBot="1" x14ac:dyDescent="0.25"/>
    <row r="157" spans="1:21" s="73" customFormat="1" ht="16.5" thickBot="1" x14ac:dyDescent="0.25">
      <c r="A157" s="822" t="s">
        <v>228</v>
      </c>
      <c r="B157" s="823"/>
      <c r="C157" s="823"/>
      <c r="D157" s="823"/>
      <c r="E157" s="823"/>
      <c r="F157" s="823"/>
      <c r="G157" s="823"/>
      <c r="H157" s="823"/>
      <c r="I157" s="824"/>
      <c r="J157" s="169"/>
      <c r="K157" s="118"/>
      <c r="L157" s="134"/>
      <c r="M157" s="134"/>
      <c r="N157" s="134"/>
      <c r="O157" s="134"/>
      <c r="P157" s="134"/>
      <c r="Q157" s="134"/>
      <c r="R157" s="134"/>
      <c r="S157" s="118"/>
      <c r="T157" s="118"/>
      <c r="U157" s="118"/>
    </row>
    <row r="158" spans="1:21" s="73" customFormat="1" ht="16.5" thickBot="1" x14ac:dyDescent="0.25">
      <c r="A158" s="554" t="s">
        <v>229</v>
      </c>
      <c r="B158" s="213"/>
      <c r="C158" s="214"/>
      <c r="D158" s="214"/>
      <c r="E158" s="214"/>
      <c r="F158" s="214"/>
      <c r="G158" s="215"/>
      <c r="H158" s="216"/>
      <c r="I158" s="217"/>
      <c r="J158" s="170"/>
      <c r="K158" s="118"/>
      <c r="L158" s="134"/>
      <c r="M158" s="134"/>
      <c r="N158" s="134"/>
      <c r="O158" s="134"/>
      <c r="P158" s="134"/>
      <c r="Q158" s="134"/>
      <c r="R158" s="134"/>
      <c r="S158" s="118"/>
      <c r="T158" s="118"/>
      <c r="U158" s="118"/>
    </row>
    <row r="159" spans="1:21" s="308" customFormat="1" x14ac:dyDescent="0.2">
      <c r="A159" s="228"/>
      <c r="B159" s="949"/>
      <c r="C159" s="950"/>
      <c r="D159" s="950"/>
      <c r="E159" s="950"/>
      <c r="F159" s="950"/>
      <c r="G159" s="950"/>
      <c r="H159" s="950"/>
      <c r="I159" s="951"/>
      <c r="J159" s="171"/>
      <c r="K159" s="172"/>
      <c r="L159" s="173"/>
      <c r="M159" s="173"/>
      <c r="N159" s="173"/>
      <c r="O159" s="173"/>
      <c r="P159" s="173"/>
      <c r="Q159" s="173"/>
      <c r="R159" s="173"/>
      <c r="S159" s="172"/>
      <c r="T159" s="172"/>
      <c r="U159" s="172"/>
    </row>
    <row r="160" spans="1:21" s="218" customFormat="1" x14ac:dyDescent="0.2">
      <c r="A160" s="281"/>
      <c r="B160" s="816"/>
      <c r="C160" s="817"/>
      <c r="D160" s="817"/>
      <c r="E160" s="817"/>
      <c r="F160" s="817"/>
      <c r="G160" s="817"/>
      <c r="H160" s="817"/>
      <c r="I160" s="818"/>
    </row>
    <row r="161" spans="1:9" s="218" customFormat="1" x14ac:dyDescent="0.2">
      <c r="A161" s="281"/>
      <c r="B161" s="816"/>
      <c r="C161" s="817"/>
      <c r="D161" s="817"/>
      <c r="E161" s="817"/>
      <c r="F161" s="817"/>
      <c r="G161" s="817"/>
      <c r="H161" s="817"/>
      <c r="I161" s="818"/>
    </row>
    <row r="162" spans="1:9" s="218" customFormat="1" x14ac:dyDescent="0.2">
      <c r="A162" s="281"/>
      <c r="B162" s="816"/>
      <c r="C162" s="817"/>
      <c r="D162" s="817"/>
      <c r="E162" s="817"/>
      <c r="F162" s="817"/>
      <c r="G162" s="817"/>
      <c r="H162" s="817"/>
      <c r="I162" s="818"/>
    </row>
    <row r="163" spans="1:9" s="218" customFormat="1" x14ac:dyDescent="0.2">
      <c r="A163" s="281"/>
      <c r="B163" s="816"/>
      <c r="C163" s="817"/>
      <c r="D163" s="817"/>
      <c r="E163" s="817"/>
      <c r="F163" s="817"/>
      <c r="G163" s="817"/>
      <c r="H163" s="817"/>
      <c r="I163" s="818"/>
    </row>
    <row r="164" spans="1:9" s="218" customFormat="1" x14ac:dyDescent="0.2">
      <c r="A164" s="281"/>
      <c r="B164" s="816"/>
      <c r="C164" s="817"/>
      <c r="D164" s="817"/>
      <c r="E164" s="817"/>
      <c r="F164" s="817"/>
      <c r="G164" s="817"/>
      <c r="H164" s="817"/>
      <c r="I164" s="818"/>
    </row>
    <row r="165" spans="1:9" s="218" customFormat="1" x14ac:dyDescent="0.2">
      <c r="A165" s="281"/>
      <c r="B165" s="816"/>
      <c r="C165" s="817"/>
      <c r="D165" s="817"/>
      <c r="E165" s="817"/>
      <c r="F165" s="817"/>
      <c r="G165" s="817"/>
      <c r="H165" s="817"/>
      <c r="I165" s="818"/>
    </row>
    <row r="166" spans="1:9" s="218" customFormat="1" x14ac:dyDescent="0.2">
      <c r="A166" s="281"/>
      <c r="B166" s="816"/>
      <c r="C166" s="817"/>
      <c r="D166" s="817"/>
      <c r="E166" s="817"/>
      <c r="F166" s="817"/>
      <c r="G166" s="817"/>
      <c r="H166" s="817"/>
      <c r="I166" s="818"/>
    </row>
    <row r="167" spans="1:9" s="218" customFormat="1" x14ac:dyDescent="0.2">
      <c r="A167" s="281"/>
      <c r="B167" s="816"/>
      <c r="C167" s="817"/>
      <c r="D167" s="817"/>
      <c r="E167" s="817"/>
      <c r="F167" s="817"/>
      <c r="G167" s="817"/>
      <c r="H167" s="817"/>
      <c r="I167" s="818"/>
    </row>
    <row r="168" spans="1:9" s="218" customFormat="1" x14ac:dyDescent="0.2">
      <c r="A168" s="281"/>
      <c r="B168" s="816"/>
      <c r="C168" s="817"/>
      <c r="D168" s="817"/>
      <c r="E168" s="817"/>
      <c r="F168" s="817"/>
      <c r="G168" s="817"/>
      <c r="H168" s="817"/>
      <c r="I168" s="818"/>
    </row>
    <row r="169" spans="1:9" s="218" customFormat="1" x14ac:dyDescent="0.2">
      <c r="A169" s="281"/>
      <c r="B169" s="816"/>
      <c r="C169" s="817"/>
      <c r="D169" s="817"/>
      <c r="E169" s="817"/>
      <c r="F169" s="817"/>
      <c r="G169" s="817"/>
      <c r="H169" s="817"/>
      <c r="I169" s="818"/>
    </row>
    <row r="170" spans="1:9" s="218" customFormat="1" x14ac:dyDescent="0.2">
      <c r="A170" s="281"/>
      <c r="B170" s="816"/>
      <c r="C170" s="817"/>
      <c r="D170" s="817"/>
      <c r="E170" s="817"/>
      <c r="F170" s="817"/>
      <c r="G170" s="817"/>
      <c r="H170" s="817"/>
      <c r="I170" s="818"/>
    </row>
    <row r="171" spans="1:9" s="218" customFormat="1" x14ac:dyDescent="0.2">
      <c r="A171" s="281"/>
      <c r="B171" s="816"/>
      <c r="C171" s="817"/>
      <c r="D171" s="817"/>
      <c r="E171" s="817"/>
      <c r="F171" s="817"/>
      <c r="G171" s="817"/>
      <c r="H171" s="817"/>
      <c r="I171" s="818"/>
    </row>
    <row r="172" spans="1:9" s="218" customFormat="1" x14ac:dyDescent="0.2">
      <c r="A172" s="281"/>
      <c r="B172" s="816"/>
      <c r="C172" s="817"/>
      <c r="D172" s="817"/>
      <c r="E172" s="817"/>
      <c r="F172" s="817"/>
      <c r="G172" s="817"/>
      <c r="H172" s="817"/>
      <c r="I172" s="818"/>
    </row>
    <row r="173" spans="1:9" s="218" customFormat="1" ht="16.5" thickBot="1" x14ac:dyDescent="0.25">
      <c r="A173" s="282"/>
      <c r="B173" s="819"/>
      <c r="C173" s="820"/>
      <c r="D173" s="820"/>
      <c r="E173" s="820"/>
      <c r="F173" s="820"/>
      <c r="G173" s="820"/>
      <c r="H173" s="820"/>
      <c r="I173" s="821"/>
    </row>
    <row r="175" spans="1:9" s="218" customFormat="1" x14ac:dyDescent="0.2">
      <c r="F175" s="337"/>
      <c r="G175" s="337"/>
      <c r="H175" s="337"/>
      <c r="I175" s="337"/>
    </row>
    <row r="176" spans="1:9" s="218" customFormat="1" ht="16.5" thickBot="1" x14ac:dyDescent="0.25">
      <c r="F176" s="337"/>
      <c r="G176" s="337"/>
      <c r="H176" s="337"/>
      <c r="I176" s="337"/>
    </row>
    <row r="177" spans="1:14" s="218" customFormat="1" ht="16.5" thickBot="1" x14ac:dyDescent="0.25">
      <c r="A177" s="825" t="s">
        <v>3</v>
      </c>
      <c r="B177" s="826"/>
      <c r="F177" s="337"/>
      <c r="G177" s="337"/>
      <c r="H177" s="337"/>
      <c r="I177" s="337"/>
    </row>
    <row r="178" spans="1:14" s="347" customFormat="1" ht="16.5" thickBot="1" x14ac:dyDescent="0.25">
      <c r="A178" s="338"/>
      <c r="B178" s="338"/>
      <c r="F178" s="348"/>
      <c r="G178" s="348"/>
      <c r="H178" s="348"/>
      <c r="I178" s="348"/>
    </row>
    <row r="179" spans="1:14" s="218" customFormat="1" ht="15.75" customHeight="1" thickBot="1" x14ac:dyDescent="0.25">
      <c r="A179" s="800" t="s">
        <v>2</v>
      </c>
      <c r="B179" s="801"/>
      <c r="C179" s="801"/>
      <c r="D179" s="801"/>
      <c r="E179" s="801"/>
      <c r="F179" s="801"/>
      <c r="G179" s="802"/>
      <c r="H179" s="337"/>
      <c r="I179" s="337"/>
    </row>
    <row r="180" spans="1:14" s="347" customFormat="1" ht="15.75" customHeight="1" thickBot="1" x14ac:dyDescent="0.25">
      <c r="A180" s="338"/>
      <c r="B180" s="338"/>
      <c r="C180" s="338"/>
      <c r="D180" s="338"/>
      <c r="E180" s="338"/>
      <c r="F180" s="338"/>
      <c r="G180" s="338"/>
      <c r="H180" s="348"/>
      <c r="I180" s="348"/>
    </row>
    <row r="181" spans="1:14" s="218" customFormat="1" ht="15.75" customHeight="1" thickBot="1" x14ac:dyDescent="0.25">
      <c r="A181" s="807" t="s">
        <v>1</v>
      </c>
      <c r="B181" s="808"/>
      <c r="C181" s="808"/>
      <c r="D181" s="808"/>
      <c r="E181" s="809"/>
      <c r="F181" s="339"/>
      <c r="G181" s="339"/>
      <c r="H181" s="337"/>
      <c r="I181" s="337"/>
    </row>
    <row r="182" spans="1:14" s="218" customFormat="1" x14ac:dyDescent="0.2">
      <c r="A182" s="803" t="s">
        <v>627</v>
      </c>
      <c r="B182" s="805" t="s">
        <v>888</v>
      </c>
      <c r="C182" s="786" t="s">
        <v>0</v>
      </c>
      <c r="D182" s="786" t="s">
        <v>609</v>
      </c>
      <c r="E182" s="805" t="s">
        <v>889</v>
      </c>
      <c r="F182" s="786" t="s">
        <v>436</v>
      </c>
      <c r="G182" s="786" t="s">
        <v>421</v>
      </c>
      <c r="H182" s="786" t="s">
        <v>628</v>
      </c>
      <c r="I182" s="786" t="s">
        <v>11</v>
      </c>
      <c r="J182" s="786" t="s">
        <v>12</v>
      </c>
      <c r="K182" s="786" t="s">
        <v>13</v>
      </c>
      <c r="L182" s="786" t="s">
        <v>449</v>
      </c>
      <c r="M182" s="786" t="s">
        <v>610</v>
      </c>
      <c r="N182" s="788"/>
    </row>
    <row r="183" spans="1:14" s="218" customFormat="1" ht="32.25" customHeight="1" thickBot="1" x14ac:dyDescent="0.25">
      <c r="A183" s="804"/>
      <c r="B183" s="806"/>
      <c r="C183" s="787"/>
      <c r="D183" s="787"/>
      <c r="E183" s="806"/>
      <c r="F183" s="787"/>
      <c r="G183" s="787"/>
      <c r="H183" s="787"/>
      <c r="I183" s="787"/>
      <c r="J183" s="787"/>
      <c r="K183" s="787"/>
      <c r="L183" s="787"/>
      <c r="M183" s="787"/>
      <c r="N183" s="789"/>
    </row>
    <row r="184" spans="1:14" s="218" customFormat="1" x14ac:dyDescent="0.2">
      <c r="A184" s="344"/>
      <c r="B184" s="340"/>
      <c r="C184" s="394"/>
      <c r="D184" s="340"/>
      <c r="E184" s="340"/>
      <c r="F184" s="340"/>
      <c r="G184" s="340"/>
      <c r="H184" s="340"/>
      <c r="I184" s="340"/>
      <c r="J184" s="340"/>
      <c r="K184" s="340"/>
      <c r="L184" s="661"/>
      <c r="M184" s="810"/>
      <c r="N184" s="811"/>
    </row>
    <row r="185" spans="1:14" s="218" customFormat="1" x14ac:dyDescent="0.2">
      <c r="A185" s="345"/>
      <c r="B185" s="341"/>
      <c r="C185" s="392"/>
      <c r="D185" s="341"/>
      <c r="E185" s="341"/>
      <c r="F185" s="341"/>
      <c r="G185" s="341"/>
      <c r="H185" s="341"/>
      <c r="I185" s="341"/>
      <c r="J185" s="341"/>
      <c r="K185" s="341"/>
      <c r="L185" s="662"/>
      <c r="M185" s="790"/>
      <c r="N185" s="791"/>
    </row>
    <row r="186" spans="1:14" s="218" customFormat="1" x14ac:dyDescent="0.2">
      <c r="A186" s="345"/>
      <c r="B186" s="341"/>
      <c r="C186" s="392"/>
      <c r="D186" s="341"/>
      <c r="E186" s="341"/>
      <c r="F186" s="341"/>
      <c r="G186" s="341"/>
      <c r="H186" s="341"/>
      <c r="I186" s="341"/>
      <c r="J186" s="341"/>
      <c r="K186" s="341"/>
      <c r="L186" s="662"/>
      <c r="M186" s="790"/>
      <c r="N186" s="791"/>
    </row>
    <row r="187" spans="1:14" s="218" customFormat="1" x14ac:dyDescent="0.2">
      <c r="A187" s="345"/>
      <c r="B187" s="341"/>
      <c r="C187" s="392"/>
      <c r="D187" s="341"/>
      <c r="E187" s="341"/>
      <c r="F187" s="341"/>
      <c r="G187" s="341"/>
      <c r="H187" s="341"/>
      <c r="I187" s="341"/>
      <c r="J187" s="341"/>
      <c r="K187" s="341"/>
      <c r="L187" s="662"/>
      <c r="M187" s="790"/>
      <c r="N187" s="791"/>
    </row>
    <row r="188" spans="1:14" s="218" customFormat="1" x14ac:dyDescent="0.2">
      <c r="A188" s="345"/>
      <c r="B188" s="341"/>
      <c r="C188" s="392"/>
      <c r="D188" s="341"/>
      <c r="E188" s="341"/>
      <c r="F188" s="341"/>
      <c r="G188" s="341"/>
      <c r="H188" s="341"/>
      <c r="I188" s="341"/>
      <c r="J188" s="341"/>
      <c r="K188" s="341"/>
      <c r="L188" s="662"/>
      <c r="M188" s="790"/>
      <c r="N188" s="791"/>
    </row>
    <row r="189" spans="1:14" s="218" customFormat="1" ht="16.5" thickBot="1" x14ac:dyDescent="0.25">
      <c r="A189" s="346"/>
      <c r="B189" s="342"/>
      <c r="C189" s="336"/>
      <c r="D189" s="342"/>
      <c r="E189" s="342"/>
      <c r="F189" s="342"/>
      <c r="G189" s="342"/>
      <c r="H189" s="342"/>
      <c r="I189" s="342"/>
      <c r="J189" s="342"/>
      <c r="K189" s="342"/>
      <c r="L189" s="663"/>
      <c r="M189" s="794"/>
      <c r="N189" s="795"/>
    </row>
    <row r="190" spans="1:14" s="218" customFormat="1" x14ac:dyDescent="0.2">
      <c r="F190" s="337"/>
      <c r="G190" s="337"/>
      <c r="H190" s="337"/>
      <c r="I190" s="337"/>
    </row>
    <row r="191" spans="1:14" s="218" customFormat="1" ht="16.5" thickBot="1" x14ac:dyDescent="0.25">
      <c r="F191" s="337"/>
      <c r="G191" s="337"/>
      <c r="H191" s="337"/>
      <c r="I191" s="337"/>
    </row>
    <row r="192" spans="1:14" s="218" customFormat="1" ht="16.5" thickBot="1" x14ac:dyDescent="0.25">
      <c r="A192" s="800" t="s">
        <v>790</v>
      </c>
      <c r="B192" s="801"/>
      <c r="C192" s="801"/>
      <c r="D192" s="801"/>
      <c r="E192" s="801"/>
      <c r="F192" s="801"/>
      <c r="G192" s="802"/>
      <c r="H192" s="337"/>
      <c r="I192" s="337"/>
    </row>
    <row r="193" spans="1:31" s="192" customFormat="1" ht="16.5" thickBot="1" x14ac:dyDescent="0.25">
      <c r="F193" s="191"/>
      <c r="G193" s="191"/>
      <c r="H193" s="191"/>
      <c r="I193" s="191"/>
    </row>
    <row r="194" spans="1:31" s="218" customFormat="1" ht="16.5" thickBot="1" x14ac:dyDescent="0.25">
      <c r="A194" s="807" t="s">
        <v>1</v>
      </c>
      <c r="B194" s="808"/>
      <c r="C194" s="808"/>
      <c r="D194" s="808"/>
      <c r="E194" s="808"/>
      <c r="F194" s="808"/>
      <c r="G194" s="808"/>
      <c r="H194" s="809"/>
      <c r="I194" s="337"/>
    </row>
    <row r="195" spans="1:31" s="1187" customFormat="1" ht="16.5" customHeight="1" thickBot="1" x14ac:dyDescent="0.25">
      <c r="A195" s="803" t="s">
        <v>627</v>
      </c>
      <c r="B195" s="805" t="s">
        <v>888</v>
      </c>
      <c r="C195" s="786" t="s">
        <v>0</v>
      </c>
      <c r="D195" s="786" t="s">
        <v>609</v>
      </c>
      <c r="E195" s="805" t="s">
        <v>889</v>
      </c>
      <c r="F195" s="971" t="s">
        <v>42</v>
      </c>
      <c r="G195" s="1165" t="s">
        <v>789</v>
      </c>
      <c r="H195" s="1163"/>
      <c r="I195" s="1163"/>
      <c r="J195" s="1163"/>
      <c r="K195" s="1163"/>
      <c r="L195" s="1163"/>
      <c r="M195" s="1163"/>
      <c r="N195" s="1163"/>
      <c r="O195" s="1163"/>
      <c r="P195" s="1163"/>
      <c r="Q195" s="1163"/>
      <c r="R195" s="1163"/>
      <c r="S195" s="1163"/>
      <c r="T195" s="1163"/>
      <c r="U195" s="1163"/>
      <c r="V195" s="1164"/>
      <c r="W195" s="930" t="s">
        <v>436</v>
      </c>
      <c r="X195" s="786" t="s">
        <v>421</v>
      </c>
      <c r="Y195" s="786" t="s">
        <v>628</v>
      </c>
      <c r="Z195" s="786" t="s">
        <v>11</v>
      </c>
      <c r="AA195" s="786" t="s">
        <v>12</v>
      </c>
      <c r="AB195" s="786" t="s">
        <v>13</v>
      </c>
      <c r="AC195" s="786" t="s">
        <v>449</v>
      </c>
      <c r="AD195" s="971" t="s">
        <v>610</v>
      </c>
      <c r="AE195" s="1161"/>
    </row>
    <row r="196" spans="1:31" s="1187" customFormat="1" ht="47.25" customHeight="1" thickBot="1" x14ac:dyDescent="0.25">
      <c r="A196" s="804"/>
      <c r="B196" s="806"/>
      <c r="C196" s="787"/>
      <c r="D196" s="787"/>
      <c r="E196" s="806"/>
      <c r="F196" s="787"/>
      <c r="G196" s="1204" t="s">
        <v>432</v>
      </c>
      <c r="H196" s="1204" t="s">
        <v>1380</v>
      </c>
      <c r="I196" s="1200" t="s">
        <v>1381</v>
      </c>
      <c r="J196" s="1200" t="s">
        <v>1382</v>
      </c>
      <c r="K196" s="1200" t="s">
        <v>433</v>
      </c>
      <c r="L196" s="1200" t="s">
        <v>1383</v>
      </c>
      <c r="M196" s="1200" t="s">
        <v>1386</v>
      </c>
      <c r="N196" s="1200" t="s">
        <v>1387</v>
      </c>
      <c r="O196" s="1200" t="s">
        <v>434</v>
      </c>
      <c r="P196" s="1200" t="s">
        <v>1384</v>
      </c>
      <c r="Q196" s="1200" t="s">
        <v>1388</v>
      </c>
      <c r="R196" s="1200" t="s">
        <v>1389</v>
      </c>
      <c r="S196" s="1200" t="s">
        <v>435</v>
      </c>
      <c r="T196" s="1200" t="s">
        <v>1385</v>
      </c>
      <c r="U196" s="1200" t="s">
        <v>1390</v>
      </c>
      <c r="V196" s="1200" t="s">
        <v>1391</v>
      </c>
      <c r="W196" s="787"/>
      <c r="X196" s="787"/>
      <c r="Y196" s="787"/>
      <c r="Z196" s="787"/>
      <c r="AA196" s="787"/>
      <c r="AB196" s="787"/>
      <c r="AC196" s="787"/>
      <c r="AD196" s="972"/>
      <c r="AE196" s="1162"/>
    </row>
    <row r="197" spans="1:31" s="1187" customFormat="1" x14ac:dyDescent="0.2">
      <c r="A197" s="1194"/>
      <c r="B197" s="1191"/>
      <c r="C197" s="1189"/>
      <c r="D197" s="1191"/>
      <c r="E197" s="1191"/>
      <c r="F197" s="1197"/>
      <c r="G197" s="1191"/>
      <c r="H197" s="1191"/>
      <c r="I197" s="1191"/>
      <c r="J197" s="1191"/>
      <c r="K197" s="1191"/>
      <c r="L197" s="1191"/>
      <c r="M197" s="1191"/>
      <c r="N197" s="1191"/>
      <c r="O197" s="1191"/>
      <c r="P197" s="1191"/>
      <c r="Q197" s="1191"/>
      <c r="R197" s="1191"/>
      <c r="S197" s="1191"/>
      <c r="T197" s="1191"/>
      <c r="U197" s="1191"/>
      <c r="V197" s="1191"/>
      <c r="W197" s="1191"/>
      <c r="X197" s="1191"/>
      <c r="Y197" s="1191"/>
      <c r="Z197" s="1191"/>
      <c r="AA197" s="1191"/>
      <c r="AB197" s="1191"/>
      <c r="AC197" s="1201"/>
      <c r="AD197" s="796"/>
      <c r="AE197" s="797"/>
    </row>
    <row r="198" spans="1:31" s="1187" customFormat="1" x14ac:dyDescent="0.2">
      <c r="A198" s="1195"/>
      <c r="B198" s="1192"/>
      <c r="C198" s="1188"/>
      <c r="D198" s="1192"/>
      <c r="E198" s="1192"/>
      <c r="F198" s="1198"/>
      <c r="G198" s="1192"/>
      <c r="H198" s="1192"/>
      <c r="I198" s="1192"/>
      <c r="J198" s="1192"/>
      <c r="K198" s="1192"/>
      <c r="L198" s="1192"/>
      <c r="M198" s="1192"/>
      <c r="N198" s="1192"/>
      <c r="O198" s="1192"/>
      <c r="P198" s="1192"/>
      <c r="Q198" s="1192"/>
      <c r="R198" s="1192"/>
      <c r="S198" s="1192"/>
      <c r="T198" s="1192"/>
      <c r="U198" s="1192"/>
      <c r="V198" s="1192"/>
      <c r="W198" s="1192"/>
      <c r="X198" s="1192"/>
      <c r="Y198" s="1192"/>
      <c r="Z198" s="1192"/>
      <c r="AA198" s="1192"/>
      <c r="AB198" s="1192"/>
      <c r="AC198" s="1202"/>
      <c r="AD198" s="798"/>
      <c r="AE198" s="799"/>
    </row>
    <row r="199" spans="1:31" s="1187" customFormat="1" x14ac:dyDescent="0.2">
      <c r="A199" s="1195"/>
      <c r="B199" s="1192"/>
      <c r="C199" s="1188"/>
      <c r="D199" s="1192"/>
      <c r="E199" s="1192"/>
      <c r="F199" s="1198"/>
      <c r="G199" s="1192"/>
      <c r="H199" s="1192"/>
      <c r="I199" s="1192"/>
      <c r="J199" s="1192"/>
      <c r="K199" s="1192"/>
      <c r="L199" s="1192"/>
      <c r="M199" s="1192"/>
      <c r="N199" s="1192"/>
      <c r="O199" s="1192"/>
      <c r="P199" s="1192"/>
      <c r="Q199" s="1192"/>
      <c r="R199" s="1192"/>
      <c r="S199" s="1192"/>
      <c r="T199" s="1192"/>
      <c r="U199" s="1192"/>
      <c r="V199" s="1192"/>
      <c r="W199" s="1192"/>
      <c r="X199" s="1192"/>
      <c r="Y199" s="1192"/>
      <c r="Z199" s="1192"/>
      <c r="AA199" s="1192"/>
      <c r="AB199" s="1192"/>
      <c r="AC199" s="1202"/>
      <c r="AD199" s="798"/>
      <c r="AE199" s="799"/>
    </row>
    <row r="200" spans="1:31" s="1187" customFormat="1" x14ac:dyDescent="0.2">
      <c r="A200" s="1195"/>
      <c r="B200" s="1192"/>
      <c r="C200" s="1188"/>
      <c r="D200" s="1192"/>
      <c r="E200" s="1192"/>
      <c r="F200" s="1198"/>
      <c r="G200" s="1192"/>
      <c r="H200" s="1192"/>
      <c r="I200" s="1192"/>
      <c r="J200" s="1192"/>
      <c r="K200" s="1192"/>
      <c r="L200" s="1192"/>
      <c r="M200" s="1192"/>
      <c r="N200" s="1192"/>
      <c r="O200" s="1192"/>
      <c r="P200" s="1192"/>
      <c r="Q200" s="1192"/>
      <c r="R200" s="1192"/>
      <c r="S200" s="1192"/>
      <c r="T200" s="1192"/>
      <c r="U200" s="1192"/>
      <c r="V200" s="1192"/>
      <c r="W200" s="1192"/>
      <c r="X200" s="1192"/>
      <c r="Y200" s="1192"/>
      <c r="Z200" s="1192"/>
      <c r="AA200" s="1192"/>
      <c r="AB200" s="1192"/>
      <c r="AC200" s="1202"/>
      <c r="AD200" s="798"/>
      <c r="AE200" s="799"/>
    </row>
    <row r="201" spans="1:31" s="1187" customFormat="1" x14ac:dyDescent="0.2">
      <c r="A201" s="1195"/>
      <c r="B201" s="1192"/>
      <c r="C201" s="1188"/>
      <c r="D201" s="1192"/>
      <c r="E201" s="1192"/>
      <c r="F201" s="1198"/>
      <c r="G201" s="1192"/>
      <c r="H201" s="1192"/>
      <c r="I201" s="1192"/>
      <c r="J201" s="1192"/>
      <c r="K201" s="1192"/>
      <c r="L201" s="1192"/>
      <c r="M201" s="1192"/>
      <c r="N201" s="1192"/>
      <c r="O201" s="1192"/>
      <c r="P201" s="1192"/>
      <c r="Q201" s="1192"/>
      <c r="R201" s="1192"/>
      <c r="S201" s="1192"/>
      <c r="T201" s="1192"/>
      <c r="U201" s="1192"/>
      <c r="V201" s="1192"/>
      <c r="W201" s="1192"/>
      <c r="X201" s="1192"/>
      <c r="Y201" s="1192"/>
      <c r="Z201" s="1192"/>
      <c r="AA201" s="1192"/>
      <c r="AB201" s="1192"/>
      <c r="AC201" s="1202"/>
      <c r="AD201" s="798"/>
      <c r="AE201" s="799"/>
    </row>
    <row r="202" spans="1:31" s="1187" customFormat="1" ht="16.5" thickBot="1" x14ac:dyDescent="0.25">
      <c r="A202" s="1196"/>
      <c r="B202" s="1193"/>
      <c r="C202" s="1190"/>
      <c r="D202" s="1193"/>
      <c r="E202" s="1193"/>
      <c r="F202" s="1199"/>
      <c r="G202" s="1193"/>
      <c r="H202" s="1193"/>
      <c r="I202" s="1193"/>
      <c r="J202" s="1193"/>
      <c r="K202" s="1193"/>
      <c r="L202" s="1193"/>
      <c r="M202" s="1193"/>
      <c r="N202" s="1193"/>
      <c r="O202" s="1193"/>
      <c r="P202" s="1193"/>
      <c r="Q202" s="1193"/>
      <c r="R202" s="1193"/>
      <c r="S202" s="1193"/>
      <c r="T202" s="1193"/>
      <c r="U202" s="1193"/>
      <c r="V202" s="1193"/>
      <c r="W202" s="1193"/>
      <c r="X202" s="1193"/>
      <c r="Y202" s="1193"/>
      <c r="Z202" s="1193"/>
      <c r="AA202" s="1193"/>
      <c r="AB202" s="1193"/>
      <c r="AC202" s="1203"/>
      <c r="AD202" s="792"/>
      <c r="AE202" s="793"/>
    </row>
    <row r="203" spans="1:31" s="218" customFormat="1" x14ac:dyDescent="0.2">
      <c r="F203" s="337"/>
      <c r="G203" s="337"/>
      <c r="H203" s="337"/>
      <c r="I203" s="337"/>
    </row>
    <row r="204" spans="1:31" s="218" customFormat="1" x14ac:dyDescent="0.2">
      <c r="F204" s="337"/>
      <c r="G204" s="337"/>
      <c r="H204" s="337"/>
      <c r="I204" s="337"/>
    </row>
    <row r="205" spans="1:31" s="218" customFormat="1" ht="16.5" thickBot="1" x14ac:dyDescent="0.25">
      <c r="F205" s="337"/>
      <c r="G205" s="337"/>
      <c r="H205" s="337"/>
      <c r="I205" s="337"/>
    </row>
    <row r="206" spans="1:31" ht="16.5" thickBot="1" x14ac:dyDescent="0.25">
      <c r="A206" s="555" t="s">
        <v>454</v>
      </c>
      <c r="B206" s="556" t="s">
        <v>455</v>
      </c>
    </row>
    <row r="207" spans="1:31" x14ac:dyDescent="0.2">
      <c r="A207" s="450" t="s">
        <v>456</v>
      </c>
      <c r="B207" s="557" t="s">
        <v>51</v>
      </c>
    </row>
    <row r="208" spans="1:31" x14ac:dyDescent="0.2">
      <c r="A208" s="558" t="s">
        <v>65</v>
      </c>
      <c r="B208" s="559" t="s">
        <v>51</v>
      </c>
    </row>
    <row r="209" spans="1:9" x14ac:dyDescent="0.2">
      <c r="A209" s="558" t="s">
        <v>257</v>
      </c>
      <c r="B209" s="559" t="s">
        <v>51</v>
      </c>
    </row>
    <row r="210" spans="1:9" x14ac:dyDescent="0.2">
      <c r="A210" s="558" t="s">
        <v>258</v>
      </c>
      <c r="B210" s="559" t="s">
        <v>51</v>
      </c>
    </row>
    <row r="211" spans="1:9" x14ac:dyDescent="0.2">
      <c r="A211" s="558" t="s">
        <v>259</v>
      </c>
      <c r="B211" s="559" t="s">
        <v>53</v>
      </c>
    </row>
    <row r="212" spans="1:9" x14ac:dyDescent="0.2">
      <c r="A212" s="558" t="s">
        <v>281</v>
      </c>
      <c r="B212" s="559" t="s">
        <v>53</v>
      </c>
      <c r="F212" s="69"/>
      <c r="G212" s="69"/>
      <c r="H212" s="69"/>
      <c r="I212" s="69"/>
    </row>
    <row r="213" spans="1:9" x14ac:dyDescent="0.2">
      <c r="A213" s="560" t="s">
        <v>279</v>
      </c>
      <c r="B213" s="559" t="s">
        <v>53</v>
      </c>
      <c r="F213" s="69"/>
      <c r="G213" s="69"/>
      <c r="H213" s="69"/>
      <c r="I213" s="69"/>
    </row>
    <row r="214" spans="1:9" x14ac:dyDescent="0.2">
      <c r="A214" s="560" t="s">
        <v>457</v>
      </c>
      <c r="B214" s="559" t="s">
        <v>53</v>
      </c>
      <c r="F214" s="69"/>
      <c r="G214" s="69"/>
      <c r="H214" s="69"/>
      <c r="I214" s="69"/>
    </row>
    <row r="215" spans="1:9" ht="16.5" thickBot="1" x14ac:dyDescent="0.25">
      <c r="A215" s="561" t="s">
        <v>460</v>
      </c>
      <c r="B215" s="562" t="s">
        <v>51</v>
      </c>
      <c r="F215" s="69"/>
      <c r="G215" s="69"/>
      <c r="H215" s="69"/>
      <c r="I215" s="69"/>
    </row>
  </sheetData>
  <sheetProtection formatCells="0" formatColumns="0" formatRows="0" insertColumns="0" insertRows="0" deleteColumns="0" deleteRows="0" sort="0" autoFilter="0"/>
  <autoFilter ref="A31:AB31" xr:uid="{00000000-0009-0000-0000-00000B000000}"/>
  <sortState xmlns:xlrd2="http://schemas.microsoft.com/office/spreadsheetml/2017/richdata2" ref="A91:M130">
    <sortCondition ref="A90"/>
  </sortState>
  <dataConsolidate>
    <dataRefs count="2">
      <dataRef ref="B9" sheet="APPENDIX B-1  (FE - USWC)"/>
      <dataRef ref="A14:A18" sheet="APPENDIX B-1  (FE - USWC)"/>
    </dataRefs>
  </dataConsolidate>
  <mergeCells count="269">
    <mergeCell ref="AD198:AE198"/>
    <mergeCell ref="AD199:AE199"/>
    <mergeCell ref="AD200:AE200"/>
    <mergeCell ref="AD201:AE201"/>
    <mergeCell ref="AD202:AE202"/>
    <mergeCell ref="W195:W196"/>
    <mergeCell ref="X195:X196"/>
    <mergeCell ref="Y195:Y196"/>
    <mergeCell ref="Z195:Z196"/>
    <mergeCell ref="AA195:AA196"/>
    <mergeCell ref="AB195:AB196"/>
    <mergeCell ref="AC195:AC196"/>
    <mergeCell ref="AD195:AE196"/>
    <mergeCell ref="AD197:AE197"/>
    <mergeCell ref="E49:E50"/>
    <mergeCell ref="E119:G119"/>
    <mergeCell ref="B67:D67"/>
    <mergeCell ref="A58:C58"/>
    <mergeCell ref="B66:D66"/>
    <mergeCell ref="B118:D118"/>
    <mergeCell ref="E118:G118"/>
    <mergeCell ref="A73:C73"/>
    <mergeCell ref="B69:D69"/>
    <mergeCell ref="B85:D85"/>
    <mergeCell ref="A88:I88"/>
    <mergeCell ref="A93:G93"/>
    <mergeCell ref="B109:D109"/>
    <mergeCell ref="E109:G109"/>
    <mergeCell ref="E103:G103"/>
    <mergeCell ref="B96:D96"/>
    <mergeCell ref="A91:G91"/>
    <mergeCell ref="E96:G96"/>
    <mergeCell ref="E97:G97"/>
    <mergeCell ref="B100:D100"/>
    <mergeCell ref="E100:G100"/>
    <mergeCell ref="B117:D117"/>
    <mergeCell ref="E117:G117"/>
    <mergeCell ref="B70:D70"/>
    <mergeCell ref="I49:I50"/>
    <mergeCell ref="J49:J50"/>
    <mergeCell ref="L49:L50"/>
    <mergeCell ref="M49:M50"/>
    <mergeCell ref="X40:X41"/>
    <mergeCell ref="AC49:AC50"/>
    <mergeCell ref="AA49:AA50"/>
    <mergeCell ref="K49:K50"/>
    <mergeCell ref="I40:I41"/>
    <mergeCell ref="Z49:Z50"/>
    <mergeCell ref="AA40:AA41"/>
    <mergeCell ref="J40:J41"/>
    <mergeCell ref="AB49:AB50"/>
    <mergeCell ref="K91:K93"/>
    <mergeCell ref="B94:D94"/>
    <mergeCell ref="E94:G94"/>
    <mergeCell ref="B110:D110"/>
    <mergeCell ref="E110:G110"/>
    <mergeCell ref="B113:D113"/>
    <mergeCell ref="E113:G113"/>
    <mergeCell ref="B116:D116"/>
    <mergeCell ref="B105:D105"/>
    <mergeCell ref="E105:G105"/>
    <mergeCell ref="B106:D106"/>
    <mergeCell ref="E106:G106"/>
    <mergeCell ref="B108:D108"/>
    <mergeCell ref="E108:G108"/>
    <mergeCell ref="B99:D99"/>
    <mergeCell ref="E99:G99"/>
    <mergeCell ref="B104:D104"/>
    <mergeCell ref="E104:G104"/>
    <mergeCell ref="B107:D107"/>
    <mergeCell ref="E107:G107"/>
    <mergeCell ref="B97:D97"/>
    <mergeCell ref="B103:D103"/>
    <mergeCell ref="B114:D114"/>
    <mergeCell ref="E114:G114"/>
    <mergeCell ref="AA31:AA32"/>
    <mergeCell ref="K31:K32"/>
    <mergeCell ref="L31:L32"/>
    <mergeCell ref="L13:M13"/>
    <mergeCell ref="B14:I14"/>
    <mergeCell ref="J14:K14"/>
    <mergeCell ref="G40:G41"/>
    <mergeCell ref="J13:K13"/>
    <mergeCell ref="J16:K16"/>
    <mergeCell ref="B17:I17"/>
    <mergeCell ref="Y31:Y32"/>
    <mergeCell ref="H40:H41"/>
    <mergeCell ref="Z40:Z41"/>
    <mergeCell ref="Z31:Z32"/>
    <mergeCell ref="Y40:Y41"/>
    <mergeCell ref="X31:X32"/>
    <mergeCell ref="J31:J32"/>
    <mergeCell ref="K40:K41"/>
    <mergeCell ref="C40:C41"/>
    <mergeCell ref="E40:E41"/>
    <mergeCell ref="D40:D41"/>
    <mergeCell ref="A1:B1"/>
    <mergeCell ref="C1:F1"/>
    <mergeCell ref="A2:B2"/>
    <mergeCell ref="C2:F2"/>
    <mergeCell ref="A3:B3"/>
    <mergeCell ref="C3:F3"/>
    <mergeCell ref="L14:M14"/>
    <mergeCell ref="J15:K15"/>
    <mergeCell ref="B22:H22"/>
    <mergeCell ref="J17:K17"/>
    <mergeCell ref="L16:M16"/>
    <mergeCell ref="L17:M17"/>
    <mergeCell ref="B20:H20"/>
    <mergeCell ref="B21:H21"/>
    <mergeCell ref="L15:M15"/>
    <mergeCell ref="C6:F6"/>
    <mergeCell ref="C8:F8"/>
    <mergeCell ref="A12:J12"/>
    <mergeCell ref="B13:I13"/>
    <mergeCell ref="A7:B7"/>
    <mergeCell ref="C7:F7"/>
    <mergeCell ref="B16:I16"/>
    <mergeCell ref="A4:B4"/>
    <mergeCell ref="C4:F4"/>
    <mergeCell ref="A5:B5"/>
    <mergeCell ref="C5:F5"/>
    <mergeCell ref="A6:B6"/>
    <mergeCell ref="B15:I15"/>
    <mergeCell ref="A8:B8"/>
    <mergeCell ref="B23:H23"/>
    <mergeCell ref="I31:I32"/>
    <mergeCell ref="A87:I87"/>
    <mergeCell ref="A92:G92"/>
    <mergeCell ref="B24:H24"/>
    <mergeCell ref="H31:H32"/>
    <mergeCell ref="B25:H25"/>
    <mergeCell ref="B84:D84"/>
    <mergeCell ref="C31:C32"/>
    <mergeCell ref="D31:D32"/>
    <mergeCell ref="E31:E32"/>
    <mergeCell ref="B40:B41"/>
    <mergeCell ref="F31:F32"/>
    <mergeCell ref="F40:F41"/>
    <mergeCell ref="H49:H50"/>
    <mergeCell ref="A48:D48"/>
    <mergeCell ref="A40:A41"/>
    <mergeCell ref="A49:A50"/>
    <mergeCell ref="A74:C74"/>
    <mergeCell ref="A31:A32"/>
    <mergeCell ref="B31:B32"/>
    <mergeCell ref="G31:G32"/>
    <mergeCell ref="M91:M93"/>
    <mergeCell ref="E98:G98"/>
    <mergeCell ref="B102:D102"/>
    <mergeCell ref="E102:G102"/>
    <mergeCell ref="G49:G50"/>
    <mergeCell ref="B81:D81"/>
    <mergeCell ref="A59:C59"/>
    <mergeCell ref="B101:D101"/>
    <mergeCell ref="E101:G101"/>
    <mergeCell ref="B83:D83"/>
    <mergeCell ref="D49:D50"/>
    <mergeCell ref="C49:C50"/>
    <mergeCell ref="B68:D68"/>
    <mergeCell ref="B49:B50"/>
    <mergeCell ref="B82:D82"/>
    <mergeCell ref="F49:F50"/>
    <mergeCell ref="L91:L93"/>
    <mergeCell ref="J91:J93"/>
    <mergeCell ref="I91:I93"/>
    <mergeCell ref="H91:H93"/>
    <mergeCell ref="B89:I89"/>
    <mergeCell ref="B115:D115"/>
    <mergeCell ref="E115:G115"/>
    <mergeCell ref="L132:L133"/>
    <mergeCell ref="B95:D95"/>
    <mergeCell ref="E95:G95"/>
    <mergeCell ref="I132:I133"/>
    <mergeCell ref="J132:J133"/>
    <mergeCell ref="K132:K133"/>
    <mergeCell ref="A129:I129"/>
    <mergeCell ref="B125:D125"/>
    <mergeCell ref="A130:I130"/>
    <mergeCell ref="E126:G126"/>
    <mergeCell ref="E124:G124"/>
    <mergeCell ref="B128:D128"/>
    <mergeCell ref="H132:H133"/>
    <mergeCell ref="A132:D132"/>
    <mergeCell ref="E128:G128"/>
    <mergeCell ref="F132:F133"/>
    <mergeCell ref="B112:D112"/>
    <mergeCell ref="B122:D122"/>
    <mergeCell ref="E112:G112"/>
    <mergeCell ref="B98:D98"/>
    <mergeCell ref="E111:G111"/>
    <mergeCell ref="B111:D111"/>
    <mergeCell ref="E116:G116"/>
    <mergeCell ref="B119:D119"/>
    <mergeCell ref="B160:I160"/>
    <mergeCell ref="B120:D120"/>
    <mergeCell ref="E120:G120"/>
    <mergeCell ref="E123:G123"/>
    <mergeCell ref="B124:D124"/>
    <mergeCell ref="E125:G125"/>
    <mergeCell ref="B123:D123"/>
    <mergeCell ref="A147:E147"/>
    <mergeCell ref="G132:G133"/>
    <mergeCell ref="H139:H140"/>
    <mergeCell ref="I139:I140"/>
    <mergeCell ref="E132:E133"/>
    <mergeCell ref="B127:D127"/>
    <mergeCell ref="E127:G127"/>
    <mergeCell ref="B126:D126"/>
    <mergeCell ref="E122:G122"/>
    <mergeCell ref="B121:D121"/>
    <mergeCell ref="E121:G121"/>
    <mergeCell ref="M139:M140"/>
    <mergeCell ref="A150:F150"/>
    <mergeCell ref="F195:F196"/>
    <mergeCell ref="M184:N184"/>
    <mergeCell ref="M188:N188"/>
    <mergeCell ref="A194:H194"/>
    <mergeCell ref="B162:I162"/>
    <mergeCell ref="B161:I161"/>
    <mergeCell ref="L139:L140"/>
    <mergeCell ref="B163:I163"/>
    <mergeCell ref="A157:I157"/>
    <mergeCell ref="A151:F151"/>
    <mergeCell ref="J139:J140"/>
    <mergeCell ref="B159:I159"/>
    <mergeCell ref="E139:E140"/>
    <mergeCell ref="A149:F149"/>
    <mergeCell ref="H182:H183"/>
    <mergeCell ref="B166:I166"/>
    <mergeCell ref="G139:G140"/>
    <mergeCell ref="F139:F140"/>
    <mergeCell ref="B165:I165"/>
    <mergeCell ref="K139:K140"/>
    <mergeCell ref="A139:D139"/>
    <mergeCell ref="M189:N189"/>
    <mergeCell ref="J182:J183"/>
    <mergeCell ref="B164:I164"/>
    <mergeCell ref="B167:I167"/>
    <mergeCell ref="M185:N185"/>
    <mergeCell ref="M186:N186"/>
    <mergeCell ref="B168:I168"/>
    <mergeCell ref="I182:I183"/>
    <mergeCell ref="M182:N183"/>
    <mergeCell ref="B170:I170"/>
    <mergeCell ref="B173:I173"/>
    <mergeCell ref="G182:G183"/>
    <mergeCell ref="B169:I169"/>
    <mergeCell ref="A192:G192"/>
    <mergeCell ref="C195:C196"/>
    <mergeCell ref="A177:B177"/>
    <mergeCell ref="A181:E181"/>
    <mergeCell ref="B172:I172"/>
    <mergeCell ref="B171:I171"/>
    <mergeCell ref="A182:A183"/>
    <mergeCell ref="A195:A196"/>
    <mergeCell ref="E195:E196"/>
    <mergeCell ref="B195:B196"/>
    <mergeCell ref="B182:B183"/>
    <mergeCell ref="M187:N187"/>
    <mergeCell ref="A179:G179"/>
    <mergeCell ref="D195:D196"/>
    <mergeCell ref="K182:K183"/>
    <mergeCell ref="D182:D183"/>
    <mergeCell ref="C182:C183"/>
    <mergeCell ref="F182:F183"/>
    <mergeCell ref="E182:E183"/>
    <mergeCell ref="L182:L183"/>
    <mergeCell ref="G195:V195"/>
  </mergeCells>
  <phoneticPr fontId="11" type="noConversion"/>
  <dataValidations count="33">
    <dataValidation type="list" allowBlank="1" showInputMessage="1" showErrorMessage="1" sqref="B207:B215" xr:uid="{00000000-0002-0000-0B00-000000000000}">
      <formula1>Autom</formula1>
    </dataValidation>
    <dataValidation type="list" showInputMessage="1" showErrorMessage="1" sqref="C184:C189 C197:C202" xr:uid="{00000000-0002-0000-0B00-000001000000}">
      <formula1>IF($B184="I",DDTARIFFUS,DDTARIFF)</formula1>
    </dataValidation>
    <dataValidation type="list" allowBlank="1" showInputMessage="1" showErrorMessage="1" sqref="B184:B189 B197:B202" xr:uid="{00000000-0002-0000-0B00-000002000000}">
      <formula1>EXPIMP</formula1>
    </dataValidation>
    <dataValidation type="list" allowBlank="1" showInputMessage="1" showErrorMessage="1" sqref="F184:F189 W197:W202" xr:uid="{00000000-0002-0000-0B00-000003000000}">
      <formula1>EQTYPE</formula1>
    </dataValidation>
    <dataValidation type="list" allowBlank="1" showInputMessage="1" showErrorMessage="1" sqref="G184:G189 X197:X202" xr:uid="{00000000-0002-0000-0B00-000004000000}">
      <formula1>OPREEFER</formula1>
    </dataValidation>
    <dataValidation type="list" allowBlank="1" showInputMessage="1" showErrorMessage="1" sqref="F197:F202" xr:uid="{71CE1765-FE8F-4C96-A04B-0DDBAB9477E5}">
      <formula1>CURRENCY</formula1>
    </dataValidation>
    <dataValidation type="whole" allowBlank="1" showInputMessage="1" showErrorMessage="1" error="Only whole numbers can be entered into this field" sqref="D184:D189 D197:D202" xr:uid="{00000000-0002-0000-0B00-000006000000}">
      <formula1>1</formula1>
      <formula2>99</formula2>
    </dataValidation>
    <dataValidation type="list" showInputMessage="1" showErrorMessage="1" sqref="E184:E189 E197:E202" xr:uid="{00000000-0002-0000-0B00-000007000000}">
      <formula1>DAYS</formula1>
    </dataValidation>
    <dataValidation type="whole" allowBlank="1" showInputMessage="1" showErrorMessage="1" error="Only whole numbers may be entered into this field_x000a_" sqref="G197:G202 S197:S202 O197:O202 K197:K202" xr:uid="{D10F1D80-111A-4144-AB60-C510D878B6F3}">
      <formula1>1</formula1>
      <formula2>99</formula2>
    </dataValidation>
    <dataValidation type="decimal" allowBlank="1" showInputMessage="1" showErrorMessage="1" error="Only numbers may be entered into this field" sqref="H197:J202 L197:N202 P197:R202 T197:V202" xr:uid="{047CC846-14D8-479B-8F9D-A4567A8795E7}">
      <formula1>1</formula1>
      <formula2>1000000000</formula2>
    </dataValidation>
    <dataValidation type="list" showInputMessage="1" showErrorMessage="1" sqref="K134:K137 K141:K144 N82:N85 A33:A36 A51:A54 A42:A45 N67:N70" xr:uid="{00000000-0002-0000-0B00-00000A000000}">
      <formula1>$A$14:$A$18</formula1>
    </dataValidation>
    <dataValidation type="list" allowBlank="1" showInputMessage="1" showErrorMessage="1" sqref="J134:J137 J141:J144" xr:uid="{00000000-0002-0000-0B00-00000B000000}">
      <formula1>GRIPSS</formula1>
    </dataValidation>
    <dataValidation type="decimal" allowBlank="1" showInputMessage="1" showErrorMessage="1" sqref="F141:I144 F134:I137 I51:L54 J82:M85 I42:K45 I33:L36" xr:uid="{00000000-0002-0000-0B00-00000C000000}">
      <formula1>0</formula1>
      <formula2>999999999999999</formula2>
    </dataValidation>
    <dataValidation type="list" allowBlank="1" showInputMessage="1" showErrorMessage="1" sqref="E134:E137 E141:E144" xr:uid="{00000000-0002-0000-0B00-00000D000000}">
      <formula1>GRIPSS_EQ</formula1>
    </dataValidation>
    <dataValidation type="list" showInputMessage="1" showErrorMessage="1" sqref="A184:A189 A197:A202" xr:uid="{00000000-0002-0000-0B00-00000E000000}">
      <formula1>BULLET</formula1>
    </dataValidation>
    <dataValidation type="date" allowBlank="1" showInputMessage="1" showErrorMessage="1" sqref="X33:Y36 J94:K128" xr:uid="{00000000-0002-0000-0B00-00000F000000}">
      <formula1>10101</formula1>
      <formula2>311299</formula2>
    </dataValidation>
    <dataValidation type="list" showDropDown="1" showErrorMessage="1" sqref="O66:P66 O81:P81" xr:uid="{00000000-0002-0000-0B00-000010000000}">
      <formula1>Charges</formula1>
    </dataValidation>
    <dataValidation type="list" allowBlank="1" showInputMessage="1" showErrorMessage="1" sqref="O67:P70 O82:P85" xr:uid="{00000000-0002-0000-0B00-000011000000}">
      <formula1 xml:space="preserve"> droppull</formula1>
    </dataValidation>
    <dataValidation type="list" allowBlank="1" showInputMessage="1" showErrorMessage="1" sqref="L42:L45 G82:G85 N42:N45 P51:P54 G67:G70" xr:uid="{00000000-0002-0000-0B00-000012000000}">
      <formula1>YesNo</formula1>
    </dataValidation>
    <dataValidation type="list" allowBlank="1" showInputMessage="1" showErrorMessage="1" sqref="M51:M54" xr:uid="{00000000-0002-0000-0B00-000013000000}">
      <formula1>Equip</formula1>
    </dataValidation>
    <dataValidation type="list" allowBlank="1" showInputMessage="1" showErrorMessage="1" sqref="F67:F70 F82:F85" xr:uid="{00000000-0002-0000-0B00-000014000000}">
      <formula1>ArbMode</formula1>
    </dataValidation>
    <dataValidation type="list" allowBlank="1" showInputMessage="1" showErrorMessage="1" sqref="G42:G45 G33:G36 G51:G54" xr:uid="{00000000-0002-0000-0B00-000015000000}">
      <formula1>SDD</formula1>
    </dataValidation>
    <dataValidation type="list" allowBlank="1" showInputMessage="1" showErrorMessage="1" sqref="M32:W32 Q50:Y50" xr:uid="{00000000-0002-0000-0B00-000016000000}">
      <formula1>Container</formula1>
    </dataValidation>
    <dataValidation type="list" allowBlank="1" showInputMessage="1" showErrorMessage="1" sqref="O41:W41" xr:uid="{00000000-0002-0000-0B00-000017000000}">
      <formula1>Reefer</formula1>
    </dataValidation>
    <dataValidation type="list" allowBlank="1" showInputMessage="1" showErrorMessage="1" sqref="F33:F36 F42:F45 F51:F54" xr:uid="{00000000-0002-0000-0B00-000018000000}">
      <formula1>Mode</formula1>
    </dataValidation>
    <dataValidation type="list" allowBlank="1" showInputMessage="1" showErrorMessage="1" sqref="M42:M45 O51:O54" xr:uid="{00000000-0002-0000-0B00-000019000000}">
      <formula1>ShipperOwn</formula1>
    </dataValidation>
    <dataValidation type="list" allowBlank="1" showInputMessage="1" showErrorMessage="1" sqref="N51:N54" xr:uid="{00000000-0002-0000-0B00-00001A000000}">
      <formula1>OOG</formula1>
    </dataValidation>
    <dataValidation type="list" allowBlank="1" showErrorMessage="1" sqref="M31:W31 O40:W40 Q49:Y49" xr:uid="{00000000-0002-0000-0B00-00001B000000}">
      <formula1>Exceptions</formula1>
    </dataValidation>
    <dataValidation type="list" allowBlank="1" showInputMessage="1" showErrorMessage="1" sqref="AA33:AA36 AA42:AA45 AC51:AC54" xr:uid="{00000000-0002-0000-0B00-00001C000000}">
      <formula1>CST</formula1>
    </dataValidation>
    <dataValidation type="list" allowBlank="1" showInputMessage="1" showErrorMessage="1" sqref="I94:I128" xr:uid="{00000000-0002-0000-0B00-00001D000000}">
      <formula1>$A$14:$A$18</formula1>
    </dataValidation>
    <dataValidation type="list" allowBlank="1" showErrorMessage="1" sqref="A94:A128" xr:uid="{00000000-0002-0000-0B00-00001E000000}">
      <formula1>Charges</formula1>
    </dataValidation>
    <dataValidation allowBlank="1" showInputMessage="1" showErrorMessage="1" promptTitle="Acceptable Values:" prompt="- Applicable _x000a_- Not applicable _x000a_- Included_x000a_- Amount and OSPF for cases of fixed per D40 OSPF_x000a_    (example-  &quot;375 OSPF&quot;)" sqref="E94:G128" xr:uid="{00000000-0002-0000-0B00-00001F000000}"/>
    <dataValidation type="list" allowBlank="1" showInputMessage="1" showErrorMessage="1" errorTitle="Pick up the list" promptTitle="Blank = ALL" sqref="H94:H128" xr:uid="{00000000-0002-0000-0B00-000020000000}">
      <formula1>Type_note2</formula1>
    </dataValidation>
  </dataValidations>
  <pageMargins left="0.25" right="0.25" top="0.25" bottom="0.25" header="0.5" footer="0"/>
  <pageSetup scale="28" fitToHeight="0" orientation="landscape" r:id="rId1"/>
  <headerFooter alignWithMargins="0"/>
  <rowBreaks count="1" manualBreakCount="1">
    <brk id="89" max="16383" man="1"/>
  </rowBreaks>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54">
    <tabColor indexed="46"/>
    <pageSetUpPr fitToPage="1"/>
  </sheetPr>
  <dimension ref="A1:BB213"/>
  <sheetViews>
    <sheetView showGridLines="0" topLeftCell="A181" zoomScale="75" zoomScaleNormal="75" zoomScaleSheetLayoutView="75" workbookViewId="0">
      <selection activeCell="G193" sqref="A193:XFD200"/>
    </sheetView>
  </sheetViews>
  <sheetFormatPr defaultColWidth="9.140625" defaultRowHeight="15.75" x14ac:dyDescent="0.2"/>
  <cols>
    <col min="1" max="1" width="25.140625" style="69" customWidth="1"/>
    <col min="2" max="2" width="18.5703125" style="69" customWidth="1"/>
    <col min="3" max="3" width="18.28515625" style="69" customWidth="1"/>
    <col min="4" max="4" width="17.42578125" style="69" customWidth="1"/>
    <col min="5" max="5" width="19.28515625" style="69" customWidth="1"/>
    <col min="6" max="6" width="12.140625" style="211" customWidth="1"/>
    <col min="7" max="8" width="17.42578125" style="211" customWidth="1"/>
    <col min="9" max="9" width="17.7109375" style="211" customWidth="1"/>
    <col min="10" max="10" width="17.85546875" style="69" customWidth="1"/>
    <col min="11" max="11" width="16.5703125" style="69" customWidth="1"/>
    <col min="12" max="12" width="18.5703125" style="69" customWidth="1"/>
    <col min="13" max="13" width="17.28515625" style="69" customWidth="1"/>
    <col min="14" max="14" width="17.7109375" style="69" customWidth="1"/>
    <col min="15" max="16" width="16.5703125" style="69" customWidth="1"/>
    <col min="17" max="17" width="17.5703125" style="69" customWidth="1"/>
    <col min="18" max="18" width="15.85546875" style="69" customWidth="1"/>
    <col min="19" max="19" width="16.7109375" style="69" customWidth="1"/>
    <col min="20" max="20" width="16.5703125" style="69" customWidth="1"/>
    <col min="21" max="21" width="16.7109375" style="69" customWidth="1"/>
    <col min="22" max="22" width="17.5703125" style="69" customWidth="1"/>
    <col min="23" max="23" width="18" style="69" customWidth="1"/>
    <col min="24" max="24" width="12.7109375" style="69" customWidth="1"/>
    <col min="25" max="25" width="16.85546875" style="69" customWidth="1"/>
    <col min="26" max="26" width="9.7109375" style="69" customWidth="1"/>
    <col min="27" max="27" width="14.140625" style="69" customWidth="1"/>
    <col min="28" max="28" width="9.7109375" style="69" customWidth="1"/>
    <col min="29" max="29" width="14.140625" style="69" customWidth="1"/>
    <col min="30" max="16384" width="9.140625" style="69"/>
  </cols>
  <sheetData>
    <row r="1" spans="1:54" x14ac:dyDescent="0.2">
      <c r="A1" s="835" t="s">
        <v>511</v>
      </c>
      <c r="B1" s="837"/>
      <c r="C1" s="902" t="str">
        <f>Cover!B1</f>
        <v>22-XXXX</v>
      </c>
      <c r="D1" s="903"/>
      <c r="E1" s="903"/>
      <c r="F1" s="904"/>
      <c r="G1" s="69"/>
      <c r="H1" s="69"/>
      <c r="I1" s="69"/>
    </row>
    <row r="2" spans="1:54" x14ac:dyDescent="0.2">
      <c r="A2" s="885" t="s">
        <v>1236</v>
      </c>
      <c r="B2" s="886"/>
      <c r="C2" s="887"/>
      <c r="D2" s="888"/>
      <c r="E2" s="888"/>
      <c r="F2" s="889"/>
      <c r="G2" s="69"/>
      <c r="H2" s="69"/>
      <c r="I2" s="69"/>
    </row>
    <row r="3" spans="1:54" x14ac:dyDescent="0.2">
      <c r="A3" s="885" t="s">
        <v>522</v>
      </c>
      <c r="B3" s="886"/>
      <c r="C3" s="905">
        <f>Cover!B2</f>
        <v>0</v>
      </c>
      <c r="D3" s="906"/>
      <c r="E3" s="906"/>
      <c r="F3" s="907"/>
      <c r="G3" s="69"/>
      <c r="H3" s="69"/>
      <c r="I3" s="69"/>
    </row>
    <row r="4" spans="1:54" x14ac:dyDescent="0.2">
      <c r="A4" s="885" t="s">
        <v>1229</v>
      </c>
      <c r="B4" s="886"/>
      <c r="C4" s="884">
        <f>Cover!B7</f>
        <v>0</v>
      </c>
      <c r="D4" s="817"/>
      <c r="E4" s="817"/>
      <c r="F4" s="818"/>
      <c r="G4" s="69"/>
      <c r="H4" s="69"/>
      <c r="I4" s="69"/>
    </row>
    <row r="5" spans="1:54" x14ac:dyDescent="0.2">
      <c r="A5" s="885" t="s">
        <v>528</v>
      </c>
      <c r="B5" s="886"/>
      <c r="C5" s="887" t="s">
        <v>564</v>
      </c>
      <c r="D5" s="888"/>
      <c r="E5" s="888"/>
      <c r="F5" s="889"/>
      <c r="G5" s="69"/>
      <c r="H5" s="69"/>
      <c r="I5" s="69"/>
    </row>
    <row r="6" spans="1:54" ht="15.75" customHeight="1" x14ac:dyDescent="0.2">
      <c r="A6" s="885" t="s">
        <v>512</v>
      </c>
      <c r="B6" s="886"/>
      <c r="C6" s="887" t="s">
        <v>571</v>
      </c>
      <c r="D6" s="888"/>
      <c r="E6" s="888"/>
      <c r="F6" s="889"/>
      <c r="G6" s="69"/>
      <c r="H6" s="69"/>
      <c r="I6" s="69"/>
    </row>
    <row r="7" spans="1:54" ht="15.75" customHeight="1" x14ac:dyDescent="0.2">
      <c r="A7" s="885" t="s">
        <v>612</v>
      </c>
      <c r="B7" s="886"/>
      <c r="C7" s="887" t="s">
        <v>185</v>
      </c>
      <c r="D7" s="888"/>
      <c r="E7" s="888"/>
      <c r="F7" s="889"/>
      <c r="G7" s="69"/>
      <c r="H7" s="69"/>
      <c r="I7" s="69"/>
    </row>
    <row r="8" spans="1:54" ht="2.25" customHeight="1" thickBot="1" x14ac:dyDescent="0.25">
      <c r="A8" s="900"/>
      <c r="B8" s="901"/>
      <c r="C8" s="894"/>
      <c r="D8" s="895"/>
      <c r="E8" s="895"/>
      <c r="F8" s="896"/>
      <c r="G8" s="69"/>
      <c r="H8" s="69"/>
      <c r="I8" s="69"/>
    </row>
    <row r="9" spans="1:54" s="73" customFormat="1" x14ac:dyDescent="0.2">
      <c r="A9" s="442">
        <v>39</v>
      </c>
      <c r="B9" s="443" t="s">
        <v>614</v>
      </c>
      <c r="D9" s="444"/>
      <c r="E9" s="444"/>
      <c r="F9" s="445"/>
    </row>
    <row r="10" spans="1:54" s="73" customFormat="1" ht="16.5" thickBot="1" x14ac:dyDescent="0.25">
      <c r="A10" s="446"/>
      <c r="D10" s="444"/>
      <c r="E10" s="444"/>
      <c r="F10" s="445"/>
      <c r="G10" s="447"/>
      <c r="H10" s="444"/>
      <c r="I10" s="444"/>
      <c r="J10" s="444"/>
    </row>
    <row r="11" spans="1:54" ht="19.5" thickBot="1" x14ac:dyDescent="0.25">
      <c r="A11" s="448" t="s">
        <v>613</v>
      </c>
      <c r="B11" s="449"/>
      <c r="C11" s="73"/>
      <c r="D11" s="444"/>
      <c r="E11" s="444"/>
      <c r="F11" s="445"/>
      <c r="G11" s="447"/>
      <c r="H11" s="444"/>
      <c r="I11" s="444"/>
      <c r="J11" s="444"/>
    </row>
    <row r="12" spans="1:54" s="78" customFormat="1" ht="16.5" thickBot="1" x14ac:dyDescent="0.25">
      <c r="A12" s="897" t="s">
        <v>616</v>
      </c>
      <c r="B12" s="898"/>
      <c r="C12" s="898"/>
      <c r="D12" s="898"/>
      <c r="E12" s="898"/>
      <c r="F12" s="898"/>
      <c r="G12" s="898"/>
      <c r="H12" s="898"/>
      <c r="I12" s="898"/>
      <c r="J12" s="899"/>
    </row>
    <row r="13" spans="1:54" ht="17.25" customHeight="1" x14ac:dyDescent="0.2">
      <c r="A13" s="450" t="s">
        <v>617</v>
      </c>
      <c r="B13" s="881" t="s">
        <v>618</v>
      </c>
      <c r="C13" s="881"/>
      <c r="D13" s="881"/>
      <c r="E13" s="881"/>
      <c r="F13" s="881"/>
      <c r="G13" s="881"/>
      <c r="H13" s="881"/>
      <c r="I13" s="881"/>
      <c r="J13" s="882" t="s">
        <v>622</v>
      </c>
      <c r="K13" s="883"/>
      <c r="L13" s="890" t="s">
        <v>623</v>
      </c>
      <c r="M13" s="891"/>
      <c r="N13" s="350" t="s">
        <v>4</v>
      </c>
    </row>
    <row r="14" spans="1:54" s="81" customFormat="1" x14ac:dyDescent="0.2">
      <c r="A14" s="451"/>
      <c r="B14" s="862"/>
      <c r="C14" s="892"/>
      <c r="D14" s="892"/>
      <c r="E14" s="892"/>
      <c r="F14" s="892"/>
      <c r="G14" s="892"/>
      <c r="H14" s="892"/>
      <c r="I14" s="892"/>
      <c r="J14" s="870"/>
      <c r="K14" s="855"/>
      <c r="L14" s="893"/>
      <c r="M14" s="871"/>
      <c r="N14" s="349" t="str">
        <f>IF($A14&gt;0,$A14,"")</f>
        <v/>
      </c>
    </row>
    <row r="15" spans="1:54" s="453" customFormat="1" x14ac:dyDescent="0.2">
      <c r="A15" s="452"/>
      <c r="B15" s="879"/>
      <c r="C15" s="880"/>
      <c r="D15" s="880"/>
      <c r="E15" s="880"/>
      <c r="F15" s="880"/>
      <c r="G15" s="880"/>
      <c r="H15" s="880"/>
      <c r="I15" s="880"/>
      <c r="J15" s="870"/>
      <c r="K15" s="855"/>
      <c r="L15" s="870"/>
      <c r="M15" s="871"/>
      <c r="N15" s="349" t="str">
        <f>IF($A15&gt;0,$A15,"")</f>
        <v/>
      </c>
      <c r="BB15" s="81"/>
    </row>
    <row r="16" spans="1:54" s="453" customFormat="1" x14ac:dyDescent="0.2">
      <c r="A16" s="452"/>
      <c r="B16" s="879"/>
      <c r="C16" s="880"/>
      <c r="D16" s="880"/>
      <c r="E16" s="880"/>
      <c r="F16" s="880"/>
      <c r="G16" s="880"/>
      <c r="H16" s="880"/>
      <c r="I16" s="880"/>
      <c r="J16" s="870"/>
      <c r="K16" s="855"/>
      <c r="L16" s="870"/>
      <c r="M16" s="871"/>
      <c r="N16" s="349" t="str">
        <f>IF($A16&gt;0,$A16,"")</f>
        <v/>
      </c>
      <c r="BB16" s="81"/>
    </row>
    <row r="17" spans="1:54" s="453" customFormat="1" ht="16.5" thickBot="1" x14ac:dyDescent="0.25">
      <c r="A17" s="454"/>
      <c r="B17" s="864"/>
      <c r="C17" s="865"/>
      <c r="D17" s="865"/>
      <c r="E17" s="865"/>
      <c r="F17" s="865"/>
      <c r="G17" s="865"/>
      <c r="H17" s="865"/>
      <c r="I17" s="865"/>
      <c r="J17" s="866"/>
      <c r="K17" s="867"/>
      <c r="L17" s="857"/>
      <c r="M17" s="858"/>
      <c r="N17" s="349" t="str">
        <f>IF($A17&gt;0,$A17,"")</f>
        <v/>
      </c>
      <c r="BB17" s="81"/>
    </row>
    <row r="18" spans="1:54" s="462" customFormat="1" ht="16.5" thickBot="1" x14ac:dyDescent="0.25">
      <c r="A18" s="455"/>
      <c r="B18" s="456"/>
      <c r="C18" s="457"/>
      <c r="D18" s="458"/>
      <c r="E18" s="458"/>
      <c r="F18" s="459"/>
      <c r="G18" s="459"/>
      <c r="H18" s="460"/>
      <c r="I18" s="461"/>
      <c r="J18" s="461"/>
      <c r="K18" s="457"/>
      <c r="L18" s="457"/>
      <c r="M18" s="457"/>
      <c r="N18" s="349" t="str">
        <f>IF($A18&gt;0,$A18,"")</f>
        <v/>
      </c>
      <c r="O18" s="457"/>
      <c r="P18" s="457"/>
      <c r="Q18" s="457"/>
      <c r="BB18" s="81"/>
    </row>
    <row r="19" spans="1:54" s="462" customFormat="1" ht="19.5" thickBot="1" x14ac:dyDescent="0.25">
      <c r="A19" s="448" t="s">
        <v>419</v>
      </c>
      <c r="B19" s="463"/>
      <c r="I19" s="461"/>
      <c r="J19" s="461"/>
      <c r="K19" s="457"/>
      <c r="L19" s="457"/>
      <c r="M19" s="457"/>
      <c r="N19" s="457"/>
      <c r="O19" s="457"/>
      <c r="P19" s="457"/>
      <c r="Q19" s="457"/>
    </row>
    <row r="20" spans="1:54" s="462" customFormat="1" x14ac:dyDescent="0.2">
      <c r="A20" s="464" t="s">
        <v>419</v>
      </c>
      <c r="B20" s="859" t="s">
        <v>618</v>
      </c>
      <c r="C20" s="860"/>
      <c r="D20" s="860"/>
      <c r="E20" s="860"/>
      <c r="F20" s="860"/>
      <c r="G20" s="860"/>
      <c r="H20" s="861"/>
      <c r="I20" s="461"/>
      <c r="J20" s="461"/>
      <c r="K20" s="457"/>
      <c r="L20" s="457"/>
      <c r="M20" s="457"/>
      <c r="N20" s="457"/>
      <c r="O20" s="457"/>
      <c r="P20" s="457"/>
      <c r="Q20" s="457"/>
    </row>
    <row r="21" spans="1:54" s="467" customFormat="1" ht="15.75" customHeight="1" x14ac:dyDescent="0.2">
      <c r="A21" s="451" t="s">
        <v>462</v>
      </c>
      <c r="B21" s="862" t="s">
        <v>465</v>
      </c>
      <c r="C21" s="862"/>
      <c r="D21" s="862"/>
      <c r="E21" s="862"/>
      <c r="F21" s="862"/>
      <c r="G21" s="862"/>
      <c r="H21" s="863"/>
      <c r="I21" s="220"/>
      <c r="J21" s="465"/>
      <c r="K21" s="466"/>
      <c r="L21" s="466"/>
      <c r="M21" s="466"/>
      <c r="N21" s="466"/>
      <c r="O21" s="466"/>
      <c r="P21" s="466"/>
      <c r="Q21" s="466"/>
    </row>
    <row r="22" spans="1:54" s="467" customFormat="1" x14ac:dyDescent="0.2">
      <c r="A22" s="468"/>
      <c r="B22" s="862"/>
      <c r="C22" s="862"/>
      <c r="D22" s="862"/>
      <c r="E22" s="862"/>
      <c r="F22" s="862"/>
      <c r="G22" s="862"/>
      <c r="H22" s="863"/>
      <c r="I22" s="465"/>
      <c r="J22" s="465"/>
      <c r="K22" s="466"/>
      <c r="L22" s="466"/>
      <c r="M22" s="466"/>
      <c r="N22" s="466"/>
      <c r="O22" s="466"/>
      <c r="P22" s="466"/>
      <c r="Q22" s="466"/>
    </row>
    <row r="23" spans="1:54" s="467" customFormat="1" x14ac:dyDescent="0.2">
      <c r="A23" s="468"/>
      <c r="B23" s="854"/>
      <c r="C23" s="855"/>
      <c r="D23" s="855"/>
      <c r="E23" s="855"/>
      <c r="F23" s="855"/>
      <c r="G23" s="855"/>
      <c r="H23" s="856"/>
      <c r="I23" s="465"/>
      <c r="J23" s="465"/>
      <c r="K23" s="466"/>
      <c r="L23" s="466"/>
      <c r="M23" s="466"/>
      <c r="N23" s="466"/>
      <c r="O23" s="466"/>
      <c r="P23" s="466"/>
      <c r="Q23" s="466"/>
    </row>
    <row r="24" spans="1:54" s="467" customFormat="1" ht="16.5" thickBot="1" x14ac:dyDescent="0.25">
      <c r="A24" s="469"/>
      <c r="B24" s="877"/>
      <c r="C24" s="867"/>
      <c r="D24" s="867"/>
      <c r="E24" s="867"/>
      <c r="F24" s="867"/>
      <c r="G24" s="867"/>
      <c r="H24" s="878"/>
      <c r="I24" s="465"/>
      <c r="J24" s="465"/>
      <c r="K24" s="466"/>
      <c r="L24" s="466"/>
      <c r="M24" s="466"/>
      <c r="N24" s="466"/>
      <c r="O24" s="466"/>
      <c r="P24" s="466"/>
      <c r="Q24" s="466"/>
    </row>
    <row r="25" spans="1:54" s="462" customFormat="1" ht="16.5" thickBot="1" x14ac:dyDescent="0.25">
      <c r="A25" s="456"/>
      <c r="B25" s="95"/>
      <c r="C25" s="95"/>
      <c r="D25" s="95"/>
      <c r="E25" s="95"/>
      <c r="F25" s="95"/>
      <c r="G25" s="95"/>
      <c r="H25" s="95"/>
      <c r="I25" s="461"/>
      <c r="J25" s="461"/>
      <c r="K25" s="457"/>
      <c r="L25" s="457"/>
      <c r="M25" s="457"/>
      <c r="N25" s="457"/>
      <c r="O25" s="457"/>
      <c r="P25" s="457"/>
      <c r="Q25" s="457"/>
      <c r="R25" s="457"/>
      <c r="S25" s="457"/>
      <c r="T25" s="457"/>
      <c r="U25" s="457"/>
    </row>
    <row r="26" spans="1:54" s="462" customFormat="1" ht="19.5" thickBot="1" x14ac:dyDescent="0.25">
      <c r="A26" s="448" t="s">
        <v>624</v>
      </c>
      <c r="B26" s="449"/>
      <c r="I26" s="461"/>
      <c r="J26" s="461"/>
      <c r="K26" s="457"/>
      <c r="L26" s="457"/>
      <c r="M26" s="457"/>
      <c r="N26" s="457"/>
      <c r="O26" s="457"/>
      <c r="P26" s="457"/>
      <c r="Q26" s="457"/>
      <c r="R26" s="457"/>
      <c r="S26" s="457"/>
      <c r="T26" s="457"/>
      <c r="U26" s="457"/>
    </row>
    <row r="27" spans="1:54" s="462" customFormat="1" x14ac:dyDescent="0.2">
      <c r="A27" s="223" t="s">
        <v>886</v>
      </c>
      <c r="B27" s="470"/>
      <c r="C27" s="471"/>
      <c r="D27" s="472"/>
      <c r="E27" s="472"/>
      <c r="F27" s="473"/>
      <c r="G27" s="473"/>
      <c r="H27" s="473"/>
      <c r="I27" s="474"/>
      <c r="J27" s="475"/>
      <c r="K27" s="476"/>
      <c r="L27" s="457"/>
      <c r="M27" s="457"/>
      <c r="N27" s="457"/>
      <c r="O27" s="457"/>
      <c r="P27" s="457"/>
      <c r="Q27" s="457"/>
      <c r="R27" s="457"/>
      <c r="S27" s="457"/>
      <c r="T27" s="457"/>
      <c r="U27" s="457"/>
      <c r="V27" s="457"/>
    </row>
    <row r="28" spans="1:54" s="462" customFormat="1" x14ac:dyDescent="0.2">
      <c r="A28" s="96" t="s">
        <v>626</v>
      </c>
      <c r="B28" s="214"/>
      <c r="C28" s="477"/>
      <c r="D28" s="478"/>
      <c r="E28" s="478"/>
      <c r="F28" s="479"/>
      <c r="G28" s="479"/>
      <c r="H28" s="479"/>
      <c r="I28" s="480"/>
      <c r="J28" s="481"/>
      <c r="K28" s="482"/>
      <c r="L28" s="457"/>
      <c r="M28" s="457"/>
      <c r="N28" s="457"/>
      <c r="O28" s="457"/>
      <c r="P28" s="457"/>
      <c r="Q28" s="457"/>
      <c r="R28" s="457"/>
    </row>
    <row r="29" spans="1:54" s="462" customFormat="1" ht="16.5" thickBot="1" x14ac:dyDescent="0.25">
      <c r="A29" s="110" t="s">
        <v>172</v>
      </c>
      <c r="B29" s="483"/>
      <c r="C29" s="484"/>
      <c r="D29" s="485"/>
      <c r="E29" s="485"/>
      <c r="F29" s="486"/>
      <c r="G29" s="486"/>
      <c r="H29" s="486"/>
      <c r="I29" s="487"/>
      <c r="J29" s="488"/>
      <c r="K29" s="489"/>
      <c r="L29" s="457"/>
      <c r="M29" s="457"/>
      <c r="N29" s="457"/>
      <c r="O29" s="457"/>
      <c r="P29" s="457"/>
      <c r="Q29" s="457"/>
      <c r="R29" s="457"/>
      <c r="S29" s="118"/>
      <c r="T29" s="118"/>
      <c r="U29" s="118"/>
      <c r="V29" s="457"/>
      <c r="W29" s="457"/>
      <c r="X29" s="457"/>
    </row>
    <row r="30" spans="1:54" s="491" customFormat="1" ht="32.25" customHeight="1" x14ac:dyDescent="0.2">
      <c r="A30" s="875" t="s">
        <v>627</v>
      </c>
      <c r="B30" s="868" t="s">
        <v>628</v>
      </c>
      <c r="C30" s="868" t="s">
        <v>11</v>
      </c>
      <c r="D30" s="868" t="s">
        <v>12</v>
      </c>
      <c r="E30" s="868" t="s">
        <v>13</v>
      </c>
      <c r="F30" s="868" t="s">
        <v>14</v>
      </c>
      <c r="G30" s="868" t="s">
        <v>15</v>
      </c>
      <c r="H30" s="868" t="s">
        <v>16</v>
      </c>
      <c r="I30" s="868" t="s">
        <v>17</v>
      </c>
      <c r="J30" s="868" t="s">
        <v>18</v>
      </c>
      <c r="K30" s="868" t="s">
        <v>19</v>
      </c>
      <c r="L30" s="868" t="s">
        <v>20</v>
      </c>
      <c r="M30" s="490"/>
      <c r="N30" s="490"/>
      <c r="O30" s="490"/>
      <c r="P30" s="490"/>
      <c r="Q30" s="490"/>
      <c r="R30" s="490"/>
      <c r="S30" s="490"/>
      <c r="T30" s="490"/>
      <c r="U30" s="490"/>
      <c r="V30" s="490"/>
      <c r="W30" s="490"/>
      <c r="X30" s="868" t="s">
        <v>22</v>
      </c>
      <c r="Y30" s="868" t="s">
        <v>23</v>
      </c>
      <c r="Z30" s="868" t="s">
        <v>24</v>
      </c>
      <c r="AA30" s="922" t="s">
        <v>352</v>
      </c>
    </row>
    <row r="31" spans="1:54" s="491" customFormat="1" ht="16.5" thickBot="1" x14ac:dyDescent="0.25">
      <c r="A31" s="876"/>
      <c r="B31" s="869"/>
      <c r="C31" s="869"/>
      <c r="D31" s="869"/>
      <c r="E31" s="869"/>
      <c r="F31" s="869"/>
      <c r="G31" s="872"/>
      <c r="H31" s="869"/>
      <c r="I31" s="869"/>
      <c r="J31" s="869"/>
      <c r="K31" s="869"/>
      <c r="L31" s="869"/>
      <c r="M31" s="492"/>
      <c r="N31" s="492"/>
      <c r="O31" s="492"/>
      <c r="P31" s="492"/>
      <c r="Q31" s="492"/>
      <c r="R31" s="492"/>
      <c r="S31" s="492"/>
      <c r="T31" s="492"/>
      <c r="U31" s="492"/>
      <c r="V31" s="492"/>
      <c r="W31" s="492"/>
      <c r="X31" s="869"/>
      <c r="Y31" s="869"/>
      <c r="Z31" s="869"/>
      <c r="AA31" s="923"/>
    </row>
    <row r="32" spans="1:54" s="136" customFormat="1" x14ac:dyDescent="0.2">
      <c r="A32" s="493"/>
      <c r="B32" s="49"/>
      <c r="C32" s="225"/>
      <c r="D32" s="225"/>
      <c r="E32" s="225"/>
      <c r="F32" s="225"/>
      <c r="G32" s="120"/>
      <c r="H32" s="225"/>
      <c r="I32" s="263"/>
      <c r="J32" s="263"/>
      <c r="K32" s="263"/>
      <c r="L32" s="263"/>
      <c r="M32" s="120"/>
      <c r="N32" s="120"/>
      <c r="O32" s="120"/>
      <c r="P32" s="226"/>
      <c r="Q32" s="226"/>
      <c r="R32" s="226"/>
      <c r="S32" s="120"/>
      <c r="T32" s="120"/>
      <c r="U32" s="120"/>
      <c r="V32" s="120"/>
      <c r="W32" s="120"/>
      <c r="X32" s="227"/>
      <c r="Y32" s="227"/>
      <c r="Z32" s="120"/>
      <c r="AA32" s="121"/>
    </row>
    <row r="33" spans="1:29" s="136" customFormat="1" x14ac:dyDescent="0.2">
      <c r="A33" s="494"/>
      <c r="B33" s="123"/>
      <c r="C33" s="123"/>
      <c r="D33" s="123"/>
      <c r="E33" s="123"/>
      <c r="F33" s="123"/>
      <c r="G33" s="124"/>
      <c r="H33" s="123"/>
      <c r="I33" s="255"/>
      <c r="J33" s="255"/>
      <c r="K33" s="255"/>
      <c r="L33" s="255"/>
      <c r="M33" s="125"/>
      <c r="N33" s="124"/>
      <c r="O33" s="124"/>
      <c r="P33" s="125"/>
      <c r="Q33" s="125"/>
      <c r="R33" s="125"/>
      <c r="S33" s="124"/>
      <c r="T33" s="124"/>
      <c r="U33" s="124"/>
      <c r="V33" s="124"/>
      <c r="W33" s="124"/>
      <c r="X33" s="126"/>
      <c r="Y33" s="126"/>
      <c r="Z33" s="124"/>
      <c r="AA33" s="127"/>
    </row>
    <row r="34" spans="1:29" s="136" customFormat="1" x14ac:dyDescent="0.2">
      <c r="A34" s="494"/>
      <c r="B34" s="123"/>
      <c r="C34" s="123"/>
      <c r="D34" s="123"/>
      <c r="E34" s="123"/>
      <c r="F34" s="123"/>
      <c r="G34" s="124"/>
      <c r="H34" s="123"/>
      <c r="I34" s="255"/>
      <c r="J34" s="255"/>
      <c r="K34" s="255"/>
      <c r="L34" s="255"/>
      <c r="M34" s="125"/>
      <c r="N34" s="124"/>
      <c r="O34" s="124"/>
      <c r="P34" s="125"/>
      <c r="Q34" s="125"/>
      <c r="R34" s="125"/>
      <c r="S34" s="124"/>
      <c r="T34" s="124"/>
      <c r="U34" s="124"/>
      <c r="V34" s="124"/>
      <c r="W34" s="124"/>
      <c r="X34" s="126"/>
      <c r="Y34" s="126"/>
      <c r="Z34" s="124"/>
      <c r="AA34" s="127"/>
    </row>
    <row r="35" spans="1:29" s="136" customFormat="1" ht="16.5" thickBot="1" x14ac:dyDescent="0.25">
      <c r="A35" s="495"/>
      <c r="B35" s="128"/>
      <c r="C35" s="128"/>
      <c r="D35" s="128"/>
      <c r="E35" s="128"/>
      <c r="F35" s="128"/>
      <c r="G35" s="129"/>
      <c r="H35" s="128"/>
      <c r="I35" s="256"/>
      <c r="J35" s="256"/>
      <c r="K35" s="256"/>
      <c r="L35" s="256"/>
      <c r="M35" s="129"/>
      <c r="N35" s="129"/>
      <c r="O35" s="129"/>
      <c r="P35" s="130"/>
      <c r="Q35" s="130"/>
      <c r="R35" s="130"/>
      <c r="S35" s="129"/>
      <c r="T35" s="129"/>
      <c r="U35" s="129"/>
      <c r="V35" s="129"/>
      <c r="W35" s="129"/>
      <c r="X35" s="131"/>
      <c r="Y35" s="131"/>
      <c r="Z35" s="129"/>
      <c r="AA35" s="132"/>
    </row>
    <row r="36" spans="1:29" s="73" customFormat="1" x14ac:dyDescent="0.2">
      <c r="A36" s="133"/>
      <c r="B36" s="133"/>
      <c r="C36" s="133"/>
      <c r="D36" s="133"/>
      <c r="E36" s="133"/>
      <c r="F36" s="133"/>
      <c r="G36" s="118"/>
      <c r="H36" s="118"/>
      <c r="I36" s="118"/>
      <c r="J36" s="118"/>
      <c r="K36" s="118"/>
      <c r="L36" s="118"/>
      <c r="M36" s="134"/>
      <c r="N36" s="118"/>
      <c r="O36" s="159"/>
      <c r="P36" s="159"/>
      <c r="Q36" s="159"/>
      <c r="R36" s="159"/>
      <c r="S36" s="159"/>
      <c r="T36" s="159"/>
      <c r="U36" s="159"/>
      <c r="V36" s="159"/>
      <c r="W36" s="466"/>
    </row>
    <row r="37" spans="1:29" s="73" customFormat="1" ht="16.5" thickBot="1" x14ac:dyDescent="0.25">
      <c r="A37" s="133"/>
      <c r="B37" s="133"/>
      <c r="C37" s="133"/>
      <c r="D37" s="133"/>
      <c r="E37" s="133"/>
      <c r="F37" s="133"/>
      <c r="G37" s="118"/>
      <c r="H37" s="118"/>
      <c r="I37" s="118"/>
      <c r="J37" s="118"/>
      <c r="K37" s="118"/>
      <c r="N37" s="118"/>
      <c r="O37" s="159"/>
      <c r="P37" s="159"/>
      <c r="Q37" s="159"/>
      <c r="R37" s="159"/>
      <c r="S37" s="159"/>
      <c r="T37" s="159"/>
      <c r="U37" s="159"/>
      <c r="V37" s="159"/>
      <c r="W37" s="467"/>
    </row>
    <row r="38" spans="1:29" s="73" customFormat="1" ht="16.5" thickBot="1" x14ac:dyDescent="0.25">
      <c r="A38" s="496" t="s">
        <v>25</v>
      </c>
      <c r="B38" s="133"/>
      <c r="C38" s="133"/>
      <c r="D38" s="133"/>
      <c r="E38" s="133"/>
      <c r="F38" s="133"/>
      <c r="G38" s="118"/>
      <c r="H38" s="118"/>
      <c r="I38" s="118"/>
      <c r="J38" s="118"/>
      <c r="K38" s="118"/>
      <c r="M38" s="118"/>
      <c r="N38" s="118"/>
      <c r="O38" s="159"/>
      <c r="P38" s="136"/>
      <c r="Q38" s="136"/>
      <c r="R38" s="136"/>
      <c r="S38" s="466"/>
      <c r="T38" s="466"/>
      <c r="U38" s="466"/>
      <c r="V38" s="466"/>
      <c r="W38" s="159"/>
    </row>
    <row r="39" spans="1:29" s="73" customFormat="1" ht="15.75" customHeight="1" x14ac:dyDescent="0.2">
      <c r="A39" s="875" t="s">
        <v>627</v>
      </c>
      <c r="B39" s="868" t="s">
        <v>628</v>
      </c>
      <c r="C39" s="868" t="s">
        <v>11</v>
      </c>
      <c r="D39" s="868" t="s">
        <v>12</v>
      </c>
      <c r="E39" s="868" t="s">
        <v>13</v>
      </c>
      <c r="F39" s="868" t="s">
        <v>14</v>
      </c>
      <c r="G39" s="868" t="s">
        <v>15</v>
      </c>
      <c r="H39" s="868" t="s">
        <v>16</v>
      </c>
      <c r="I39" s="868" t="s">
        <v>26</v>
      </c>
      <c r="J39" s="868" t="s">
        <v>27</v>
      </c>
      <c r="K39" s="945" t="s">
        <v>295</v>
      </c>
      <c r="L39" s="497" t="s">
        <v>63</v>
      </c>
      <c r="M39" s="498" t="s">
        <v>64</v>
      </c>
      <c r="N39" s="499" t="s">
        <v>65</v>
      </c>
      <c r="O39" s="490"/>
      <c r="P39" s="490"/>
      <c r="Q39" s="490"/>
      <c r="R39" s="490"/>
      <c r="S39" s="490"/>
      <c r="T39" s="490"/>
      <c r="U39" s="490"/>
      <c r="V39" s="490"/>
      <c r="W39" s="490"/>
      <c r="X39" s="868" t="s">
        <v>22</v>
      </c>
      <c r="Y39" s="868" t="s">
        <v>23</v>
      </c>
      <c r="Z39" s="868" t="s">
        <v>24</v>
      </c>
      <c r="AA39" s="922" t="s">
        <v>352</v>
      </c>
    </row>
    <row r="40" spans="1:29" s="73" customFormat="1" ht="31.7" customHeight="1" thickBot="1" x14ac:dyDescent="0.25">
      <c r="A40" s="876"/>
      <c r="B40" s="869"/>
      <c r="C40" s="869"/>
      <c r="D40" s="869"/>
      <c r="E40" s="869"/>
      <c r="F40" s="869"/>
      <c r="G40" s="872"/>
      <c r="H40" s="869"/>
      <c r="I40" s="869"/>
      <c r="J40" s="869"/>
      <c r="K40" s="946"/>
      <c r="L40" s="500" t="s">
        <v>66</v>
      </c>
      <c r="M40" s="501" t="s">
        <v>67</v>
      </c>
      <c r="N40" s="502" t="s">
        <v>68</v>
      </c>
      <c r="O40" s="503"/>
      <c r="P40" s="492"/>
      <c r="Q40" s="492"/>
      <c r="R40" s="492"/>
      <c r="S40" s="492"/>
      <c r="T40" s="492"/>
      <c r="U40" s="492"/>
      <c r="V40" s="492"/>
      <c r="W40" s="492"/>
      <c r="X40" s="869"/>
      <c r="Y40" s="869"/>
      <c r="Z40" s="869"/>
      <c r="AA40" s="923"/>
    </row>
    <row r="41" spans="1:29" s="136" customFormat="1" x14ac:dyDescent="0.2">
      <c r="A41" s="493"/>
      <c r="B41" s="225"/>
      <c r="C41" s="225"/>
      <c r="D41" s="225"/>
      <c r="E41" s="225"/>
      <c r="F41" s="225"/>
      <c r="G41" s="120"/>
      <c r="H41" s="225"/>
      <c r="I41" s="263"/>
      <c r="J41" s="263"/>
      <c r="K41" s="265"/>
      <c r="L41" s="268"/>
      <c r="M41" s="120"/>
      <c r="N41" s="121"/>
      <c r="O41" s="269"/>
      <c r="P41" s="226"/>
      <c r="Q41" s="226"/>
      <c r="R41" s="226"/>
      <c r="S41" s="120"/>
      <c r="T41" s="120"/>
      <c r="U41" s="120"/>
      <c r="V41" s="120"/>
      <c r="W41" s="120"/>
      <c r="X41" s="227"/>
      <c r="Y41" s="227"/>
      <c r="Z41" s="120"/>
      <c r="AA41" s="121"/>
    </row>
    <row r="42" spans="1:29" s="136" customFormat="1" x14ac:dyDescent="0.2">
      <c r="A42" s="494"/>
      <c r="B42" s="123"/>
      <c r="C42" s="123"/>
      <c r="D42" s="123"/>
      <c r="E42" s="123"/>
      <c r="F42" s="123"/>
      <c r="G42" s="124"/>
      <c r="H42" s="123"/>
      <c r="I42" s="255"/>
      <c r="J42" s="255"/>
      <c r="K42" s="266"/>
      <c r="L42" s="259"/>
      <c r="M42" s="124"/>
      <c r="N42" s="127"/>
      <c r="O42" s="248"/>
      <c r="P42" s="125"/>
      <c r="Q42" s="125"/>
      <c r="R42" s="125"/>
      <c r="S42" s="124"/>
      <c r="T42" s="124"/>
      <c r="U42" s="124"/>
      <c r="V42" s="124"/>
      <c r="W42" s="124"/>
      <c r="X42" s="126"/>
      <c r="Y42" s="126"/>
      <c r="Z42" s="124"/>
      <c r="AA42" s="127"/>
    </row>
    <row r="43" spans="1:29" s="136" customFormat="1" x14ac:dyDescent="0.2">
      <c r="A43" s="494"/>
      <c r="B43" s="123"/>
      <c r="C43" s="123"/>
      <c r="D43" s="123"/>
      <c r="E43" s="123"/>
      <c r="F43" s="123"/>
      <c r="G43" s="124"/>
      <c r="H43" s="123"/>
      <c r="I43" s="255"/>
      <c r="J43" s="255"/>
      <c r="K43" s="266"/>
      <c r="L43" s="259"/>
      <c r="M43" s="124"/>
      <c r="N43" s="127"/>
      <c r="O43" s="248"/>
      <c r="P43" s="125"/>
      <c r="Q43" s="125"/>
      <c r="R43" s="125"/>
      <c r="S43" s="124"/>
      <c r="T43" s="124"/>
      <c r="U43" s="124"/>
      <c r="V43" s="124"/>
      <c r="W43" s="124"/>
      <c r="X43" s="126"/>
      <c r="Y43" s="126"/>
      <c r="Z43" s="124"/>
      <c r="AA43" s="127"/>
    </row>
    <row r="44" spans="1:29" s="136" customFormat="1" ht="16.5" thickBot="1" x14ac:dyDescent="0.25">
      <c r="A44" s="495"/>
      <c r="B44" s="128"/>
      <c r="C44" s="128"/>
      <c r="D44" s="128"/>
      <c r="E44" s="128"/>
      <c r="F44" s="128"/>
      <c r="G44" s="129"/>
      <c r="H44" s="128"/>
      <c r="I44" s="256"/>
      <c r="J44" s="256"/>
      <c r="K44" s="267"/>
      <c r="L44" s="137"/>
      <c r="M44" s="129"/>
      <c r="N44" s="132"/>
      <c r="O44" s="137"/>
      <c r="P44" s="129"/>
      <c r="Q44" s="129"/>
      <c r="R44" s="129"/>
      <c r="S44" s="129"/>
      <c r="T44" s="129"/>
      <c r="U44" s="129"/>
      <c r="V44" s="129"/>
      <c r="W44" s="129"/>
      <c r="X44" s="131"/>
      <c r="Y44" s="131"/>
      <c r="Z44" s="129"/>
      <c r="AA44" s="132"/>
    </row>
    <row r="45" spans="1:29" s="73" customFormat="1" x14ac:dyDescent="0.2">
      <c r="A45" s="133"/>
      <c r="B45" s="133"/>
      <c r="C45" s="133"/>
      <c r="D45" s="133"/>
      <c r="E45" s="133"/>
      <c r="F45" s="133"/>
      <c r="G45" s="118"/>
      <c r="H45" s="118"/>
      <c r="I45" s="118"/>
      <c r="J45" s="118"/>
      <c r="K45" s="118"/>
      <c r="L45" s="118"/>
      <c r="M45" s="118"/>
      <c r="N45" s="118"/>
      <c r="O45" s="160"/>
      <c r="P45" s="159"/>
      <c r="Q45" s="159"/>
      <c r="R45" s="159"/>
      <c r="S45" s="136"/>
      <c r="T45" s="136"/>
      <c r="U45" s="136"/>
      <c r="V45" s="136"/>
      <c r="W45" s="136"/>
      <c r="X45" s="118"/>
    </row>
    <row r="46" spans="1:29" s="73" customFormat="1" ht="16.5" thickBot="1" x14ac:dyDescent="0.25">
      <c r="A46" s="133"/>
      <c r="B46" s="133"/>
      <c r="C46" s="133"/>
      <c r="D46" s="133"/>
      <c r="E46" s="133"/>
      <c r="F46" s="133"/>
      <c r="G46" s="118"/>
      <c r="H46" s="118"/>
      <c r="I46" s="118"/>
      <c r="J46" s="118"/>
      <c r="K46" s="118"/>
      <c r="L46" s="118"/>
      <c r="M46" s="118"/>
      <c r="N46" s="118"/>
      <c r="O46" s="160"/>
      <c r="P46" s="159"/>
      <c r="Q46" s="159"/>
      <c r="R46" s="159"/>
      <c r="S46" s="136"/>
      <c r="T46" s="136"/>
      <c r="U46" s="136"/>
      <c r="V46" s="136"/>
      <c r="W46" s="136"/>
      <c r="X46" s="118"/>
    </row>
    <row r="47" spans="1:29" s="73" customFormat="1" ht="16.5" thickBot="1" x14ac:dyDescent="0.25">
      <c r="A47" s="822" t="s">
        <v>307</v>
      </c>
      <c r="B47" s="873"/>
      <c r="C47" s="873"/>
      <c r="D47" s="874"/>
      <c r="E47" s="133"/>
      <c r="F47" s="133"/>
      <c r="G47" s="118"/>
      <c r="H47" s="118"/>
      <c r="I47" s="118"/>
      <c r="J47" s="118"/>
      <c r="K47" s="118"/>
      <c r="L47" s="118"/>
      <c r="M47" s="118"/>
      <c r="N47" s="118"/>
      <c r="O47" s="136"/>
      <c r="P47" s="159"/>
      <c r="Q47" s="159"/>
      <c r="R47" s="159"/>
      <c r="S47" s="466"/>
      <c r="T47" s="466"/>
      <c r="U47" s="466"/>
      <c r="V47" s="466"/>
      <c r="W47" s="159"/>
      <c r="X47" s="118"/>
      <c r="Y47" s="118"/>
    </row>
    <row r="48" spans="1:29" s="73" customFormat="1" ht="15.75" customHeight="1" x14ac:dyDescent="0.2">
      <c r="A48" s="875" t="s">
        <v>627</v>
      </c>
      <c r="B48" s="868" t="s">
        <v>628</v>
      </c>
      <c r="C48" s="868" t="s">
        <v>11</v>
      </c>
      <c r="D48" s="868" t="s">
        <v>12</v>
      </c>
      <c r="E48" s="868" t="s">
        <v>13</v>
      </c>
      <c r="F48" s="868" t="s">
        <v>14</v>
      </c>
      <c r="G48" s="868" t="s">
        <v>15</v>
      </c>
      <c r="H48" s="868" t="s">
        <v>16</v>
      </c>
      <c r="I48" s="868">
        <v>20</v>
      </c>
      <c r="J48" s="868">
        <v>40</v>
      </c>
      <c r="K48" s="868" t="s">
        <v>19</v>
      </c>
      <c r="L48" s="922" t="s">
        <v>20</v>
      </c>
      <c r="M48" s="943" t="s">
        <v>28</v>
      </c>
      <c r="N48" s="504" t="s">
        <v>69</v>
      </c>
      <c r="O48" s="498" t="s">
        <v>64</v>
      </c>
      <c r="P48" s="499" t="s">
        <v>65</v>
      </c>
      <c r="Q48" s="490" t="s">
        <v>147</v>
      </c>
      <c r="R48" s="490" t="s">
        <v>71</v>
      </c>
      <c r="S48" s="490"/>
      <c r="T48" s="490"/>
      <c r="U48" s="490"/>
      <c r="V48" s="490"/>
      <c r="W48" s="490"/>
      <c r="X48" s="490"/>
      <c r="Y48" s="490"/>
      <c r="Z48" s="868" t="s">
        <v>22</v>
      </c>
      <c r="AA48" s="868" t="s">
        <v>23</v>
      </c>
      <c r="AB48" s="868" t="s">
        <v>24</v>
      </c>
      <c r="AC48" s="922" t="s">
        <v>352</v>
      </c>
    </row>
    <row r="49" spans="1:29" s="73" customFormat="1" ht="48" thickBot="1" x14ac:dyDescent="0.25">
      <c r="A49" s="876"/>
      <c r="B49" s="869"/>
      <c r="C49" s="869"/>
      <c r="D49" s="869"/>
      <c r="E49" s="869"/>
      <c r="F49" s="869"/>
      <c r="G49" s="872"/>
      <c r="H49" s="869"/>
      <c r="I49" s="869"/>
      <c r="J49" s="869"/>
      <c r="K49" s="869"/>
      <c r="L49" s="923"/>
      <c r="M49" s="944"/>
      <c r="N49" s="505" t="s">
        <v>70</v>
      </c>
      <c r="O49" s="501" t="s">
        <v>67</v>
      </c>
      <c r="P49" s="502" t="s">
        <v>68</v>
      </c>
      <c r="Q49" s="503" t="s">
        <v>84</v>
      </c>
      <c r="R49" s="492" t="s">
        <v>84</v>
      </c>
      <c r="S49" s="492"/>
      <c r="T49" s="492"/>
      <c r="U49" s="492"/>
      <c r="V49" s="492"/>
      <c r="W49" s="492"/>
      <c r="X49" s="492"/>
      <c r="Y49" s="492"/>
      <c r="Z49" s="924"/>
      <c r="AA49" s="924"/>
      <c r="AB49" s="924"/>
      <c r="AC49" s="923"/>
    </row>
    <row r="50" spans="1:29" s="136" customFormat="1" x14ac:dyDescent="0.2">
      <c r="A50" s="493"/>
      <c r="B50" s="225"/>
      <c r="C50" s="225"/>
      <c r="D50" s="225"/>
      <c r="E50" s="225"/>
      <c r="F50" s="225"/>
      <c r="G50" s="120"/>
      <c r="H50" s="225"/>
      <c r="I50" s="263"/>
      <c r="J50" s="263"/>
      <c r="K50" s="263"/>
      <c r="L50" s="265"/>
      <c r="M50" s="270"/>
      <c r="N50" s="268"/>
      <c r="O50" s="120"/>
      <c r="P50" s="121"/>
      <c r="Q50" s="269"/>
      <c r="R50" s="226"/>
      <c r="S50" s="226"/>
      <c r="T50" s="226"/>
      <c r="U50" s="226"/>
      <c r="V50" s="226"/>
      <c r="W50" s="120"/>
      <c r="X50" s="120"/>
      <c r="Y50" s="120"/>
      <c r="Z50" s="227"/>
      <c r="AA50" s="227"/>
      <c r="AB50" s="120"/>
      <c r="AC50" s="121"/>
    </row>
    <row r="51" spans="1:29" s="136" customFormat="1" x14ac:dyDescent="0.2">
      <c r="A51" s="494"/>
      <c r="B51" s="123"/>
      <c r="C51" s="123"/>
      <c r="D51" s="123"/>
      <c r="E51" s="123"/>
      <c r="F51" s="123"/>
      <c r="G51" s="124"/>
      <c r="H51" s="123"/>
      <c r="I51" s="255"/>
      <c r="J51" s="255"/>
      <c r="K51" s="255"/>
      <c r="L51" s="266"/>
      <c r="M51" s="271"/>
      <c r="N51" s="259"/>
      <c r="O51" s="124"/>
      <c r="P51" s="127"/>
      <c r="Q51" s="248"/>
      <c r="R51" s="125"/>
      <c r="S51" s="125"/>
      <c r="T51" s="125"/>
      <c r="U51" s="125"/>
      <c r="V51" s="125"/>
      <c r="W51" s="124"/>
      <c r="X51" s="124"/>
      <c r="Y51" s="124"/>
      <c r="Z51" s="126"/>
      <c r="AA51" s="126"/>
      <c r="AB51" s="124"/>
      <c r="AC51" s="127"/>
    </row>
    <row r="52" spans="1:29" s="136" customFormat="1" x14ac:dyDescent="0.2">
      <c r="A52" s="494"/>
      <c r="B52" s="123"/>
      <c r="C52" s="123"/>
      <c r="D52" s="123"/>
      <c r="E52" s="123"/>
      <c r="F52" s="123"/>
      <c r="G52" s="124"/>
      <c r="H52" s="123"/>
      <c r="I52" s="255"/>
      <c r="J52" s="255"/>
      <c r="K52" s="255"/>
      <c r="L52" s="266"/>
      <c r="M52" s="271"/>
      <c r="N52" s="259"/>
      <c r="O52" s="124"/>
      <c r="P52" s="127"/>
      <c r="Q52" s="248"/>
      <c r="R52" s="125"/>
      <c r="S52" s="125"/>
      <c r="T52" s="125"/>
      <c r="U52" s="125"/>
      <c r="V52" s="125"/>
      <c r="W52" s="124"/>
      <c r="X52" s="124"/>
      <c r="Y52" s="124"/>
      <c r="Z52" s="126"/>
      <c r="AA52" s="126"/>
      <c r="AB52" s="124"/>
      <c r="AC52" s="127"/>
    </row>
    <row r="53" spans="1:29" s="136" customFormat="1" ht="16.5" thickBot="1" x14ac:dyDescent="0.25">
      <c r="A53" s="495"/>
      <c r="B53" s="128"/>
      <c r="C53" s="128"/>
      <c r="D53" s="128"/>
      <c r="E53" s="128"/>
      <c r="F53" s="128"/>
      <c r="G53" s="129"/>
      <c r="H53" s="128"/>
      <c r="I53" s="256"/>
      <c r="J53" s="256"/>
      <c r="K53" s="256"/>
      <c r="L53" s="267"/>
      <c r="M53" s="161"/>
      <c r="N53" s="137"/>
      <c r="O53" s="129"/>
      <c r="P53" s="132"/>
      <c r="Q53" s="137"/>
      <c r="R53" s="129"/>
      <c r="S53" s="129"/>
      <c r="T53" s="129"/>
      <c r="U53" s="129"/>
      <c r="V53" s="129"/>
      <c r="W53" s="129"/>
      <c r="X53" s="129"/>
      <c r="Y53" s="129"/>
      <c r="Z53" s="131"/>
      <c r="AA53" s="131"/>
      <c r="AB53" s="129"/>
      <c r="AC53" s="132"/>
    </row>
    <row r="54" spans="1:29" s="73" customFormat="1" x14ac:dyDescent="0.2">
      <c r="A54" s="133"/>
      <c r="B54" s="133"/>
      <c r="C54" s="133"/>
      <c r="D54" s="133"/>
      <c r="E54" s="133"/>
      <c r="F54" s="133"/>
      <c r="G54" s="118"/>
      <c r="H54" s="118"/>
      <c r="I54" s="118"/>
      <c r="J54" s="118"/>
      <c r="K54" s="118"/>
      <c r="M54" s="118"/>
      <c r="V54" s="118"/>
      <c r="W54" s="118"/>
    </row>
    <row r="55" spans="1:29" s="73" customFormat="1" x14ac:dyDescent="0.2">
      <c r="A55" s="133"/>
      <c r="B55" s="133"/>
      <c r="C55" s="133"/>
      <c r="D55" s="133"/>
      <c r="E55" s="133"/>
      <c r="F55" s="118"/>
      <c r="G55" s="118"/>
      <c r="H55" s="118"/>
      <c r="I55" s="118"/>
      <c r="J55" s="118"/>
      <c r="K55" s="134"/>
      <c r="L55" s="118"/>
      <c r="M55" s="118"/>
      <c r="N55" s="118"/>
      <c r="S55" s="118"/>
      <c r="T55" s="118"/>
      <c r="U55" s="118"/>
    </row>
    <row r="56" spans="1:29" s="456" customFormat="1" ht="16.5" thickBot="1" x14ac:dyDescent="0.25">
      <c r="A56" s="133"/>
      <c r="B56" s="133"/>
      <c r="C56" s="133"/>
      <c r="D56" s="133"/>
      <c r="E56" s="118"/>
      <c r="F56" s="118"/>
      <c r="G56" s="118"/>
      <c r="H56" s="118"/>
      <c r="I56" s="118"/>
      <c r="J56" s="134"/>
      <c r="K56" s="134"/>
      <c r="L56" s="134"/>
      <c r="M56" s="134"/>
      <c r="R56" s="134"/>
    </row>
    <row r="57" spans="1:29" s="456" customFormat="1" ht="19.5" thickBot="1" x14ac:dyDescent="0.25">
      <c r="A57" s="938" t="s">
        <v>29</v>
      </c>
      <c r="B57" s="939"/>
      <c r="C57" s="940"/>
      <c r="D57" s="133"/>
      <c r="E57" s="133"/>
      <c r="F57" s="118"/>
      <c r="G57" s="118"/>
      <c r="H57" s="118"/>
      <c r="I57" s="118"/>
      <c r="J57" s="118"/>
      <c r="K57" s="134"/>
      <c r="L57" s="134"/>
      <c r="M57" s="134"/>
      <c r="N57" s="134"/>
      <c r="S57" s="134"/>
      <c r="T57" s="134"/>
      <c r="U57" s="134"/>
    </row>
    <row r="58" spans="1:29" s="456" customFormat="1" ht="16.5" thickBot="1" x14ac:dyDescent="0.25">
      <c r="A58" s="800" t="s">
        <v>625</v>
      </c>
      <c r="B58" s="801"/>
      <c r="C58" s="802"/>
      <c r="D58" s="133"/>
      <c r="E58" s="133"/>
      <c r="F58" s="133"/>
      <c r="G58" s="118"/>
      <c r="H58" s="118"/>
      <c r="I58" s="118"/>
      <c r="J58" s="118"/>
      <c r="K58" s="118"/>
      <c r="L58" s="134"/>
      <c r="N58" s="134"/>
      <c r="O58" s="134"/>
      <c r="V58" s="134"/>
    </row>
    <row r="59" spans="1:29" s="456" customFormat="1" x14ac:dyDescent="0.2">
      <c r="A59" s="506" t="s">
        <v>30</v>
      </c>
      <c r="B59" s="507"/>
      <c r="C59" s="508" t="s">
        <v>155</v>
      </c>
      <c r="D59" s="509"/>
      <c r="E59" s="509"/>
      <c r="F59" s="510"/>
      <c r="G59" s="510"/>
      <c r="H59" s="509"/>
      <c r="I59" s="510"/>
      <c r="J59" s="509"/>
      <c r="K59" s="143"/>
      <c r="L59" s="144"/>
      <c r="N59" s="134"/>
      <c r="O59" s="134"/>
      <c r="P59" s="134"/>
    </row>
    <row r="60" spans="1:29" s="456" customFormat="1" x14ac:dyDescent="0.2">
      <c r="A60" s="96" t="s">
        <v>626</v>
      </c>
      <c r="B60" s="511"/>
      <c r="C60" s="511"/>
      <c r="D60" s="512"/>
      <c r="E60" s="512"/>
      <c r="F60" s="215"/>
      <c r="G60" s="215"/>
      <c r="H60" s="512"/>
      <c r="I60" s="215"/>
      <c r="J60" s="512"/>
      <c r="K60" s="149"/>
      <c r="L60" s="150"/>
      <c r="N60" s="134"/>
      <c r="O60" s="134"/>
      <c r="P60" s="134"/>
    </row>
    <row r="61" spans="1:29" s="456" customFormat="1" x14ac:dyDescent="0.2">
      <c r="A61" s="96" t="s">
        <v>173</v>
      </c>
      <c r="B61" s="511"/>
      <c r="C61" s="511"/>
      <c r="D61" s="512"/>
      <c r="E61" s="512"/>
      <c r="F61" s="215"/>
      <c r="G61" s="215"/>
      <c r="H61" s="512"/>
      <c r="I61" s="215"/>
      <c r="J61" s="512"/>
      <c r="K61" s="149"/>
      <c r="L61" s="150"/>
      <c r="N61" s="134"/>
      <c r="O61" s="134"/>
      <c r="P61" s="134"/>
    </row>
    <row r="62" spans="1:29" s="456" customFormat="1" x14ac:dyDescent="0.2">
      <c r="A62" s="96" t="s">
        <v>987</v>
      </c>
      <c r="B62" s="511"/>
      <c r="C62" s="511"/>
      <c r="D62" s="512"/>
      <c r="E62" s="512"/>
      <c r="F62" s="215"/>
      <c r="G62" s="215"/>
      <c r="H62" s="512"/>
      <c r="I62" s="215"/>
      <c r="J62" s="512"/>
      <c r="K62" s="149"/>
      <c r="L62" s="150"/>
      <c r="N62" s="134"/>
      <c r="O62" s="134"/>
      <c r="P62" s="134"/>
    </row>
    <row r="63" spans="1:29" s="456" customFormat="1" ht="16.5" thickBot="1" x14ac:dyDescent="0.25">
      <c r="A63" s="110" t="s">
        <v>988</v>
      </c>
      <c r="B63" s="513"/>
      <c r="C63" s="513"/>
      <c r="D63" s="514"/>
      <c r="E63" s="514"/>
      <c r="F63" s="515"/>
      <c r="G63" s="515"/>
      <c r="H63" s="514"/>
      <c r="I63" s="515"/>
      <c r="J63" s="514"/>
      <c r="K63" s="154"/>
      <c r="L63" s="155"/>
      <c r="N63" s="134"/>
      <c r="O63" s="134"/>
      <c r="P63" s="134"/>
    </row>
    <row r="64" spans="1:29" s="456" customFormat="1" ht="16.5" thickBot="1" x14ac:dyDescent="0.25">
      <c r="A64" s="516"/>
      <c r="B64" s="517"/>
      <c r="C64" s="134"/>
      <c r="D64" s="133"/>
      <c r="E64" s="133"/>
      <c r="F64" s="133"/>
      <c r="G64" s="133"/>
      <c r="H64" s="118"/>
      <c r="I64" s="118"/>
      <c r="J64" s="118"/>
      <c r="K64" s="118"/>
      <c r="L64" s="118"/>
      <c r="M64" s="134"/>
      <c r="O64" s="134"/>
      <c r="P64" s="134"/>
      <c r="Q64" s="118"/>
    </row>
    <row r="65" spans="1:24" s="14" customFormat="1" ht="48" thickBot="1" x14ac:dyDescent="0.25">
      <c r="A65" s="518" t="s">
        <v>31</v>
      </c>
      <c r="B65" s="932" t="s">
        <v>628</v>
      </c>
      <c r="C65" s="933"/>
      <c r="D65" s="934"/>
      <c r="E65" s="519" t="s">
        <v>11</v>
      </c>
      <c r="F65" s="519" t="s">
        <v>14</v>
      </c>
      <c r="G65" s="519" t="s">
        <v>287</v>
      </c>
      <c r="H65" s="519" t="s">
        <v>32</v>
      </c>
      <c r="I65" s="519" t="s">
        <v>16</v>
      </c>
      <c r="J65" s="519" t="s">
        <v>17</v>
      </c>
      <c r="K65" s="519" t="s">
        <v>18</v>
      </c>
      <c r="L65" s="519" t="s">
        <v>19</v>
      </c>
      <c r="M65" s="519" t="s">
        <v>20</v>
      </c>
      <c r="N65" s="520" t="s">
        <v>123</v>
      </c>
      <c r="O65" s="519" t="s">
        <v>96</v>
      </c>
      <c r="P65" s="521" t="s">
        <v>809</v>
      </c>
    </row>
    <row r="66" spans="1:24" s="303" customFormat="1" x14ac:dyDescent="0.2">
      <c r="A66" s="269"/>
      <c r="B66" s="925"/>
      <c r="C66" s="926"/>
      <c r="D66" s="926"/>
      <c r="E66" s="226"/>
      <c r="F66" s="226"/>
      <c r="G66" s="226"/>
      <c r="H66" s="226"/>
      <c r="I66" s="226"/>
      <c r="J66" s="273"/>
      <c r="K66" s="263"/>
      <c r="L66" s="263"/>
      <c r="M66" s="306"/>
      <c r="N66" s="49"/>
      <c r="O66" s="226"/>
      <c r="P66" s="274"/>
      <c r="Q66" s="159"/>
      <c r="R66" s="159"/>
      <c r="S66" s="159"/>
      <c r="T66" s="159"/>
      <c r="U66" s="159"/>
      <c r="V66" s="160"/>
      <c r="W66" s="160"/>
      <c r="X66" s="160"/>
    </row>
    <row r="67" spans="1:24" s="303" customFormat="1" x14ac:dyDescent="0.2">
      <c r="A67" s="248"/>
      <c r="B67" s="927"/>
      <c r="C67" s="928"/>
      <c r="D67" s="928"/>
      <c r="E67" s="125"/>
      <c r="F67" s="125"/>
      <c r="G67" s="125"/>
      <c r="H67" s="125"/>
      <c r="I67" s="125"/>
      <c r="J67" s="275"/>
      <c r="K67" s="255"/>
      <c r="L67" s="255"/>
      <c r="M67" s="307"/>
      <c r="N67" s="21"/>
      <c r="O67" s="125"/>
      <c r="P67" s="276"/>
      <c r="Q67" s="159"/>
      <c r="R67" s="159"/>
      <c r="S67" s="159"/>
      <c r="T67" s="159"/>
      <c r="U67" s="159"/>
      <c r="V67" s="160"/>
      <c r="W67" s="160"/>
      <c r="X67" s="160"/>
    </row>
    <row r="68" spans="1:24" s="303" customFormat="1" x14ac:dyDescent="0.2">
      <c r="A68" s="248"/>
      <c r="B68" s="927"/>
      <c r="C68" s="928"/>
      <c r="D68" s="928"/>
      <c r="E68" s="125"/>
      <c r="F68" s="125"/>
      <c r="G68" s="125"/>
      <c r="H68" s="125"/>
      <c r="I68" s="125"/>
      <c r="J68" s="275"/>
      <c r="K68" s="255"/>
      <c r="L68" s="255"/>
      <c r="M68" s="307"/>
      <c r="N68" s="21"/>
      <c r="O68" s="125"/>
      <c r="P68" s="276"/>
      <c r="Q68" s="159"/>
      <c r="R68" s="159"/>
      <c r="S68" s="159"/>
      <c r="T68" s="159"/>
      <c r="U68" s="159"/>
      <c r="V68" s="160"/>
      <c r="W68" s="160"/>
      <c r="X68" s="160"/>
    </row>
    <row r="69" spans="1:24" s="303" customFormat="1" ht="16.5" thickBot="1" x14ac:dyDescent="0.25">
      <c r="A69" s="304"/>
      <c r="B69" s="912"/>
      <c r="C69" s="913"/>
      <c r="D69" s="913"/>
      <c r="E69" s="130"/>
      <c r="F69" s="130"/>
      <c r="G69" s="130"/>
      <c r="H69" s="130"/>
      <c r="I69" s="130"/>
      <c r="J69" s="258"/>
      <c r="K69" s="256"/>
      <c r="L69" s="256"/>
      <c r="M69" s="305"/>
      <c r="N69" s="29"/>
      <c r="O69" s="129"/>
      <c r="P69" s="132"/>
      <c r="Q69" s="159"/>
      <c r="R69" s="159"/>
      <c r="S69" s="159"/>
      <c r="T69" s="159"/>
      <c r="U69" s="159"/>
      <c r="V69" s="160"/>
      <c r="W69" s="160"/>
      <c r="X69" s="160"/>
    </row>
    <row r="70" spans="1:24" s="456" customFormat="1" x14ac:dyDescent="0.2">
      <c r="A70" s="134"/>
      <c r="B70" s="134"/>
      <c r="C70" s="522"/>
      <c r="D70" s="522"/>
      <c r="E70" s="134"/>
      <c r="F70" s="134"/>
      <c r="G70" s="134"/>
      <c r="H70" s="134"/>
      <c r="I70" s="134"/>
      <c r="J70" s="134"/>
      <c r="K70" s="134"/>
      <c r="L70" s="134"/>
      <c r="M70" s="134"/>
      <c r="O70" s="118"/>
      <c r="P70" s="118"/>
      <c r="Q70" s="118"/>
      <c r="R70" s="118"/>
      <c r="S70" s="118"/>
      <c r="T70" s="118"/>
      <c r="U70" s="118"/>
      <c r="V70" s="134"/>
      <c r="W70" s="134"/>
      <c r="X70" s="134"/>
    </row>
    <row r="71" spans="1:24" s="456" customFormat="1" ht="16.5" thickBot="1" x14ac:dyDescent="0.25">
      <c r="A71" s="133"/>
      <c r="B71" s="133"/>
      <c r="C71" s="133"/>
      <c r="D71" s="133"/>
      <c r="E71" s="133"/>
      <c r="F71" s="133"/>
      <c r="G71" s="133"/>
      <c r="H71" s="133"/>
      <c r="I71" s="118"/>
      <c r="J71" s="118"/>
      <c r="K71" s="118"/>
      <c r="L71" s="118"/>
      <c r="M71" s="118"/>
      <c r="N71" s="134"/>
      <c r="O71" s="134"/>
      <c r="P71" s="134"/>
      <c r="Q71" s="134"/>
      <c r="R71" s="134"/>
      <c r="S71" s="134"/>
      <c r="T71" s="134"/>
      <c r="U71" s="134"/>
      <c r="V71" s="134"/>
      <c r="W71" s="118"/>
    </row>
    <row r="72" spans="1:24" s="456" customFormat="1" ht="19.5" thickBot="1" x14ac:dyDescent="0.25">
      <c r="A72" s="938" t="s">
        <v>34</v>
      </c>
      <c r="B72" s="939"/>
      <c r="C72" s="940"/>
      <c r="D72" s="523"/>
      <c r="E72" s="133"/>
      <c r="F72" s="133"/>
      <c r="G72" s="133"/>
      <c r="H72" s="133"/>
      <c r="I72" s="118"/>
      <c r="J72" s="118"/>
      <c r="K72" s="118"/>
      <c r="L72" s="118"/>
      <c r="M72" s="118"/>
      <c r="N72" s="134"/>
      <c r="O72" s="134"/>
      <c r="P72" s="134"/>
      <c r="Q72" s="134"/>
      <c r="R72" s="134"/>
      <c r="S72" s="134"/>
      <c r="T72" s="134"/>
      <c r="U72" s="134"/>
      <c r="V72" s="134"/>
      <c r="W72" s="118"/>
    </row>
    <row r="73" spans="1:24" s="456" customFormat="1" ht="16.5" thickBot="1" x14ac:dyDescent="0.25">
      <c r="A73" s="800" t="s">
        <v>625</v>
      </c>
      <c r="B73" s="801"/>
      <c r="C73" s="802"/>
      <c r="D73" s="200"/>
      <c r="E73" s="200"/>
      <c r="F73" s="200"/>
      <c r="G73" s="200"/>
      <c r="H73" s="194"/>
      <c r="I73" s="194"/>
      <c r="J73" s="200"/>
      <c r="K73" s="194"/>
      <c r="L73" s="200"/>
      <c r="M73" s="118"/>
      <c r="N73" s="134"/>
      <c r="O73" s="134"/>
      <c r="P73" s="134"/>
      <c r="Q73" s="134"/>
      <c r="R73" s="134"/>
      <c r="S73" s="134"/>
      <c r="T73" s="134"/>
      <c r="U73" s="134"/>
      <c r="V73" s="134"/>
      <c r="W73" s="118"/>
    </row>
    <row r="74" spans="1:24" s="456" customFormat="1" x14ac:dyDescent="0.2">
      <c r="A74" s="506" t="s">
        <v>30</v>
      </c>
      <c r="B74" s="470"/>
      <c r="C74" s="508" t="s">
        <v>155</v>
      </c>
      <c r="D74" s="508"/>
      <c r="E74" s="509"/>
      <c r="F74" s="509"/>
      <c r="G74" s="509"/>
      <c r="H74" s="510"/>
      <c r="I74" s="510"/>
      <c r="J74" s="509"/>
      <c r="K74" s="510"/>
      <c r="L74" s="524"/>
      <c r="M74" s="118"/>
      <c r="N74" s="134"/>
      <c r="O74" s="134"/>
      <c r="P74" s="134"/>
      <c r="Q74" s="134"/>
      <c r="R74" s="134"/>
      <c r="S74" s="134"/>
      <c r="T74" s="134"/>
      <c r="U74" s="134"/>
      <c r="V74" s="134"/>
      <c r="W74" s="118"/>
    </row>
    <row r="75" spans="1:24" s="456" customFormat="1" x14ac:dyDescent="0.2">
      <c r="A75" s="96" t="s">
        <v>35</v>
      </c>
      <c r="B75" s="512"/>
      <c r="C75" s="512"/>
      <c r="D75" s="512"/>
      <c r="E75" s="512"/>
      <c r="F75" s="512"/>
      <c r="G75" s="512"/>
      <c r="H75" s="215"/>
      <c r="I75" s="215"/>
      <c r="J75" s="512"/>
      <c r="K75" s="215"/>
      <c r="L75" s="525"/>
      <c r="M75" s="118"/>
      <c r="N75" s="134"/>
      <c r="O75" s="134"/>
      <c r="P75" s="134"/>
      <c r="Q75" s="134"/>
      <c r="R75" s="134"/>
      <c r="S75" s="134"/>
      <c r="T75" s="134"/>
      <c r="U75" s="134"/>
      <c r="V75" s="134"/>
      <c r="W75" s="118"/>
    </row>
    <row r="76" spans="1:24" s="456" customFormat="1" x14ac:dyDescent="0.2">
      <c r="A76" s="96" t="s">
        <v>174</v>
      </c>
      <c r="B76" s="512"/>
      <c r="C76" s="512"/>
      <c r="D76" s="512"/>
      <c r="E76" s="512"/>
      <c r="F76" s="512"/>
      <c r="G76" s="512"/>
      <c r="H76" s="215"/>
      <c r="I76" s="215"/>
      <c r="J76" s="512"/>
      <c r="K76" s="215"/>
      <c r="L76" s="525"/>
      <c r="M76" s="118"/>
      <c r="N76" s="134"/>
      <c r="O76" s="134"/>
      <c r="P76" s="134"/>
      <c r="Q76" s="134"/>
      <c r="R76" s="134"/>
      <c r="S76" s="134"/>
      <c r="T76" s="134"/>
      <c r="U76" s="134"/>
      <c r="V76" s="134"/>
      <c r="W76" s="118"/>
    </row>
    <row r="77" spans="1:24" s="456" customFormat="1" x14ac:dyDescent="0.2">
      <c r="A77" s="96" t="s">
        <v>987</v>
      </c>
      <c r="B77" s="512"/>
      <c r="C77" s="512"/>
      <c r="D77" s="512"/>
      <c r="E77" s="512"/>
      <c r="F77" s="512"/>
      <c r="G77" s="512"/>
      <c r="H77" s="215"/>
      <c r="I77" s="215"/>
      <c r="J77" s="512"/>
      <c r="K77" s="215"/>
      <c r="L77" s="525"/>
      <c r="M77" s="118"/>
      <c r="N77" s="134"/>
      <c r="O77" s="134"/>
      <c r="P77" s="134"/>
      <c r="Q77" s="134"/>
      <c r="R77" s="134"/>
      <c r="S77" s="134"/>
      <c r="T77" s="134"/>
      <c r="U77" s="134"/>
      <c r="V77" s="134"/>
      <c r="W77" s="118"/>
    </row>
    <row r="78" spans="1:24" s="456" customFormat="1" ht="16.5" thickBot="1" x14ac:dyDescent="0.25">
      <c r="A78" s="110" t="s">
        <v>988</v>
      </c>
      <c r="B78" s="514"/>
      <c r="C78" s="514"/>
      <c r="D78" s="514"/>
      <c r="E78" s="514"/>
      <c r="F78" s="514"/>
      <c r="G78" s="514"/>
      <c r="H78" s="515"/>
      <c r="I78" s="515"/>
      <c r="J78" s="514"/>
      <c r="K78" s="515"/>
      <c r="L78" s="526"/>
      <c r="M78" s="118"/>
      <c r="N78" s="134"/>
      <c r="O78" s="134"/>
      <c r="P78" s="134"/>
      <c r="Q78" s="134"/>
      <c r="R78" s="134"/>
      <c r="S78" s="134"/>
      <c r="T78" s="134"/>
      <c r="U78" s="134"/>
      <c r="V78" s="134"/>
      <c r="W78" s="118"/>
    </row>
    <row r="79" spans="1:24" s="456" customFormat="1" ht="16.5" thickBot="1" x14ac:dyDescent="0.25">
      <c r="A79" s="527"/>
      <c r="E79" s="200"/>
      <c r="F79" s="200"/>
      <c r="G79" s="200"/>
      <c r="H79" s="194"/>
      <c r="I79" s="517"/>
      <c r="J79" s="200"/>
      <c r="K79" s="194"/>
      <c r="L79" s="200"/>
      <c r="M79" s="118"/>
      <c r="N79" s="134"/>
      <c r="O79" s="134"/>
      <c r="P79" s="134"/>
      <c r="Q79" s="134"/>
      <c r="R79" s="118"/>
      <c r="V79" s="528"/>
      <c r="W79" s="528"/>
    </row>
    <row r="80" spans="1:24" s="14" customFormat="1" ht="32.25" thickBot="1" x14ac:dyDescent="0.25">
      <c r="A80" s="518" t="s">
        <v>31</v>
      </c>
      <c r="B80" s="932" t="s">
        <v>13</v>
      </c>
      <c r="C80" s="933"/>
      <c r="D80" s="934"/>
      <c r="E80" s="519" t="s">
        <v>12</v>
      </c>
      <c r="F80" s="519" t="s">
        <v>14</v>
      </c>
      <c r="G80" s="519" t="s">
        <v>276</v>
      </c>
      <c r="H80" s="519" t="s">
        <v>32</v>
      </c>
      <c r="I80" s="519" t="s">
        <v>16</v>
      </c>
      <c r="J80" s="519" t="s">
        <v>17</v>
      </c>
      <c r="K80" s="519" t="s">
        <v>18</v>
      </c>
      <c r="L80" s="519" t="s">
        <v>19</v>
      </c>
      <c r="M80" s="519" t="s">
        <v>20</v>
      </c>
      <c r="N80" s="520" t="s">
        <v>123</v>
      </c>
      <c r="O80" s="519" t="s">
        <v>94</v>
      </c>
      <c r="P80" s="521" t="s">
        <v>807</v>
      </c>
      <c r="W80" s="13"/>
    </row>
    <row r="81" spans="1:23" s="303" customFormat="1" x14ac:dyDescent="0.2">
      <c r="A81" s="269"/>
      <c r="B81" s="925"/>
      <c r="C81" s="926"/>
      <c r="D81" s="926"/>
      <c r="E81" s="226"/>
      <c r="F81" s="226"/>
      <c r="G81" s="226"/>
      <c r="H81" s="226"/>
      <c r="I81" s="226"/>
      <c r="J81" s="263"/>
      <c r="K81" s="263"/>
      <c r="L81" s="263"/>
      <c r="M81" s="263"/>
      <c r="N81" s="49"/>
      <c r="O81" s="226"/>
      <c r="P81" s="274"/>
      <c r="Q81" s="160"/>
      <c r="R81" s="160"/>
      <c r="S81" s="160"/>
      <c r="T81" s="160"/>
      <c r="U81" s="160"/>
      <c r="V81" s="160"/>
      <c r="W81" s="159"/>
    </row>
    <row r="82" spans="1:23" s="303" customFormat="1" x14ac:dyDescent="0.2">
      <c r="A82" s="248"/>
      <c r="B82" s="927"/>
      <c r="C82" s="928"/>
      <c r="D82" s="928"/>
      <c r="E82" s="125"/>
      <c r="F82" s="125"/>
      <c r="G82" s="125"/>
      <c r="H82" s="125"/>
      <c r="I82" s="125"/>
      <c r="J82" s="255"/>
      <c r="K82" s="255"/>
      <c r="L82" s="255"/>
      <c r="M82" s="255"/>
      <c r="N82" s="21"/>
      <c r="O82" s="125"/>
      <c r="P82" s="276"/>
      <c r="Q82" s="160"/>
      <c r="R82" s="160"/>
      <c r="S82" s="160"/>
      <c r="T82" s="160"/>
      <c r="U82" s="160"/>
      <c r="V82" s="160"/>
      <c r="W82" s="159"/>
    </row>
    <row r="83" spans="1:23" s="303" customFormat="1" x14ac:dyDescent="0.2">
      <c r="A83" s="248"/>
      <c r="B83" s="927"/>
      <c r="C83" s="928"/>
      <c r="D83" s="928"/>
      <c r="E83" s="125"/>
      <c r="F83" s="125"/>
      <c r="G83" s="125"/>
      <c r="H83" s="125"/>
      <c r="I83" s="125"/>
      <c r="J83" s="255"/>
      <c r="K83" s="255"/>
      <c r="L83" s="255"/>
      <c r="M83" s="255"/>
      <c r="N83" s="21"/>
      <c r="O83" s="125"/>
      <c r="P83" s="276"/>
      <c r="Q83" s="160"/>
      <c r="R83" s="160"/>
      <c r="S83" s="160"/>
      <c r="T83" s="160"/>
      <c r="U83" s="160"/>
      <c r="V83" s="160"/>
      <c r="W83" s="159"/>
    </row>
    <row r="84" spans="1:23" s="303" customFormat="1" ht="16.5" thickBot="1" x14ac:dyDescent="0.25">
      <c r="A84" s="304"/>
      <c r="B84" s="912"/>
      <c r="C84" s="913"/>
      <c r="D84" s="913"/>
      <c r="E84" s="130"/>
      <c r="F84" s="130"/>
      <c r="G84" s="130"/>
      <c r="H84" s="130"/>
      <c r="I84" s="130"/>
      <c r="J84" s="256"/>
      <c r="K84" s="256"/>
      <c r="L84" s="256"/>
      <c r="M84" s="256"/>
      <c r="N84" s="29"/>
      <c r="O84" s="129"/>
      <c r="P84" s="132"/>
      <c r="Q84" s="160"/>
      <c r="R84" s="160"/>
      <c r="S84" s="160"/>
      <c r="T84" s="160"/>
      <c r="U84" s="160"/>
      <c r="V84" s="160"/>
      <c r="W84" s="159"/>
    </row>
    <row r="85" spans="1:23" s="456" customFormat="1" ht="16.5" thickBot="1" x14ac:dyDescent="0.25">
      <c r="A85" s="133"/>
      <c r="B85" s="133"/>
      <c r="C85" s="133"/>
      <c r="D85" s="133"/>
      <c r="E85" s="133"/>
      <c r="F85" s="133"/>
      <c r="G85" s="133"/>
      <c r="H85" s="118"/>
      <c r="I85" s="118"/>
      <c r="J85" s="118"/>
      <c r="K85" s="118"/>
      <c r="L85" s="118"/>
      <c r="M85" s="134"/>
      <c r="N85" s="134"/>
      <c r="O85" s="134"/>
      <c r="P85" s="134"/>
      <c r="Q85" s="134"/>
      <c r="R85" s="134"/>
      <c r="S85" s="134"/>
      <c r="T85" s="134"/>
      <c r="U85" s="134"/>
      <c r="V85" s="118"/>
    </row>
    <row r="86" spans="1:23" s="73" customFormat="1" ht="16.5" thickBot="1" x14ac:dyDescent="0.25">
      <c r="A86" s="822" t="s">
        <v>36</v>
      </c>
      <c r="B86" s="823"/>
      <c r="C86" s="823"/>
      <c r="D86" s="823"/>
      <c r="E86" s="823"/>
      <c r="F86" s="823"/>
      <c r="G86" s="823"/>
      <c r="H86" s="823"/>
      <c r="I86" s="824"/>
      <c r="J86" s="169"/>
      <c r="K86" s="118"/>
      <c r="L86" s="134"/>
      <c r="M86" s="134"/>
      <c r="N86" s="134"/>
      <c r="O86" s="134"/>
      <c r="P86" s="134"/>
      <c r="Q86" s="134"/>
      <c r="R86" s="134"/>
      <c r="S86" s="118"/>
      <c r="T86" s="118"/>
      <c r="U86" s="118"/>
    </row>
    <row r="87" spans="1:23" s="73" customFormat="1" ht="16.5" thickBot="1" x14ac:dyDescent="0.25">
      <c r="A87" s="935" t="s">
        <v>37</v>
      </c>
      <c r="B87" s="936"/>
      <c r="C87" s="936"/>
      <c r="D87" s="936"/>
      <c r="E87" s="936"/>
      <c r="F87" s="936"/>
      <c r="G87" s="936"/>
      <c r="H87" s="936"/>
      <c r="I87" s="937"/>
      <c r="J87" s="170"/>
      <c r="K87" s="118"/>
      <c r="L87" s="134"/>
      <c r="M87" s="134"/>
      <c r="N87" s="134"/>
      <c r="O87" s="134"/>
      <c r="P87" s="134"/>
      <c r="Q87" s="134"/>
      <c r="R87" s="134"/>
      <c r="S87" s="118"/>
      <c r="T87" s="118"/>
      <c r="U87" s="118"/>
    </row>
    <row r="88" spans="1:23" s="308" customFormat="1" ht="15.75" customHeight="1" thickBot="1" x14ac:dyDescent="0.25">
      <c r="A88" s="665" t="s">
        <v>296</v>
      </c>
      <c r="B88" s="909" t="s">
        <v>1129</v>
      </c>
      <c r="C88" s="910"/>
      <c r="D88" s="910"/>
      <c r="E88" s="910"/>
      <c r="F88" s="910"/>
      <c r="G88" s="910"/>
      <c r="H88" s="910"/>
      <c r="I88" s="911"/>
      <c r="J88" s="171"/>
      <c r="K88" s="172"/>
      <c r="L88" s="173"/>
      <c r="M88" s="173"/>
      <c r="N88" s="173"/>
      <c r="O88" s="173"/>
      <c r="P88" s="173"/>
      <c r="Q88" s="173"/>
      <c r="R88" s="173"/>
      <c r="S88" s="172"/>
      <c r="T88" s="172"/>
      <c r="U88" s="172"/>
    </row>
    <row r="89" spans="1:23" s="73" customFormat="1" ht="16.5" thickBot="1" x14ac:dyDescent="0.25">
      <c r="A89" s="196"/>
      <c r="B89" s="169"/>
      <c r="C89" s="169"/>
      <c r="D89" s="169"/>
      <c r="E89" s="169"/>
      <c r="F89" s="176"/>
      <c r="G89" s="176"/>
      <c r="H89" s="176"/>
      <c r="I89" s="176"/>
      <c r="J89" s="176"/>
      <c r="K89" s="118"/>
      <c r="L89" s="134"/>
      <c r="M89" s="134"/>
      <c r="N89" s="134"/>
      <c r="O89" s="134"/>
      <c r="P89" s="134"/>
      <c r="Q89" s="118"/>
    </row>
    <row r="90" spans="1:23" s="73" customFormat="1" ht="16.5" customHeight="1" thickBot="1" x14ac:dyDescent="0.25">
      <c r="A90" s="917" t="s">
        <v>214</v>
      </c>
      <c r="B90" s="918"/>
      <c r="C90" s="918"/>
      <c r="D90" s="918"/>
      <c r="E90" s="918"/>
      <c r="F90" s="918"/>
      <c r="G90" s="918"/>
      <c r="H90" s="930" t="s">
        <v>226</v>
      </c>
      <c r="I90" s="786" t="s">
        <v>627</v>
      </c>
      <c r="J90" s="786" t="s">
        <v>215</v>
      </c>
      <c r="K90" s="786" t="s">
        <v>23</v>
      </c>
      <c r="L90" s="786" t="s">
        <v>302</v>
      </c>
      <c r="M90" s="788" t="s">
        <v>83</v>
      </c>
      <c r="N90" s="134"/>
      <c r="O90" s="118"/>
      <c r="P90" s="456"/>
      <c r="Q90" s="528"/>
      <c r="R90" s="528"/>
    </row>
    <row r="91" spans="1:23" s="446" customFormat="1" ht="16.5" thickBot="1" x14ac:dyDescent="0.25">
      <c r="A91" s="919" t="s">
        <v>887</v>
      </c>
      <c r="B91" s="920"/>
      <c r="C91" s="920"/>
      <c r="D91" s="920"/>
      <c r="E91" s="920"/>
      <c r="F91" s="920"/>
      <c r="G91" s="921"/>
      <c r="H91" s="931"/>
      <c r="I91" s="908"/>
      <c r="J91" s="908"/>
      <c r="K91" s="908"/>
      <c r="L91" s="908"/>
      <c r="M91" s="929"/>
      <c r="N91" s="177"/>
      <c r="O91" s="177"/>
      <c r="P91" s="177"/>
      <c r="Q91" s="177"/>
      <c r="R91" s="177"/>
    </row>
    <row r="92" spans="1:23" s="446" customFormat="1" ht="15.75" customHeight="1" thickBot="1" x14ac:dyDescent="0.25">
      <c r="A92" s="914" t="s">
        <v>353</v>
      </c>
      <c r="B92" s="915"/>
      <c r="C92" s="915"/>
      <c r="D92" s="915"/>
      <c r="E92" s="915"/>
      <c r="F92" s="915"/>
      <c r="G92" s="916"/>
      <c r="H92" s="931"/>
      <c r="I92" s="908"/>
      <c r="J92" s="908"/>
      <c r="K92" s="908"/>
      <c r="L92" s="908"/>
      <c r="M92" s="929"/>
      <c r="N92" s="177"/>
      <c r="O92" s="177"/>
      <c r="P92" s="177"/>
      <c r="Q92" s="177"/>
      <c r="R92" s="177"/>
    </row>
    <row r="93" spans="1:23" s="136" customFormat="1" ht="15.75" customHeight="1" x14ac:dyDescent="0.2">
      <c r="A93" s="178" t="s">
        <v>102</v>
      </c>
      <c r="B93" s="942" t="str">
        <f>IF($A93="","",VLOOKUP($A93,Listes!$A$3:$C$193,2,FALSE))</f>
        <v>Alameda Corridor Surcharge import</v>
      </c>
      <c r="C93" s="942"/>
      <c r="D93" s="942"/>
      <c r="E93" s="941" t="s">
        <v>51</v>
      </c>
      <c r="F93" s="941"/>
      <c r="G93" s="941"/>
      <c r="H93" s="614"/>
      <c r="I93" s="529"/>
      <c r="J93" s="529"/>
      <c r="K93" s="529"/>
      <c r="L93" s="529"/>
      <c r="M93" s="530"/>
      <c r="N93" s="160"/>
      <c r="O93" s="160"/>
      <c r="P93" s="160"/>
      <c r="Q93" s="160"/>
      <c r="R93" s="159"/>
    </row>
    <row r="94" spans="1:23" s="136" customFormat="1" ht="15.75" customHeight="1" x14ac:dyDescent="0.2">
      <c r="A94" s="182" t="s">
        <v>234</v>
      </c>
      <c r="B94" s="813" t="str">
        <f>IF($A94="","",VLOOKUP($A94,Listes!$A$3:$C$193,2,FALSE))</f>
        <v>Bunker Adjustment Factor</v>
      </c>
      <c r="C94" s="813"/>
      <c r="D94" s="813"/>
      <c r="E94" s="814" t="s">
        <v>51</v>
      </c>
      <c r="F94" s="814"/>
      <c r="G94" s="814"/>
      <c r="H94" s="612"/>
      <c r="I94" s="531"/>
      <c r="J94" s="531"/>
      <c r="K94" s="531"/>
      <c r="L94" s="531"/>
      <c r="M94" s="532"/>
      <c r="N94" s="160"/>
      <c r="O94" s="160"/>
      <c r="P94" s="160"/>
      <c r="Q94" s="160"/>
      <c r="R94" s="159"/>
    </row>
    <row r="95" spans="1:23" s="136" customFormat="1" ht="15.75" customHeight="1" x14ac:dyDescent="0.2">
      <c r="A95" s="182" t="s">
        <v>86</v>
      </c>
      <c r="B95" s="813" t="str">
        <f>IF($A95="","",VLOOKUP($A95,Listes!$A$3:$C$193,2,FALSE))</f>
        <v>Currency Adjustment Factor</v>
      </c>
      <c r="C95" s="813"/>
      <c r="D95" s="813"/>
      <c r="E95" s="814" t="s">
        <v>53</v>
      </c>
      <c r="F95" s="814"/>
      <c r="G95" s="814"/>
      <c r="H95" s="612"/>
      <c r="I95" s="531"/>
      <c r="J95" s="531"/>
      <c r="K95" s="531"/>
      <c r="L95" s="531"/>
      <c r="M95" s="532"/>
      <c r="N95" s="160"/>
      <c r="O95" s="160"/>
      <c r="P95" s="160"/>
      <c r="Q95" s="160"/>
      <c r="R95" s="159"/>
    </row>
    <row r="96" spans="1:23" s="136" customFormat="1" ht="15.75" customHeight="1" x14ac:dyDescent="0.2">
      <c r="A96" s="182" t="s">
        <v>1337</v>
      </c>
      <c r="B96" s="813" t="str">
        <f>IF($A96="","",VLOOKUP($A96,Listes!$A$3:$C$193,2,FALSE))</f>
        <v>Container Cleaning Surcharge Origin</v>
      </c>
      <c r="C96" s="813"/>
      <c r="D96" s="813"/>
      <c r="E96" s="814" t="s">
        <v>51</v>
      </c>
      <c r="F96" s="814"/>
      <c r="G96" s="814"/>
      <c r="H96" s="612"/>
      <c r="I96" s="531"/>
      <c r="J96" s="531"/>
      <c r="K96" s="531"/>
      <c r="L96" s="531"/>
      <c r="M96" s="532"/>
      <c r="N96" s="160"/>
      <c r="O96" s="160"/>
      <c r="P96" s="160"/>
      <c r="Q96" s="160"/>
      <c r="R96" s="159"/>
    </row>
    <row r="97" spans="1:18" s="136" customFormat="1" ht="15.75" customHeight="1" x14ac:dyDescent="0.2">
      <c r="A97" s="182" t="s">
        <v>1105</v>
      </c>
      <c r="B97" s="813" t="str">
        <f>IF($A97="","",VLOOKUP($A97,Listes!$A$3:$C$193,2,FALSE))</f>
        <v>Chassis Administration Fee On-Carriage</v>
      </c>
      <c r="C97" s="813"/>
      <c r="D97" s="813"/>
      <c r="E97" s="814" t="s">
        <v>51</v>
      </c>
      <c r="F97" s="814"/>
      <c r="G97" s="814"/>
      <c r="H97" s="647"/>
      <c r="I97" s="531"/>
      <c r="J97" s="531"/>
      <c r="K97" s="531"/>
      <c r="L97" s="531"/>
      <c r="M97" s="532"/>
      <c r="N97" s="160"/>
      <c r="O97" s="160"/>
      <c r="P97" s="160"/>
      <c r="Q97" s="160"/>
      <c r="R97" s="159"/>
    </row>
    <row r="98" spans="1:18" s="136" customFormat="1" ht="15.75" customHeight="1" x14ac:dyDescent="0.2">
      <c r="A98" s="182" t="s">
        <v>551</v>
      </c>
      <c r="B98" s="813" t="str">
        <f>IF($A98="","",VLOOKUP($A98,Listes!$A$3:$C$193,2,FALSE))</f>
        <v>Chassis Provision Charge</v>
      </c>
      <c r="C98" s="813"/>
      <c r="D98" s="813"/>
      <c r="E98" s="814" t="s">
        <v>51</v>
      </c>
      <c r="F98" s="814"/>
      <c r="G98" s="814"/>
      <c r="H98" s="612"/>
      <c r="I98" s="531"/>
      <c r="J98" s="531"/>
      <c r="K98" s="531"/>
      <c r="L98" s="531"/>
      <c r="M98" s="532"/>
      <c r="N98" s="160"/>
      <c r="O98" s="160"/>
      <c r="P98" s="160"/>
      <c r="Q98" s="160"/>
      <c r="R98" s="159"/>
    </row>
    <row r="99" spans="1:18" s="136" customFormat="1" ht="15.75" customHeight="1" x14ac:dyDescent="0.2">
      <c r="A99" s="182" t="s">
        <v>263</v>
      </c>
      <c r="B99" s="813" t="str">
        <f>IF($A99="","",VLOOKUP($A99,Listes!$A$3:$C$193,2,FALSE))</f>
        <v>Carrier Security Charge</v>
      </c>
      <c r="C99" s="813"/>
      <c r="D99" s="813"/>
      <c r="E99" s="814" t="s">
        <v>51</v>
      </c>
      <c r="F99" s="814"/>
      <c r="G99" s="814"/>
      <c r="H99" s="612"/>
      <c r="I99" s="531"/>
      <c r="J99" s="531"/>
      <c r="K99" s="531"/>
      <c r="L99" s="531"/>
      <c r="M99" s="532"/>
      <c r="N99" s="160"/>
      <c r="O99" s="160"/>
      <c r="P99" s="160"/>
      <c r="Q99" s="160"/>
      <c r="R99" s="159"/>
    </row>
    <row r="100" spans="1:18" s="136" customFormat="1" ht="15.75" customHeight="1" x14ac:dyDescent="0.2">
      <c r="A100" s="182" t="s">
        <v>1262</v>
      </c>
      <c r="B100" s="813" t="str">
        <f>IF($A100="","",VLOOKUP($A100,Listes!$A$3:$C$193,2,FALSE))</f>
        <v>Container Maintenance Charge Destination</v>
      </c>
      <c r="C100" s="813"/>
      <c r="D100" s="813"/>
      <c r="E100" s="814" t="s">
        <v>51</v>
      </c>
      <c r="F100" s="814"/>
      <c r="G100" s="814"/>
      <c r="H100" s="647"/>
      <c r="I100" s="531"/>
      <c r="J100" s="531"/>
      <c r="K100" s="531"/>
      <c r="L100" s="531"/>
      <c r="M100" s="532"/>
      <c r="N100" s="160"/>
      <c r="O100" s="160"/>
      <c r="P100" s="160"/>
      <c r="Q100" s="160"/>
      <c r="R100" s="159"/>
    </row>
    <row r="101" spans="1:18" s="136" customFormat="1" ht="15.75" customHeight="1" x14ac:dyDescent="0.2">
      <c r="A101" s="182" t="s">
        <v>997</v>
      </c>
      <c r="B101" s="813" t="str">
        <f>IF($A101="","",VLOOKUP($A101,Listes!$A$3:$C$193,2,FALSE))</f>
        <v>Custom clearance origin</v>
      </c>
      <c r="C101" s="813"/>
      <c r="D101" s="813"/>
      <c r="E101" s="814" t="s">
        <v>51</v>
      </c>
      <c r="F101" s="814"/>
      <c r="G101" s="814"/>
      <c r="H101" s="625"/>
      <c r="I101" s="531"/>
      <c r="J101" s="531"/>
      <c r="K101" s="531"/>
      <c r="L101" s="531"/>
      <c r="M101" s="532"/>
      <c r="N101" s="160"/>
      <c r="O101" s="160"/>
      <c r="P101" s="160"/>
      <c r="Q101" s="160"/>
      <c r="R101" s="159"/>
    </row>
    <row r="102" spans="1:18" s="136" customFormat="1" ht="15.75" customHeight="1" x14ac:dyDescent="0.2">
      <c r="A102" s="182" t="s">
        <v>230</v>
      </c>
      <c r="B102" s="813" t="str">
        <f>IF($A102="","",VLOOKUP($A102,Listes!$A$3:$C$193,2,FALSE))</f>
        <v>Destination THC / Destination Receiving Charge</v>
      </c>
      <c r="C102" s="813"/>
      <c r="D102" s="813"/>
      <c r="E102" s="814" t="s">
        <v>51</v>
      </c>
      <c r="F102" s="814"/>
      <c r="G102" s="814"/>
      <c r="H102" s="612"/>
      <c r="I102" s="531"/>
      <c r="J102" s="531"/>
      <c r="K102" s="531"/>
      <c r="L102" s="531"/>
      <c r="M102" s="532"/>
      <c r="N102" s="160"/>
      <c r="O102" s="160"/>
      <c r="P102" s="160"/>
      <c r="Q102" s="160"/>
      <c r="R102" s="159"/>
    </row>
    <row r="103" spans="1:18" s="136" customFormat="1" ht="15.75" customHeight="1" x14ac:dyDescent="0.2">
      <c r="A103" s="182" t="s">
        <v>1081</v>
      </c>
      <c r="B103" s="813" t="str">
        <f>IF($A103="","",VLOOKUP($A103,Listes!$A$3:$C$193,2,FALSE))</f>
        <v>Equipment Imbalance Surcharge at Origin</v>
      </c>
      <c r="C103" s="813"/>
      <c r="D103" s="813"/>
      <c r="E103" s="814" t="s">
        <v>53</v>
      </c>
      <c r="F103" s="814"/>
      <c r="G103" s="814"/>
      <c r="H103" s="631"/>
      <c r="I103" s="531"/>
      <c r="J103" s="531"/>
      <c r="K103" s="531"/>
      <c r="L103" s="531"/>
      <c r="M103" s="532"/>
      <c r="N103" s="160"/>
      <c r="O103" s="160"/>
      <c r="P103" s="160"/>
      <c r="Q103" s="160"/>
      <c r="R103" s="159"/>
    </row>
    <row r="104" spans="1:18" s="136" customFormat="1" ht="15.75" customHeight="1" x14ac:dyDescent="0.2">
      <c r="A104" s="182" t="s">
        <v>1082</v>
      </c>
      <c r="B104" s="813" t="str">
        <f>IF($A104="","",VLOOKUP($A104,Listes!$A$3:$C$193,2,FALSE))</f>
        <v>Equipment Imbalance Surcharge at Destination</v>
      </c>
      <c r="C104" s="813"/>
      <c r="D104" s="813"/>
      <c r="E104" s="814" t="s">
        <v>53</v>
      </c>
      <c r="F104" s="814"/>
      <c r="G104" s="814"/>
      <c r="H104" s="646"/>
      <c r="I104" s="531"/>
      <c r="J104" s="531"/>
      <c r="K104" s="531"/>
      <c r="L104" s="531"/>
      <c r="M104" s="532"/>
      <c r="N104" s="160"/>
      <c r="O104" s="160"/>
      <c r="P104" s="160"/>
      <c r="Q104" s="160"/>
      <c r="R104" s="159"/>
    </row>
    <row r="105" spans="1:18" s="136" customFormat="1" ht="15.75" customHeight="1" x14ac:dyDescent="0.2">
      <c r="A105" s="182" t="s">
        <v>874</v>
      </c>
      <c r="B105" s="813" t="str">
        <f>IF($A105="","",VLOOKUP($A105,Listes!$A$3:$C$193,2,FALSE))</f>
        <v>Export Documentation Fees - Carrier</v>
      </c>
      <c r="C105" s="813"/>
      <c r="D105" s="813"/>
      <c r="E105" s="814" t="s">
        <v>51</v>
      </c>
      <c r="F105" s="814"/>
      <c r="G105" s="814"/>
      <c r="H105" s="612"/>
      <c r="I105" s="531"/>
      <c r="J105" s="531"/>
      <c r="K105" s="531"/>
      <c r="L105" s="531"/>
      <c r="M105" s="532"/>
      <c r="N105" s="160"/>
      <c r="O105" s="160"/>
      <c r="P105" s="160"/>
      <c r="Q105" s="160"/>
      <c r="R105" s="159"/>
    </row>
    <row r="106" spans="1:18" s="136" customFormat="1" ht="15.75" customHeight="1" x14ac:dyDescent="0.2">
      <c r="A106" s="182" t="s">
        <v>854</v>
      </c>
      <c r="B106" s="813" t="str">
        <f>IF($A106="","",VLOOKUP($A106,Listes!$A$3:$C$193,2,FALSE))</f>
        <v>Export Declaration Surcharge</v>
      </c>
      <c r="C106" s="813"/>
      <c r="D106" s="813"/>
      <c r="E106" s="814" t="s">
        <v>51</v>
      </c>
      <c r="F106" s="814"/>
      <c r="G106" s="814"/>
      <c r="H106" s="612"/>
      <c r="I106" s="531"/>
      <c r="J106" s="531"/>
      <c r="K106" s="531"/>
      <c r="L106" s="531"/>
      <c r="M106" s="532"/>
      <c r="N106" s="160"/>
      <c r="O106" s="160"/>
      <c r="P106" s="160"/>
      <c r="Q106" s="160"/>
      <c r="R106" s="159"/>
    </row>
    <row r="107" spans="1:18" s="136" customFormat="1" ht="15.75" customHeight="1" x14ac:dyDescent="0.2">
      <c r="A107" s="182" t="s">
        <v>1320</v>
      </c>
      <c r="B107" s="813" t="str">
        <f>IF($A107="","",VLOOKUP($A107,Listes!$A$3:$C$193,2,FALSE))</f>
        <v>Export Seal Fee</v>
      </c>
      <c r="C107" s="813"/>
      <c r="D107" s="813"/>
      <c r="E107" s="814" t="s">
        <v>51</v>
      </c>
      <c r="F107" s="814"/>
      <c r="G107" s="814"/>
      <c r="H107" s="686"/>
      <c r="I107" s="531"/>
      <c r="J107" s="531"/>
      <c r="K107" s="531"/>
      <c r="L107" s="531"/>
      <c r="M107" s="532"/>
      <c r="N107" s="160"/>
      <c r="O107" s="160"/>
      <c r="P107" s="160"/>
      <c r="Q107" s="160"/>
      <c r="R107" s="159"/>
    </row>
    <row r="108" spans="1:18" s="136" customFormat="1" ht="15.75" customHeight="1" x14ac:dyDescent="0.2">
      <c r="A108" s="182" t="s">
        <v>194</v>
      </c>
      <c r="B108" s="813" t="str">
        <f>IF($A108="","",VLOOKUP($A108,Listes!$A$3:$C$193,2,FALSE))</f>
        <v>Extra Container Handling Charge Origin</v>
      </c>
      <c r="C108" s="813"/>
      <c r="D108" s="813"/>
      <c r="E108" s="814" t="s">
        <v>51</v>
      </c>
      <c r="F108" s="814"/>
      <c r="G108" s="814"/>
      <c r="H108" s="612"/>
      <c r="I108" s="531"/>
      <c r="J108" s="531"/>
      <c r="K108" s="531"/>
      <c r="L108" s="531"/>
      <c r="M108" s="532"/>
      <c r="N108" s="160"/>
      <c r="O108" s="160"/>
      <c r="P108" s="160"/>
      <c r="Q108" s="160"/>
      <c r="R108" s="159"/>
    </row>
    <row r="109" spans="1:18" s="136" customFormat="1" ht="15.75" customHeight="1" x14ac:dyDescent="0.2">
      <c r="A109" s="182" t="s">
        <v>293</v>
      </c>
      <c r="B109" s="813" t="str">
        <f>IF($A109="","",VLOOKUP($A109,Listes!$A$3:$C$193,2,FALSE))</f>
        <v>Forwarding Agent Commission</v>
      </c>
      <c r="C109" s="813"/>
      <c r="D109" s="813"/>
      <c r="E109" s="814" t="s">
        <v>53</v>
      </c>
      <c r="F109" s="814"/>
      <c r="G109" s="814"/>
      <c r="H109" s="626"/>
      <c r="I109" s="531"/>
      <c r="J109" s="531"/>
      <c r="K109" s="531"/>
      <c r="L109" s="531"/>
      <c r="M109" s="532"/>
      <c r="N109" s="160"/>
      <c r="O109" s="160"/>
      <c r="P109" s="160"/>
      <c r="Q109" s="160"/>
      <c r="R109" s="159"/>
    </row>
    <row r="110" spans="1:18" s="136" customFormat="1" ht="15.75" customHeight="1" x14ac:dyDescent="0.2">
      <c r="A110" s="182" t="s">
        <v>82</v>
      </c>
      <c r="B110" s="813" t="str">
        <f>IF($A110="","",VLOOKUP($A110,Listes!$A$3:$C$193,2,FALSE))</f>
        <v>General Rate Increase</v>
      </c>
      <c r="C110" s="813"/>
      <c r="D110" s="813"/>
      <c r="E110" s="814" t="s">
        <v>51</v>
      </c>
      <c r="F110" s="814"/>
      <c r="G110" s="814"/>
      <c r="H110" s="612"/>
      <c r="I110" s="531"/>
      <c r="J110" s="531"/>
      <c r="K110" s="531"/>
      <c r="L110" s="531"/>
      <c r="M110" s="532"/>
      <c r="N110" s="160"/>
      <c r="O110" s="160"/>
      <c r="P110" s="160"/>
      <c r="Q110" s="160"/>
      <c r="R110" s="159"/>
    </row>
    <row r="111" spans="1:18" s="136" customFormat="1" ht="15.75" customHeight="1" x14ac:dyDescent="0.2">
      <c r="A111" s="182" t="s">
        <v>260</v>
      </c>
      <c r="B111" s="813" t="str">
        <f>IF($A111="","",VLOOKUP($A111,Listes!$A$3:$C$193,2,FALSE))</f>
        <v>Hazardous Fees (Ocean)</v>
      </c>
      <c r="C111" s="813"/>
      <c r="D111" s="813"/>
      <c r="E111" s="814" t="s">
        <v>51</v>
      </c>
      <c r="F111" s="814"/>
      <c r="G111" s="814"/>
      <c r="H111" s="612"/>
      <c r="I111" s="531"/>
      <c r="J111" s="531"/>
      <c r="K111" s="531"/>
      <c r="L111" s="531"/>
      <c r="M111" s="532"/>
      <c r="N111" s="160"/>
      <c r="O111" s="160"/>
      <c r="P111" s="160"/>
      <c r="Q111" s="160"/>
      <c r="R111" s="159"/>
    </row>
    <row r="112" spans="1:18" s="136" customFormat="1" ht="15.75" customHeight="1" x14ac:dyDescent="0.2">
      <c r="A112" s="182" t="s">
        <v>898</v>
      </c>
      <c r="B112" s="813" t="str">
        <f>IF($A112="","",VLOOKUP($A112,Listes!$A$3:$C$193,2,FALSE))</f>
        <v>Oncarriage Additional Intermodal Door Delivery Surcharge</v>
      </c>
      <c r="C112" s="813"/>
      <c r="D112" s="813"/>
      <c r="E112" s="814" t="s">
        <v>51</v>
      </c>
      <c r="F112" s="814"/>
      <c r="G112" s="814"/>
      <c r="H112" s="612"/>
      <c r="I112" s="531"/>
      <c r="J112" s="531"/>
      <c r="K112" s="531"/>
      <c r="L112" s="531"/>
      <c r="M112" s="532"/>
      <c r="N112" s="160"/>
      <c r="O112" s="160"/>
      <c r="P112" s="160"/>
      <c r="Q112" s="160"/>
      <c r="R112" s="159"/>
    </row>
    <row r="113" spans="1:18" s="136" customFormat="1" ht="15.75" customHeight="1" x14ac:dyDescent="0.2">
      <c r="A113" s="182" t="s">
        <v>94</v>
      </c>
      <c r="B113" s="813" t="str">
        <f>IF($A113="","",VLOOKUP($A113,Listes!$A$3:$C$193,2,FALSE))</f>
        <v>Oncarriage Inland Fuel Charge</v>
      </c>
      <c r="C113" s="813"/>
      <c r="D113" s="813"/>
      <c r="E113" s="814" t="s">
        <v>51</v>
      </c>
      <c r="F113" s="814"/>
      <c r="G113" s="814"/>
      <c r="H113" s="612"/>
      <c r="I113" s="531"/>
      <c r="J113" s="531"/>
      <c r="K113" s="531"/>
      <c r="L113" s="531"/>
      <c r="M113" s="532"/>
      <c r="N113" s="160"/>
      <c r="O113" s="160"/>
      <c r="P113" s="160"/>
      <c r="Q113" s="160"/>
      <c r="R113" s="159"/>
    </row>
    <row r="114" spans="1:18" s="136" customFormat="1" ht="15.75" customHeight="1" x14ac:dyDescent="0.2">
      <c r="A114" s="182" t="s">
        <v>1290</v>
      </c>
      <c r="B114" s="813" t="str">
        <f>IF($A114="","",VLOOKUP($A114,Listes!$A$3:$C$193,2,FALSE))</f>
        <v>Local Port Charge Destination Sanitary Fee</v>
      </c>
      <c r="C114" s="813"/>
      <c r="D114" s="813"/>
      <c r="E114" s="814" t="s">
        <v>51</v>
      </c>
      <c r="F114" s="814"/>
      <c r="G114" s="814"/>
      <c r="H114" s="675"/>
      <c r="I114" s="531"/>
      <c r="J114" s="531"/>
      <c r="K114" s="531"/>
      <c r="L114" s="531"/>
      <c r="M114" s="532"/>
      <c r="N114" s="160"/>
      <c r="O114" s="160"/>
      <c r="P114" s="160"/>
      <c r="Q114" s="160"/>
      <c r="R114" s="159"/>
    </row>
    <row r="115" spans="1:18" s="136" customFormat="1" ht="15.75" customHeight="1" x14ac:dyDescent="0.2">
      <c r="A115" s="182" t="s">
        <v>1292</v>
      </c>
      <c r="B115" s="813" t="str">
        <f>IF($A115="","",VLOOKUP($A115,Listes!$A$3:$C$193,2,FALSE))</f>
        <v>Local Port Charge Origin Sanitary Fee</v>
      </c>
      <c r="C115" s="813"/>
      <c r="D115" s="813"/>
      <c r="E115" s="814" t="s">
        <v>51</v>
      </c>
      <c r="F115" s="814"/>
      <c r="G115" s="814"/>
      <c r="H115" s="675"/>
      <c r="I115" s="531"/>
      <c r="J115" s="531"/>
      <c r="K115" s="531"/>
      <c r="L115" s="531"/>
      <c r="M115" s="532"/>
      <c r="N115" s="160"/>
      <c r="O115" s="160"/>
      <c r="P115" s="160"/>
      <c r="Q115" s="160"/>
      <c r="R115" s="159"/>
    </row>
    <row r="116" spans="1:18" s="136" customFormat="1" ht="15.75" customHeight="1" x14ac:dyDescent="0.2">
      <c r="A116" s="182" t="s">
        <v>199</v>
      </c>
      <c r="B116" s="813" t="str">
        <f>IF($A116="","",VLOOKUP($A116,Listes!$A$3:$C$193,2,FALSE))</f>
        <v>Low Sulfur Surcharge</v>
      </c>
      <c r="C116" s="813"/>
      <c r="D116" s="813"/>
      <c r="E116" s="814" t="s">
        <v>53</v>
      </c>
      <c r="F116" s="814"/>
      <c r="G116" s="814"/>
      <c r="H116" s="612"/>
      <c r="I116" s="531"/>
      <c r="J116" s="531"/>
      <c r="K116" s="531"/>
      <c r="L116" s="531"/>
      <c r="M116" s="532"/>
      <c r="N116" s="160"/>
      <c r="O116" s="160"/>
      <c r="P116" s="160"/>
      <c r="Q116" s="160"/>
      <c r="R116" s="159"/>
    </row>
    <row r="117" spans="1:18" s="136" customFormat="1" ht="15.75" customHeight="1" x14ac:dyDescent="0.2">
      <c r="A117" s="182" t="s">
        <v>1124</v>
      </c>
      <c r="B117" s="813" t="str">
        <f>IF($A117="","",VLOOKUP($A117,Listes!$A$3:$C$193,2,FALSE))</f>
        <v>Low Sulfur Surcharge IMO2020</v>
      </c>
      <c r="C117" s="813"/>
      <c r="D117" s="813"/>
      <c r="E117" s="814" t="s">
        <v>53</v>
      </c>
      <c r="F117" s="814"/>
      <c r="G117" s="814"/>
      <c r="H117" s="667"/>
      <c r="I117" s="531"/>
      <c r="J117" s="531"/>
      <c r="K117" s="531"/>
      <c r="L117" s="531"/>
      <c r="M117" s="532"/>
      <c r="N117" s="160"/>
      <c r="O117" s="160"/>
      <c r="P117" s="160"/>
      <c r="Q117" s="160"/>
      <c r="R117" s="159"/>
    </row>
    <row r="118" spans="1:18" s="136" customFormat="1" x14ac:dyDescent="0.2">
      <c r="A118" s="182" t="s">
        <v>1059</v>
      </c>
      <c r="B118" s="813" t="str">
        <f>IF($A118="","",VLOOKUP($A118,Listes!$A$3:$C$193,2,FALSE))</f>
        <v>On-Carriage Emergency Inland Fuel Surcharge</v>
      </c>
      <c r="C118" s="813"/>
      <c r="D118" s="813"/>
      <c r="E118" s="814" t="s">
        <v>51</v>
      </c>
      <c r="F118" s="814"/>
      <c r="G118" s="814"/>
      <c r="H118" s="647"/>
      <c r="I118" s="531"/>
      <c r="J118" s="531"/>
      <c r="K118" s="531"/>
      <c r="L118" s="531"/>
      <c r="M118" s="532"/>
      <c r="N118" s="160"/>
      <c r="O118" s="160"/>
      <c r="P118" s="160"/>
      <c r="Q118" s="160"/>
      <c r="R118" s="159"/>
    </row>
    <row r="119" spans="1:18" s="136" customFormat="1" ht="31.5" x14ac:dyDescent="0.2">
      <c r="A119" s="182" t="s">
        <v>1088</v>
      </c>
      <c r="B119" s="813" t="str">
        <f>IF($A119="","",VLOOKUP($A119,Listes!$A$3:$C$193,2,FALSE))</f>
        <v>On-Carriage Emergency Intermodal Surcharge</v>
      </c>
      <c r="C119" s="813"/>
      <c r="D119" s="813"/>
      <c r="E119" s="814" t="s">
        <v>51</v>
      </c>
      <c r="F119" s="814"/>
      <c r="G119" s="814"/>
      <c r="H119" s="645"/>
      <c r="I119" s="531"/>
      <c r="J119" s="531"/>
      <c r="K119" s="531"/>
      <c r="L119" s="531"/>
      <c r="M119" s="532"/>
      <c r="N119" s="160"/>
      <c r="O119" s="160"/>
      <c r="P119" s="160"/>
      <c r="Q119" s="160"/>
      <c r="R119" s="159"/>
    </row>
    <row r="120" spans="1:18" s="136" customFormat="1" ht="15.75" customHeight="1" x14ac:dyDescent="0.2">
      <c r="A120" s="182" t="s">
        <v>497</v>
      </c>
      <c r="B120" s="813" t="str">
        <f>IF($A120="","",VLOOKUP($A120,Listes!$A$3:$C$193,2,FALSE))</f>
        <v>Inland Hazardous Charge Oncarriage</v>
      </c>
      <c r="C120" s="813"/>
      <c r="D120" s="813"/>
      <c r="E120" s="814" t="s">
        <v>51</v>
      </c>
      <c r="F120" s="814"/>
      <c r="G120" s="814"/>
      <c r="H120" s="612"/>
      <c r="I120" s="531"/>
      <c r="J120" s="531"/>
      <c r="K120" s="531"/>
      <c r="L120" s="531"/>
      <c r="M120" s="532"/>
      <c r="N120" s="160"/>
      <c r="O120" s="160"/>
      <c r="P120" s="160"/>
      <c r="Q120" s="160"/>
      <c r="R120" s="159"/>
    </row>
    <row r="121" spans="1:18" s="136" customFormat="1" x14ac:dyDescent="0.2">
      <c r="A121" s="182" t="s">
        <v>89</v>
      </c>
      <c r="B121" s="813" t="str">
        <f>IF($A121="","",VLOOKUP($A121,Listes!$A$3:$C$193,2,FALSE))</f>
        <v>Origin THC / Origin Receiving Charge</v>
      </c>
      <c r="C121" s="813"/>
      <c r="D121" s="813"/>
      <c r="E121" s="814" t="s">
        <v>51</v>
      </c>
      <c r="F121" s="814"/>
      <c r="G121" s="814"/>
      <c r="H121" s="612"/>
      <c r="I121" s="531"/>
      <c r="J121" s="531"/>
      <c r="K121" s="531"/>
      <c r="L121" s="531"/>
      <c r="M121" s="532"/>
      <c r="N121" s="160"/>
      <c r="O121" s="160"/>
      <c r="P121" s="160"/>
      <c r="Q121" s="160"/>
      <c r="R121" s="159"/>
    </row>
    <row r="122" spans="1:18" s="136" customFormat="1" ht="15.75" customHeight="1" x14ac:dyDescent="0.2">
      <c r="A122" s="182" t="s">
        <v>894</v>
      </c>
      <c r="B122" s="813" t="str">
        <f>IF($A122="","",VLOOKUP($A122,Listes!$A$3:$C$193,2,FALSE))</f>
        <v>Overweight Freight Additional Surcharge</v>
      </c>
      <c r="C122" s="813"/>
      <c r="D122" s="813"/>
      <c r="E122" s="814" t="s">
        <v>51</v>
      </c>
      <c r="F122" s="814"/>
      <c r="G122" s="814"/>
      <c r="H122" s="612"/>
      <c r="I122" s="531"/>
      <c r="J122" s="531"/>
      <c r="K122" s="531"/>
      <c r="L122" s="531"/>
      <c r="M122" s="532"/>
      <c r="N122" s="160"/>
      <c r="O122" s="160"/>
      <c r="P122" s="160"/>
      <c r="Q122" s="160"/>
      <c r="R122" s="159"/>
    </row>
    <row r="123" spans="1:18" s="136" customFormat="1" ht="15.75" customHeight="1" x14ac:dyDescent="0.2">
      <c r="A123" s="182" t="s">
        <v>500</v>
      </c>
      <c r="B123" s="813" t="str">
        <f>IF($A123="","",VLOOKUP($A123,Listes!$A$3:$C$193,2,FALSE))</f>
        <v>Inland Hazardous Charge Precarriage</v>
      </c>
      <c r="C123" s="813"/>
      <c r="D123" s="813"/>
      <c r="E123" s="814" t="s">
        <v>51</v>
      </c>
      <c r="F123" s="814"/>
      <c r="G123" s="814"/>
      <c r="H123" s="612"/>
      <c r="I123" s="531"/>
      <c r="J123" s="531"/>
      <c r="K123" s="531"/>
      <c r="L123" s="531"/>
      <c r="M123" s="532"/>
      <c r="N123" s="160"/>
      <c r="O123" s="160"/>
      <c r="P123" s="160"/>
      <c r="Q123" s="160"/>
      <c r="R123" s="159"/>
    </row>
    <row r="124" spans="1:18" s="136" customFormat="1" ht="15.75" customHeight="1" x14ac:dyDescent="0.2">
      <c r="A124" s="182" t="s">
        <v>91</v>
      </c>
      <c r="B124" s="813" t="str">
        <f>IF($A124="","",VLOOKUP($A124,Listes!$A$3:$C$193,2,FALSE))</f>
        <v>Turkey (Primage)</v>
      </c>
      <c r="C124" s="813"/>
      <c r="D124" s="813"/>
      <c r="E124" s="814" t="s">
        <v>51</v>
      </c>
      <c r="F124" s="814"/>
      <c r="G124" s="814"/>
      <c r="H124" s="612"/>
      <c r="I124" s="531"/>
      <c r="J124" s="531"/>
      <c r="K124" s="531"/>
      <c r="L124" s="531"/>
      <c r="M124" s="532"/>
      <c r="N124" s="160"/>
      <c r="O124" s="160"/>
      <c r="P124" s="160"/>
      <c r="Q124" s="160"/>
      <c r="R124" s="159"/>
    </row>
    <row r="125" spans="1:18" s="136" customFormat="1" ht="31.5" x14ac:dyDescent="0.2">
      <c r="A125" s="182" t="s">
        <v>367</v>
      </c>
      <c r="B125" s="813" t="str">
        <f>IF($A125="","",VLOOKUP($A125,Listes!$A$3:$C$193,2,FALSE))</f>
        <v>Tri-Axle / Super Chassis Oncarriage Surcharge</v>
      </c>
      <c r="C125" s="813"/>
      <c r="D125" s="813"/>
      <c r="E125" s="814" t="s">
        <v>51</v>
      </c>
      <c r="F125" s="814"/>
      <c r="G125" s="814"/>
      <c r="H125" s="612"/>
      <c r="I125" s="531"/>
      <c r="J125" s="531"/>
      <c r="K125" s="531"/>
      <c r="L125" s="531"/>
      <c r="M125" s="532"/>
      <c r="N125" s="160"/>
      <c r="O125" s="160"/>
      <c r="P125" s="160"/>
      <c r="Q125" s="160"/>
      <c r="R125" s="159"/>
    </row>
    <row r="126" spans="1:18" s="136" customFormat="1" ht="16.5" thickBot="1" x14ac:dyDescent="0.25">
      <c r="A126" s="185" t="s">
        <v>833</v>
      </c>
      <c r="B126" s="812" t="str">
        <f>IF($A126="","",VLOOKUP($A126,Listes!$A$3:$C$193,2,FALSE))</f>
        <v>Wharfage (Origin)</v>
      </c>
      <c r="C126" s="812"/>
      <c r="D126" s="812"/>
      <c r="E126" s="815" t="s">
        <v>51</v>
      </c>
      <c r="F126" s="815"/>
      <c r="G126" s="815"/>
      <c r="H126" s="613"/>
      <c r="I126" s="533"/>
      <c r="J126" s="533"/>
      <c r="K126" s="533"/>
      <c r="L126" s="533"/>
      <c r="M126" s="534"/>
      <c r="N126" s="160"/>
      <c r="O126" s="160"/>
      <c r="P126" s="160"/>
      <c r="Q126" s="160"/>
      <c r="R126" s="159"/>
    </row>
    <row r="127" spans="1:18" s="73" customFormat="1" ht="16.5" thickBot="1" x14ac:dyDescent="0.25">
      <c r="A127" s="850" t="s">
        <v>216</v>
      </c>
      <c r="B127" s="851"/>
      <c r="C127" s="851"/>
      <c r="D127" s="851"/>
      <c r="E127" s="852"/>
      <c r="F127" s="852"/>
      <c r="G127" s="852"/>
      <c r="H127" s="852"/>
      <c r="I127" s="853"/>
      <c r="J127" s="169"/>
      <c r="K127" s="118"/>
      <c r="L127" s="134"/>
      <c r="M127" s="134"/>
      <c r="N127" s="134"/>
      <c r="O127" s="134"/>
      <c r="P127" s="134"/>
      <c r="Q127" s="118"/>
    </row>
    <row r="128" spans="1:18" s="73" customFormat="1" ht="16.5" thickBot="1" x14ac:dyDescent="0.25">
      <c r="A128" s="849" t="s">
        <v>597</v>
      </c>
      <c r="B128" s="833"/>
      <c r="C128" s="833"/>
      <c r="D128" s="833"/>
      <c r="E128" s="833"/>
      <c r="F128" s="833"/>
      <c r="G128" s="833"/>
      <c r="H128" s="833"/>
      <c r="I128" s="834"/>
      <c r="J128" s="169"/>
      <c r="K128" s="134"/>
      <c r="L128" s="134"/>
      <c r="M128" s="134"/>
      <c r="N128" s="134"/>
      <c r="O128" s="118"/>
    </row>
    <row r="129" spans="1:23" s="73" customFormat="1" ht="16.5" thickBot="1" x14ac:dyDescent="0.25">
      <c r="A129" s="187"/>
      <c r="B129" s="187"/>
      <c r="C129" s="188"/>
      <c r="D129" s="189"/>
      <c r="E129" s="170"/>
      <c r="F129" s="170"/>
      <c r="G129" s="170"/>
      <c r="H129" s="170"/>
      <c r="I129" s="170"/>
      <c r="J129" s="189"/>
      <c r="K129" s="169"/>
      <c r="L129" s="118"/>
      <c r="M129" s="134"/>
      <c r="N129" s="134"/>
      <c r="O129" s="134"/>
      <c r="P129" s="134"/>
      <c r="Q129" s="134"/>
      <c r="R129" s="118"/>
    </row>
    <row r="130" spans="1:23" s="73" customFormat="1" ht="15.6" customHeight="1" x14ac:dyDescent="0.2">
      <c r="A130" s="830" t="s">
        <v>523</v>
      </c>
      <c r="B130" s="831"/>
      <c r="C130" s="831"/>
      <c r="D130" s="831"/>
      <c r="E130" s="842" t="s">
        <v>288</v>
      </c>
      <c r="F130" s="842">
        <v>20</v>
      </c>
      <c r="G130" s="842">
        <v>40</v>
      </c>
      <c r="H130" s="842" t="s">
        <v>19</v>
      </c>
      <c r="I130" s="842" t="s">
        <v>20</v>
      </c>
      <c r="J130" s="848" t="s">
        <v>297</v>
      </c>
      <c r="K130" s="848" t="s">
        <v>33</v>
      </c>
      <c r="L130" s="846" t="s">
        <v>217</v>
      </c>
      <c r="M130" s="189"/>
      <c r="N130" s="134"/>
      <c r="O130" s="134"/>
      <c r="P130" s="134"/>
      <c r="Q130" s="134"/>
      <c r="R130" s="134"/>
      <c r="S130" s="134"/>
      <c r="T130" s="134"/>
      <c r="U130" s="134"/>
    </row>
    <row r="131" spans="1:23" s="73" customFormat="1" x14ac:dyDescent="0.2">
      <c r="A131" s="537" t="s">
        <v>218</v>
      </c>
      <c r="B131" s="538" t="s">
        <v>11</v>
      </c>
      <c r="C131" s="538" t="s">
        <v>12</v>
      </c>
      <c r="D131" s="538" t="s">
        <v>219</v>
      </c>
      <c r="E131" s="843"/>
      <c r="F131" s="843"/>
      <c r="G131" s="843"/>
      <c r="H131" s="843"/>
      <c r="I131" s="843"/>
      <c r="J131" s="843"/>
      <c r="K131" s="843"/>
      <c r="L131" s="847"/>
      <c r="M131" s="189"/>
      <c r="N131" s="134"/>
      <c r="O131" s="134"/>
      <c r="P131" s="134"/>
      <c r="Q131" s="134"/>
      <c r="R131" s="134"/>
      <c r="S131" s="134"/>
      <c r="T131" s="134"/>
      <c r="U131" s="134"/>
    </row>
    <row r="132" spans="1:23" s="136" customFormat="1" x14ac:dyDescent="0.2">
      <c r="A132" s="539"/>
      <c r="B132" s="540"/>
      <c r="C132" s="540"/>
      <c r="D132" s="540"/>
      <c r="E132" s="540"/>
      <c r="F132" s="255"/>
      <c r="G132" s="255"/>
      <c r="H132" s="255"/>
      <c r="I132" s="255"/>
      <c r="J132" s="540"/>
      <c r="K132" s="21"/>
      <c r="L132" s="541"/>
      <c r="M132" s="190"/>
      <c r="N132" s="160"/>
      <c r="O132" s="160"/>
      <c r="P132" s="160"/>
      <c r="Q132" s="160"/>
      <c r="R132" s="160"/>
      <c r="S132" s="160"/>
      <c r="T132" s="160"/>
      <c r="U132" s="160"/>
    </row>
    <row r="133" spans="1:23" s="136" customFormat="1" x14ac:dyDescent="0.2">
      <c r="A133" s="542"/>
      <c r="B133" s="540"/>
      <c r="C133" s="540"/>
      <c r="D133" s="540"/>
      <c r="E133" s="540"/>
      <c r="F133" s="255"/>
      <c r="G133" s="255"/>
      <c r="H133" s="255"/>
      <c r="I133" s="255"/>
      <c r="J133" s="24"/>
      <c r="K133" s="21"/>
      <c r="L133" s="25"/>
      <c r="M133" s="191"/>
      <c r="N133" s="160"/>
      <c r="O133" s="160"/>
      <c r="P133" s="160"/>
      <c r="Q133" s="160"/>
      <c r="R133" s="160"/>
      <c r="S133" s="160"/>
      <c r="T133" s="160"/>
      <c r="U133" s="160"/>
    </row>
    <row r="134" spans="1:23" s="136" customFormat="1" x14ac:dyDescent="0.2">
      <c r="A134" s="542"/>
      <c r="B134" s="540"/>
      <c r="C134" s="540"/>
      <c r="D134" s="540"/>
      <c r="E134" s="540"/>
      <c r="F134" s="255"/>
      <c r="G134" s="255"/>
      <c r="H134" s="255"/>
      <c r="I134" s="255"/>
      <c r="J134" s="24"/>
      <c r="K134" s="21"/>
      <c r="L134" s="25"/>
      <c r="M134" s="191"/>
      <c r="N134" s="160"/>
      <c r="O134" s="160"/>
      <c r="P134" s="160"/>
      <c r="Q134" s="160"/>
      <c r="R134" s="160"/>
      <c r="S134" s="160"/>
      <c r="T134" s="160"/>
      <c r="U134" s="160"/>
    </row>
    <row r="135" spans="1:23" s="136" customFormat="1" ht="16.5" thickBot="1" x14ac:dyDescent="0.25">
      <c r="A135" s="543"/>
      <c r="B135" s="544"/>
      <c r="C135" s="544"/>
      <c r="D135" s="544"/>
      <c r="E135" s="544"/>
      <c r="F135" s="256"/>
      <c r="G135" s="256"/>
      <c r="H135" s="256"/>
      <c r="I135" s="256"/>
      <c r="J135" s="28"/>
      <c r="K135" s="29"/>
      <c r="L135" s="30"/>
      <c r="M135" s="191"/>
      <c r="N135" s="160"/>
      <c r="O135" s="160"/>
      <c r="P135" s="160"/>
      <c r="Q135" s="160"/>
      <c r="R135" s="160"/>
      <c r="S135" s="160"/>
      <c r="T135" s="160"/>
      <c r="U135" s="160"/>
    </row>
    <row r="136" spans="1:23" s="136" customFormat="1" x14ac:dyDescent="0.2">
      <c r="A136" s="173"/>
      <c r="B136" s="545"/>
      <c r="C136" s="545"/>
      <c r="D136" s="545"/>
      <c r="E136" s="545"/>
      <c r="F136" s="545"/>
      <c r="G136" s="545"/>
      <c r="H136" s="545"/>
      <c r="I136" s="545"/>
      <c r="J136" s="33"/>
      <c r="K136" s="33"/>
      <c r="L136" s="34"/>
      <c r="M136" s="191"/>
      <c r="N136" s="160"/>
      <c r="O136" s="160"/>
      <c r="P136" s="160"/>
      <c r="Q136" s="160"/>
      <c r="R136" s="160"/>
      <c r="S136" s="160"/>
      <c r="T136" s="160"/>
      <c r="U136" s="160"/>
    </row>
    <row r="137" spans="1:23" s="73" customFormat="1" ht="15.6" customHeight="1" x14ac:dyDescent="0.2">
      <c r="A137" s="841" t="s">
        <v>596</v>
      </c>
      <c r="B137" s="840"/>
      <c r="C137" s="840"/>
      <c r="D137" s="840"/>
      <c r="E137" s="840" t="s">
        <v>288</v>
      </c>
      <c r="F137" s="840">
        <v>20</v>
      </c>
      <c r="G137" s="840">
        <v>40</v>
      </c>
      <c r="H137" s="840" t="s">
        <v>19</v>
      </c>
      <c r="I137" s="840" t="s">
        <v>20</v>
      </c>
      <c r="J137" s="845" t="s">
        <v>297</v>
      </c>
      <c r="K137" s="845" t="s">
        <v>33</v>
      </c>
      <c r="L137" s="844" t="s">
        <v>217</v>
      </c>
      <c r="M137" s="844" t="s">
        <v>23</v>
      </c>
      <c r="N137" s="169"/>
      <c r="O137" s="118"/>
      <c r="P137" s="134"/>
      <c r="Q137" s="134"/>
      <c r="R137" s="134"/>
      <c r="S137" s="134"/>
      <c r="T137" s="134"/>
      <c r="U137" s="134"/>
      <c r="V137" s="134"/>
      <c r="W137" s="134"/>
    </row>
    <row r="138" spans="1:23" s="73" customFormat="1" x14ac:dyDescent="0.2">
      <c r="A138" s="546" t="s">
        <v>218</v>
      </c>
      <c r="B138" s="546" t="s">
        <v>11</v>
      </c>
      <c r="C138" s="546" t="s">
        <v>12</v>
      </c>
      <c r="D138" s="546" t="s">
        <v>219</v>
      </c>
      <c r="E138" s="840"/>
      <c r="F138" s="840"/>
      <c r="G138" s="840"/>
      <c r="H138" s="840"/>
      <c r="I138" s="840"/>
      <c r="J138" s="840"/>
      <c r="K138" s="840"/>
      <c r="L138" s="844"/>
      <c r="M138" s="844"/>
      <c r="N138" s="169"/>
      <c r="O138" s="118"/>
      <c r="P138" s="134"/>
      <c r="Q138" s="134"/>
      <c r="R138" s="134"/>
      <c r="S138" s="134"/>
      <c r="T138" s="134"/>
      <c r="U138" s="134"/>
      <c r="V138" s="134"/>
      <c r="W138" s="134"/>
    </row>
    <row r="139" spans="1:23" s="136" customFormat="1" x14ac:dyDescent="0.2">
      <c r="A139" s="372"/>
      <c r="B139" s="547"/>
      <c r="C139" s="547"/>
      <c r="D139" s="547"/>
      <c r="E139" s="547"/>
      <c r="F139" s="368"/>
      <c r="G139" s="368"/>
      <c r="H139" s="368"/>
      <c r="I139" s="368"/>
      <c r="J139" s="369"/>
      <c r="K139" s="370"/>
      <c r="L139" s="548"/>
      <c r="M139" s="548"/>
      <c r="N139" s="192"/>
      <c r="O139" s="159"/>
      <c r="P139" s="160"/>
      <c r="Q139" s="160"/>
      <c r="R139" s="160"/>
      <c r="S139" s="160"/>
      <c r="T139" s="160"/>
      <c r="U139" s="160"/>
      <c r="V139" s="160"/>
      <c r="W139" s="160"/>
    </row>
    <row r="140" spans="1:23" s="136" customFormat="1" x14ac:dyDescent="0.2">
      <c r="A140" s="372"/>
      <c r="B140" s="547"/>
      <c r="C140" s="547"/>
      <c r="D140" s="547"/>
      <c r="E140" s="547"/>
      <c r="F140" s="368"/>
      <c r="G140" s="368"/>
      <c r="H140" s="368"/>
      <c r="I140" s="368"/>
      <c r="J140" s="369"/>
      <c r="K140" s="370"/>
      <c r="L140" s="548"/>
      <c r="M140" s="548"/>
      <c r="N140" s="192"/>
      <c r="O140" s="159"/>
      <c r="P140" s="160"/>
      <c r="Q140" s="160"/>
      <c r="R140" s="160"/>
      <c r="S140" s="160"/>
      <c r="T140" s="160"/>
      <c r="U140" s="160"/>
      <c r="V140" s="160"/>
      <c r="W140" s="160"/>
    </row>
    <row r="141" spans="1:23" s="136" customFormat="1" x14ac:dyDescent="0.2">
      <c r="A141" s="372"/>
      <c r="B141" s="547"/>
      <c r="C141" s="547"/>
      <c r="D141" s="547"/>
      <c r="E141" s="547"/>
      <c r="F141" s="368"/>
      <c r="G141" s="368"/>
      <c r="H141" s="368"/>
      <c r="I141" s="368"/>
      <c r="J141" s="369"/>
      <c r="K141" s="370"/>
      <c r="L141" s="548"/>
      <c r="M141" s="548"/>
      <c r="N141" s="192"/>
      <c r="O141" s="159"/>
      <c r="P141" s="160"/>
      <c r="Q141" s="160"/>
      <c r="R141" s="160"/>
      <c r="S141" s="160"/>
      <c r="T141" s="160"/>
      <c r="U141" s="160"/>
      <c r="V141" s="160"/>
      <c r="W141" s="160"/>
    </row>
    <row r="142" spans="1:23" s="136" customFormat="1" x14ac:dyDescent="0.2">
      <c r="A142" s="372"/>
      <c r="B142" s="547"/>
      <c r="C142" s="547"/>
      <c r="D142" s="547"/>
      <c r="E142" s="547"/>
      <c r="F142" s="368"/>
      <c r="G142" s="368"/>
      <c r="H142" s="368"/>
      <c r="I142" s="368"/>
      <c r="J142" s="369"/>
      <c r="K142" s="370"/>
      <c r="L142" s="373"/>
      <c r="M142" s="373"/>
      <c r="N142" s="191"/>
      <c r="O142" s="159"/>
      <c r="P142" s="160"/>
      <c r="Q142" s="160"/>
      <c r="R142" s="160"/>
      <c r="S142" s="160"/>
      <c r="T142" s="160"/>
      <c r="U142" s="160"/>
      <c r="V142" s="160"/>
      <c r="W142" s="160"/>
    </row>
    <row r="143" spans="1:23" s="73" customFormat="1" x14ac:dyDescent="0.2">
      <c r="A143" s="456"/>
      <c r="B143" s="549"/>
      <c r="C143" s="549"/>
      <c r="D143" s="549"/>
      <c r="E143" s="549"/>
      <c r="F143" s="194"/>
      <c r="G143" s="522"/>
      <c r="H143" s="195"/>
      <c r="I143" s="195"/>
      <c r="J143" s="176"/>
      <c r="K143" s="118"/>
      <c r="L143" s="134"/>
      <c r="M143" s="134"/>
      <c r="N143" s="134"/>
      <c r="O143" s="134"/>
      <c r="P143" s="134"/>
      <c r="Q143" s="134"/>
    </row>
    <row r="144" spans="1:23" s="456" customFormat="1" ht="16.5" thickBot="1" x14ac:dyDescent="0.25">
      <c r="A144" s="196"/>
      <c r="B144" s="197"/>
      <c r="C144" s="198"/>
      <c r="D144" s="198"/>
      <c r="E144" s="169"/>
      <c r="F144" s="176"/>
      <c r="G144" s="176"/>
      <c r="H144" s="176"/>
      <c r="I144" s="176"/>
      <c r="J144" s="170"/>
      <c r="K144" s="118"/>
      <c r="L144" s="134"/>
      <c r="M144" s="134"/>
      <c r="N144" s="134"/>
      <c r="O144" s="134"/>
      <c r="P144" s="134"/>
      <c r="Q144" s="134"/>
      <c r="R144" s="134"/>
      <c r="S144" s="118"/>
      <c r="T144" s="118"/>
      <c r="U144" s="118"/>
    </row>
    <row r="145" spans="1:21" s="456" customFormat="1" ht="16.5" thickBot="1" x14ac:dyDescent="0.25">
      <c r="A145" s="822" t="s">
        <v>220</v>
      </c>
      <c r="B145" s="823"/>
      <c r="C145" s="823"/>
      <c r="D145" s="823"/>
      <c r="E145" s="824"/>
      <c r="F145" s="176"/>
      <c r="G145" s="176"/>
      <c r="H145" s="176"/>
      <c r="I145" s="176"/>
      <c r="J145" s="170"/>
      <c r="K145" s="118"/>
      <c r="L145" s="134"/>
      <c r="M145" s="134"/>
      <c r="N145" s="134"/>
      <c r="O145" s="134"/>
      <c r="P145" s="134"/>
      <c r="Q145" s="134"/>
      <c r="R145" s="134"/>
      <c r="S145" s="118"/>
      <c r="T145" s="118"/>
      <c r="U145" s="118"/>
    </row>
    <row r="146" spans="1:21" s="73" customFormat="1" ht="16.5" thickBot="1" x14ac:dyDescent="0.25">
      <c r="A146" s="550"/>
      <c r="B146" s="456"/>
      <c r="C146" s="456"/>
      <c r="D146" s="456"/>
      <c r="E146" s="456"/>
      <c r="F146" s="194"/>
      <c r="G146" s="456"/>
      <c r="H146" s="200"/>
      <c r="I146" s="194"/>
      <c r="J146" s="194"/>
      <c r="K146" s="118"/>
      <c r="L146" s="134"/>
      <c r="M146" s="134"/>
      <c r="N146" s="134"/>
      <c r="O146" s="134"/>
      <c r="P146" s="134"/>
      <c r="Q146" s="134"/>
      <c r="R146" s="134"/>
      <c r="S146" s="118"/>
      <c r="T146" s="118"/>
      <c r="U146" s="118"/>
    </row>
    <row r="147" spans="1:21" s="73" customFormat="1" ht="16.5" thickBot="1" x14ac:dyDescent="0.25">
      <c r="A147" s="825" t="s">
        <v>221</v>
      </c>
      <c r="B147" s="838"/>
      <c r="C147" s="838"/>
      <c r="D147" s="838"/>
      <c r="E147" s="838"/>
      <c r="F147" s="839"/>
      <c r="G147" s="456"/>
      <c r="H147" s="200"/>
      <c r="I147" s="194"/>
      <c r="J147" s="194"/>
      <c r="K147" s="118"/>
      <c r="L147" s="134"/>
      <c r="M147" s="134"/>
      <c r="N147" s="134"/>
      <c r="O147" s="134"/>
      <c r="P147" s="134"/>
      <c r="Q147" s="134"/>
      <c r="R147" s="134"/>
      <c r="S147" s="118"/>
      <c r="T147" s="118"/>
      <c r="U147" s="118"/>
    </row>
    <row r="148" spans="1:21" s="73" customFormat="1" ht="16.5" customHeight="1" x14ac:dyDescent="0.2">
      <c r="A148" s="835" t="s">
        <v>222</v>
      </c>
      <c r="B148" s="836"/>
      <c r="C148" s="836"/>
      <c r="D148" s="836"/>
      <c r="E148" s="836"/>
      <c r="F148" s="837"/>
      <c r="G148" s="456"/>
      <c r="H148" s="201"/>
      <c r="I148" s="170"/>
      <c r="J148" s="170"/>
      <c r="K148" s="118"/>
      <c r="L148" s="134"/>
      <c r="M148" s="134"/>
      <c r="N148" s="134"/>
      <c r="O148" s="134"/>
      <c r="P148" s="134"/>
      <c r="Q148" s="134"/>
      <c r="R148" s="134"/>
      <c r="S148" s="118"/>
      <c r="T148" s="118"/>
      <c r="U148" s="118"/>
    </row>
    <row r="149" spans="1:21" ht="16.5" thickBot="1" x14ac:dyDescent="0.25">
      <c r="A149" s="832" t="s">
        <v>223</v>
      </c>
      <c r="B149" s="833"/>
      <c r="C149" s="833"/>
      <c r="D149" s="833"/>
      <c r="E149" s="833"/>
      <c r="F149" s="834"/>
      <c r="G149" s="176"/>
      <c r="H149" s="176"/>
      <c r="I149" s="176"/>
      <c r="J149" s="169"/>
      <c r="K149" s="169"/>
      <c r="L149" s="169"/>
      <c r="M149" s="169"/>
      <c r="N149" s="169"/>
      <c r="O149" s="169"/>
      <c r="P149" s="169"/>
      <c r="Q149" s="169"/>
      <c r="R149" s="169"/>
      <c r="S149" s="169"/>
      <c r="T149" s="169"/>
      <c r="U149" s="169"/>
    </row>
    <row r="150" spans="1:21" x14ac:dyDescent="0.2">
      <c r="A150" s="551" t="s">
        <v>224</v>
      </c>
      <c r="B150" s="450" t="s">
        <v>225</v>
      </c>
      <c r="C150" s="552" t="s">
        <v>226</v>
      </c>
      <c r="D150" s="553" t="s">
        <v>227</v>
      </c>
      <c r="E150" s="176"/>
      <c r="F150" s="176"/>
      <c r="G150" s="176"/>
      <c r="H150" s="169"/>
      <c r="I150" s="169"/>
      <c r="J150" s="169"/>
      <c r="K150" s="169"/>
      <c r="L150" s="169"/>
      <c r="M150" s="169"/>
      <c r="N150" s="169"/>
      <c r="O150" s="169"/>
      <c r="P150" s="169"/>
      <c r="Q150" s="169"/>
      <c r="R150" s="169"/>
    </row>
    <row r="151" spans="1:21" s="192" customFormat="1" x14ac:dyDescent="0.2">
      <c r="A151" s="203"/>
      <c r="B151" s="204" t="s">
        <v>344</v>
      </c>
      <c r="C151" s="205" t="s">
        <v>62</v>
      </c>
      <c r="D151" s="206">
        <v>0.9</v>
      </c>
      <c r="E151" s="191"/>
      <c r="F151" s="191"/>
      <c r="G151" s="191"/>
    </row>
    <row r="152" spans="1:21" s="192" customFormat="1" x14ac:dyDescent="0.2">
      <c r="A152" s="203"/>
      <c r="B152" s="204" t="s">
        <v>344</v>
      </c>
      <c r="C152" s="205" t="s">
        <v>417</v>
      </c>
      <c r="D152" s="206">
        <v>1.125</v>
      </c>
      <c r="E152" s="191"/>
      <c r="F152" s="191"/>
      <c r="G152" s="191"/>
    </row>
    <row r="153" spans="1:21" s="192" customFormat="1" ht="16.5" thickBot="1" x14ac:dyDescent="0.25">
      <c r="A153" s="207"/>
      <c r="B153" s="208" t="s">
        <v>344</v>
      </c>
      <c r="C153" s="209" t="s">
        <v>418</v>
      </c>
      <c r="D153" s="210">
        <v>1.266</v>
      </c>
      <c r="E153" s="191"/>
      <c r="F153" s="191"/>
      <c r="G153" s="191"/>
    </row>
    <row r="154" spans="1:21" ht="16.5" thickBot="1" x14ac:dyDescent="0.25"/>
    <row r="155" spans="1:21" s="73" customFormat="1" ht="16.5" thickBot="1" x14ac:dyDescent="0.25">
      <c r="A155" s="822" t="s">
        <v>228</v>
      </c>
      <c r="B155" s="823"/>
      <c r="C155" s="823"/>
      <c r="D155" s="823"/>
      <c r="E155" s="823"/>
      <c r="F155" s="823"/>
      <c r="G155" s="823"/>
      <c r="H155" s="823"/>
      <c r="I155" s="824"/>
      <c r="J155" s="169"/>
      <c r="K155" s="118"/>
      <c r="L155" s="134"/>
      <c r="M155" s="134"/>
      <c r="N155" s="134"/>
      <c r="O155" s="134"/>
      <c r="P155" s="134"/>
      <c r="Q155" s="134"/>
      <c r="R155" s="134"/>
      <c r="S155" s="118"/>
      <c r="T155" s="118"/>
      <c r="U155" s="118"/>
    </row>
    <row r="156" spans="1:21" s="73" customFormat="1" ht="16.5" thickBot="1" x14ac:dyDescent="0.25">
      <c r="A156" s="554" t="s">
        <v>229</v>
      </c>
      <c r="B156" s="213"/>
      <c r="C156" s="214"/>
      <c r="D156" s="214"/>
      <c r="E156" s="214"/>
      <c r="F156" s="214"/>
      <c r="G156" s="215"/>
      <c r="H156" s="216"/>
      <c r="I156" s="217"/>
      <c r="J156" s="170"/>
      <c r="K156" s="118"/>
      <c r="L156" s="134"/>
      <c r="M156" s="134"/>
      <c r="N156" s="134"/>
      <c r="O156" s="134"/>
      <c r="P156" s="134"/>
      <c r="Q156" s="134"/>
      <c r="R156" s="134"/>
      <c r="S156" s="118"/>
      <c r="T156" s="118"/>
      <c r="U156" s="118"/>
    </row>
    <row r="157" spans="1:21" s="308" customFormat="1" x14ac:dyDescent="0.2">
      <c r="A157" s="228"/>
      <c r="B157" s="949"/>
      <c r="C157" s="950"/>
      <c r="D157" s="950"/>
      <c r="E157" s="950"/>
      <c r="F157" s="950"/>
      <c r="G157" s="950"/>
      <c r="H157" s="950"/>
      <c r="I157" s="951"/>
      <c r="J157" s="171"/>
      <c r="K157" s="172"/>
      <c r="L157" s="173"/>
      <c r="M157" s="173"/>
      <c r="N157" s="173"/>
      <c r="O157" s="173"/>
      <c r="P157" s="173"/>
      <c r="Q157" s="173"/>
      <c r="R157" s="173"/>
      <c r="S157" s="172"/>
      <c r="T157" s="172"/>
      <c r="U157" s="172"/>
    </row>
    <row r="158" spans="1:21" s="218" customFormat="1" x14ac:dyDescent="0.2">
      <c r="A158" s="281"/>
      <c r="B158" s="816"/>
      <c r="C158" s="817"/>
      <c r="D158" s="817"/>
      <c r="E158" s="817"/>
      <c r="F158" s="817"/>
      <c r="G158" s="817"/>
      <c r="H158" s="817"/>
      <c r="I158" s="818"/>
    </row>
    <row r="159" spans="1:21" s="218" customFormat="1" x14ac:dyDescent="0.2">
      <c r="A159" s="281"/>
      <c r="B159" s="816"/>
      <c r="C159" s="817"/>
      <c r="D159" s="817"/>
      <c r="E159" s="817"/>
      <c r="F159" s="817"/>
      <c r="G159" s="817"/>
      <c r="H159" s="817"/>
      <c r="I159" s="818"/>
    </row>
    <row r="160" spans="1:21" s="218" customFormat="1" x14ac:dyDescent="0.2">
      <c r="A160" s="281"/>
      <c r="B160" s="816"/>
      <c r="C160" s="817"/>
      <c r="D160" s="817"/>
      <c r="E160" s="817"/>
      <c r="F160" s="817"/>
      <c r="G160" s="817"/>
      <c r="H160" s="817"/>
      <c r="I160" s="818"/>
    </row>
    <row r="161" spans="1:9" s="218" customFormat="1" x14ac:dyDescent="0.2">
      <c r="A161" s="281"/>
      <c r="B161" s="816"/>
      <c r="C161" s="817"/>
      <c r="D161" s="817"/>
      <c r="E161" s="817"/>
      <c r="F161" s="817"/>
      <c r="G161" s="817"/>
      <c r="H161" s="817"/>
      <c r="I161" s="818"/>
    </row>
    <row r="162" spans="1:9" s="218" customFormat="1" x14ac:dyDescent="0.2">
      <c r="A162" s="281"/>
      <c r="B162" s="816"/>
      <c r="C162" s="817"/>
      <c r="D162" s="817"/>
      <c r="E162" s="817"/>
      <c r="F162" s="817"/>
      <c r="G162" s="817"/>
      <c r="H162" s="817"/>
      <c r="I162" s="818"/>
    </row>
    <row r="163" spans="1:9" s="218" customFormat="1" x14ac:dyDescent="0.2">
      <c r="A163" s="281"/>
      <c r="B163" s="816"/>
      <c r="C163" s="817"/>
      <c r="D163" s="817"/>
      <c r="E163" s="817"/>
      <c r="F163" s="817"/>
      <c r="G163" s="817"/>
      <c r="H163" s="817"/>
      <c r="I163" s="818"/>
    </row>
    <row r="164" spans="1:9" s="218" customFormat="1" x14ac:dyDescent="0.2">
      <c r="A164" s="281"/>
      <c r="B164" s="816"/>
      <c r="C164" s="817"/>
      <c r="D164" s="817"/>
      <c r="E164" s="817"/>
      <c r="F164" s="817"/>
      <c r="G164" s="817"/>
      <c r="H164" s="817"/>
      <c r="I164" s="818"/>
    </row>
    <row r="165" spans="1:9" s="218" customFormat="1" x14ac:dyDescent="0.2">
      <c r="A165" s="281"/>
      <c r="B165" s="816"/>
      <c r="C165" s="817"/>
      <c r="D165" s="817"/>
      <c r="E165" s="817"/>
      <c r="F165" s="817"/>
      <c r="G165" s="817"/>
      <c r="H165" s="817"/>
      <c r="I165" s="818"/>
    </row>
    <row r="166" spans="1:9" s="218" customFormat="1" x14ac:dyDescent="0.2">
      <c r="A166" s="281"/>
      <c r="B166" s="816"/>
      <c r="C166" s="817"/>
      <c r="D166" s="817"/>
      <c r="E166" s="817"/>
      <c r="F166" s="817"/>
      <c r="G166" s="817"/>
      <c r="H166" s="817"/>
      <c r="I166" s="818"/>
    </row>
    <row r="167" spans="1:9" s="218" customFormat="1" x14ac:dyDescent="0.2">
      <c r="A167" s="281"/>
      <c r="B167" s="816"/>
      <c r="C167" s="817"/>
      <c r="D167" s="817"/>
      <c r="E167" s="817"/>
      <c r="F167" s="817"/>
      <c r="G167" s="817"/>
      <c r="H167" s="817"/>
      <c r="I167" s="818"/>
    </row>
    <row r="168" spans="1:9" s="218" customFormat="1" x14ac:dyDescent="0.2">
      <c r="A168" s="281"/>
      <c r="B168" s="816"/>
      <c r="C168" s="817"/>
      <c r="D168" s="817"/>
      <c r="E168" s="817"/>
      <c r="F168" s="817"/>
      <c r="G168" s="817"/>
      <c r="H168" s="817"/>
      <c r="I168" s="818"/>
    </row>
    <row r="169" spans="1:9" s="218" customFormat="1" x14ac:dyDescent="0.2">
      <c r="A169" s="281"/>
      <c r="B169" s="816"/>
      <c r="C169" s="817"/>
      <c r="D169" s="817"/>
      <c r="E169" s="817"/>
      <c r="F169" s="817"/>
      <c r="G169" s="817"/>
      <c r="H169" s="817"/>
      <c r="I169" s="818"/>
    </row>
    <row r="170" spans="1:9" s="218" customFormat="1" x14ac:dyDescent="0.2">
      <c r="A170" s="281"/>
      <c r="B170" s="816"/>
      <c r="C170" s="817"/>
      <c r="D170" s="817"/>
      <c r="E170" s="817"/>
      <c r="F170" s="817"/>
      <c r="G170" s="817"/>
      <c r="H170" s="817"/>
      <c r="I170" s="818"/>
    </row>
    <row r="171" spans="1:9" s="218" customFormat="1" ht="16.5" thickBot="1" x14ac:dyDescent="0.25">
      <c r="A171" s="282"/>
      <c r="B171" s="819"/>
      <c r="C171" s="820"/>
      <c r="D171" s="820"/>
      <c r="E171" s="820"/>
      <c r="F171" s="820"/>
      <c r="G171" s="820"/>
      <c r="H171" s="820"/>
      <c r="I171" s="821"/>
    </row>
    <row r="173" spans="1:9" s="218" customFormat="1" x14ac:dyDescent="0.2">
      <c r="F173" s="337"/>
      <c r="G173" s="337"/>
      <c r="H173" s="337"/>
      <c r="I173" s="337"/>
    </row>
    <row r="174" spans="1:9" s="218" customFormat="1" ht="16.5" thickBot="1" x14ac:dyDescent="0.25">
      <c r="F174" s="337"/>
      <c r="G174" s="337"/>
      <c r="H174" s="337"/>
      <c r="I174" s="337"/>
    </row>
    <row r="175" spans="1:9" s="218" customFormat="1" ht="16.5" thickBot="1" x14ac:dyDescent="0.25">
      <c r="A175" s="825" t="s">
        <v>3</v>
      </c>
      <c r="B175" s="826"/>
      <c r="F175" s="337"/>
      <c r="G175" s="337"/>
      <c r="H175" s="337"/>
      <c r="I175" s="337"/>
    </row>
    <row r="176" spans="1:9" s="347" customFormat="1" ht="16.5" thickBot="1" x14ac:dyDescent="0.25">
      <c r="A176" s="338"/>
      <c r="B176" s="338"/>
      <c r="F176" s="348"/>
      <c r="G176" s="348"/>
      <c r="H176" s="348"/>
      <c r="I176" s="348"/>
    </row>
    <row r="177" spans="1:14" s="218" customFormat="1" ht="15.75" customHeight="1" thickBot="1" x14ac:dyDescent="0.25">
      <c r="A177" s="800" t="s">
        <v>2</v>
      </c>
      <c r="B177" s="801"/>
      <c r="C177" s="801"/>
      <c r="D177" s="801"/>
      <c r="E177" s="801"/>
      <c r="F177" s="801"/>
      <c r="G177" s="802"/>
      <c r="H177" s="337"/>
      <c r="I177" s="337"/>
    </row>
    <row r="178" spans="1:14" s="347" customFormat="1" ht="15.75" customHeight="1" thickBot="1" x14ac:dyDescent="0.25">
      <c r="A178" s="338"/>
      <c r="B178" s="338"/>
      <c r="C178" s="338"/>
      <c r="D178" s="338"/>
      <c r="E178" s="338"/>
      <c r="F178" s="338"/>
      <c r="G178" s="338"/>
      <c r="H178" s="348"/>
      <c r="I178" s="348"/>
    </row>
    <row r="179" spans="1:14" s="218" customFormat="1" ht="15.75" customHeight="1" thickBot="1" x14ac:dyDescent="0.25">
      <c r="A179" s="807" t="s">
        <v>1</v>
      </c>
      <c r="B179" s="808"/>
      <c r="C179" s="808"/>
      <c r="D179" s="808"/>
      <c r="E179" s="809"/>
      <c r="F179" s="339"/>
      <c r="G179" s="339"/>
      <c r="H179" s="337"/>
      <c r="I179" s="337"/>
    </row>
    <row r="180" spans="1:14" s="218" customFormat="1" x14ac:dyDescent="0.2">
      <c r="A180" s="803" t="s">
        <v>627</v>
      </c>
      <c r="B180" s="805" t="s">
        <v>888</v>
      </c>
      <c r="C180" s="786" t="s">
        <v>0</v>
      </c>
      <c r="D180" s="786" t="s">
        <v>609</v>
      </c>
      <c r="E180" s="805" t="s">
        <v>889</v>
      </c>
      <c r="F180" s="786" t="s">
        <v>436</v>
      </c>
      <c r="G180" s="786" t="s">
        <v>421</v>
      </c>
      <c r="H180" s="786" t="s">
        <v>628</v>
      </c>
      <c r="I180" s="786" t="s">
        <v>11</v>
      </c>
      <c r="J180" s="786" t="s">
        <v>12</v>
      </c>
      <c r="K180" s="786" t="s">
        <v>13</v>
      </c>
      <c r="L180" s="786" t="s">
        <v>449</v>
      </c>
      <c r="M180" s="786" t="s">
        <v>610</v>
      </c>
      <c r="N180" s="788"/>
    </row>
    <row r="181" spans="1:14" s="218" customFormat="1" ht="32.25" customHeight="1" thickBot="1" x14ac:dyDescent="0.25">
      <c r="A181" s="804"/>
      <c r="B181" s="806"/>
      <c r="C181" s="787"/>
      <c r="D181" s="787"/>
      <c r="E181" s="806"/>
      <c r="F181" s="787"/>
      <c r="G181" s="787"/>
      <c r="H181" s="787"/>
      <c r="I181" s="787"/>
      <c r="J181" s="787"/>
      <c r="K181" s="787"/>
      <c r="L181" s="787"/>
      <c r="M181" s="787"/>
      <c r="N181" s="789"/>
    </row>
    <row r="182" spans="1:14" s="218" customFormat="1" x14ac:dyDescent="0.2">
      <c r="A182" s="344"/>
      <c r="B182" s="340"/>
      <c r="C182" s="394"/>
      <c r="D182" s="340"/>
      <c r="E182" s="340"/>
      <c r="F182" s="340"/>
      <c r="G182" s="340"/>
      <c r="H182" s="340"/>
      <c r="I182" s="340"/>
      <c r="J182" s="340"/>
      <c r="K182" s="340"/>
      <c r="L182" s="661"/>
      <c r="M182" s="810"/>
      <c r="N182" s="811"/>
    </row>
    <row r="183" spans="1:14" s="218" customFormat="1" x14ac:dyDescent="0.2">
      <c r="A183" s="345"/>
      <c r="B183" s="341"/>
      <c r="C183" s="392"/>
      <c r="D183" s="341"/>
      <c r="E183" s="341"/>
      <c r="F183" s="341"/>
      <c r="G183" s="341"/>
      <c r="H183" s="341"/>
      <c r="I183" s="341"/>
      <c r="J183" s="341"/>
      <c r="K183" s="341"/>
      <c r="L183" s="662"/>
      <c r="M183" s="790"/>
      <c r="N183" s="791"/>
    </row>
    <row r="184" spans="1:14" s="218" customFormat="1" x14ac:dyDescent="0.2">
      <c r="A184" s="345"/>
      <c r="B184" s="341"/>
      <c r="C184" s="392"/>
      <c r="D184" s="341"/>
      <c r="E184" s="341"/>
      <c r="F184" s="341"/>
      <c r="G184" s="341"/>
      <c r="H184" s="341"/>
      <c r="I184" s="341"/>
      <c r="J184" s="341"/>
      <c r="K184" s="341"/>
      <c r="L184" s="662"/>
      <c r="M184" s="790"/>
      <c r="N184" s="791"/>
    </row>
    <row r="185" spans="1:14" s="218" customFormat="1" x14ac:dyDescent="0.2">
      <c r="A185" s="345"/>
      <c r="B185" s="341"/>
      <c r="C185" s="392"/>
      <c r="D185" s="341"/>
      <c r="E185" s="341"/>
      <c r="F185" s="341"/>
      <c r="G185" s="341"/>
      <c r="H185" s="341"/>
      <c r="I185" s="341"/>
      <c r="J185" s="341"/>
      <c r="K185" s="341"/>
      <c r="L185" s="662"/>
      <c r="M185" s="790"/>
      <c r="N185" s="791"/>
    </row>
    <row r="186" spans="1:14" s="218" customFormat="1" x14ac:dyDescent="0.2">
      <c r="A186" s="345"/>
      <c r="B186" s="341"/>
      <c r="C186" s="392"/>
      <c r="D186" s="341"/>
      <c r="E186" s="341"/>
      <c r="F186" s="341"/>
      <c r="G186" s="341"/>
      <c r="H186" s="341"/>
      <c r="I186" s="341"/>
      <c r="J186" s="341"/>
      <c r="K186" s="341"/>
      <c r="L186" s="662"/>
      <c r="M186" s="790"/>
      <c r="N186" s="791"/>
    </row>
    <row r="187" spans="1:14" s="218" customFormat="1" ht="16.5" thickBot="1" x14ac:dyDescent="0.25">
      <c r="A187" s="346"/>
      <c r="B187" s="342"/>
      <c r="C187" s="336"/>
      <c r="D187" s="342"/>
      <c r="E187" s="342"/>
      <c r="F187" s="342"/>
      <c r="G187" s="342"/>
      <c r="H187" s="342"/>
      <c r="I187" s="342"/>
      <c r="J187" s="342"/>
      <c r="K187" s="342"/>
      <c r="L187" s="663"/>
      <c r="M187" s="794"/>
      <c r="N187" s="795"/>
    </row>
    <row r="188" spans="1:14" s="218" customFormat="1" x14ac:dyDescent="0.2">
      <c r="F188" s="337"/>
      <c r="G188" s="337"/>
      <c r="H188" s="337"/>
      <c r="I188" s="337"/>
    </row>
    <row r="189" spans="1:14" s="218" customFormat="1" ht="16.5" thickBot="1" x14ac:dyDescent="0.25">
      <c r="F189" s="337"/>
      <c r="G189" s="337"/>
      <c r="H189" s="337"/>
      <c r="I189" s="337"/>
    </row>
    <row r="190" spans="1:14" s="218" customFormat="1" ht="16.5" thickBot="1" x14ac:dyDescent="0.25">
      <c r="A190" s="800" t="s">
        <v>790</v>
      </c>
      <c r="B190" s="801"/>
      <c r="C190" s="801"/>
      <c r="D190" s="801"/>
      <c r="E190" s="801"/>
      <c r="F190" s="801"/>
      <c r="G190" s="802"/>
      <c r="H190" s="337"/>
      <c r="I190" s="337"/>
    </row>
    <row r="191" spans="1:14" s="192" customFormat="1" ht="16.5" thickBot="1" x14ac:dyDescent="0.25">
      <c r="F191" s="191"/>
      <c r="G191" s="191"/>
      <c r="H191" s="191"/>
      <c r="I191" s="191"/>
    </row>
    <row r="192" spans="1:14" s="218" customFormat="1" ht="16.5" thickBot="1" x14ac:dyDescent="0.25">
      <c r="A192" s="807" t="s">
        <v>1</v>
      </c>
      <c r="B192" s="808"/>
      <c r="C192" s="808"/>
      <c r="D192" s="808"/>
      <c r="E192" s="808"/>
      <c r="F192" s="808"/>
      <c r="G192" s="808"/>
      <c r="H192" s="809"/>
      <c r="I192" s="337"/>
    </row>
    <row r="193" spans="1:31" s="1187" customFormat="1" ht="16.5" customHeight="1" thickBot="1" x14ac:dyDescent="0.25">
      <c r="A193" s="803" t="s">
        <v>627</v>
      </c>
      <c r="B193" s="805" t="s">
        <v>888</v>
      </c>
      <c r="C193" s="786" t="s">
        <v>0</v>
      </c>
      <c r="D193" s="786" t="s">
        <v>609</v>
      </c>
      <c r="E193" s="805" t="s">
        <v>889</v>
      </c>
      <c r="F193" s="971" t="s">
        <v>42</v>
      </c>
      <c r="G193" s="1165" t="s">
        <v>789</v>
      </c>
      <c r="H193" s="1163"/>
      <c r="I193" s="1163"/>
      <c r="J193" s="1163"/>
      <c r="K193" s="1163"/>
      <c r="L193" s="1163"/>
      <c r="M193" s="1163"/>
      <c r="N193" s="1163"/>
      <c r="O193" s="1163"/>
      <c r="P193" s="1163"/>
      <c r="Q193" s="1163"/>
      <c r="R193" s="1163"/>
      <c r="S193" s="1163"/>
      <c r="T193" s="1163"/>
      <c r="U193" s="1163"/>
      <c r="V193" s="1164"/>
      <c r="W193" s="930" t="s">
        <v>436</v>
      </c>
      <c r="X193" s="786" t="s">
        <v>421</v>
      </c>
      <c r="Y193" s="786" t="s">
        <v>628</v>
      </c>
      <c r="Z193" s="786" t="s">
        <v>11</v>
      </c>
      <c r="AA193" s="786" t="s">
        <v>12</v>
      </c>
      <c r="AB193" s="786" t="s">
        <v>13</v>
      </c>
      <c r="AC193" s="786" t="s">
        <v>449</v>
      </c>
      <c r="AD193" s="971" t="s">
        <v>610</v>
      </c>
      <c r="AE193" s="1161"/>
    </row>
    <row r="194" spans="1:31" s="1187" customFormat="1" ht="47.25" customHeight="1" thickBot="1" x14ac:dyDescent="0.25">
      <c r="A194" s="804"/>
      <c r="B194" s="806"/>
      <c r="C194" s="787"/>
      <c r="D194" s="787"/>
      <c r="E194" s="806"/>
      <c r="F194" s="787"/>
      <c r="G194" s="1204" t="s">
        <v>432</v>
      </c>
      <c r="H194" s="1204" t="s">
        <v>1380</v>
      </c>
      <c r="I194" s="1200" t="s">
        <v>1381</v>
      </c>
      <c r="J194" s="1200" t="s">
        <v>1382</v>
      </c>
      <c r="K194" s="1200" t="s">
        <v>433</v>
      </c>
      <c r="L194" s="1200" t="s">
        <v>1383</v>
      </c>
      <c r="M194" s="1200" t="s">
        <v>1386</v>
      </c>
      <c r="N194" s="1200" t="s">
        <v>1387</v>
      </c>
      <c r="O194" s="1200" t="s">
        <v>434</v>
      </c>
      <c r="P194" s="1200" t="s">
        <v>1384</v>
      </c>
      <c r="Q194" s="1200" t="s">
        <v>1388</v>
      </c>
      <c r="R194" s="1200" t="s">
        <v>1389</v>
      </c>
      <c r="S194" s="1200" t="s">
        <v>435</v>
      </c>
      <c r="T194" s="1200" t="s">
        <v>1385</v>
      </c>
      <c r="U194" s="1200" t="s">
        <v>1390</v>
      </c>
      <c r="V194" s="1200" t="s">
        <v>1391</v>
      </c>
      <c r="W194" s="787"/>
      <c r="X194" s="787"/>
      <c r="Y194" s="787"/>
      <c r="Z194" s="787"/>
      <c r="AA194" s="787"/>
      <c r="AB194" s="787"/>
      <c r="AC194" s="787"/>
      <c r="AD194" s="972"/>
      <c r="AE194" s="1162"/>
    </row>
    <row r="195" spans="1:31" s="1187" customFormat="1" x14ac:dyDescent="0.2">
      <c r="A195" s="1194"/>
      <c r="B195" s="1191"/>
      <c r="C195" s="1189"/>
      <c r="D195" s="1191"/>
      <c r="E195" s="1191"/>
      <c r="F195" s="1197"/>
      <c r="G195" s="1191"/>
      <c r="H195" s="1191"/>
      <c r="I195" s="1191"/>
      <c r="J195" s="1191"/>
      <c r="K195" s="1191"/>
      <c r="L195" s="1191"/>
      <c r="M195" s="1191"/>
      <c r="N195" s="1191"/>
      <c r="O195" s="1191"/>
      <c r="P195" s="1191"/>
      <c r="Q195" s="1191"/>
      <c r="R195" s="1191"/>
      <c r="S195" s="1191"/>
      <c r="T195" s="1191"/>
      <c r="U195" s="1191"/>
      <c r="V195" s="1191"/>
      <c r="W195" s="1191"/>
      <c r="X195" s="1191"/>
      <c r="Y195" s="1191"/>
      <c r="Z195" s="1191"/>
      <c r="AA195" s="1191"/>
      <c r="AB195" s="1191"/>
      <c r="AC195" s="1201"/>
      <c r="AD195" s="796"/>
      <c r="AE195" s="797"/>
    </row>
    <row r="196" spans="1:31" s="1187" customFormat="1" x14ac:dyDescent="0.2">
      <c r="A196" s="1195"/>
      <c r="B196" s="1192"/>
      <c r="C196" s="1188"/>
      <c r="D196" s="1192"/>
      <c r="E196" s="1192"/>
      <c r="F196" s="1198"/>
      <c r="G196" s="1192"/>
      <c r="H196" s="1192"/>
      <c r="I196" s="1192"/>
      <c r="J196" s="1192"/>
      <c r="K196" s="1192"/>
      <c r="L196" s="1192"/>
      <c r="M196" s="1192"/>
      <c r="N196" s="1192"/>
      <c r="O196" s="1192"/>
      <c r="P196" s="1192"/>
      <c r="Q196" s="1192"/>
      <c r="R196" s="1192"/>
      <c r="S196" s="1192"/>
      <c r="T196" s="1192"/>
      <c r="U196" s="1192"/>
      <c r="V196" s="1192"/>
      <c r="W196" s="1192"/>
      <c r="X196" s="1192"/>
      <c r="Y196" s="1192"/>
      <c r="Z196" s="1192"/>
      <c r="AA196" s="1192"/>
      <c r="AB196" s="1192"/>
      <c r="AC196" s="1202"/>
      <c r="AD196" s="798"/>
      <c r="AE196" s="799"/>
    </row>
    <row r="197" spans="1:31" s="1187" customFormat="1" x14ac:dyDescent="0.2">
      <c r="A197" s="1195"/>
      <c r="B197" s="1192"/>
      <c r="C197" s="1188"/>
      <c r="D197" s="1192"/>
      <c r="E197" s="1192"/>
      <c r="F197" s="1198"/>
      <c r="G197" s="1192"/>
      <c r="H197" s="1192"/>
      <c r="I197" s="1192"/>
      <c r="J197" s="1192"/>
      <c r="K197" s="1192"/>
      <c r="L197" s="1192"/>
      <c r="M197" s="1192"/>
      <c r="N197" s="1192"/>
      <c r="O197" s="1192"/>
      <c r="P197" s="1192"/>
      <c r="Q197" s="1192"/>
      <c r="R197" s="1192"/>
      <c r="S197" s="1192"/>
      <c r="T197" s="1192"/>
      <c r="U197" s="1192"/>
      <c r="V197" s="1192"/>
      <c r="W197" s="1192"/>
      <c r="X197" s="1192"/>
      <c r="Y197" s="1192"/>
      <c r="Z197" s="1192"/>
      <c r="AA197" s="1192"/>
      <c r="AB197" s="1192"/>
      <c r="AC197" s="1202"/>
      <c r="AD197" s="798"/>
      <c r="AE197" s="799"/>
    </row>
    <row r="198" spans="1:31" s="1187" customFormat="1" x14ac:dyDescent="0.2">
      <c r="A198" s="1195"/>
      <c r="B198" s="1192"/>
      <c r="C198" s="1188"/>
      <c r="D198" s="1192"/>
      <c r="E198" s="1192"/>
      <c r="F198" s="1198"/>
      <c r="G198" s="1192"/>
      <c r="H198" s="1192"/>
      <c r="I198" s="1192"/>
      <c r="J198" s="1192"/>
      <c r="K198" s="1192"/>
      <c r="L198" s="1192"/>
      <c r="M198" s="1192"/>
      <c r="N198" s="1192"/>
      <c r="O198" s="1192"/>
      <c r="P198" s="1192"/>
      <c r="Q198" s="1192"/>
      <c r="R198" s="1192"/>
      <c r="S198" s="1192"/>
      <c r="T198" s="1192"/>
      <c r="U198" s="1192"/>
      <c r="V198" s="1192"/>
      <c r="W198" s="1192"/>
      <c r="X198" s="1192"/>
      <c r="Y198" s="1192"/>
      <c r="Z198" s="1192"/>
      <c r="AA198" s="1192"/>
      <c r="AB198" s="1192"/>
      <c r="AC198" s="1202"/>
      <c r="AD198" s="798"/>
      <c r="AE198" s="799"/>
    </row>
    <row r="199" spans="1:31" s="1187" customFormat="1" x14ac:dyDescent="0.2">
      <c r="A199" s="1195"/>
      <c r="B199" s="1192"/>
      <c r="C199" s="1188"/>
      <c r="D199" s="1192"/>
      <c r="E199" s="1192"/>
      <c r="F199" s="1198"/>
      <c r="G199" s="1192"/>
      <c r="H199" s="1192"/>
      <c r="I199" s="1192"/>
      <c r="J199" s="1192"/>
      <c r="K199" s="1192"/>
      <c r="L199" s="1192"/>
      <c r="M199" s="1192"/>
      <c r="N199" s="1192"/>
      <c r="O199" s="1192"/>
      <c r="P199" s="1192"/>
      <c r="Q199" s="1192"/>
      <c r="R199" s="1192"/>
      <c r="S199" s="1192"/>
      <c r="T199" s="1192"/>
      <c r="U199" s="1192"/>
      <c r="V199" s="1192"/>
      <c r="W199" s="1192"/>
      <c r="X199" s="1192"/>
      <c r="Y199" s="1192"/>
      <c r="Z199" s="1192"/>
      <c r="AA199" s="1192"/>
      <c r="AB199" s="1192"/>
      <c r="AC199" s="1202"/>
      <c r="AD199" s="798"/>
      <c r="AE199" s="799"/>
    </row>
    <row r="200" spans="1:31" s="1187" customFormat="1" ht="16.5" thickBot="1" x14ac:dyDescent="0.25">
      <c r="A200" s="1196"/>
      <c r="B200" s="1193"/>
      <c r="C200" s="1190"/>
      <c r="D200" s="1193"/>
      <c r="E200" s="1193"/>
      <c r="F200" s="1199"/>
      <c r="G200" s="1193"/>
      <c r="H200" s="1193"/>
      <c r="I200" s="1193"/>
      <c r="J200" s="1193"/>
      <c r="K200" s="1193"/>
      <c r="L200" s="1193"/>
      <c r="M200" s="1193"/>
      <c r="N200" s="1193"/>
      <c r="O200" s="1193"/>
      <c r="P200" s="1193"/>
      <c r="Q200" s="1193"/>
      <c r="R200" s="1193"/>
      <c r="S200" s="1193"/>
      <c r="T200" s="1193"/>
      <c r="U200" s="1193"/>
      <c r="V200" s="1193"/>
      <c r="W200" s="1193"/>
      <c r="X200" s="1193"/>
      <c r="Y200" s="1193"/>
      <c r="Z200" s="1193"/>
      <c r="AA200" s="1193"/>
      <c r="AB200" s="1193"/>
      <c r="AC200" s="1203"/>
      <c r="AD200" s="792"/>
      <c r="AE200" s="793"/>
    </row>
    <row r="201" spans="1:31" s="218" customFormat="1" x14ac:dyDescent="0.2">
      <c r="F201" s="337"/>
      <c r="G201" s="337"/>
      <c r="H201" s="337"/>
      <c r="I201" s="337"/>
    </row>
    <row r="202" spans="1:31" s="218" customFormat="1" x14ac:dyDescent="0.2">
      <c r="F202" s="337"/>
      <c r="G202" s="337"/>
      <c r="H202" s="337"/>
      <c r="I202" s="337"/>
    </row>
    <row r="203" spans="1:31" s="218" customFormat="1" ht="16.5" thickBot="1" x14ac:dyDescent="0.25">
      <c r="F203" s="337"/>
      <c r="G203" s="337"/>
      <c r="H203" s="337"/>
      <c r="I203" s="337"/>
    </row>
    <row r="204" spans="1:31" ht="16.5" thickBot="1" x14ac:dyDescent="0.25">
      <c r="A204" s="555" t="s">
        <v>454</v>
      </c>
      <c r="B204" s="556" t="s">
        <v>455</v>
      </c>
    </row>
    <row r="205" spans="1:31" x14ac:dyDescent="0.2">
      <c r="A205" s="450" t="s">
        <v>456</v>
      </c>
      <c r="B205" s="557" t="s">
        <v>51</v>
      </c>
    </row>
    <row r="206" spans="1:31" x14ac:dyDescent="0.2">
      <c r="A206" s="558" t="s">
        <v>65</v>
      </c>
      <c r="B206" s="559" t="s">
        <v>51</v>
      </c>
    </row>
    <row r="207" spans="1:31" x14ac:dyDescent="0.2">
      <c r="A207" s="558" t="s">
        <v>257</v>
      </c>
      <c r="B207" s="559" t="s">
        <v>51</v>
      </c>
    </row>
    <row r="208" spans="1:31" x14ac:dyDescent="0.2">
      <c r="A208" s="558" t="s">
        <v>258</v>
      </c>
      <c r="B208" s="559" t="s">
        <v>51</v>
      </c>
    </row>
    <row r="209" spans="1:2" x14ac:dyDescent="0.2">
      <c r="A209" s="558" t="s">
        <v>259</v>
      </c>
      <c r="B209" s="559" t="s">
        <v>53</v>
      </c>
    </row>
    <row r="210" spans="1:2" x14ac:dyDescent="0.2">
      <c r="A210" s="558" t="s">
        <v>281</v>
      </c>
      <c r="B210" s="559" t="s">
        <v>53</v>
      </c>
    </row>
    <row r="211" spans="1:2" x14ac:dyDescent="0.2">
      <c r="A211" s="560" t="s">
        <v>279</v>
      </c>
      <c r="B211" s="559" t="s">
        <v>53</v>
      </c>
    </row>
    <row r="212" spans="1:2" x14ac:dyDescent="0.2">
      <c r="A212" s="560" t="s">
        <v>457</v>
      </c>
      <c r="B212" s="559" t="s">
        <v>53</v>
      </c>
    </row>
    <row r="213" spans="1:2" ht="16.5" thickBot="1" x14ac:dyDescent="0.25">
      <c r="A213" s="561" t="s">
        <v>460</v>
      </c>
      <c r="B213" s="562" t="s">
        <v>51</v>
      </c>
    </row>
  </sheetData>
  <sheetProtection formatCells="0" formatColumns="0" formatRows="0" insertColumns="0" insertRows="0" deleteColumns="0" deleteRows="0" sort="0" autoFilter="0"/>
  <autoFilter ref="A30:AB30" xr:uid="{00000000-0009-0000-0000-00000C000000}"/>
  <sortState xmlns:xlrd2="http://schemas.microsoft.com/office/spreadsheetml/2017/richdata2" ref="A90:A122">
    <sortCondition ref="A122"/>
  </sortState>
  <dataConsolidate>
    <dataRefs count="2">
      <dataRef ref="B9" sheet="APPENDIX B-1  (FE - USWC)"/>
      <dataRef ref="A14:A18" sheet="APPENDIX B-1  (FE - USWC)"/>
    </dataRefs>
  </dataConsolidate>
  <mergeCells count="266">
    <mergeCell ref="AD195:AE195"/>
    <mergeCell ref="AD196:AE196"/>
    <mergeCell ref="AD197:AE197"/>
    <mergeCell ref="AD198:AE198"/>
    <mergeCell ref="AD199:AE199"/>
    <mergeCell ref="AD200:AE200"/>
    <mergeCell ref="G193:V193"/>
    <mergeCell ref="W193:W194"/>
    <mergeCell ref="X193:X194"/>
    <mergeCell ref="Y193:Y194"/>
    <mergeCell ref="Z193:Z194"/>
    <mergeCell ref="AA193:AA194"/>
    <mergeCell ref="AB193:AB194"/>
    <mergeCell ref="AC193:AC194"/>
    <mergeCell ref="AD193:AE194"/>
    <mergeCell ref="B115:D115"/>
    <mergeCell ref="E115:G115"/>
    <mergeCell ref="B118:D118"/>
    <mergeCell ref="E118:G118"/>
    <mergeCell ref="B101:D101"/>
    <mergeCell ref="E101:G101"/>
    <mergeCell ref="E110:G110"/>
    <mergeCell ref="B102:D102"/>
    <mergeCell ref="E102:G102"/>
    <mergeCell ref="E108:G108"/>
    <mergeCell ref="B110:D110"/>
    <mergeCell ref="B109:D109"/>
    <mergeCell ref="E109:G109"/>
    <mergeCell ref="B105:D105"/>
    <mergeCell ref="E105:G105"/>
    <mergeCell ref="B106:D106"/>
    <mergeCell ref="E106:G106"/>
    <mergeCell ref="B103:D103"/>
    <mergeCell ref="E103:G103"/>
    <mergeCell ref="B104:D104"/>
    <mergeCell ref="E104:G104"/>
    <mergeCell ref="B116:D116"/>
    <mergeCell ref="B117:D117"/>
    <mergeCell ref="E117:G117"/>
    <mergeCell ref="B114:D114"/>
    <mergeCell ref="E114:G114"/>
    <mergeCell ref="L90:L92"/>
    <mergeCell ref="B83:D83"/>
    <mergeCell ref="E98:G98"/>
    <mergeCell ref="I90:I92"/>
    <mergeCell ref="B96:D96"/>
    <mergeCell ref="E96:G96"/>
    <mergeCell ref="B98:D98"/>
    <mergeCell ref="B95:D95"/>
    <mergeCell ref="E95:G95"/>
    <mergeCell ref="E94:G94"/>
    <mergeCell ref="E97:G97"/>
    <mergeCell ref="K90:K92"/>
    <mergeCell ref="B97:D97"/>
    <mergeCell ref="B88:I88"/>
    <mergeCell ref="J90:J92"/>
    <mergeCell ref="B93:D93"/>
    <mergeCell ref="E93:G93"/>
    <mergeCell ref="B107:D107"/>
    <mergeCell ref="E107:G107"/>
    <mergeCell ref="AC48:AC49"/>
    <mergeCell ref="AA48:AA49"/>
    <mergeCell ref="B81:D81"/>
    <mergeCell ref="B68:D68"/>
    <mergeCell ref="AB48:AB49"/>
    <mergeCell ref="M48:M49"/>
    <mergeCell ref="Z48:Z49"/>
    <mergeCell ref="L48:L49"/>
    <mergeCell ref="D48:D49"/>
    <mergeCell ref="B48:B49"/>
    <mergeCell ref="A58:C58"/>
    <mergeCell ref="I48:I49"/>
    <mergeCell ref="B66:D66"/>
    <mergeCell ref="A72:C72"/>
    <mergeCell ref="B80:D80"/>
    <mergeCell ref="B69:D69"/>
    <mergeCell ref="A73:C73"/>
    <mergeCell ref="B65:D65"/>
    <mergeCell ref="B67:D67"/>
    <mergeCell ref="F48:F49"/>
    <mergeCell ref="AA30:AA31"/>
    <mergeCell ref="AA39:AA40"/>
    <mergeCell ref="F39:F40"/>
    <mergeCell ref="G39:G40"/>
    <mergeCell ref="X39:X40"/>
    <mergeCell ref="Z30:Z31"/>
    <mergeCell ref="Y39:Y40"/>
    <mergeCell ref="L30:L31"/>
    <mergeCell ref="I39:I40"/>
    <mergeCell ref="J39:J40"/>
    <mergeCell ref="Z39:Z40"/>
    <mergeCell ref="H39:H40"/>
    <mergeCell ref="J30:J31"/>
    <mergeCell ref="X30:X31"/>
    <mergeCell ref="Y30:Y31"/>
    <mergeCell ref="I30:I31"/>
    <mergeCell ref="A6:B6"/>
    <mergeCell ref="C6:F6"/>
    <mergeCell ref="L13:M13"/>
    <mergeCell ref="B14:I14"/>
    <mergeCell ref="J14:K14"/>
    <mergeCell ref="A30:A31"/>
    <mergeCell ref="A1:B1"/>
    <mergeCell ref="C1:F1"/>
    <mergeCell ref="A2:B2"/>
    <mergeCell ref="C2:F2"/>
    <mergeCell ref="A3:B3"/>
    <mergeCell ref="C3:F3"/>
    <mergeCell ref="A4:B4"/>
    <mergeCell ref="C4:F4"/>
    <mergeCell ref="A5:B5"/>
    <mergeCell ref="C5:F5"/>
    <mergeCell ref="J13:K13"/>
    <mergeCell ref="L14:M14"/>
    <mergeCell ref="B15:I15"/>
    <mergeCell ref="J15:K15"/>
    <mergeCell ref="L15:M15"/>
    <mergeCell ref="A7:B7"/>
    <mergeCell ref="C7:F7"/>
    <mergeCell ref="A8:B8"/>
    <mergeCell ref="L137:L138"/>
    <mergeCell ref="L16:M16"/>
    <mergeCell ref="B23:H23"/>
    <mergeCell ref="B16:I16"/>
    <mergeCell ref="J16:K16"/>
    <mergeCell ref="M137:M138"/>
    <mergeCell ref="L130:L131"/>
    <mergeCell ref="A91:G91"/>
    <mergeCell ref="G30:G31"/>
    <mergeCell ref="L17:M17"/>
    <mergeCell ref="B94:D94"/>
    <mergeCell ref="M90:M92"/>
    <mergeCell ref="A87:I87"/>
    <mergeCell ref="B82:D82"/>
    <mergeCell ref="A86:I86"/>
    <mergeCell ref="J17:K17"/>
    <mergeCell ref="H48:H49"/>
    <mergeCell ref="K30:K31"/>
    <mergeCell ref="B108:D108"/>
    <mergeCell ref="K39:K40"/>
    <mergeCell ref="K48:K49"/>
    <mergeCell ref="E99:G99"/>
    <mergeCell ref="E48:E49"/>
    <mergeCell ref="B99:D99"/>
    <mergeCell ref="C8:F8"/>
    <mergeCell ref="A12:J12"/>
    <mergeCell ref="B13:I13"/>
    <mergeCell ref="A57:C57"/>
    <mergeCell ref="B22:H22"/>
    <mergeCell ref="F30:F31"/>
    <mergeCell ref="E39:E40"/>
    <mergeCell ref="B24:H24"/>
    <mergeCell ref="G48:G49"/>
    <mergeCell ref="A47:D47"/>
    <mergeCell ref="C48:C49"/>
    <mergeCell ref="B39:B40"/>
    <mergeCell ref="A48:A49"/>
    <mergeCell ref="A39:A40"/>
    <mergeCell ref="C39:C40"/>
    <mergeCell ref="B17:I17"/>
    <mergeCell ref="B21:H21"/>
    <mergeCell ref="B20:H20"/>
    <mergeCell ref="B30:B31"/>
    <mergeCell ref="C30:C31"/>
    <mergeCell ref="H30:H31"/>
    <mergeCell ref="J48:J49"/>
    <mergeCell ref="E30:E31"/>
    <mergeCell ref="D39:D40"/>
    <mergeCell ref="D30:D31"/>
    <mergeCell ref="A92:G92"/>
    <mergeCell ref="H90:H92"/>
    <mergeCell ref="A90:G90"/>
    <mergeCell ref="B84:D84"/>
    <mergeCell ref="B100:D100"/>
    <mergeCell ref="E100:G100"/>
    <mergeCell ref="A148:F148"/>
    <mergeCell ref="E112:G112"/>
    <mergeCell ref="B123:D123"/>
    <mergeCell ref="B111:D111"/>
    <mergeCell ref="E111:G111"/>
    <mergeCell ref="B113:D113"/>
    <mergeCell ref="E113:G113"/>
    <mergeCell ref="E122:G122"/>
    <mergeCell ref="B112:D112"/>
    <mergeCell ref="E116:G116"/>
    <mergeCell ref="E126:G126"/>
    <mergeCell ref="A128:I128"/>
    <mergeCell ref="B121:D121"/>
    <mergeCell ref="E121:G121"/>
    <mergeCell ref="H130:H131"/>
    <mergeCell ref="I130:I131"/>
    <mergeCell ref="G130:G131"/>
    <mergeCell ref="F130:F131"/>
    <mergeCell ref="A137:D137"/>
    <mergeCell ref="A147:F147"/>
    <mergeCell ref="I137:I138"/>
    <mergeCell ref="A145:E145"/>
    <mergeCell ref="E137:E138"/>
    <mergeCell ref="B119:D119"/>
    <mergeCell ref="K130:K131"/>
    <mergeCell ref="K137:K138"/>
    <mergeCell ref="B120:D120"/>
    <mergeCell ref="E130:E131"/>
    <mergeCell ref="B126:D126"/>
    <mergeCell ref="A127:I127"/>
    <mergeCell ref="G137:G138"/>
    <mergeCell ref="E124:G124"/>
    <mergeCell ref="E120:G120"/>
    <mergeCell ref="B122:D122"/>
    <mergeCell ref="B124:D124"/>
    <mergeCell ref="E123:G123"/>
    <mergeCell ref="B125:D125"/>
    <mergeCell ref="E125:G125"/>
    <mergeCell ref="J137:J138"/>
    <mergeCell ref="F137:F138"/>
    <mergeCell ref="H137:H138"/>
    <mergeCell ref="J130:J131"/>
    <mergeCell ref="A130:D130"/>
    <mergeCell ref="E119:G119"/>
    <mergeCell ref="M187:N187"/>
    <mergeCell ref="A192:H192"/>
    <mergeCell ref="C193:C194"/>
    <mergeCell ref="B193:B194"/>
    <mergeCell ref="D193:D194"/>
    <mergeCell ref="F193:F194"/>
    <mergeCell ref="E193:E194"/>
    <mergeCell ref="A193:A194"/>
    <mergeCell ref="A175:B175"/>
    <mergeCell ref="B170:I170"/>
    <mergeCell ref="B162:I162"/>
    <mergeCell ref="B159:I159"/>
    <mergeCell ref="A179:E179"/>
    <mergeCell ref="B164:I164"/>
    <mergeCell ref="B165:I165"/>
    <mergeCell ref="M180:N181"/>
    <mergeCell ref="M185:N185"/>
    <mergeCell ref="M186:N186"/>
    <mergeCell ref="F180:F181"/>
    <mergeCell ref="H180:H181"/>
    <mergeCell ref="A190:G190"/>
    <mergeCell ref="M183:N183"/>
    <mergeCell ref="M184:N184"/>
    <mergeCell ref="M182:N182"/>
    <mergeCell ref="K180:K181"/>
    <mergeCell ref="B180:B181"/>
    <mergeCell ref="D180:D181"/>
    <mergeCell ref="E180:E181"/>
    <mergeCell ref="J180:J181"/>
    <mergeCell ref="G180:G181"/>
    <mergeCell ref="A180:A181"/>
    <mergeCell ref="C180:C181"/>
    <mergeCell ref="I180:I181"/>
    <mergeCell ref="L180:L181"/>
    <mergeCell ref="A149:F149"/>
    <mergeCell ref="B158:I158"/>
    <mergeCell ref="A155:I155"/>
    <mergeCell ref="B157:I157"/>
    <mergeCell ref="B171:I171"/>
    <mergeCell ref="A177:G177"/>
    <mergeCell ref="B161:I161"/>
    <mergeCell ref="B169:I169"/>
    <mergeCell ref="B163:I163"/>
    <mergeCell ref="B160:I160"/>
    <mergeCell ref="B166:I166"/>
    <mergeCell ref="B167:I167"/>
    <mergeCell ref="B168:I168"/>
  </mergeCells>
  <phoneticPr fontId="11" type="noConversion"/>
  <dataValidations count="33">
    <dataValidation type="list" allowBlank="1" showInputMessage="1" showErrorMessage="1" sqref="B205:B213" xr:uid="{00000000-0002-0000-0C00-000000000000}">
      <formula1>Autom</formula1>
    </dataValidation>
    <dataValidation type="list" showInputMessage="1" showErrorMessage="1" sqref="C182:C187 C195:C200" xr:uid="{00000000-0002-0000-0C00-000001000000}">
      <formula1>IF($B182="I",DDTARIFFUS,DDTARIFF)</formula1>
    </dataValidation>
    <dataValidation type="list" allowBlank="1" showInputMessage="1" showErrorMessage="1" sqref="B182:B187 B195:B200" xr:uid="{00000000-0002-0000-0C00-000002000000}">
      <formula1>EXPIMP</formula1>
    </dataValidation>
    <dataValidation type="list" allowBlank="1" showInputMessage="1" showErrorMessage="1" sqref="F182:F187 W195:W200" xr:uid="{00000000-0002-0000-0C00-000003000000}">
      <formula1>EQTYPE</formula1>
    </dataValidation>
    <dataValidation type="list" allowBlank="1" showInputMessage="1" showErrorMessage="1" sqref="G182:G187 X195:X200" xr:uid="{00000000-0002-0000-0C00-000004000000}">
      <formula1>OPREEFER</formula1>
    </dataValidation>
    <dataValidation type="list" allowBlank="1" showInputMessage="1" showErrorMessage="1" sqref="F195:F200" xr:uid="{44A471EF-3D52-4E77-B12C-68D8657F815E}">
      <formula1>CURRENCY</formula1>
    </dataValidation>
    <dataValidation type="whole" allowBlank="1" showInputMessage="1" showErrorMessage="1" error="Only whole numbers can be entered into this field" sqref="D182:D187 D195:D200" xr:uid="{00000000-0002-0000-0C00-000006000000}">
      <formula1>1</formula1>
      <formula2>99</formula2>
    </dataValidation>
    <dataValidation type="list" showInputMessage="1" showErrorMessage="1" sqref="E182:E187 E195:E200" xr:uid="{00000000-0002-0000-0C00-000007000000}">
      <formula1>DAYS</formula1>
    </dataValidation>
    <dataValidation type="whole" allowBlank="1" showInputMessage="1" showErrorMessage="1" error="Only whole numbers may be entered into this field_x000a_" sqref="G195:G200 S195:S200 O195:O200 K195:K200" xr:uid="{0FB36320-EFB5-4335-9CD8-90CBE9016347}">
      <formula1>1</formula1>
      <formula2>99</formula2>
    </dataValidation>
    <dataValidation type="decimal" allowBlank="1" showInputMessage="1" showErrorMessage="1" error="Only numbers may be entered into this field" sqref="H195:J200 L195:N200 P195:R200 T195:V200" xr:uid="{5C36654E-6E2F-4B6B-93DD-1B5F1019E056}">
      <formula1>1</formula1>
      <formula2>1000000000</formula2>
    </dataValidation>
    <dataValidation type="list" showInputMessage="1" showErrorMessage="1" sqref="K132:K135 K139:K142 N81:N84 A32:A35 A50:A53 A41:A44 N66:N69" xr:uid="{00000000-0002-0000-0C00-00000A000000}">
      <formula1>$A$14:$A$18</formula1>
    </dataValidation>
    <dataValidation type="list" allowBlank="1" showInputMessage="1" showErrorMessage="1" sqref="J132:J135 J139:J142" xr:uid="{00000000-0002-0000-0C00-00000B000000}">
      <formula1>GRIPSS</formula1>
    </dataValidation>
    <dataValidation type="decimal" allowBlank="1" showInputMessage="1" showErrorMessage="1" sqref="F139:I142 F132:I135 I50:L53 J81:M84 I41:K44 I32:L35" xr:uid="{00000000-0002-0000-0C00-00000C000000}">
      <formula1>0</formula1>
      <formula2>999999999999999</formula2>
    </dataValidation>
    <dataValidation type="list" allowBlank="1" showInputMessage="1" showErrorMessage="1" sqref="E132:E135 E139:E142" xr:uid="{00000000-0002-0000-0C00-00000D000000}">
      <formula1>GRIPSS_EQ</formula1>
    </dataValidation>
    <dataValidation type="list" showInputMessage="1" showErrorMessage="1" sqref="A182:A187 A195:A200" xr:uid="{00000000-0002-0000-0C00-00000E000000}">
      <formula1>BULLET</formula1>
    </dataValidation>
    <dataValidation type="date" allowBlank="1" showInputMessage="1" showErrorMessage="1" sqref="X32:Y35 J93:K126" xr:uid="{00000000-0002-0000-0C00-00000F000000}">
      <formula1>10101</formula1>
      <formula2>311299</formula2>
    </dataValidation>
    <dataValidation type="list" showDropDown="1" showErrorMessage="1" sqref="O65:P65 O80:P80" xr:uid="{00000000-0002-0000-0C00-000010000000}">
      <formula1>Charges</formula1>
    </dataValidation>
    <dataValidation type="list" allowBlank="1" showInputMessage="1" showErrorMessage="1" sqref="O66:P69 O81:P84" xr:uid="{00000000-0002-0000-0C00-000011000000}">
      <formula1 xml:space="preserve"> droppull</formula1>
    </dataValidation>
    <dataValidation type="list" allowBlank="1" showInputMessage="1" showErrorMessage="1" sqref="L41:L44 G81:G84 N41:N44 P50:P53 G66:G69" xr:uid="{00000000-0002-0000-0C00-000012000000}">
      <formula1>YesNo</formula1>
    </dataValidation>
    <dataValidation type="list" allowBlank="1" showInputMessage="1" showErrorMessage="1" sqref="M50:M53" xr:uid="{00000000-0002-0000-0C00-000013000000}">
      <formula1>Equip</formula1>
    </dataValidation>
    <dataValidation type="list" allowBlank="1" showInputMessage="1" showErrorMessage="1" sqref="F66:F69 F81:F84" xr:uid="{00000000-0002-0000-0C00-000014000000}">
      <formula1>ArbMode</formula1>
    </dataValidation>
    <dataValidation type="list" allowBlank="1" showInputMessage="1" showErrorMessage="1" sqref="G41:G44 G32:G35 G50:G53" xr:uid="{00000000-0002-0000-0C00-000015000000}">
      <formula1>SDD</formula1>
    </dataValidation>
    <dataValidation type="list" allowBlank="1" showInputMessage="1" showErrorMessage="1" sqref="M31:W31 Q49:Y49" xr:uid="{00000000-0002-0000-0C00-000016000000}">
      <formula1>Container</formula1>
    </dataValidation>
    <dataValidation type="list" allowBlank="1" showInputMessage="1" showErrorMessage="1" sqref="O40:W40" xr:uid="{00000000-0002-0000-0C00-000017000000}">
      <formula1>Reefer</formula1>
    </dataValidation>
    <dataValidation type="list" allowBlank="1" showInputMessage="1" showErrorMessage="1" sqref="F32:F35 F41:F44 F50:F53" xr:uid="{00000000-0002-0000-0C00-000018000000}">
      <formula1>Mode</formula1>
    </dataValidation>
    <dataValidation type="list" allowBlank="1" showInputMessage="1" showErrorMessage="1" sqref="M41:M44 O50:O53" xr:uid="{00000000-0002-0000-0C00-000019000000}">
      <formula1>ShipperOwn</formula1>
    </dataValidation>
    <dataValidation type="list" allowBlank="1" showInputMessage="1" showErrorMessage="1" sqref="N50:N53" xr:uid="{00000000-0002-0000-0C00-00001A000000}">
      <formula1>OOG</formula1>
    </dataValidation>
    <dataValidation type="list" allowBlank="1" showErrorMessage="1" sqref="M30:W30 O39:W39 Q48:Y48" xr:uid="{00000000-0002-0000-0C00-00001B000000}">
      <formula1>Exceptions</formula1>
    </dataValidation>
    <dataValidation type="list" allowBlank="1" showInputMessage="1" showErrorMessage="1" sqref="AA32:AA35 AA41:AA44 AC50:AC53" xr:uid="{00000000-0002-0000-0C00-00001C000000}">
      <formula1>CST</formula1>
    </dataValidation>
    <dataValidation type="list" allowBlank="1" showInputMessage="1" showErrorMessage="1" sqref="I93:I126" xr:uid="{00000000-0002-0000-0C00-00001D000000}">
      <formula1>$A$14:$A$18</formula1>
    </dataValidation>
    <dataValidation type="list" allowBlank="1" showErrorMessage="1" sqref="A93:A126" xr:uid="{00000000-0002-0000-0C00-00001E000000}">
      <formula1>Charges</formula1>
    </dataValidation>
    <dataValidation allowBlank="1" showInputMessage="1" showErrorMessage="1" promptTitle="Acceptable Values:" prompt="- Applicable _x000a_- Not applicable _x000a_- Included_x000a_- Amount and OSPF for cases of fixed per D40 OSPF_x000a_    (example-  &quot;375 OSPF&quot;)" sqref="E93:G126" xr:uid="{00000000-0002-0000-0C00-00001F000000}"/>
    <dataValidation type="list" allowBlank="1" showInputMessage="1" showErrorMessage="1" errorTitle="Pick up the list" promptTitle="Blank = ALL" sqref="H93:H126" xr:uid="{00000000-0002-0000-0C00-000020000000}">
      <formula1>Type_note2</formula1>
    </dataValidation>
  </dataValidations>
  <pageMargins left="0.25" right="0.25" top="0.25" bottom="0.25" header="0.5" footer="0"/>
  <pageSetup scale="28" fitToHeight="0" orientation="landscape" r:id="rId1"/>
  <headerFooter alignWithMargins="0"/>
  <rowBreaks count="1" manualBreakCount="1">
    <brk id="88" max="16383" man="1"/>
  </rowBreaks>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
    <tabColor indexed="46"/>
    <pageSetUpPr fitToPage="1"/>
  </sheetPr>
  <dimension ref="A1:BB218"/>
  <sheetViews>
    <sheetView showGridLines="0" zoomScale="75" zoomScaleNormal="75" zoomScaleSheetLayoutView="75" workbookViewId="0">
      <selection activeCell="A14" sqref="A14"/>
    </sheetView>
  </sheetViews>
  <sheetFormatPr defaultColWidth="9.140625" defaultRowHeight="15.75" x14ac:dyDescent="0.2"/>
  <cols>
    <col min="1" max="1" width="25.140625" style="69" customWidth="1"/>
    <col min="2" max="2" width="18.5703125" style="69" customWidth="1"/>
    <col min="3" max="3" width="18.28515625" style="69" customWidth="1"/>
    <col min="4" max="4" width="17.42578125" style="69" customWidth="1"/>
    <col min="5" max="5" width="19.28515625" style="69" customWidth="1"/>
    <col min="6" max="6" width="12.140625" style="211" customWidth="1"/>
    <col min="7" max="8" width="17.42578125" style="211" customWidth="1"/>
    <col min="9" max="9" width="17.7109375" style="211" customWidth="1"/>
    <col min="10" max="10" width="17.85546875" style="69" customWidth="1"/>
    <col min="11" max="11" width="16.5703125" style="69" customWidth="1"/>
    <col min="12" max="12" width="18.5703125" style="69" customWidth="1"/>
    <col min="13" max="13" width="17.28515625" style="69" customWidth="1"/>
    <col min="14" max="14" width="17.7109375" style="69" customWidth="1"/>
    <col min="15" max="16" width="16.5703125" style="69" customWidth="1"/>
    <col min="17" max="17" width="17.5703125" style="69" customWidth="1"/>
    <col min="18" max="18" width="15.85546875" style="69" customWidth="1"/>
    <col min="19" max="19" width="16.7109375" style="69" customWidth="1"/>
    <col min="20" max="20" width="16.5703125" style="69" customWidth="1"/>
    <col min="21" max="21" width="16.7109375" style="69" customWidth="1"/>
    <col min="22" max="22" width="17.5703125" style="69" customWidth="1"/>
    <col min="23" max="23" width="18" style="69" customWidth="1"/>
    <col min="24" max="24" width="12.7109375" style="69" customWidth="1"/>
    <col min="25" max="25" width="16.85546875" style="69" customWidth="1"/>
    <col min="26" max="26" width="9.7109375" style="69" customWidth="1"/>
    <col min="27" max="27" width="14.140625" style="69" customWidth="1"/>
    <col min="28" max="28" width="9.7109375" style="69" customWidth="1"/>
    <col min="29" max="29" width="14.140625" style="69" customWidth="1"/>
    <col min="30" max="16384" width="9.140625" style="69"/>
  </cols>
  <sheetData>
    <row r="1" spans="1:54" x14ac:dyDescent="0.2">
      <c r="A1" s="835" t="s">
        <v>511</v>
      </c>
      <c r="B1" s="837"/>
      <c r="C1" s="902" t="str">
        <f>Cover!B1</f>
        <v>22-XXXX</v>
      </c>
      <c r="D1" s="903"/>
      <c r="E1" s="903"/>
      <c r="F1" s="904"/>
      <c r="G1" s="69"/>
      <c r="H1" s="69"/>
      <c r="I1" s="69"/>
    </row>
    <row r="2" spans="1:54" x14ac:dyDescent="0.2">
      <c r="A2" s="885" t="s">
        <v>1236</v>
      </c>
      <c r="B2" s="886"/>
      <c r="C2" s="887"/>
      <c r="D2" s="888"/>
      <c r="E2" s="888"/>
      <c r="F2" s="889"/>
      <c r="G2" s="69"/>
      <c r="H2" s="69"/>
      <c r="I2" s="69"/>
    </row>
    <row r="3" spans="1:54" x14ac:dyDescent="0.2">
      <c r="A3" s="885" t="s">
        <v>522</v>
      </c>
      <c r="B3" s="886"/>
      <c r="C3" s="905">
        <f>Cover!B2</f>
        <v>0</v>
      </c>
      <c r="D3" s="906"/>
      <c r="E3" s="906"/>
      <c r="F3" s="907"/>
      <c r="G3" s="69"/>
      <c r="H3" s="69"/>
      <c r="I3" s="69"/>
    </row>
    <row r="4" spans="1:54" ht="15.75" customHeight="1" x14ac:dyDescent="0.2">
      <c r="A4" s="885" t="s">
        <v>1229</v>
      </c>
      <c r="B4" s="886"/>
      <c r="C4" s="884">
        <f>Cover!B7</f>
        <v>0</v>
      </c>
      <c r="D4" s="817"/>
      <c r="E4" s="817"/>
      <c r="F4" s="818"/>
      <c r="G4" s="69"/>
      <c r="H4" s="69"/>
      <c r="I4" s="69"/>
    </row>
    <row r="5" spans="1:54" x14ac:dyDescent="0.2">
      <c r="A5" s="885" t="s">
        <v>528</v>
      </c>
      <c r="B5" s="886"/>
      <c r="C5" s="887" t="s">
        <v>904</v>
      </c>
      <c r="D5" s="888"/>
      <c r="E5" s="888"/>
      <c r="F5" s="889"/>
      <c r="G5" s="69"/>
      <c r="H5" s="69"/>
      <c r="I5" s="69"/>
    </row>
    <row r="6" spans="1:54" ht="15.75" customHeight="1" x14ac:dyDescent="0.2">
      <c r="A6" s="885" t="s">
        <v>512</v>
      </c>
      <c r="B6" s="886"/>
      <c r="C6" s="887" t="s">
        <v>903</v>
      </c>
      <c r="D6" s="888"/>
      <c r="E6" s="888"/>
      <c r="F6" s="889"/>
      <c r="G6" s="69"/>
      <c r="H6" s="69"/>
      <c r="I6" s="69"/>
    </row>
    <row r="7" spans="1:54" ht="15.75" customHeight="1" x14ac:dyDescent="0.2">
      <c r="A7" s="885" t="s">
        <v>612</v>
      </c>
      <c r="B7" s="886"/>
      <c r="C7" s="887" t="s">
        <v>902</v>
      </c>
      <c r="D7" s="888"/>
      <c r="E7" s="888"/>
      <c r="F7" s="889"/>
      <c r="G7" s="69"/>
      <c r="H7" s="69"/>
      <c r="I7" s="69"/>
    </row>
    <row r="8" spans="1:54" ht="2.25" customHeight="1" thickBot="1" x14ac:dyDescent="0.25">
      <c r="A8" s="900"/>
      <c r="B8" s="901"/>
      <c r="C8" s="894"/>
      <c r="D8" s="895"/>
      <c r="E8" s="895"/>
      <c r="F8" s="896"/>
      <c r="G8" s="69"/>
      <c r="H8" s="69"/>
      <c r="I8" s="69"/>
    </row>
    <row r="9" spans="1:54" s="73" customFormat="1" x14ac:dyDescent="0.2">
      <c r="A9" s="442">
        <v>39</v>
      </c>
      <c r="B9" s="443" t="s">
        <v>614</v>
      </c>
      <c r="D9" s="444"/>
      <c r="E9" s="444"/>
      <c r="F9" s="445"/>
    </row>
    <row r="10" spans="1:54" s="73" customFormat="1" ht="16.5" thickBot="1" x14ac:dyDescent="0.25">
      <c r="A10" s="446"/>
      <c r="D10" s="444"/>
      <c r="E10" s="444"/>
      <c r="F10" s="445"/>
      <c r="G10" s="447"/>
      <c r="H10" s="444"/>
      <c r="I10" s="444"/>
      <c r="J10" s="444"/>
    </row>
    <row r="11" spans="1:54" ht="19.5" thickBot="1" x14ac:dyDescent="0.25">
      <c r="A11" s="448" t="s">
        <v>613</v>
      </c>
      <c r="B11" s="449"/>
      <c r="C11" s="73"/>
      <c r="D11" s="444"/>
      <c r="E11" s="444"/>
      <c r="F11" s="445"/>
      <c r="G11" s="447"/>
      <c r="H11" s="444"/>
      <c r="I11" s="444"/>
      <c r="J11" s="444"/>
    </row>
    <row r="12" spans="1:54" s="78" customFormat="1" ht="16.5" thickBot="1" x14ac:dyDescent="0.25">
      <c r="A12" s="897" t="s">
        <v>616</v>
      </c>
      <c r="B12" s="898"/>
      <c r="C12" s="898"/>
      <c r="D12" s="898"/>
      <c r="E12" s="898"/>
      <c r="F12" s="898"/>
      <c r="G12" s="898"/>
      <c r="H12" s="898"/>
      <c r="I12" s="898"/>
      <c r="J12" s="899"/>
    </row>
    <row r="13" spans="1:54" ht="17.25" customHeight="1" x14ac:dyDescent="0.2">
      <c r="A13" s="450" t="s">
        <v>617</v>
      </c>
      <c r="B13" s="881" t="s">
        <v>618</v>
      </c>
      <c r="C13" s="881"/>
      <c r="D13" s="881"/>
      <c r="E13" s="881"/>
      <c r="F13" s="881"/>
      <c r="G13" s="881"/>
      <c r="H13" s="881"/>
      <c r="I13" s="881"/>
      <c r="J13" s="882" t="s">
        <v>622</v>
      </c>
      <c r="K13" s="883"/>
      <c r="L13" s="890" t="s">
        <v>623</v>
      </c>
      <c r="M13" s="891"/>
      <c r="N13" s="350" t="s">
        <v>4</v>
      </c>
    </row>
    <row r="14" spans="1:54" s="81" customFormat="1" x14ac:dyDescent="0.2">
      <c r="A14" s="451"/>
      <c r="B14" s="862"/>
      <c r="C14" s="892"/>
      <c r="D14" s="892"/>
      <c r="E14" s="892"/>
      <c r="F14" s="892"/>
      <c r="G14" s="892"/>
      <c r="H14" s="892"/>
      <c r="I14" s="892"/>
      <c r="J14" s="870"/>
      <c r="K14" s="855"/>
      <c r="L14" s="893"/>
      <c r="M14" s="871"/>
      <c r="N14" s="349" t="str">
        <f>IF($A14&gt;0,$A14,"")</f>
        <v/>
      </c>
    </row>
    <row r="15" spans="1:54" s="453" customFormat="1" x14ac:dyDescent="0.2">
      <c r="A15" s="452"/>
      <c r="B15" s="879"/>
      <c r="C15" s="880"/>
      <c r="D15" s="880"/>
      <c r="E15" s="880"/>
      <c r="F15" s="880"/>
      <c r="G15" s="880"/>
      <c r="H15" s="880"/>
      <c r="I15" s="880"/>
      <c r="J15" s="870"/>
      <c r="K15" s="855"/>
      <c r="L15" s="870"/>
      <c r="M15" s="871"/>
      <c r="N15" s="349" t="str">
        <f>IF($A15&gt;0,$A15,"")</f>
        <v/>
      </c>
      <c r="BB15" s="81"/>
    </row>
    <row r="16" spans="1:54" s="453" customFormat="1" x14ac:dyDescent="0.2">
      <c r="A16" s="452"/>
      <c r="B16" s="879"/>
      <c r="C16" s="880"/>
      <c r="D16" s="880"/>
      <c r="E16" s="880"/>
      <c r="F16" s="880"/>
      <c r="G16" s="880"/>
      <c r="H16" s="880"/>
      <c r="I16" s="880"/>
      <c r="J16" s="870"/>
      <c r="K16" s="855"/>
      <c r="L16" s="870"/>
      <c r="M16" s="871"/>
      <c r="N16" s="349" t="str">
        <f>IF($A16&gt;0,$A16,"")</f>
        <v/>
      </c>
      <c r="BB16" s="81"/>
    </row>
    <row r="17" spans="1:54" s="453" customFormat="1" ht="16.5" thickBot="1" x14ac:dyDescent="0.25">
      <c r="A17" s="454"/>
      <c r="B17" s="864"/>
      <c r="C17" s="865"/>
      <c r="D17" s="865"/>
      <c r="E17" s="865"/>
      <c r="F17" s="865"/>
      <c r="G17" s="865"/>
      <c r="H17" s="865"/>
      <c r="I17" s="865"/>
      <c r="J17" s="866"/>
      <c r="K17" s="867"/>
      <c r="L17" s="857"/>
      <c r="M17" s="858"/>
      <c r="N17" s="349" t="str">
        <f>IF($A17&gt;0,$A17,"")</f>
        <v/>
      </c>
      <c r="BB17" s="81"/>
    </row>
    <row r="18" spans="1:54" s="462" customFormat="1" ht="16.5" thickBot="1" x14ac:dyDescent="0.25">
      <c r="A18" s="455"/>
      <c r="B18" s="456"/>
      <c r="C18" s="457"/>
      <c r="D18" s="458"/>
      <c r="E18" s="458"/>
      <c r="F18" s="459"/>
      <c r="G18" s="459"/>
      <c r="H18" s="460"/>
      <c r="I18" s="461"/>
      <c r="J18" s="461"/>
      <c r="K18" s="457"/>
      <c r="L18" s="457"/>
      <c r="M18" s="457"/>
      <c r="N18" s="349" t="str">
        <f>IF($A18&gt;0,$A18,"")</f>
        <v/>
      </c>
      <c r="O18" s="457"/>
      <c r="P18" s="457"/>
      <c r="Q18" s="457"/>
      <c r="BB18" s="81"/>
    </row>
    <row r="19" spans="1:54" s="462" customFormat="1" ht="19.5" thickBot="1" x14ac:dyDescent="0.25">
      <c r="A19" s="448" t="s">
        <v>419</v>
      </c>
      <c r="B19" s="463"/>
      <c r="I19" s="461"/>
      <c r="J19" s="461"/>
      <c r="K19" s="457"/>
      <c r="L19" s="457"/>
      <c r="M19" s="457"/>
      <c r="N19" s="457"/>
      <c r="O19" s="457"/>
      <c r="P19" s="457"/>
      <c r="Q19" s="457"/>
    </row>
    <row r="20" spans="1:54" s="462" customFormat="1" x14ac:dyDescent="0.2">
      <c r="A20" s="464" t="s">
        <v>419</v>
      </c>
      <c r="B20" s="859" t="s">
        <v>618</v>
      </c>
      <c r="C20" s="860"/>
      <c r="D20" s="860"/>
      <c r="E20" s="860"/>
      <c r="F20" s="860"/>
      <c r="G20" s="860"/>
      <c r="H20" s="861"/>
      <c r="I20" s="461"/>
      <c r="J20" s="461"/>
      <c r="K20" s="457"/>
      <c r="L20" s="457"/>
      <c r="M20" s="457"/>
      <c r="N20" s="457"/>
      <c r="O20" s="457"/>
      <c r="P20" s="457"/>
      <c r="Q20" s="457"/>
    </row>
    <row r="21" spans="1:54" s="467" customFormat="1" ht="15.75" customHeight="1" x14ac:dyDescent="0.2">
      <c r="A21" s="451"/>
      <c r="B21" s="862"/>
      <c r="C21" s="862"/>
      <c r="D21" s="862"/>
      <c r="E21" s="862"/>
      <c r="F21" s="862"/>
      <c r="G21" s="862"/>
      <c r="H21" s="863"/>
      <c r="I21" s="220"/>
      <c r="J21" s="465"/>
      <c r="K21" s="466"/>
      <c r="L21" s="466"/>
      <c r="M21" s="466"/>
      <c r="N21" s="466"/>
      <c r="O21" s="466"/>
      <c r="P21" s="466"/>
      <c r="Q21" s="466"/>
    </row>
    <row r="22" spans="1:54" s="467" customFormat="1" x14ac:dyDescent="0.2">
      <c r="A22" s="602"/>
      <c r="B22" s="862"/>
      <c r="C22" s="862"/>
      <c r="D22" s="862"/>
      <c r="E22" s="862"/>
      <c r="F22" s="862"/>
      <c r="G22" s="862"/>
      <c r="H22" s="863"/>
      <c r="I22" s="465"/>
      <c r="J22" s="465"/>
      <c r="K22" s="466"/>
      <c r="L22" s="466"/>
      <c r="M22" s="466"/>
      <c r="N22" s="466"/>
      <c r="O22" s="466"/>
      <c r="P22" s="466"/>
      <c r="Q22" s="466"/>
    </row>
    <row r="23" spans="1:54" s="467" customFormat="1" x14ac:dyDescent="0.2">
      <c r="A23" s="602"/>
      <c r="B23" s="954"/>
      <c r="C23" s="855"/>
      <c r="D23" s="855"/>
      <c r="E23" s="855"/>
      <c r="F23" s="855"/>
      <c r="G23" s="855"/>
      <c r="H23" s="856"/>
      <c r="I23" s="465"/>
      <c r="J23" s="465"/>
      <c r="K23" s="466"/>
      <c r="L23" s="466"/>
      <c r="M23" s="466"/>
      <c r="N23" s="466"/>
      <c r="O23" s="466"/>
      <c r="P23" s="466"/>
      <c r="Q23" s="466"/>
    </row>
    <row r="24" spans="1:54" s="467" customFormat="1" ht="16.5" thickBot="1" x14ac:dyDescent="0.25">
      <c r="A24" s="603"/>
      <c r="B24" s="983"/>
      <c r="C24" s="867"/>
      <c r="D24" s="867"/>
      <c r="E24" s="867"/>
      <c r="F24" s="867"/>
      <c r="G24" s="867"/>
      <c r="H24" s="878"/>
      <c r="I24" s="465"/>
      <c r="J24" s="465"/>
      <c r="K24" s="466"/>
      <c r="L24" s="466"/>
      <c r="M24" s="466"/>
      <c r="N24" s="466"/>
      <c r="O24" s="466"/>
      <c r="P24" s="466"/>
      <c r="Q24" s="466"/>
    </row>
    <row r="25" spans="1:54" s="462" customFormat="1" ht="16.5" thickBot="1" x14ac:dyDescent="0.25">
      <c r="A25" s="456"/>
      <c r="B25" s="95"/>
      <c r="C25" s="95"/>
      <c r="D25" s="95"/>
      <c r="E25" s="95"/>
      <c r="F25" s="95"/>
      <c r="G25" s="95"/>
      <c r="H25" s="95"/>
      <c r="I25" s="461"/>
      <c r="J25" s="461"/>
      <c r="K25" s="457"/>
      <c r="L25" s="457"/>
      <c r="M25" s="457"/>
      <c r="N25" s="457"/>
      <c r="O25" s="457"/>
      <c r="P25" s="457"/>
      <c r="Q25" s="457"/>
      <c r="R25" s="457"/>
      <c r="S25" s="457"/>
      <c r="T25" s="457"/>
      <c r="U25" s="457"/>
    </row>
    <row r="26" spans="1:54" s="462" customFormat="1" ht="19.5" thickBot="1" x14ac:dyDescent="0.25">
      <c r="A26" s="448" t="s">
        <v>624</v>
      </c>
      <c r="B26" s="449"/>
      <c r="I26" s="461"/>
      <c r="J26" s="461"/>
      <c r="K26" s="457"/>
      <c r="L26" s="457"/>
      <c r="M26" s="457"/>
      <c r="N26" s="457"/>
      <c r="O26" s="457"/>
      <c r="P26" s="457"/>
      <c r="Q26" s="457"/>
      <c r="R26" s="457"/>
      <c r="S26" s="457"/>
      <c r="T26" s="457"/>
      <c r="U26" s="457"/>
    </row>
    <row r="27" spans="1:54" s="462" customFormat="1" x14ac:dyDescent="0.2">
      <c r="A27" s="223" t="s">
        <v>886</v>
      </c>
      <c r="B27" s="470"/>
      <c r="C27" s="471"/>
      <c r="D27" s="472"/>
      <c r="E27" s="472"/>
      <c r="F27" s="473"/>
      <c r="G27" s="473"/>
      <c r="H27" s="473"/>
      <c r="I27" s="474"/>
      <c r="J27" s="475"/>
      <c r="K27" s="476"/>
      <c r="L27" s="457"/>
      <c r="M27" s="457"/>
      <c r="N27" s="457"/>
      <c r="O27" s="457"/>
      <c r="P27" s="457"/>
      <c r="Q27" s="457"/>
      <c r="R27" s="457"/>
      <c r="S27" s="457"/>
      <c r="T27" s="457"/>
      <c r="U27" s="457"/>
      <c r="V27" s="457"/>
    </row>
    <row r="28" spans="1:54" s="462" customFormat="1" x14ac:dyDescent="0.2">
      <c r="A28" s="96" t="s">
        <v>626</v>
      </c>
      <c r="B28" s="214"/>
      <c r="C28" s="477"/>
      <c r="D28" s="478"/>
      <c r="E28" s="478"/>
      <c r="F28" s="479"/>
      <c r="G28" s="479"/>
      <c r="H28" s="479"/>
      <c r="I28" s="480"/>
      <c r="J28" s="481"/>
      <c r="K28" s="482"/>
      <c r="L28" s="457"/>
      <c r="M28" s="457"/>
      <c r="N28" s="457"/>
      <c r="O28" s="457"/>
      <c r="P28" s="457"/>
      <c r="Q28" s="457"/>
      <c r="R28" s="457"/>
    </row>
    <row r="29" spans="1:54" s="462" customFormat="1" ht="16.5" thickBot="1" x14ac:dyDescent="0.25">
      <c r="A29" s="598" t="s">
        <v>172</v>
      </c>
      <c r="B29" s="483"/>
      <c r="C29" s="484"/>
      <c r="D29" s="485"/>
      <c r="E29" s="485"/>
      <c r="F29" s="486"/>
      <c r="G29" s="486"/>
      <c r="H29" s="486"/>
      <c r="I29" s="487"/>
      <c r="J29" s="488"/>
      <c r="K29" s="489"/>
      <c r="L29" s="457"/>
      <c r="M29" s="457"/>
      <c r="N29" s="457"/>
      <c r="O29" s="457"/>
      <c r="P29" s="457"/>
      <c r="Q29" s="457"/>
      <c r="R29" s="457"/>
      <c r="S29" s="118"/>
      <c r="T29" s="118"/>
      <c r="U29" s="118"/>
      <c r="V29" s="457"/>
      <c r="W29" s="457"/>
      <c r="X29" s="457"/>
    </row>
    <row r="30" spans="1:54" s="491" customFormat="1" ht="32.25" customHeight="1" x14ac:dyDescent="0.2">
      <c r="A30" s="875" t="s">
        <v>627</v>
      </c>
      <c r="B30" s="868" t="s">
        <v>628</v>
      </c>
      <c r="C30" s="868" t="s">
        <v>11</v>
      </c>
      <c r="D30" s="868" t="s">
        <v>12</v>
      </c>
      <c r="E30" s="868" t="s">
        <v>13</v>
      </c>
      <c r="F30" s="868" t="s">
        <v>14</v>
      </c>
      <c r="G30" s="868" t="s">
        <v>15</v>
      </c>
      <c r="H30" s="868" t="s">
        <v>16</v>
      </c>
      <c r="I30" s="868" t="s">
        <v>17</v>
      </c>
      <c r="J30" s="868" t="s">
        <v>18</v>
      </c>
      <c r="K30" s="868" t="s">
        <v>19</v>
      </c>
      <c r="L30" s="868" t="s">
        <v>20</v>
      </c>
      <c r="M30" s="490"/>
      <c r="N30" s="490"/>
      <c r="O30" s="490"/>
      <c r="P30" s="490"/>
      <c r="Q30" s="490"/>
      <c r="R30" s="490"/>
      <c r="S30" s="490"/>
      <c r="T30" s="490"/>
      <c r="U30" s="490"/>
      <c r="V30" s="490"/>
      <c r="W30" s="490"/>
      <c r="X30" s="868" t="s">
        <v>22</v>
      </c>
      <c r="Y30" s="868" t="s">
        <v>23</v>
      </c>
      <c r="Z30" s="868" t="s">
        <v>24</v>
      </c>
      <c r="AA30" s="922" t="s">
        <v>352</v>
      </c>
    </row>
    <row r="31" spans="1:54" s="491" customFormat="1" ht="16.5" thickBot="1" x14ac:dyDescent="0.25">
      <c r="A31" s="876"/>
      <c r="B31" s="869"/>
      <c r="C31" s="869"/>
      <c r="D31" s="869"/>
      <c r="E31" s="869"/>
      <c r="F31" s="869"/>
      <c r="G31" s="872"/>
      <c r="H31" s="869"/>
      <c r="I31" s="869"/>
      <c r="J31" s="869"/>
      <c r="K31" s="869"/>
      <c r="L31" s="869"/>
      <c r="M31" s="492"/>
      <c r="N31" s="492"/>
      <c r="O31" s="492"/>
      <c r="P31" s="492"/>
      <c r="Q31" s="492"/>
      <c r="R31" s="492"/>
      <c r="S31" s="492"/>
      <c r="T31" s="492"/>
      <c r="U31" s="492"/>
      <c r="V31" s="492"/>
      <c r="W31" s="492"/>
      <c r="X31" s="869"/>
      <c r="Y31" s="869"/>
      <c r="Z31" s="869"/>
      <c r="AA31" s="923"/>
    </row>
    <row r="32" spans="1:54" s="136" customFormat="1" x14ac:dyDescent="0.2">
      <c r="A32" s="493"/>
      <c r="B32" s="49"/>
      <c r="C32" s="225"/>
      <c r="D32" s="225"/>
      <c r="E32" s="225"/>
      <c r="F32" s="225"/>
      <c r="G32" s="120"/>
      <c r="H32" s="225"/>
      <c r="I32" s="263"/>
      <c r="J32" s="263"/>
      <c r="K32" s="263"/>
      <c r="L32" s="263"/>
      <c r="M32" s="120"/>
      <c r="N32" s="120"/>
      <c r="O32" s="120"/>
      <c r="P32" s="226"/>
      <c r="Q32" s="226"/>
      <c r="R32" s="226"/>
      <c r="S32" s="120"/>
      <c r="T32" s="120"/>
      <c r="U32" s="120"/>
      <c r="V32" s="120"/>
      <c r="W32" s="120"/>
      <c r="X32" s="227"/>
      <c r="Y32" s="227"/>
      <c r="Z32" s="120"/>
      <c r="AA32" s="121"/>
    </row>
    <row r="33" spans="1:29" s="136" customFormat="1" x14ac:dyDescent="0.2">
      <c r="A33" s="494"/>
      <c r="B33" s="123"/>
      <c r="C33" s="123"/>
      <c r="D33" s="123"/>
      <c r="E33" s="123"/>
      <c r="F33" s="123"/>
      <c r="G33" s="124"/>
      <c r="H33" s="123"/>
      <c r="I33" s="255"/>
      <c r="J33" s="255"/>
      <c r="K33" s="255"/>
      <c r="L33" s="255"/>
      <c r="M33" s="125"/>
      <c r="N33" s="124"/>
      <c r="O33" s="124"/>
      <c r="P33" s="125"/>
      <c r="Q33" s="125"/>
      <c r="R33" s="125"/>
      <c r="S33" s="124"/>
      <c r="T33" s="124"/>
      <c r="U33" s="124"/>
      <c r="V33" s="124"/>
      <c r="W33" s="124"/>
      <c r="X33" s="126"/>
      <c r="Y33" s="126"/>
      <c r="Z33" s="124"/>
      <c r="AA33" s="127"/>
    </row>
    <row r="34" spans="1:29" s="136" customFormat="1" x14ac:dyDescent="0.2">
      <c r="A34" s="494"/>
      <c r="B34" s="123"/>
      <c r="C34" s="123"/>
      <c r="D34" s="123"/>
      <c r="E34" s="123"/>
      <c r="F34" s="123"/>
      <c r="G34" s="124"/>
      <c r="H34" s="123"/>
      <c r="I34" s="255"/>
      <c r="J34" s="255"/>
      <c r="K34" s="255"/>
      <c r="L34" s="255"/>
      <c r="M34" s="125"/>
      <c r="N34" s="124"/>
      <c r="O34" s="124"/>
      <c r="P34" s="125"/>
      <c r="Q34" s="125"/>
      <c r="R34" s="125"/>
      <c r="S34" s="124"/>
      <c r="T34" s="124"/>
      <c r="U34" s="124"/>
      <c r="V34" s="124"/>
      <c r="W34" s="124"/>
      <c r="X34" s="126"/>
      <c r="Y34" s="126"/>
      <c r="Z34" s="124"/>
      <c r="AA34" s="127"/>
    </row>
    <row r="35" spans="1:29" s="136" customFormat="1" ht="16.5" thickBot="1" x14ac:dyDescent="0.25">
      <c r="A35" s="495"/>
      <c r="B35" s="128"/>
      <c r="C35" s="128"/>
      <c r="D35" s="128"/>
      <c r="E35" s="128"/>
      <c r="F35" s="128"/>
      <c r="G35" s="129"/>
      <c r="H35" s="128"/>
      <c r="I35" s="256"/>
      <c r="J35" s="256"/>
      <c r="K35" s="256"/>
      <c r="L35" s="256"/>
      <c r="M35" s="129"/>
      <c r="N35" s="129"/>
      <c r="O35" s="129"/>
      <c r="P35" s="130"/>
      <c r="Q35" s="130"/>
      <c r="R35" s="130"/>
      <c r="S35" s="129"/>
      <c r="T35" s="129"/>
      <c r="U35" s="129"/>
      <c r="V35" s="129"/>
      <c r="W35" s="129"/>
      <c r="X35" s="131"/>
      <c r="Y35" s="131"/>
      <c r="Z35" s="129"/>
      <c r="AA35" s="132"/>
    </row>
    <row r="36" spans="1:29" s="73" customFormat="1" x14ac:dyDescent="0.2">
      <c r="A36" s="133"/>
      <c r="B36" s="133"/>
      <c r="C36" s="133"/>
      <c r="D36" s="133"/>
      <c r="E36" s="133"/>
      <c r="F36" s="133"/>
      <c r="G36" s="118"/>
      <c r="H36" s="118"/>
      <c r="I36" s="118"/>
      <c r="J36" s="118"/>
      <c r="K36" s="118"/>
      <c r="L36" s="118"/>
      <c r="M36" s="134"/>
      <c r="N36" s="118"/>
      <c r="O36" s="159"/>
      <c r="P36" s="159"/>
      <c r="Q36" s="159"/>
      <c r="R36" s="159"/>
      <c r="S36" s="159"/>
      <c r="T36" s="159"/>
      <c r="U36" s="159"/>
      <c r="V36" s="159"/>
      <c r="W36" s="466"/>
    </row>
    <row r="37" spans="1:29" s="73" customFormat="1" ht="16.5" thickBot="1" x14ac:dyDescent="0.25">
      <c r="A37" s="133"/>
      <c r="B37" s="133"/>
      <c r="C37" s="133"/>
      <c r="D37" s="133"/>
      <c r="E37" s="133"/>
      <c r="F37" s="133"/>
      <c r="G37" s="118"/>
      <c r="H37" s="118"/>
      <c r="I37" s="118"/>
      <c r="J37" s="118"/>
      <c r="K37" s="118"/>
      <c r="N37" s="118"/>
      <c r="O37" s="159"/>
      <c r="P37" s="159"/>
      <c r="Q37" s="159"/>
      <c r="R37" s="159"/>
      <c r="S37" s="159"/>
      <c r="T37" s="159"/>
      <c r="U37" s="159"/>
      <c r="V37" s="159"/>
      <c r="W37" s="467"/>
    </row>
    <row r="38" spans="1:29" s="73" customFormat="1" ht="16.5" thickBot="1" x14ac:dyDescent="0.25">
      <c r="A38" s="496" t="s">
        <v>25</v>
      </c>
      <c r="B38" s="133"/>
      <c r="C38" s="133"/>
      <c r="D38" s="133"/>
      <c r="E38" s="133"/>
      <c r="F38" s="133"/>
      <c r="G38" s="118"/>
      <c r="H38" s="118"/>
      <c r="I38" s="118"/>
      <c r="J38" s="118"/>
      <c r="K38" s="118"/>
      <c r="M38" s="118"/>
      <c r="N38" s="118"/>
      <c r="O38" s="159"/>
      <c r="P38" s="136"/>
      <c r="Q38" s="136"/>
      <c r="R38" s="136"/>
      <c r="S38" s="466"/>
      <c r="T38" s="466"/>
      <c r="U38" s="466"/>
      <c r="V38" s="466"/>
      <c r="W38" s="159"/>
    </row>
    <row r="39" spans="1:29" s="73" customFormat="1" ht="15.75" customHeight="1" x14ac:dyDescent="0.2">
      <c r="A39" s="875" t="s">
        <v>627</v>
      </c>
      <c r="B39" s="868" t="s">
        <v>628</v>
      </c>
      <c r="C39" s="868" t="s">
        <v>11</v>
      </c>
      <c r="D39" s="868" t="s">
        <v>12</v>
      </c>
      <c r="E39" s="868" t="s">
        <v>13</v>
      </c>
      <c r="F39" s="868" t="s">
        <v>14</v>
      </c>
      <c r="G39" s="868" t="s">
        <v>15</v>
      </c>
      <c r="H39" s="868" t="s">
        <v>16</v>
      </c>
      <c r="I39" s="868" t="s">
        <v>26</v>
      </c>
      <c r="J39" s="868" t="s">
        <v>27</v>
      </c>
      <c r="K39" s="945" t="s">
        <v>295</v>
      </c>
      <c r="L39" s="594" t="s">
        <v>63</v>
      </c>
      <c r="M39" s="591" t="s">
        <v>64</v>
      </c>
      <c r="N39" s="589" t="s">
        <v>65</v>
      </c>
      <c r="O39" s="490"/>
      <c r="P39" s="490"/>
      <c r="Q39" s="490"/>
      <c r="R39" s="490"/>
      <c r="S39" s="490"/>
      <c r="T39" s="490"/>
      <c r="U39" s="490"/>
      <c r="V39" s="490"/>
      <c r="W39" s="490"/>
      <c r="X39" s="868" t="s">
        <v>22</v>
      </c>
      <c r="Y39" s="868" t="s">
        <v>23</v>
      </c>
      <c r="Z39" s="868" t="s">
        <v>24</v>
      </c>
      <c r="AA39" s="922" t="s">
        <v>352</v>
      </c>
    </row>
    <row r="40" spans="1:29" s="73" customFormat="1" ht="31.7" customHeight="1" thickBot="1" x14ac:dyDescent="0.25">
      <c r="A40" s="876"/>
      <c r="B40" s="869"/>
      <c r="C40" s="869"/>
      <c r="D40" s="869"/>
      <c r="E40" s="869"/>
      <c r="F40" s="869"/>
      <c r="G40" s="872"/>
      <c r="H40" s="869"/>
      <c r="I40" s="869"/>
      <c r="J40" s="869"/>
      <c r="K40" s="946"/>
      <c r="L40" s="595" t="s">
        <v>66</v>
      </c>
      <c r="M40" s="592" t="s">
        <v>67</v>
      </c>
      <c r="N40" s="590" t="s">
        <v>68</v>
      </c>
      <c r="O40" s="503"/>
      <c r="P40" s="492"/>
      <c r="Q40" s="492"/>
      <c r="R40" s="492"/>
      <c r="S40" s="492"/>
      <c r="T40" s="492"/>
      <c r="U40" s="492"/>
      <c r="V40" s="492"/>
      <c r="W40" s="492"/>
      <c r="X40" s="869"/>
      <c r="Y40" s="869"/>
      <c r="Z40" s="869"/>
      <c r="AA40" s="923"/>
    </row>
    <row r="41" spans="1:29" s="136" customFormat="1" x14ac:dyDescent="0.2">
      <c r="A41" s="493"/>
      <c r="B41" s="225"/>
      <c r="C41" s="225"/>
      <c r="D41" s="225"/>
      <c r="E41" s="225"/>
      <c r="F41" s="225"/>
      <c r="G41" s="120"/>
      <c r="H41" s="225"/>
      <c r="I41" s="263"/>
      <c r="J41" s="263"/>
      <c r="K41" s="265"/>
      <c r="L41" s="268"/>
      <c r="M41" s="120"/>
      <c r="N41" s="121"/>
      <c r="O41" s="269"/>
      <c r="P41" s="226"/>
      <c r="Q41" s="226"/>
      <c r="R41" s="226"/>
      <c r="S41" s="120"/>
      <c r="T41" s="120"/>
      <c r="U41" s="120"/>
      <c r="V41" s="120"/>
      <c r="W41" s="120"/>
      <c r="X41" s="227"/>
      <c r="Y41" s="227"/>
      <c r="Z41" s="120"/>
      <c r="AA41" s="121"/>
    </row>
    <row r="42" spans="1:29" s="136" customFormat="1" x14ac:dyDescent="0.2">
      <c r="A42" s="494"/>
      <c r="B42" s="123"/>
      <c r="C42" s="123"/>
      <c r="D42" s="123"/>
      <c r="E42" s="123"/>
      <c r="F42" s="123"/>
      <c r="G42" s="124"/>
      <c r="H42" s="123"/>
      <c r="I42" s="255"/>
      <c r="J42" s="255"/>
      <c r="K42" s="266"/>
      <c r="L42" s="259"/>
      <c r="M42" s="124"/>
      <c r="N42" s="127"/>
      <c r="O42" s="248"/>
      <c r="P42" s="125"/>
      <c r="Q42" s="125"/>
      <c r="R42" s="125"/>
      <c r="S42" s="124"/>
      <c r="T42" s="124"/>
      <c r="U42" s="124"/>
      <c r="V42" s="124"/>
      <c r="W42" s="124"/>
      <c r="X42" s="126"/>
      <c r="Y42" s="126"/>
      <c r="Z42" s="124"/>
      <c r="AA42" s="127"/>
    </row>
    <row r="43" spans="1:29" s="136" customFormat="1" x14ac:dyDescent="0.2">
      <c r="A43" s="494"/>
      <c r="B43" s="123"/>
      <c r="C43" s="123"/>
      <c r="D43" s="123"/>
      <c r="E43" s="123"/>
      <c r="F43" s="123"/>
      <c r="G43" s="124"/>
      <c r="H43" s="123"/>
      <c r="I43" s="255"/>
      <c r="J43" s="255"/>
      <c r="K43" s="266"/>
      <c r="L43" s="259"/>
      <c r="M43" s="124"/>
      <c r="N43" s="127"/>
      <c r="O43" s="248"/>
      <c r="P43" s="125"/>
      <c r="Q43" s="125"/>
      <c r="R43" s="125"/>
      <c r="S43" s="124"/>
      <c r="T43" s="124"/>
      <c r="U43" s="124"/>
      <c r="V43" s="124"/>
      <c r="W43" s="124"/>
      <c r="X43" s="126"/>
      <c r="Y43" s="126"/>
      <c r="Z43" s="124"/>
      <c r="AA43" s="127"/>
    </row>
    <row r="44" spans="1:29" s="136" customFormat="1" ht="16.5" thickBot="1" x14ac:dyDescent="0.25">
      <c r="A44" s="495"/>
      <c r="B44" s="128"/>
      <c r="C44" s="128"/>
      <c r="D44" s="128"/>
      <c r="E44" s="128"/>
      <c r="F44" s="128"/>
      <c r="G44" s="129"/>
      <c r="H44" s="128"/>
      <c r="I44" s="256"/>
      <c r="J44" s="256"/>
      <c r="K44" s="267"/>
      <c r="L44" s="137"/>
      <c r="M44" s="129"/>
      <c r="N44" s="132"/>
      <c r="O44" s="137"/>
      <c r="P44" s="129"/>
      <c r="Q44" s="129"/>
      <c r="R44" s="129"/>
      <c r="S44" s="129"/>
      <c r="T44" s="129"/>
      <c r="U44" s="129"/>
      <c r="V44" s="129"/>
      <c r="W44" s="129"/>
      <c r="X44" s="131"/>
      <c r="Y44" s="131"/>
      <c r="Z44" s="129"/>
      <c r="AA44" s="132"/>
    </row>
    <row r="45" spans="1:29" s="73" customFormat="1" x14ac:dyDescent="0.2">
      <c r="A45" s="133"/>
      <c r="B45" s="133"/>
      <c r="C45" s="133"/>
      <c r="D45" s="133"/>
      <c r="E45" s="133"/>
      <c r="F45" s="133"/>
      <c r="G45" s="118"/>
      <c r="H45" s="118"/>
      <c r="I45" s="118"/>
      <c r="J45" s="118"/>
      <c r="K45" s="118"/>
      <c r="L45" s="118"/>
      <c r="M45" s="118"/>
      <c r="N45" s="118"/>
      <c r="O45" s="160"/>
      <c r="P45" s="159"/>
      <c r="Q45" s="159"/>
      <c r="R45" s="159"/>
      <c r="S45" s="136"/>
      <c r="T45" s="136"/>
      <c r="U45" s="136"/>
      <c r="V45" s="136"/>
      <c r="W45" s="136"/>
      <c r="X45" s="118"/>
    </row>
    <row r="46" spans="1:29" s="73" customFormat="1" ht="16.5" thickBot="1" x14ac:dyDescent="0.25">
      <c r="A46" s="133"/>
      <c r="B46" s="133"/>
      <c r="C46" s="133"/>
      <c r="D46" s="133"/>
      <c r="E46" s="133"/>
      <c r="F46" s="133"/>
      <c r="G46" s="118"/>
      <c r="H46" s="118"/>
      <c r="I46" s="118"/>
      <c r="J46" s="118"/>
      <c r="K46" s="118"/>
      <c r="L46" s="118"/>
      <c r="M46" s="118"/>
      <c r="N46" s="118"/>
      <c r="O46" s="160"/>
      <c r="P46" s="159"/>
      <c r="Q46" s="159"/>
      <c r="R46" s="159"/>
      <c r="S46" s="136"/>
      <c r="T46" s="136"/>
      <c r="U46" s="136"/>
      <c r="V46" s="136"/>
      <c r="W46" s="136"/>
      <c r="X46" s="118"/>
    </row>
    <row r="47" spans="1:29" s="73" customFormat="1" ht="16.5" thickBot="1" x14ac:dyDescent="0.25">
      <c r="A47" s="822" t="s">
        <v>307</v>
      </c>
      <c r="B47" s="873"/>
      <c r="C47" s="873"/>
      <c r="D47" s="874"/>
      <c r="E47" s="133"/>
      <c r="F47" s="133"/>
      <c r="G47" s="118"/>
      <c r="H47" s="118"/>
      <c r="I47" s="118"/>
      <c r="J47" s="118"/>
      <c r="K47" s="118"/>
      <c r="L47" s="118"/>
      <c r="M47" s="118"/>
      <c r="N47" s="118"/>
      <c r="O47" s="136"/>
      <c r="P47" s="159"/>
      <c r="Q47" s="159"/>
      <c r="R47" s="159"/>
      <c r="S47" s="466"/>
      <c r="T47" s="466"/>
      <c r="U47" s="466"/>
      <c r="V47" s="466"/>
      <c r="W47" s="159"/>
      <c r="X47" s="118"/>
      <c r="Y47" s="118"/>
    </row>
    <row r="48" spans="1:29" s="73" customFormat="1" ht="15.75" customHeight="1" x14ac:dyDescent="0.2">
      <c r="A48" s="875" t="s">
        <v>627</v>
      </c>
      <c r="B48" s="868" t="s">
        <v>628</v>
      </c>
      <c r="C48" s="868" t="s">
        <v>11</v>
      </c>
      <c r="D48" s="868" t="s">
        <v>12</v>
      </c>
      <c r="E48" s="868" t="s">
        <v>13</v>
      </c>
      <c r="F48" s="868" t="s">
        <v>14</v>
      </c>
      <c r="G48" s="868" t="s">
        <v>15</v>
      </c>
      <c r="H48" s="868" t="s">
        <v>16</v>
      </c>
      <c r="I48" s="868">
        <v>20</v>
      </c>
      <c r="J48" s="868">
        <v>40</v>
      </c>
      <c r="K48" s="868" t="s">
        <v>19</v>
      </c>
      <c r="L48" s="922" t="s">
        <v>20</v>
      </c>
      <c r="M48" s="943" t="s">
        <v>28</v>
      </c>
      <c r="N48" s="504" t="s">
        <v>69</v>
      </c>
      <c r="O48" s="591" t="s">
        <v>64</v>
      </c>
      <c r="P48" s="589" t="s">
        <v>65</v>
      </c>
      <c r="Q48" s="490"/>
      <c r="R48" s="490"/>
      <c r="S48" s="490"/>
      <c r="T48" s="490"/>
      <c r="U48" s="490"/>
      <c r="V48" s="490"/>
      <c r="W48" s="490"/>
      <c r="X48" s="490"/>
      <c r="Y48" s="490"/>
      <c r="Z48" s="868" t="s">
        <v>22</v>
      </c>
      <c r="AA48" s="868" t="s">
        <v>23</v>
      </c>
      <c r="AB48" s="868" t="s">
        <v>24</v>
      </c>
      <c r="AC48" s="922" t="s">
        <v>352</v>
      </c>
    </row>
    <row r="49" spans="1:29" s="73" customFormat="1" ht="48" thickBot="1" x14ac:dyDescent="0.25">
      <c r="A49" s="876"/>
      <c r="B49" s="869"/>
      <c r="C49" s="869"/>
      <c r="D49" s="869"/>
      <c r="E49" s="869"/>
      <c r="F49" s="869"/>
      <c r="G49" s="872"/>
      <c r="H49" s="869"/>
      <c r="I49" s="869"/>
      <c r="J49" s="869"/>
      <c r="K49" s="869"/>
      <c r="L49" s="923"/>
      <c r="M49" s="944"/>
      <c r="N49" s="505" t="s">
        <v>70</v>
      </c>
      <c r="O49" s="592" t="s">
        <v>67</v>
      </c>
      <c r="P49" s="590" t="s">
        <v>68</v>
      </c>
      <c r="Q49" s="503"/>
      <c r="R49" s="492"/>
      <c r="S49" s="492"/>
      <c r="T49" s="492"/>
      <c r="U49" s="492"/>
      <c r="V49" s="492"/>
      <c r="W49" s="492"/>
      <c r="X49" s="492"/>
      <c r="Y49" s="492"/>
      <c r="Z49" s="924"/>
      <c r="AA49" s="924"/>
      <c r="AB49" s="924"/>
      <c r="AC49" s="923"/>
    </row>
    <row r="50" spans="1:29" s="136" customFormat="1" x14ac:dyDescent="0.2">
      <c r="A50" s="493"/>
      <c r="B50" s="225"/>
      <c r="C50" s="225"/>
      <c r="D50" s="225"/>
      <c r="E50" s="225"/>
      <c r="F50" s="225"/>
      <c r="G50" s="120"/>
      <c r="H50" s="225"/>
      <c r="I50" s="263"/>
      <c r="J50" s="263"/>
      <c r="K50" s="263"/>
      <c r="L50" s="265"/>
      <c r="M50" s="270"/>
      <c r="N50" s="268"/>
      <c r="O50" s="120"/>
      <c r="P50" s="121"/>
      <c r="Q50" s="269"/>
      <c r="R50" s="226"/>
      <c r="S50" s="226"/>
      <c r="T50" s="226"/>
      <c r="U50" s="226"/>
      <c r="V50" s="226"/>
      <c r="W50" s="120"/>
      <c r="X50" s="120"/>
      <c r="Y50" s="120"/>
      <c r="Z50" s="227"/>
      <c r="AA50" s="227"/>
      <c r="AB50" s="120"/>
      <c r="AC50" s="121"/>
    </row>
    <row r="51" spans="1:29" s="136" customFormat="1" x14ac:dyDescent="0.2">
      <c r="A51" s="494"/>
      <c r="B51" s="123"/>
      <c r="C51" s="123"/>
      <c r="D51" s="123"/>
      <c r="E51" s="123"/>
      <c r="F51" s="123"/>
      <c r="G51" s="124"/>
      <c r="H51" s="123"/>
      <c r="I51" s="255"/>
      <c r="J51" s="255"/>
      <c r="K51" s="255"/>
      <c r="L51" s="266"/>
      <c r="M51" s="271"/>
      <c r="N51" s="259"/>
      <c r="O51" s="124"/>
      <c r="P51" s="127"/>
      <c r="Q51" s="248"/>
      <c r="R51" s="125"/>
      <c r="S51" s="125"/>
      <c r="T51" s="125"/>
      <c r="U51" s="125"/>
      <c r="V51" s="125"/>
      <c r="W51" s="124"/>
      <c r="X51" s="124"/>
      <c r="Y51" s="124"/>
      <c r="Z51" s="126"/>
      <c r="AA51" s="126"/>
      <c r="AB51" s="124"/>
      <c r="AC51" s="127"/>
    </row>
    <row r="52" spans="1:29" s="136" customFormat="1" x14ac:dyDescent="0.2">
      <c r="A52" s="494"/>
      <c r="B52" s="123"/>
      <c r="C52" s="123"/>
      <c r="D52" s="123"/>
      <c r="E52" s="123"/>
      <c r="F52" s="123"/>
      <c r="G52" s="124"/>
      <c r="H52" s="123"/>
      <c r="I52" s="255"/>
      <c r="J52" s="255"/>
      <c r="K52" s="255"/>
      <c r="L52" s="266"/>
      <c r="M52" s="271"/>
      <c r="N52" s="259"/>
      <c r="O52" s="124"/>
      <c r="P52" s="127"/>
      <c r="Q52" s="248"/>
      <c r="R52" s="125"/>
      <c r="S52" s="125"/>
      <c r="T52" s="125"/>
      <c r="U52" s="125"/>
      <c r="V52" s="125"/>
      <c r="W52" s="124"/>
      <c r="X52" s="124"/>
      <c r="Y52" s="124"/>
      <c r="Z52" s="126"/>
      <c r="AA52" s="126"/>
      <c r="AB52" s="124"/>
      <c r="AC52" s="127"/>
    </row>
    <row r="53" spans="1:29" s="136" customFormat="1" ht="16.5" thickBot="1" x14ac:dyDescent="0.25">
      <c r="A53" s="495"/>
      <c r="B53" s="128"/>
      <c r="C53" s="128"/>
      <c r="D53" s="128"/>
      <c r="E53" s="128"/>
      <c r="F53" s="128"/>
      <c r="G53" s="129"/>
      <c r="H53" s="128"/>
      <c r="I53" s="256"/>
      <c r="J53" s="256"/>
      <c r="K53" s="256"/>
      <c r="L53" s="267"/>
      <c r="M53" s="161"/>
      <c r="N53" s="137"/>
      <c r="O53" s="129"/>
      <c r="P53" s="132"/>
      <c r="Q53" s="137"/>
      <c r="R53" s="129"/>
      <c r="S53" s="129"/>
      <c r="T53" s="129"/>
      <c r="U53" s="129"/>
      <c r="V53" s="129"/>
      <c r="W53" s="129"/>
      <c r="X53" s="129"/>
      <c r="Y53" s="129"/>
      <c r="Z53" s="131"/>
      <c r="AA53" s="131"/>
      <c r="AB53" s="129"/>
      <c r="AC53" s="132"/>
    </row>
    <row r="54" spans="1:29" s="73" customFormat="1" x14ac:dyDescent="0.2">
      <c r="A54" s="133"/>
      <c r="B54" s="133"/>
      <c r="C54" s="133"/>
      <c r="D54" s="133"/>
      <c r="E54" s="133"/>
      <c r="F54" s="133"/>
      <c r="G54" s="118"/>
      <c r="H54" s="118"/>
      <c r="I54" s="118"/>
      <c r="J54" s="118"/>
      <c r="K54" s="118"/>
      <c r="M54" s="118"/>
      <c r="V54" s="118"/>
      <c r="W54" s="118"/>
    </row>
    <row r="55" spans="1:29" s="73" customFormat="1" x14ac:dyDescent="0.2">
      <c r="A55" s="133"/>
      <c r="B55" s="133"/>
      <c r="C55" s="133"/>
      <c r="D55" s="133"/>
      <c r="E55" s="133"/>
      <c r="F55" s="118"/>
      <c r="G55" s="118"/>
      <c r="H55" s="118"/>
      <c r="I55" s="118"/>
      <c r="J55" s="118"/>
      <c r="K55" s="134"/>
      <c r="L55" s="118"/>
      <c r="M55" s="118"/>
      <c r="N55" s="118"/>
      <c r="S55" s="118"/>
      <c r="T55" s="118"/>
      <c r="U55" s="118"/>
    </row>
    <row r="56" spans="1:29" s="456" customFormat="1" ht="16.5" thickBot="1" x14ac:dyDescent="0.25">
      <c r="A56" s="133"/>
      <c r="B56" s="133"/>
      <c r="C56" s="133"/>
      <c r="D56" s="133"/>
      <c r="E56" s="118"/>
      <c r="F56" s="118"/>
      <c r="G56" s="118"/>
      <c r="H56" s="118"/>
      <c r="I56" s="118"/>
      <c r="J56" s="134"/>
      <c r="K56" s="134"/>
      <c r="L56" s="134"/>
      <c r="M56" s="134"/>
      <c r="R56" s="134"/>
    </row>
    <row r="57" spans="1:29" s="456" customFormat="1" ht="19.5" thickBot="1" x14ac:dyDescent="0.25">
      <c r="A57" s="938" t="s">
        <v>29</v>
      </c>
      <c r="B57" s="939"/>
      <c r="C57" s="940"/>
      <c r="D57" s="133"/>
      <c r="E57" s="133"/>
      <c r="F57" s="118"/>
      <c r="G57" s="118"/>
      <c r="H57" s="118"/>
      <c r="I57" s="118"/>
      <c r="J57" s="118"/>
      <c r="K57" s="134"/>
      <c r="L57" s="134"/>
      <c r="M57" s="134"/>
      <c r="N57" s="134"/>
      <c r="S57" s="134"/>
      <c r="T57" s="134"/>
      <c r="U57" s="134"/>
    </row>
    <row r="58" spans="1:29" s="456" customFormat="1" ht="16.5" thickBot="1" x14ac:dyDescent="0.25">
      <c r="A58" s="800" t="s">
        <v>625</v>
      </c>
      <c r="B58" s="801"/>
      <c r="C58" s="802"/>
      <c r="D58" s="133"/>
      <c r="E58" s="133"/>
      <c r="F58" s="133"/>
      <c r="G58" s="118"/>
      <c r="H58" s="118"/>
      <c r="I58" s="118"/>
      <c r="J58" s="118"/>
      <c r="K58" s="118"/>
      <c r="L58" s="134"/>
      <c r="N58" s="134"/>
      <c r="O58" s="134"/>
      <c r="V58" s="134"/>
    </row>
    <row r="59" spans="1:29" s="456" customFormat="1" x14ac:dyDescent="0.2">
      <c r="A59" s="506" t="s">
        <v>30</v>
      </c>
      <c r="B59" s="507"/>
      <c r="C59" s="508" t="s">
        <v>155</v>
      </c>
      <c r="D59" s="509"/>
      <c r="E59" s="509"/>
      <c r="F59" s="510"/>
      <c r="G59" s="510"/>
      <c r="H59" s="509"/>
      <c r="I59" s="510"/>
      <c r="J59" s="509"/>
      <c r="K59" s="143"/>
      <c r="L59" s="144"/>
      <c r="N59" s="134"/>
      <c r="O59" s="134"/>
      <c r="P59" s="134"/>
    </row>
    <row r="60" spans="1:29" s="456" customFormat="1" x14ac:dyDescent="0.2">
      <c r="A60" s="96" t="s">
        <v>626</v>
      </c>
      <c r="B60" s="511"/>
      <c r="C60" s="511"/>
      <c r="D60" s="512"/>
      <c r="E60" s="512"/>
      <c r="F60" s="215"/>
      <c r="G60" s="215"/>
      <c r="H60" s="512"/>
      <c r="I60" s="215"/>
      <c r="J60" s="512"/>
      <c r="K60" s="149"/>
      <c r="L60" s="150"/>
      <c r="N60" s="134"/>
      <c r="O60" s="134"/>
      <c r="P60" s="134"/>
    </row>
    <row r="61" spans="1:29" s="456" customFormat="1" x14ac:dyDescent="0.2">
      <c r="A61" s="96" t="s">
        <v>173</v>
      </c>
      <c r="B61" s="511"/>
      <c r="C61" s="511"/>
      <c r="D61" s="512"/>
      <c r="E61" s="512"/>
      <c r="F61" s="215"/>
      <c r="G61" s="215"/>
      <c r="H61" s="512"/>
      <c r="I61" s="215"/>
      <c r="J61" s="512"/>
      <c r="K61" s="149"/>
      <c r="L61" s="150"/>
      <c r="N61" s="134"/>
      <c r="O61" s="134"/>
      <c r="P61" s="134"/>
    </row>
    <row r="62" spans="1:29" s="456" customFormat="1" x14ac:dyDescent="0.2">
      <c r="A62" s="96" t="s">
        <v>987</v>
      </c>
      <c r="B62" s="511"/>
      <c r="C62" s="511"/>
      <c r="D62" s="512"/>
      <c r="E62" s="512"/>
      <c r="F62" s="215"/>
      <c r="G62" s="215"/>
      <c r="H62" s="512"/>
      <c r="I62" s="215"/>
      <c r="J62" s="512"/>
      <c r="K62" s="149"/>
      <c r="L62" s="150"/>
      <c r="N62" s="134"/>
      <c r="O62" s="134"/>
      <c r="P62" s="134"/>
    </row>
    <row r="63" spans="1:29" s="456" customFormat="1" ht="16.5" thickBot="1" x14ac:dyDescent="0.25">
      <c r="A63" s="598" t="s">
        <v>988</v>
      </c>
      <c r="B63" s="513"/>
      <c r="C63" s="513"/>
      <c r="D63" s="514"/>
      <c r="E63" s="514"/>
      <c r="F63" s="515"/>
      <c r="G63" s="515"/>
      <c r="H63" s="514"/>
      <c r="I63" s="515"/>
      <c r="J63" s="514"/>
      <c r="K63" s="154"/>
      <c r="L63" s="155"/>
      <c r="N63" s="134"/>
      <c r="O63" s="134"/>
      <c r="P63" s="134"/>
    </row>
    <row r="64" spans="1:29" s="456" customFormat="1" ht="16.5" thickBot="1" x14ac:dyDescent="0.25">
      <c r="A64" s="516"/>
      <c r="B64" s="517"/>
      <c r="C64" s="134"/>
      <c r="D64" s="133"/>
      <c r="E64" s="133"/>
      <c r="F64" s="133"/>
      <c r="G64" s="133"/>
      <c r="H64" s="118"/>
      <c r="I64" s="118"/>
      <c r="J64" s="118"/>
      <c r="K64" s="118"/>
      <c r="L64" s="118"/>
      <c r="M64" s="134"/>
      <c r="O64" s="134"/>
      <c r="P64" s="134"/>
      <c r="Q64" s="118"/>
    </row>
    <row r="65" spans="1:24" s="14" customFormat="1" ht="48" thickBot="1" x14ac:dyDescent="0.25">
      <c r="A65" s="518" t="s">
        <v>31</v>
      </c>
      <c r="B65" s="932" t="s">
        <v>628</v>
      </c>
      <c r="C65" s="933"/>
      <c r="D65" s="934"/>
      <c r="E65" s="593" t="s">
        <v>11</v>
      </c>
      <c r="F65" s="593" t="s">
        <v>14</v>
      </c>
      <c r="G65" s="593" t="s">
        <v>287</v>
      </c>
      <c r="H65" s="593" t="s">
        <v>32</v>
      </c>
      <c r="I65" s="593" t="s">
        <v>16</v>
      </c>
      <c r="J65" s="593" t="s">
        <v>17</v>
      </c>
      <c r="K65" s="593" t="s">
        <v>18</v>
      </c>
      <c r="L65" s="593" t="s">
        <v>19</v>
      </c>
      <c r="M65" s="593" t="s">
        <v>20</v>
      </c>
      <c r="N65" s="520" t="s">
        <v>123</v>
      </c>
      <c r="O65" s="593" t="s">
        <v>96</v>
      </c>
      <c r="P65" s="521" t="s">
        <v>809</v>
      </c>
    </row>
    <row r="66" spans="1:24" s="303" customFormat="1" x14ac:dyDescent="0.2">
      <c r="A66" s="269"/>
      <c r="B66" s="925"/>
      <c r="C66" s="926"/>
      <c r="D66" s="926"/>
      <c r="E66" s="226"/>
      <c r="F66" s="226"/>
      <c r="G66" s="226"/>
      <c r="H66" s="226"/>
      <c r="I66" s="226"/>
      <c r="J66" s="273"/>
      <c r="K66" s="263"/>
      <c r="L66" s="263"/>
      <c r="M66" s="306"/>
      <c r="N66" s="49"/>
      <c r="O66" s="226"/>
      <c r="P66" s="274"/>
      <c r="Q66" s="159"/>
      <c r="R66" s="159"/>
      <c r="S66" s="159"/>
      <c r="T66" s="159"/>
      <c r="U66" s="159"/>
      <c r="V66" s="160"/>
      <c r="W66" s="160"/>
      <c r="X66" s="160"/>
    </row>
    <row r="67" spans="1:24" s="303" customFormat="1" x14ac:dyDescent="0.2">
      <c r="A67" s="248"/>
      <c r="B67" s="927"/>
      <c r="C67" s="928"/>
      <c r="D67" s="928"/>
      <c r="E67" s="125"/>
      <c r="F67" s="125"/>
      <c r="G67" s="125"/>
      <c r="H67" s="125"/>
      <c r="I67" s="125"/>
      <c r="J67" s="275"/>
      <c r="K67" s="255"/>
      <c r="L67" s="255"/>
      <c r="M67" s="307"/>
      <c r="N67" s="21"/>
      <c r="O67" s="125"/>
      <c r="P67" s="276"/>
      <c r="Q67" s="159"/>
      <c r="R67" s="159"/>
      <c r="S67" s="159"/>
      <c r="T67" s="159"/>
      <c r="U67" s="159"/>
      <c r="V67" s="160"/>
      <c r="W67" s="160"/>
      <c r="X67" s="160"/>
    </row>
    <row r="68" spans="1:24" s="303" customFormat="1" x14ac:dyDescent="0.2">
      <c r="A68" s="248"/>
      <c r="B68" s="927"/>
      <c r="C68" s="928"/>
      <c r="D68" s="928"/>
      <c r="E68" s="125"/>
      <c r="F68" s="125"/>
      <c r="G68" s="125"/>
      <c r="H68" s="125"/>
      <c r="I68" s="125"/>
      <c r="J68" s="275"/>
      <c r="K68" s="255"/>
      <c r="L68" s="255"/>
      <c r="M68" s="307"/>
      <c r="N68" s="21"/>
      <c r="O68" s="125"/>
      <c r="P68" s="276"/>
      <c r="Q68" s="159"/>
      <c r="R68" s="159"/>
      <c r="S68" s="159"/>
      <c r="T68" s="159"/>
      <c r="U68" s="159"/>
      <c r="V68" s="160"/>
      <c r="W68" s="160"/>
      <c r="X68" s="160"/>
    </row>
    <row r="69" spans="1:24" s="303" customFormat="1" ht="16.5" thickBot="1" x14ac:dyDescent="0.25">
      <c r="A69" s="304"/>
      <c r="B69" s="912"/>
      <c r="C69" s="913"/>
      <c r="D69" s="913"/>
      <c r="E69" s="130"/>
      <c r="F69" s="130"/>
      <c r="G69" s="130"/>
      <c r="H69" s="130"/>
      <c r="I69" s="130"/>
      <c r="J69" s="258"/>
      <c r="K69" s="256"/>
      <c r="L69" s="256"/>
      <c r="M69" s="305"/>
      <c r="N69" s="29"/>
      <c r="O69" s="129"/>
      <c r="P69" s="132"/>
      <c r="Q69" s="159"/>
      <c r="R69" s="159"/>
      <c r="S69" s="159"/>
      <c r="T69" s="159"/>
      <c r="U69" s="159"/>
      <c r="V69" s="160"/>
      <c r="W69" s="160"/>
      <c r="X69" s="160"/>
    </row>
    <row r="70" spans="1:24" s="456" customFormat="1" x14ac:dyDescent="0.2">
      <c r="A70" s="134"/>
      <c r="B70" s="134"/>
      <c r="C70" s="522"/>
      <c r="D70" s="522"/>
      <c r="E70" s="134"/>
      <c r="F70" s="134"/>
      <c r="G70" s="134"/>
      <c r="H70" s="134"/>
      <c r="I70" s="134"/>
      <c r="J70" s="134"/>
      <c r="K70" s="134"/>
      <c r="L70" s="134"/>
      <c r="M70" s="134"/>
      <c r="O70" s="118"/>
      <c r="P70" s="118"/>
      <c r="Q70" s="118"/>
      <c r="R70" s="118"/>
      <c r="S70" s="118"/>
      <c r="T70" s="118"/>
      <c r="U70" s="118"/>
      <c r="V70" s="134"/>
      <c r="W70" s="134"/>
      <c r="X70" s="134"/>
    </row>
    <row r="71" spans="1:24" s="456" customFormat="1" ht="16.5" thickBot="1" x14ac:dyDescent="0.25">
      <c r="A71" s="133"/>
      <c r="B71" s="133"/>
      <c r="C71" s="133"/>
      <c r="D71" s="133"/>
      <c r="E71" s="133"/>
      <c r="F71" s="133"/>
      <c r="G71" s="133"/>
      <c r="H71" s="133"/>
      <c r="I71" s="118"/>
      <c r="J71" s="118"/>
      <c r="K71" s="118"/>
      <c r="L71" s="118"/>
      <c r="M71" s="118"/>
      <c r="N71" s="134"/>
      <c r="O71" s="134"/>
      <c r="P71" s="134"/>
      <c r="Q71" s="134"/>
      <c r="R71" s="134"/>
      <c r="S71" s="134"/>
      <c r="T71" s="134"/>
      <c r="U71" s="134"/>
      <c r="V71" s="134"/>
      <c r="W71" s="118"/>
    </row>
    <row r="72" spans="1:24" s="456" customFormat="1" ht="19.5" thickBot="1" x14ac:dyDescent="0.25">
      <c r="A72" s="938" t="s">
        <v>34</v>
      </c>
      <c r="B72" s="939"/>
      <c r="C72" s="940"/>
      <c r="D72" s="523"/>
      <c r="E72" s="133"/>
      <c r="F72" s="133"/>
      <c r="G72" s="133"/>
      <c r="H72" s="133"/>
      <c r="I72" s="118"/>
      <c r="J72" s="118"/>
      <c r="K72" s="118"/>
      <c r="L72" s="118"/>
      <c r="M72" s="118"/>
      <c r="N72" s="134"/>
      <c r="O72" s="134"/>
      <c r="P72" s="134"/>
      <c r="Q72" s="134"/>
      <c r="R72" s="134"/>
      <c r="S72" s="134"/>
      <c r="T72" s="134"/>
      <c r="U72" s="134"/>
      <c r="V72" s="134"/>
      <c r="W72" s="118"/>
    </row>
    <row r="73" spans="1:24" s="456" customFormat="1" ht="16.5" thickBot="1" x14ac:dyDescent="0.25">
      <c r="A73" s="800" t="s">
        <v>625</v>
      </c>
      <c r="B73" s="801"/>
      <c r="C73" s="802"/>
      <c r="D73" s="200"/>
      <c r="E73" s="200"/>
      <c r="F73" s="200"/>
      <c r="G73" s="200"/>
      <c r="H73" s="194"/>
      <c r="I73" s="194"/>
      <c r="J73" s="200"/>
      <c r="K73" s="194"/>
      <c r="L73" s="200"/>
      <c r="M73" s="118"/>
      <c r="N73" s="134"/>
      <c r="O73" s="134"/>
      <c r="P73" s="134"/>
      <c r="Q73" s="134"/>
      <c r="R73" s="134"/>
      <c r="S73" s="134"/>
      <c r="T73" s="134"/>
      <c r="U73" s="134"/>
      <c r="V73" s="134"/>
      <c r="W73" s="118"/>
    </row>
    <row r="74" spans="1:24" s="456" customFormat="1" x14ac:dyDescent="0.2">
      <c r="A74" s="506" t="s">
        <v>30</v>
      </c>
      <c r="B74" s="470"/>
      <c r="C74" s="508" t="s">
        <v>155</v>
      </c>
      <c r="D74" s="508"/>
      <c r="E74" s="509"/>
      <c r="F74" s="509"/>
      <c r="G74" s="509"/>
      <c r="H74" s="510"/>
      <c r="I74" s="510"/>
      <c r="J74" s="509"/>
      <c r="K74" s="510"/>
      <c r="L74" s="524"/>
      <c r="M74" s="118"/>
      <c r="N74" s="134"/>
      <c r="O74" s="134"/>
      <c r="P74" s="134"/>
      <c r="Q74" s="134"/>
      <c r="R74" s="134"/>
      <c r="S74" s="134"/>
      <c r="T74" s="134"/>
      <c r="U74" s="134"/>
      <c r="V74" s="134"/>
      <c r="W74" s="118"/>
    </row>
    <row r="75" spans="1:24" s="456" customFormat="1" x14ac:dyDescent="0.2">
      <c r="A75" s="96" t="s">
        <v>35</v>
      </c>
      <c r="B75" s="512"/>
      <c r="C75" s="512"/>
      <c r="D75" s="512"/>
      <c r="E75" s="512"/>
      <c r="F75" s="512"/>
      <c r="G75" s="512"/>
      <c r="H75" s="215"/>
      <c r="I75" s="215"/>
      <c r="J75" s="512"/>
      <c r="K75" s="215"/>
      <c r="L75" s="525"/>
      <c r="M75" s="118"/>
      <c r="N75" s="134"/>
      <c r="O75" s="134"/>
      <c r="P75" s="134"/>
      <c r="Q75" s="134"/>
      <c r="R75" s="134"/>
      <c r="S75" s="134"/>
      <c r="T75" s="134"/>
      <c r="U75" s="134"/>
      <c r="V75" s="134"/>
      <c r="W75" s="118"/>
    </row>
    <row r="76" spans="1:24" s="456" customFormat="1" x14ac:dyDescent="0.2">
      <c r="A76" s="96" t="s">
        <v>174</v>
      </c>
      <c r="B76" s="512"/>
      <c r="C76" s="512"/>
      <c r="D76" s="512"/>
      <c r="E76" s="512"/>
      <c r="F76" s="512"/>
      <c r="G76" s="512"/>
      <c r="H76" s="215"/>
      <c r="I76" s="215"/>
      <c r="J76" s="512"/>
      <c r="K76" s="215"/>
      <c r="L76" s="525"/>
      <c r="M76" s="118"/>
      <c r="N76" s="134"/>
      <c r="O76" s="134"/>
      <c r="P76" s="134"/>
      <c r="Q76" s="134"/>
      <c r="R76" s="134"/>
      <c r="S76" s="134"/>
      <c r="T76" s="134"/>
      <c r="U76" s="134"/>
      <c r="V76" s="134"/>
      <c r="W76" s="118"/>
    </row>
    <row r="77" spans="1:24" s="456" customFormat="1" x14ac:dyDescent="0.2">
      <c r="A77" s="96" t="s">
        <v>987</v>
      </c>
      <c r="B77" s="512"/>
      <c r="C77" s="512"/>
      <c r="D77" s="512"/>
      <c r="E77" s="512"/>
      <c r="F77" s="512"/>
      <c r="G77" s="512"/>
      <c r="H77" s="215"/>
      <c r="I77" s="215"/>
      <c r="J77" s="512"/>
      <c r="K77" s="215"/>
      <c r="L77" s="525"/>
      <c r="M77" s="118"/>
      <c r="N77" s="134"/>
      <c r="O77" s="134"/>
      <c r="P77" s="134"/>
      <c r="Q77" s="134"/>
      <c r="R77" s="134"/>
      <c r="S77" s="134"/>
      <c r="T77" s="134"/>
      <c r="U77" s="134"/>
      <c r="V77" s="134"/>
      <c r="W77" s="118"/>
    </row>
    <row r="78" spans="1:24" s="456" customFormat="1" ht="16.5" thickBot="1" x14ac:dyDescent="0.25">
      <c r="A78" s="598" t="s">
        <v>988</v>
      </c>
      <c r="B78" s="514"/>
      <c r="C78" s="514"/>
      <c r="D78" s="514"/>
      <c r="E78" s="514"/>
      <c r="F78" s="514"/>
      <c r="G78" s="514"/>
      <c r="H78" s="515"/>
      <c r="I78" s="515"/>
      <c r="J78" s="514"/>
      <c r="K78" s="515"/>
      <c r="L78" s="526"/>
      <c r="M78" s="118"/>
      <c r="N78" s="134"/>
      <c r="O78" s="134"/>
      <c r="P78" s="134"/>
      <c r="Q78" s="134"/>
      <c r="R78" s="134"/>
      <c r="S78" s="134"/>
      <c r="T78" s="134"/>
      <c r="U78" s="134"/>
      <c r="V78" s="134"/>
      <c r="W78" s="118"/>
    </row>
    <row r="79" spans="1:24" s="456" customFormat="1" ht="16.5" thickBot="1" x14ac:dyDescent="0.25">
      <c r="A79" s="527"/>
      <c r="E79" s="200"/>
      <c r="F79" s="200"/>
      <c r="G79" s="200"/>
      <c r="H79" s="194"/>
      <c r="I79" s="517"/>
      <c r="J79" s="200"/>
      <c r="K79" s="194"/>
      <c r="L79" s="200"/>
      <c r="M79" s="118"/>
      <c r="N79" s="134"/>
      <c r="O79" s="134"/>
      <c r="P79" s="134"/>
      <c r="Q79" s="134"/>
      <c r="R79" s="118"/>
      <c r="V79" s="528"/>
      <c r="W79" s="528"/>
    </row>
    <row r="80" spans="1:24" s="14" customFormat="1" ht="32.25" thickBot="1" x14ac:dyDescent="0.25">
      <c r="A80" s="518" t="s">
        <v>31</v>
      </c>
      <c r="B80" s="932" t="s">
        <v>13</v>
      </c>
      <c r="C80" s="933"/>
      <c r="D80" s="934"/>
      <c r="E80" s="593" t="s">
        <v>12</v>
      </c>
      <c r="F80" s="593" t="s">
        <v>14</v>
      </c>
      <c r="G80" s="593" t="s">
        <v>276</v>
      </c>
      <c r="H80" s="593" t="s">
        <v>32</v>
      </c>
      <c r="I80" s="593" t="s">
        <v>16</v>
      </c>
      <c r="J80" s="593" t="s">
        <v>17</v>
      </c>
      <c r="K80" s="593" t="s">
        <v>18</v>
      </c>
      <c r="L80" s="593" t="s">
        <v>19</v>
      </c>
      <c r="M80" s="593" t="s">
        <v>20</v>
      </c>
      <c r="N80" s="520" t="s">
        <v>123</v>
      </c>
      <c r="O80" s="593" t="s">
        <v>94</v>
      </c>
      <c r="P80" s="521" t="s">
        <v>807</v>
      </c>
      <c r="W80" s="13"/>
    </row>
    <row r="81" spans="1:23" s="303" customFormat="1" x14ac:dyDescent="0.2">
      <c r="A81" s="269"/>
      <c r="B81" s="925"/>
      <c r="C81" s="926"/>
      <c r="D81" s="926"/>
      <c r="E81" s="226"/>
      <c r="F81" s="226"/>
      <c r="G81" s="226"/>
      <c r="H81" s="226"/>
      <c r="I81" s="226"/>
      <c r="J81" s="263"/>
      <c r="K81" s="263"/>
      <c r="L81" s="263"/>
      <c r="M81" s="263"/>
      <c r="N81" s="49"/>
      <c r="O81" s="226"/>
      <c r="P81" s="274"/>
      <c r="Q81" s="160"/>
      <c r="R81" s="160"/>
      <c r="S81" s="160"/>
      <c r="T81" s="160"/>
      <c r="U81" s="160"/>
      <c r="V81" s="160"/>
      <c r="W81" s="159"/>
    </row>
    <row r="82" spans="1:23" s="303" customFormat="1" x14ac:dyDescent="0.2">
      <c r="A82" s="248"/>
      <c r="B82" s="927"/>
      <c r="C82" s="928"/>
      <c r="D82" s="928"/>
      <c r="E82" s="125"/>
      <c r="F82" s="125"/>
      <c r="G82" s="125"/>
      <c r="H82" s="125"/>
      <c r="I82" s="125"/>
      <c r="J82" s="255"/>
      <c r="K82" s="255"/>
      <c r="L82" s="255"/>
      <c r="M82" s="255"/>
      <c r="N82" s="21"/>
      <c r="O82" s="125"/>
      <c r="P82" s="276"/>
      <c r="Q82" s="160"/>
      <c r="R82" s="160"/>
      <c r="S82" s="160"/>
      <c r="T82" s="160"/>
      <c r="U82" s="160"/>
      <c r="V82" s="160"/>
      <c r="W82" s="159"/>
    </row>
    <row r="83" spans="1:23" s="303" customFormat="1" x14ac:dyDescent="0.2">
      <c r="A83" s="248"/>
      <c r="B83" s="927"/>
      <c r="C83" s="928"/>
      <c r="D83" s="928"/>
      <c r="E83" s="125"/>
      <c r="F83" s="125"/>
      <c r="G83" s="125"/>
      <c r="H83" s="125"/>
      <c r="I83" s="125"/>
      <c r="J83" s="255"/>
      <c r="K83" s="255"/>
      <c r="L83" s="255"/>
      <c r="M83" s="255"/>
      <c r="N83" s="21"/>
      <c r="O83" s="125"/>
      <c r="P83" s="276"/>
      <c r="Q83" s="160"/>
      <c r="R83" s="160"/>
      <c r="S83" s="160"/>
      <c r="T83" s="160"/>
      <c r="U83" s="160"/>
      <c r="V83" s="160"/>
      <c r="W83" s="159"/>
    </row>
    <row r="84" spans="1:23" s="303" customFormat="1" ht="16.5" thickBot="1" x14ac:dyDescent="0.25">
      <c r="A84" s="304"/>
      <c r="B84" s="912"/>
      <c r="C84" s="913"/>
      <c r="D84" s="913"/>
      <c r="E84" s="130"/>
      <c r="F84" s="130"/>
      <c r="G84" s="130"/>
      <c r="H84" s="130"/>
      <c r="I84" s="130"/>
      <c r="J84" s="256"/>
      <c r="K84" s="256"/>
      <c r="L84" s="256"/>
      <c r="M84" s="256"/>
      <c r="N84" s="29"/>
      <c r="O84" s="129"/>
      <c r="P84" s="132"/>
      <c r="Q84" s="160"/>
      <c r="R84" s="160"/>
      <c r="S84" s="160"/>
      <c r="T84" s="160"/>
      <c r="U84" s="160"/>
      <c r="V84" s="160"/>
      <c r="W84" s="159"/>
    </row>
    <row r="85" spans="1:23" s="456" customFormat="1" ht="16.5" thickBot="1" x14ac:dyDescent="0.25">
      <c r="A85" s="133"/>
      <c r="B85" s="133"/>
      <c r="C85" s="133"/>
      <c r="D85" s="133"/>
      <c r="E85" s="133"/>
      <c r="F85" s="133"/>
      <c r="G85" s="133"/>
      <c r="H85" s="118"/>
      <c r="I85" s="118"/>
      <c r="J85" s="118"/>
      <c r="K85" s="118"/>
      <c r="L85" s="118"/>
      <c r="M85" s="134"/>
      <c r="N85" s="134"/>
      <c r="O85" s="134"/>
      <c r="P85" s="134"/>
      <c r="Q85" s="134"/>
      <c r="R85" s="134"/>
      <c r="S85" s="134"/>
      <c r="T85" s="134"/>
      <c r="U85" s="134"/>
      <c r="V85" s="118"/>
    </row>
    <row r="86" spans="1:23" s="73" customFormat="1" ht="16.5" thickBot="1" x14ac:dyDescent="0.25">
      <c r="A86" s="822" t="s">
        <v>36</v>
      </c>
      <c r="B86" s="823"/>
      <c r="C86" s="823"/>
      <c r="D86" s="823"/>
      <c r="E86" s="823"/>
      <c r="F86" s="823"/>
      <c r="G86" s="823"/>
      <c r="H86" s="823"/>
      <c r="I86" s="824"/>
      <c r="J86" s="169"/>
      <c r="K86" s="118"/>
      <c r="L86" s="134"/>
      <c r="M86" s="134"/>
      <c r="N86" s="134"/>
      <c r="O86" s="134"/>
      <c r="P86" s="134"/>
      <c r="Q86" s="134"/>
      <c r="R86" s="134"/>
      <c r="S86" s="118"/>
      <c r="T86" s="118"/>
      <c r="U86" s="118"/>
    </row>
    <row r="87" spans="1:23" s="73" customFormat="1" ht="16.5" thickBot="1" x14ac:dyDescent="0.25">
      <c r="A87" s="935" t="s">
        <v>37</v>
      </c>
      <c r="B87" s="936"/>
      <c r="C87" s="936"/>
      <c r="D87" s="936"/>
      <c r="E87" s="936"/>
      <c r="F87" s="936"/>
      <c r="G87" s="936"/>
      <c r="H87" s="936"/>
      <c r="I87" s="937"/>
      <c r="J87" s="170"/>
      <c r="K87" s="118"/>
      <c r="L87" s="134"/>
      <c r="M87" s="134"/>
      <c r="N87" s="134"/>
      <c r="O87" s="134"/>
      <c r="P87" s="134"/>
      <c r="Q87" s="134"/>
      <c r="R87" s="134"/>
      <c r="S87" s="118"/>
      <c r="T87" s="118"/>
      <c r="U87" s="118"/>
    </row>
    <row r="88" spans="1:23" s="308" customFormat="1" ht="15.75" customHeight="1" thickBot="1" x14ac:dyDescent="0.25">
      <c r="A88" s="665" t="s">
        <v>296</v>
      </c>
      <c r="B88" s="909" t="s">
        <v>1129</v>
      </c>
      <c r="C88" s="910"/>
      <c r="D88" s="910"/>
      <c r="E88" s="910"/>
      <c r="F88" s="910"/>
      <c r="G88" s="910"/>
      <c r="H88" s="910"/>
      <c r="I88" s="911"/>
      <c r="J88" s="171"/>
      <c r="K88" s="172"/>
      <c r="L88" s="173"/>
      <c r="M88" s="173"/>
      <c r="N88" s="173"/>
      <c r="O88" s="173"/>
      <c r="P88" s="173"/>
      <c r="Q88" s="173"/>
      <c r="R88" s="173"/>
      <c r="S88" s="172"/>
      <c r="T88" s="172"/>
      <c r="U88" s="172"/>
    </row>
    <row r="89" spans="1:23" s="73" customFormat="1" ht="16.5" thickBot="1" x14ac:dyDescent="0.25">
      <c r="A89" s="196"/>
      <c r="B89" s="169"/>
      <c r="C89" s="169"/>
      <c r="D89" s="169"/>
      <c r="E89" s="169"/>
      <c r="F89" s="176"/>
      <c r="G89" s="176"/>
      <c r="H89" s="176"/>
      <c r="I89" s="176"/>
      <c r="J89" s="176"/>
      <c r="K89" s="118"/>
      <c r="L89" s="134"/>
      <c r="M89" s="134"/>
      <c r="N89" s="134"/>
      <c r="O89" s="134"/>
      <c r="P89" s="134"/>
      <c r="Q89" s="118"/>
    </row>
    <row r="90" spans="1:23" s="73" customFormat="1" ht="16.5" customHeight="1" thickBot="1" x14ac:dyDescent="0.25">
      <c r="A90" s="917" t="s">
        <v>214</v>
      </c>
      <c r="B90" s="918"/>
      <c r="C90" s="918"/>
      <c r="D90" s="918"/>
      <c r="E90" s="918"/>
      <c r="F90" s="918"/>
      <c r="G90" s="918"/>
      <c r="H90" s="930" t="s">
        <v>226</v>
      </c>
      <c r="I90" s="786" t="s">
        <v>627</v>
      </c>
      <c r="J90" s="786" t="s">
        <v>215</v>
      </c>
      <c r="K90" s="786" t="s">
        <v>23</v>
      </c>
      <c r="L90" s="786" t="s">
        <v>302</v>
      </c>
      <c r="M90" s="788" t="s">
        <v>83</v>
      </c>
      <c r="N90" s="134"/>
      <c r="O90" s="118"/>
      <c r="P90" s="456"/>
      <c r="Q90" s="528"/>
      <c r="R90" s="528"/>
    </row>
    <row r="91" spans="1:23" s="446" customFormat="1" ht="16.5" thickBot="1" x14ac:dyDescent="0.25">
      <c r="A91" s="919" t="s">
        <v>887</v>
      </c>
      <c r="B91" s="920"/>
      <c r="C91" s="920"/>
      <c r="D91" s="920"/>
      <c r="E91" s="920"/>
      <c r="F91" s="920"/>
      <c r="G91" s="921"/>
      <c r="H91" s="931"/>
      <c r="I91" s="908"/>
      <c r="J91" s="908"/>
      <c r="K91" s="908"/>
      <c r="L91" s="908"/>
      <c r="M91" s="929"/>
      <c r="N91" s="177"/>
      <c r="O91" s="177"/>
      <c r="P91" s="177"/>
      <c r="Q91" s="177"/>
      <c r="R91" s="177"/>
    </row>
    <row r="92" spans="1:23" s="446" customFormat="1" ht="15.75" customHeight="1" thickBot="1" x14ac:dyDescent="0.25">
      <c r="A92" s="914" t="s">
        <v>353</v>
      </c>
      <c r="B92" s="915"/>
      <c r="C92" s="915"/>
      <c r="D92" s="915"/>
      <c r="E92" s="915"/>
      <c r="F92" s="915"/>
      <c r="G92" s="916"/>
      <c r="H92" s="931"/>
      <c r="I92" s="908"/>
      <c r="J92" s="908"/>
      <c r="K92" s="908"/>
      <c r="L92" s="908"/>
      <c r="M92" s="929"/>
      <c r="N92" s="177"/>
      <c r="O92" s="177"/>
      <c r="P92" s="177"/>
      <c r="Q92" s="177"/>
      <c r="R92" s="177"/>
    </row>
    <row r="93" spans="1:23" s="136" customFormat="1" ht="15.75" customHeight="1" x14ac:dyDescent="0.2">
      <c r="A93" s="178" t="s">
        <v>102</v>
      </c>
      <c r="B93" s="942" t="str">
        <f>IF($A93="","",VLOOKUP($A93,Listes!$A$3:$C$193,2,FALSE))</f>
        <v>Alameda Corridor Surcharge import</v>
      </c>
      <c r="C93" s="942"/>
      <c r="D93" s="942"/>
      <c r="E93" s="941" t="s">
        <v>51</v>
      </c>
      <c r="F93" s="941"/>
      <c r="G93" s="941"/>
      <c r="H93" s="632"/>
      <c r="I93" s="529"/>
      <c r="J93" s="529"/>
      <c r="K93" s="529"/>
      <c r="L93" s="529"/>
      <c r="M93" s="530"/>
      <c r="N93" s="160"/>
      <c r="O93" s="160"/>
      <c r="P93" s="160"/>
      <c r="Q93" s="160"/>
      <c r="R93" s="159"/>
    </row>
    <row r="94" spans="1:23" s="136" customFormat="1" ht="15.75" customHeight="1" x14ac:dyDescent="0.2">
      <c r="A94" s="640" t="s">
        <v>346</v>
      </c>
      <c r="B94" s="966" t="str">
        <f>IF($A94="","",VLOOKUP($A94,Listes!$A$3:$C$193,2,FALSE))</f>
        <v>Aden Gulf Surcharge</v>
      </c>
      <c r="C94" s="966"/>
      <c r="D94" s="966"/>
      <c r="E94" s="967" t="s">
        <v>53</v>
      </c>
      <c r="F94" s="967"/>
      <c r="G94" s="967"/>
      <c r="H94" s="641"/>
      <c r="I94" s="642"/>
      <c r="J94" s="642"/>
      <c r="K94" s="642"/>
      <c r="L94" s="642"/>
      <c r="M94" s="643"/>
      <c r="N94" s="160"/>
      <c r="O94" s="160"/>
      <c r="P94" s="160"/>
      <c r="Q94" s="160"/>
      <c r="R94" s="159"/>
    </row>
    <row r="95" spans="1:23" s="136" customFormat="1" ht="15.75" customHeight="1" x14ac:dyDescent="0.2">
      <c r="A95" s="182" t="s">
        <v>234</v>
      </c>
      <c r="B95" s="813" t="str">
        <f>IF($A95="","",VLOOKUP($A95,Listes!$A$3:$C$193,2,FALSE))</f>
        <v>Bunker Adjustment Factor</v>
      </c>
      <c r="C95" s="813"/>
      <c r="D95" s="813"/>
      <c r="E95" s="814" t="s">
        <v>51</v>
      </c>
      <c r="F95" s="814"/>
      <c r="G95" s="814"/>
      <c r="H95" s="612"/>
      <c r="I95" s="531"/>
      <c r="J95" s="531"/>
      <c r="K95" s="531"/>
      <c r="L95" s="531"/>
      <c r="M95" s="532"/>
      <c r="N95" s="160"/>
      <c r="O95" s="160"/>
      <c r="P95" s="160"/>
      <c r="Q95" s="160"/>
      <c r="R95" s="159"/>
    </row>
    <row r="96" spans="1:23" s="136" customFormat="1" ht="15.75" customHeight="1" x14ac:dyDescent="0.2">
      <c r="A96" s="182" t="s">
        <v>86</v>
      </c>
      <c r="B96" s="813" t="str">
        <f>IF($A96="","",VLOOKUP($A96,Listes!$A$3:$C$193,2,FALSE))</f>
        <v>Currency Adjustment Factor</v>
      </c>
      <c r="C96" s="813"/>
      <c r="D96" s="813"/>
      <c r="E96" s="814" t="s">
        <v>53</v>
      </c>
      <c r="F96" s="814"/>
      <c r="G96" s="814"/>
      <c r="H96" s="612"/>
      <c r="I96" s="531"/>
      <c r="J96" s="531"/>
      <c r="K96" s="531"/>
      <c r="L96" s="531"/>
      <c r="M96" s="532"/>
      <c r="N96" s="160"/>
      <c r="O96" s="160"/>
      <c r="P96" s="160"/>
      <c r="Q96" s="160"/>
      <c r="R96" s="159"/>
    </row>
    <row r="97" spans="1:18" s="136" customFormat="1" ht="15.75" customHeight="1" x14ac:dyDescent="0.2">
      <c r="A97" s="182" t="s">
        <v>557</v>
      </c>
      <c r="B97" s="813" t="str">
        <f>IF($A97="","",VLOOKUP($A97,Listes!$A$3:$C$193,2,FALSE))</f>
        <v>Cargo Facility Charge</v>
      </c>
      <c r="C97" s="813"/>
      <c r="D97" s="813"/>
      <c r="E97" s="814" t="s">
        <v>51</v>
      </c>
      <c r="F97" s="814"/>
      <c r="G97" s="814"/>
      <c r="H97" s="612"/>
      <c r="I97" s="531"/>
      <c r="J97" s="531"/>
      <c r="K97" s="531"/>
      <c r="L97" s="531"/>
      <c r="M97" s="532"/>
      <c r="N97" s="160"/>
      <c r="O97" s="160"/>
      <c r="P97" s="160"/>
      <c r="Q97" s="160"/>
      <c r="R97" s="159"/>
    </row>
    <row r="98" spans="1:18" s="136" customFormat="1" ht="15.75" customHeight="1" x14ac:dyDescent="0.2">
      <c r="A98" s="182" t="s">
        <v>1337</v>
      </c>
      <c r="B98" s="813" t="str">
        <f>IF($A98="","",VLOOKUP($A98,Listes!$A$3:$C$193,2,FALSE))</f>
        <v>Container Cleaning Surcharge Origin</v>
      </c>
      <c r="C98" s="813"/>
      <c r="D98" s="813"/>
      <c r="E98" s="814" t="s">
        <v>51</v>
      </c>
      <c r="F98" s="814"/>
      <c r="G98" s="814"/>
      <c r="H98" s="612"/>
      <c r="I98" s="531"/>
      <c r="J98" s="531"/>
      <c r="K98" s="531"/>
      <c r="L98" s="531"/>
      <c r="M98" s="532"/>
      <c r="N98" s="160"/>
      <c r="O98" s="160"/>
      <c r="P98" s="160"/>
      <c r="Q98" s="160"/>
      <c r="R98" s="159"/>
    </row>
    <row r="99" spans="1:18" s="136" customFormat="1" ht="15.75" customHeight="1" x14ac:dyDescent="0.2">
      <c r="A99" s="182" t="s">
        <v>1105</v>
      </c>
      <c r="B99" s="813" t="str">
        <f>IF($A99="","",VLOOKUP($A99,Listes!$A$3:$C$193,2,FALSE))</f>
        <v>Chassis Administration Fee On-Carriage</v>
      </c>
      <c r="C99" s="813"/>
      <c r="D99" s="813"/>
      <c r="E99" s="814" t="s">
        <v>51</v>
      </c>
      <c r="F99" s="814"/>
      <c r="G99" s="814"/>
      <c r="H99" s="647"/>
      <c r="I99" s="531"/>
      <c r="J99" s="531"/>
      <c r="K99" s="531"/>
      <c r="L99" s="531"/>
      <c r="M99" s="532"/>
      <c r="N99" s="160"/>
      <c r="O99" s="160"/>
      <c r="P99" s="160"/>
      <c r="Q99" s="160"/>
      <c r="R99" s="159"/>
    </row>
    <row r="100" spans="1:18" s="136" customFormat="1" ht="15.75" customHeight="1" x14ac:dyDescent="0.2">
      <c r="A100" s="182" t="s">
        <v>551</v>
      </c>
      <c r="B100" s="813" t="str">
        <f>IF($A100="","",VLOOKUP($A100,Listes!$A$3:$C$193,2,FALSE))</f>
        <v>Chassis Provision Charge</v>
      </c>
      <c r="C100" s="813"/>
      <c r="D100" s="813"/>
      <c r="E100" s="814" t="s">
        <v>51</v>
      </c>
      <c r="F100" s="814"/>
      <c r="G100" s="814"/>
      <c r="H100" s="612"/>
      <c r="I100" s="531"/>
      <c r="J100" s="531"/>
      <c r="K100" s="531"/>
      <c r="L100" s="531"/>
      <c r="M100" s="532"/>
      <c r="N100" s="160"/>
      <c r="O100" s="160"/>
      <c r="P100" s="160"/>
      <c r="Q100" s="160"/>
      <c r="R100" s="159"/>
    </row>
    <row r="101" spans="1:18" s="136" customFormat="1" ht="15.75" customHeight="1" x14ac:dyDescent="0.2">
      <c r="A101" s="182" t="s">
        <v>263</v>
      </c>
      <c r="B101" s="813" t="str">
        <f>IF($A101="","",VLOOKUP($A101,Listes!$A$3:$C$193,2,FALSE))</f>
        <v>Carrier Security Charge</v>
      </c>
      <c r="C101" s="813"/>
      <c r="D101" s="813"/>
      <c r="E101" s="814" t="s">
        <v>51</v>
      </c>
      <c r="F101" s="814"/>
      <c r="G101" s="814"/>
      <c r="H101" s="612"/>
      <c r="I101" s="531"/>
      <c r="J101" s="531"/>
      <c r="K101" s="531"/>
      <c r="L101" s="531"/>
      <c r="M101" s="532"/>
      <c r="N101" s="160"/>
      <c r="O101" s="160"/>
      <c r="P101" s="160"/>
      <c r="Q101" s="160"/>
      <c r="R101" s="159"/>
    </row>
    <row r="102" spans="1:18" s="136" customFormat="1" ht="15.75" customHeight="1" x14ac:dyDescent="0.2">
      <c r="A102" s="182" t="s">
        <v>1262</v>
      </c>
      <c r="B102" s="813" t="str">
        <f>IF($A102="","",VLOOKUP($A102,Listes!$A$3:$C$193,2,FALSE))</f>
        <v>Container Maintenance Charge Destination</v>
      </c>
      <c r="C102" s="813"/>
      <c r="D102" s="813"/>
      <c r="E102" s="814" t="s">
        <v>51</v>
      </c>
      <c r="F102" s="814"/>
      <c r="G102" s="814"/>
      <c r="H102" s="647"/>
      <c r="I102" s="531"/>
      <c r="J102" s="531"/>
      <c r="K102" s="531"/>
      <c r="L102" s="531"/>
      <c r="M102" s="532"/>
      <c r="N102" s="160"/>
      <c r="O102" s="160"/>
      <c r="P102" s="160"/>
      <c r="Q102" s="160"/>
      <c r="R102" s="159"/>
    </row>
    <row r="103" spans="1:18" s="136" customFormat="1" ht="15.75" customHeight="1" x14ac:dyDescent="0.2">
      <c r="A103" s="182" t="s">
        <v>230</v>
      </c>
      <c r="B103" s="813" t="str">
        <f>IF($A103="","",VLOOKUP($A103,Listes!$A$3:$C$193,2,FALSE))</f>
        <v>Destination THC / Destination Receiving Charge</v>
      </c>
      <c r="C103" s="813"/>
      <c r="D103" s="813"/>
      <c r="E103" s="814" t="s">
        <v>51</v>
      </c>
      <c r="F103" s="814"/>
      <c r="G103" s="814"/>
      <c r="H103" s="612"/>
      <c r="I103" s="531"/>
      <c r="J103" s="531"/>
      <c r="K103" s="531"/>
      <c r="L103" s="531"/>
      <c r="M103" s="532"/>
      <c r="N103" s="160"/>
      <c r="O103" s="160"/>
      <c r="P103" s="160"/>
      <c r="Q103" s="160"/>
      <c r="R103" s="159"/>
    </row>
    <row r="104" spans="1:18" s="136" customFormat="1" ht="15.75" customHeight="1" x14ac:dyDescent="0.2">
      <c r="A104" s="182" t="s">
        <v>1081</v>
      </c>
      <c r="B104" s="813" t="str">
        <f>IF($A104="","",VLOOKUP($A104,Listes!$A$3:$C$193,2,FALSE))</f>
        <v>Equipment Imbalance Surcharge at Origin</v>
      </c>
      <c r="C104" s="813"/>
      <c r="D104" s="813"/>
      <c r="E104" s="814" t="s">
        <v>53</v>
      </c>
      <c r="F104" s="814"/>
      <c r="G104" s="814"/>
      <c r="H104" s="612"/>
      <c r="I104" s="531"/>
      <c r="J104" s="531"/>
      <c r="K104" s="531"/>
      <c r="L104" s="531"/>
      <c r="M104" s="532"/>
      <c r="N104" s="160"/>
      <c r="O104" s="160"/>
      <c r="P104" s="160"/>
      <c r="Q104" s="160"/>
      <c r="R104" s="159"/>
    </row>
    <row r="105" spans="1:18" s="136" customFormat="1" ht="15.75" customHeight="1" x14ac:dyDescent="0.2">
      <c r="A105" s="182" t="s">
        <v>1082</v>
      </c>
      <c r="B105" s="813" t="str">
        <f>IF($A105="","",VLOOKUP($A105,Listes!$A$3:$C$193,2,FALSE))</f>
        <v>Equipment Imbalance Surcharge at Destination</v>
      </c>
      <c r="C105" s="813"/>
      <c r="D105" s="813"/>
      <c r="E105" s="814" t="s">
        <v>53</v>
      </c>
      <c r="F105" s="814"/>
      <c r="G105" s="814"/>
      <c r="H105" s="646"/>
      <c r="I105" s="531"/>
      <c r="J105" s="531"/>
      <c r="K105" s="531"/>
      <c r="L105" s="531"/>
      <c r="M105" s="532"/>
      <c r="N105" s="160"/>
      <c r="O105" s="160"/>
      <c r="P105" s="160"/>
      <c r="Q105" s="160"/>
      <c r="R105" s="159"/>
    </row>
    <row r="106" spans="1:18" s="136" customFormat="1" ht="15.75" customHeight="1" x14ac:dyDescent="0.2">
      <c r="A106" s="182" t="s">
        <v>874</v>
      </c>
      <c r="B106" s="813" t="str">
        <f>IF($A106="","",VLOOKUP($A106,Listes!$A$3:$C$193,2,FALSE))</f>
        <v>Export Documentation Fees - Carrier</v>
      </c>
      <c r="C106" s="813"/>
      <c r="D106" s="813"/>
      <c r="E106" s="814" t="s">
        <v>51</v>
      </c>
      <c r="F106" s="814"/>
      <c r="G106" s="814"/>
      <c r="H106" s="612"/>
      <c r="I106" s="531"/>
      <c r="J106" s="531"/>
      <c r="K106" s="531"/>
      <c r="L106" s="531"/>
      <c r="M106" s="532"/>
      <c r="N106" s="160"/>
      <c r="O106" s="160"/>
      <c r="P106" s="160"/>
      <c r="Q106" s="160"/>
      <c r="R106" s="159"/>
    </row>
    <row r="107" spans="1:18" s="136" customFormat="1" ht="15.75" customHeight="1" x14ac:dyDescent="0.2">
      <c r="A107" s="182" t="s">
        <v>854</v>
      </c>
      <c r="B107" s="813" t="str">
        <f>IF($A107="","",VLOOKUP($A107,Listes!$A$3:$C$193,2,FALSE))</f>
        <v>Export Declaration Surcharge</v>
      </c>
      <c r="C107" s="813"/>
      <c r="D107" s="813"/>
      <c r="E107" s="814" t="s">
        <v>51</v>
      </c>
      <c r="F107" s="814"/>
      <c r="G107" s="814"/>
      <c r="H107" s="612"/>
      <c r="I107" s="531"/>
      <c r="J107" s="531"/>
      <c r="K107" s="531"/>
      <c r="L107" s="531"/>
      <c r="M107" s="532"/>
      <c r="N107" s="160"/>
      <c r="O107" s="160"/>
      <c r="P107" s="160"/>
      <c r="Q107" s="160"/>
      <c r="R107" s="159"/>
    </row>
    <row r="108" spans="1:18" s="136" customFormat="1" ht="15.75" customHeight="1" x14ac:dyDescent="0.2">
      <c r="A108" s="182" t="s">
        <v>1320</v>
      </c>
      <c r="B108" s="813" t="str">
        <f>IF($A108="","",VLOOKUP($A108,Listes!$A$3:$C$193,2,FALSE))</f>
        <v>Export Seal Fee</v>
      </c>
      <c r="C108" s="813"/>
      <c r="D108" s="813"/>
      <c r="E108" s="814" t="s">
        <v>51</v>
      </c>
      <c r="F108" s="814"/>
      <c r="G108" s="814"/>
      <c r="H108" s="686"/>
      <c r="I108" s="531"/>
      <c r="J108" s="531"/>
      <c r="K108" s="531"/>
      <c r="L108" s="531"/>
      <c r="M108" s="532"/>
      <c r="N108" s="160"/>
      <c r="O108" s="160"/>
      <c r="P108" s="160"/>
      <c r="Q108" s="160"/>
      <c r="R108" s="159"/>
    </row>
    <row r="109" spans="1:18" s="136" customFormat="1" ht="15.75" customHeight="1" x14ac:dyDescent="0.2">
      <c r="A109" s="182" t="s">
        <v>194</v>
      </c>
      <c r="B109" s="813" t="str">
        <f>IF($A109="","",VLOOKUP($A109,Listes!$A$3:$C$193,2,FALSE))</f>
        <v>Extra Container Handling Charge Origin</v>
      </c>
      <c r="C109" s="813"/>
      <c r="D109" s="813"/>
      <c r="E109" s="814" t="s">
        <v>51</v>
      </c>
      <c r="F109" s="814"/>
      <c r="G109" s="814"/>
      <c r="H109" s="612"/>
      <c r="I109" s="531"/>
      <c r="J109" s="531"/>
      <c r="K109" s="531"/>
      <c r="L109" s="531"/>
      <c r="M109" s="532"/>
      <c r="N109" s="160"/>
      <c r="O109" s="160"/>
      <c r="P109" s="160"/>
      <c r="Q109" s="160"/>
      <c r="R109" s="159"/>
    </row>
    <row r="110" spans="1:18" s="136" customFormat="1" ht="15.75" customHeight="1" x14ac:dyDescent="0.2">
      <c r="A110" s="182" t="s">
        <v>71</v>
      </c>
      <c r="B110" s="813" t="str">
        <f>IF($A110="","",VLOOKUP($A110,Listes!$A$3:$C$193,2,FALSE))</f>
        <v>Flat Rack</v>
      </c>
      <c r="C110" s="813"/>
      <c r="D110" s="813"/>
      <c r="E110" s="814" t="s">
        <v>51</v>
      </c>
      <c r="F110" s="814"/>
      <c r="G110" s="814"/>
      <c r="H110" s="612"/>
      <c r="I110" s="531"/>
      <c r="J110" s="531"/>
      <c r="K110" s="531"/>
      <c r="L110" s="531"/>
      <c r="M110" s="532"/>
      <c r="N110" s="160"/>
      <c r="O110" s="160"/>
      <c r="P110" s="160"/>
      <c r="Q110" s="160"/>
      <c r="R110" s="159"/>
    </row>
    <row r="111" spans="1:18" s="136" customFormat="1" ht="15.75" customHeight="1" x14ac:dyDescent="0.2">
      <c r="A111" s="182" t="s">
        <v>82</v>
      </c>
      <c r="B111" s="813" t="str">
        <f>IF($A111="","",VLOOKUP($A111,Listes!$A$3:$C$193,2,FALSE))</f>
        <v>General Rate Increase</v>
      </c>
      <c r="C111" s="813"/>
      <c r="D111" s="813"/>
      <c r="E111" s="814" t="s">
        <v>51</v>
      </c>
      <c r="F111" s="814"/>
      <c r="G111" s="814"/>
      <c r="H111" s="612"/>
      <c r="I111" s="531"/>
      <c r="J111" s="531"/>
      <c r="K111" s="531"/>
      <c r="L111" s="531"/>
      <c r="M111" s="532"/>
      <c r="N111" s="160"/>
      <c r="O111" s="160"/>
      <c r="P111" s="160"/>
      <c r="Q111" s="160"/>
      <c r="R111" s="159"/>
    </row>
    <row r="112" spans="1:18" s="136" customFormat="1" ht="15.75" customHeight="1" x14ac:dyDescent="0.2">
      <c r="A112" s="182" t="s">
        <v>260</v>
      </c>
      <c r="B112" s="813" t="str">
        <f>IF($A112="","",VLOOKUP($A112,Listes!$A$3:$C$193,2,FALSE))</f>
        <v>Hazardous Fees (Ocean)</v>
      </c>
      <c r="C112" s="813"/>
      <c r="D112" s="813"/>
      <c r="E112" s="814" t="s">
        <v>51</v>
      </c>
      <c r="F112" s="814"/>
      <c r="G112" s="814"/>
      <c r="H112" s="612"/>
      <c r="I112" s="531"/>
      <c r="J112" s="531"/>
      <c r="K112" s="531"/>
      <c r="L112" s="531"/>
      <c r="M112" s="532"/>
      <c r="N112" s="160"/>
      <c r="O112" s="160"/>
      <c r="P112" s="160"/>
      <c r="Q112" s="160"/>
      <c r="R112" s="159"/>
    </row>
    <row r="113" spans="1:18" s="136" customFormat="1" ht="15.75" customHeight="1" x14ac:dyDescent="0.2">
      <c r="A113" s="182" t="s">
        <v>898</v>
      </c>
      <c r="B113" s="813" t="str">
        <f>IF($A113="","",VLOOKUP($A113,Listes!$A$3:$C$193,2,FALSE))</f>
        <v>Oncarriage Additional Intermodal Door Delivery Surcharge</v>
      </c>
      <c r="C113" s="813"/>
      <c r="D113" s="813"/>
      <c r="E113" s="814" t="s">
        <v>51</v>
      </c>
      <c r="F113" s="814"/>
      <c r="G113" s="814"/>
      <c r="H113" s="612"/>
      <c r="I113" s="531"/>
      <c r="J113" s="531"/>
      <c r="K113" s="531"/>
      <c r="L113" s="531"/>
      <c r="M113" s="532"/>
      <c r="N113" s="160"/>
      <c r="O113" s="160"/>
      <c r="P113" s="160"/>
      <c r="Q113" s="160"/>
      <c r="R113" s="159"/>
    </row>
    <row r="114" spans="1:18" s="136" customFormat="1" ht="15.75" customHeight="1" x14ac:dyDescent="0.2">
      <c r="A114" s="182" t="s">
        <v>94</v>
      </c>
      <c r="B114" s="813" t="str">
        <f>IF($A114="","",VLOOKUP($A114,Listes!$A$3:$C$193,2,FALSE))</f>
        <v>Oncarriage Inland Fuel Charge</v>
      </c>
      <c r="C114" s="813"/>
      <c r="D114" s="813"/>
      <c r="E114" s="814" t="s">
        <v>51</v>
      </c>
      <c r="F114" s="814"/>
      <c r="G114" s="814"/>
      <c r="H114" s="612"/>
      <c r="I114" s="531"/>
      <c r="J114" s="531"/>
      <c r="K114" s="531"/>
      <c r="L114" s="531"/>
      <c r="M114" s="532"/>
      <c r="N114" s="160"/>
      <c r="O114" s="160"/>
      <c r="P114" s="160"/>
      <c r="Q114" s="160"/>
      <c r="R114" s="159"/>
    </row>
    <row r="115" spans="1:18" s="136" customFormat="1" ht="15.75" customHeight="1" x14ac:dyDescent="0.2">
      <c r="A115" s="182" t="s">
        <v>1290</v>
      </c>
      <c r="B115" s="813" t="str">
        <f>IF($A115="","",VLOOKUP($A115,Listes!$A$3:$C$193,2,FALSE))</f>
        <v>Local Port Charge Destination Sanitary Fee</v>
      </c>
      <c r="C115" s="813"/>
      <c r="D115" s="813"/>
      <c r="E115" s="814" t="s">
        <v>51</v>
      </c>
      <c r="F115" s="814"/>
      <c r="G115" s="814"/>
      <c r="H115" s="675"/>
      <c r="I115" s="531"/>
      <c r="J115" s="531"/>
      <c r="K115" s="531"/>
      <c r="L115" s="531"/>
      <c r="M115" s="532"/>
      <c r="N115" s="160"/>
      <c r="O115" s="160"/>
      <c r="P115" s="160"/>
      <c r="Q115" s="160"/>
      <c r="R115" s="159"/>
    </row>
    <row r="116" spans="1:18" s="136" customFormat="1" ht="15.75" customHeight="1" x14ac:dyDescent="0.2">
      <c r="A116" s="182" t="s">
        <v>1292</v>
      </c>
      <c r="B116" s="813" t="str">
        <f>IF($A116="","",VLOOKUP($A116,Listes!$A$3:$C$193,2,FALSE))</f>
        <v>Local Port Charge Origin Sanitary Fee</v>
      </c>
      <c r="C116" s="813"/>
      <c r="D116" s="813"/>
      <c r="E116" s="814" t="s">
        <v>51</v>
      </c>
      <c r="F116" s="814"/>
      <c r="G116" s="814"/>
      <c r="H116" s="675"/>
      <c r="I116" s="531"/>
      <c r="J116" s="531"/>
      <c r="K116" s="531"/>
      <c r="L116" s="531"/>
      <c r="M116" s="532"/>
      <c r="N116" s="160"/>
      <c r="O116" s="160"/>
      <c r="P116" s="160"/>
      <c r="Q116" s="160"/>
      <c r="R116" s="159"/>
    </row>
    <row r="117" spans="1:18" s="136" customFormat="1" ht="15.75" customHeight="1" x14ac:dyDescent="0.2">
      <c r="A117" s="182" t="s">
        <v>199</v>
      </c>
      <c r="B117" s="813" t="str">
        <f>IF($A117="","",VLOOKUP($A117,Listes!$A$3:$C$193,2,FALSE))</f>
        <v>Low Sulfur Surcharge</v>
      </c>
      <c r="C117" s="813"/>
      <c r="D117" s="813"/>
      <c r="E117" s="814" t="s">
        <v>53</v>
      </c>
      <c r="F117" s="814"/>
      <c r="G117" s="814"/>
      <c r="H117" s="612"/>
      <c r="I117" s="531"/>
      <c r="J117" s="531"/>
      <c r="K117" s="531"/>
      <c r="L117" s="531"/>
      <c r="M117" s="532"/>
      <c r="N117" s="160"/>
      <c r="O117" s="160"/>
      <c r="P117" s="160"/>
      <c r="Q117" s="160"/>
      <c r="R117" s="159"/>
    </row>
    <row r="118" spans="1:18" s="136" customFormat="1" ht="15.75" customHeight="1" x14ac:dyDescent="0.2">
      <c r="A118" s="182" t="s">
        <v>1124</v>
      </c>
      <c r="B118" s="813" t="str">
        <f>IF($A118="","",VLOOKUP($A118,Listes!$A$3:$C$193,2,FALSE))</f>
        <v>Low Sulfur Surcharge IMO2020</v>
      </c>
      <c r="C118" s="813"/>
      <c r="D118" s="813"/>
      <c r="E118" s="814" t="s">
        <v>53</v>
      </c>
      <c r="F118" s="814"/>
      <c r="G118" s="814"/>
      <c r="H118" s="667"/>
      <c r="I118" s="531"/>
      <c r="J118" s="531"/>
      <c r="K118" s="531"/>
      <c r="L118" s="531"/>
      <c r="M118" s="532"/>
      <c r="N118" s="160"/>
      <c r="O118" s="160"/>
      <c r="P118" s="160"/>
      <c r="Q118" s="160"/>
      <c r="R118" s="159"/>
    </row>
    <row r="119" spans="1:18" s="136" customFormat="1" x14ac:dyDescent="0.2">
      <c r="A119" s="182" t="s">
        <v>1059</v>
      </c>
      <c r="B119" s="813" t="str">
        <f>IF($A119="","",VLOOKUP($A119,Listes!$A$3:$C$193,2,FALSE))</f>
        <v>On-Carriage Emergency Inland Fuel Surcharge</v>
      </c>
      <c r="C119" s="813"/>
      <c r="D119" s="813"/>
      <c r="E119" s="814" t="s">
        <v>51</v>
      </c>
      <c r="F119" s="814"/>
      <c r="G119" s="814"/>
      <c r="H119" s="645"/>
      <c r="I119" s="531"/>
      <c r="J119" s="531"/>
      <c r="K119" s="531"/>
      <c r="L119" s="531"/>
      <c r="M119" s="532"/>
      <c r="N119" s="160"/>
      <c r="O119" s="160"/>
      <c r="P119" s="160"/>
      <c r="Q119" s="160"/>
      <c r="R119" s="159"/>
    </row>
    <row r="120" spans="1:18" s="136" customFormat="1" ht="31.5" x14ac:dyDescent="0.2">
      <c r="A120" s="182" t="s">
        <v>1088</v>
      </c>
      <c r="B120" s="813" t="str">
        <f>IF($A120="","",VLOOKUP($A120,Listes!$A$3:$C$193,2,FALSE))</f>
        <v>On-Carriage Emergency Intermodal Surcharge</v>
      </c>
      <c r="C120" s="813"/>
      <c r="D120" s="813"/>
      <c r="E120" s="814" t="s">
        <v>51</v>
      </c>
      <c r="F120" s="814"/>
      <c r="G120" s="814"/>
      <c r="H120" s="647"/>
      <c r="I120" s="531"/>
      <c r="J120" s="531"/>
      <c r="K120" s="531"/>
      <c r="L120" s="531"/>
      <c r="M120" s="532"/>
      <c r="N120" s="160"/>
      <c r="O120" s="160"/>
      <c r="P120" s="160"/>
      <c r="Q120" s="160"/>
      <c r="R120" s="159"/>
    </row>
    <row r="121" spans="1:18" s="136" customFormat="1" ht="15.75" customHeight="1" x14ac:dyDescent="0.2">
      <c r="A121" s="182" t="s">
        <v>497</v>
      </c>
      <c r="B121" s="813" t="str">
        <f>IF($A121="","",VLOOKUP($A121,Listes!$A$3:$C$193,2,FALSE))</f>
        <v>Inland Hazardous Charge Oncarriage</v>
      </c>
      <c r="C121" s="813"/>
      <c r="D121" s="813"/>
      <c r="E121" s="814" t="s">
        <v>51</v>
      </c>
      <c r="F121" s="814"/>
      <c r="G121" s="814"/>
      <c r="H121" s="612"/>
      <c r="I121" s="531"/>
      <c r="J121" s="531"/>
      <c r="K121" s="531"/>
      <c r="L121" s="531"/>
      <c r="M121" s="532"/>
      <c r="N121" s="160"/>
      <c r="O121" s="160"/>
      <c r="P121" s="160"/>
      <c r="Q121" s="160"/>
      <c r="R121" s="159"/>
    </row>
    <row r="122" spans="1:18" s="136" customFormat="1" ht="15.75" customHeight="1" x14ac:dyDescent="0.2">
      <c r="A122" s="182" t="s">
        <v>147</v>
      </c>
      <c r="B122" s="813" t="str">
        <f>IF($A122="","",VLOOKUP($A122,Listes!$A$3:$C$193,2,FALSE))</f>
        <v>Open Top</v>
      </c>
      <c r="C122" s="813"/>
      <c r="D122" s="813"/>
      <c r="E122" s="814" t="s">
        <v>51</v>
      </c>
      <c r="F122" s="814"/>
      <c r="G122" s="814"/>
      <c r="H122" s="612"/>
      <c r="I122" s="531"/>
      <c r="J122" s="531"/>
      <c r="K122" s="531"/>
      <c r="L122" s="531"/>
      <c r="M122" s="532"/>
      <c r="N122" s="160"/>
      <c r="O122" s="160"/>
      <c r="P122" s="160"/>
      <c r="Q122" s="160"/>
      <c r="R122" s="159"/>
    </row>
    <row r="123" spans="1:18" s="136" customFormat="1" ht="15.75" customHeight="1" x14ac:dyDescent="0.2">
      <c r="A123" s="182" t="s">
        <v>89</v>
      </c>
      <c r="B123" s="813" t="str">
        <f>IF($A123="","",VLOOKUP($A123,Listes!$A$3:$C$193,2,FALSE))</f>
        <v>Origin THC / Origin Receiving Charge</v>
      </c>
      <c r="C123" s="813"/>
      <c r="D123" s="813"/>
      <c r="E123" s="814" t="s">
        <v>51</v>
      </c>
      <c r="F123" s="814"/>
      <c r="G123" s="814"/>
      <c r="H123" s="612"/>
      <c r="I123" s="531"/>
      <c r="J123" s="531"/>
      <c r="K123" s="531"/>
      <c r="L123" s="531"/>
      <c r="M123" s="532"/>
      <c r="N123" s="160"/>
      <c r="O123" s="160"/>
      <c r="P123" s="160"/>
      <c r="Q123" s="160"/>
      <c r="R123" s="159"/>
    </row>
    <row r="124" spans="1:18" s="136" customFormat="1" ht="15.75" customHeight="1" x14ac:dyDescent="0.2">
      <c r="A124" s="182" t="s">
        <v>832</v>
      </c>
      <c r="B124" s="813" t="str">
        <f>IF($A124="","",VLOOKUP($A124,Listes!$A$3:$C$193,2,FALSE))</f>
        <v>Port Congestion Surcharge Destination</v>
      </c>
      <c r="C124" s="813"/>
      <c r="D124" s="813"/>
      <c r="E124" s="814" t="s">
        <v>51</v>
      </c>
      <c r="F124" s="814"/>
      <c r="G124" s="814"/>
      <c r="H124" s="612"/>
      <c r="I124" s="531"/>
      <c r="J124" s="531"/>
      <c r="K124" s="531"/>
      <c r="L124" s="531"/>
      <c r="M124" s="532"/>
      <c r="N124" s="160"/>
      <c r="O124" s="160"/>
      <c r="P124" s="160"/>
      <c r="Q124" s="160"/>
      <c r="R124" s="159"/>
    </row>
    <row r="125" spans="1:18" s="136" customFormat="1" ht="15.75" customHeight="1" x14ac:dyDescent="0.2">
      <c r="A125" s="182" t="s">
        <v>829</v>
      </c>
      <c r="B125" s="813" t="str">
        <f>IF($A125="","",VLOOKUP($A125,Listes!$A$3:$C$193,2,FALSE))</f>
        <v>Port Congestion Surcharge Origin</v>
      </c>
      <c r="C125" s="813"/>
      <c r="D125" s="813"/>
      <c r="E125" s="814" t="s">
        <v>51</v>
      </c>
      <c r="F125" s="814"/>
      <c r="G125" s="814"/>
      <c r="H125" s="612"/>
      <c r="I125" s="531"/>
      <c r="J125" s="531"/>
      <c r="K125" s="531"/>
      <c r="L125" s="531"/>
      <c r="M125" s="532"/>
      <c r="N125" s="160"/>
      <c r="O125" s="160"/>
      <c r="P125" s="160"/>
      <c r="Q125" s="160"/>
      <c r="R125" s="159"/>
    </row>
    <row r="126" spans="1:18" s="136" customFormat="1" ht="15.75" customHeight="1" x14ac:dyDescent="0.2">
      <c r="A126" s="182" t="s">
        <v>500</v>
      </c>
      <c r="B126" s="813" t="str">
        <f>IF($A126="","",VLOOKUP($A126,Listes!$A$3:$C$193,2,FALSE))</f>
        <v>Inland Hazardous Charge Precarriage</v>
      </c>
      <c r="C126" s="813"/>
      <c r="D126" s="813"/>
      <c r="E126" s="814" t="s">
        <v>51</v>
      </c>
      <c r="F126" s="814"/>
      <c r="G126" s="814"/>
      <c r="H126" s="612"/>
      <c r="I126" s="531"/>
      <c r="J126" s="531"/>
      <c r="K126" s="531"/>
      <c r="L126" s="531"/>
      <c r="M126" s="532"/>
      <c r="N126" s="160"/>
      <c r="O126" s="160"/>
      <c r="P126" s="160"/>
      <c r="Q126" s="160"/>
      <c r="R126" s="159"/>
    </row>
    <row r="127" spans="1:18" s="136" customFormat="1" ht="15.75" customHeight="1" x14ac:dyDescent="0.2">
      <c r="A127" s="182" t="s">
        <v>91</v>
      </c>
      <c r="B127" s="813" t="str">
        <f>IF($A127="","",VLOOKUP($A127,Listes!$A$3:$C$193,2,FALSE))</f>
        <v>Turkey (Primage)</v>
      </c>
      <c r="C127" s="813"/>
      <c r="D127" s="813"/>
      <c r="E127" s="814" t="s">
        <v>51</v>
      </c>
      <c r="F127" s="814"/>
      <c r="G127" s="814"/>
      <c r="H127" s="612"/>
      <c r="I127" s="531"/>
      <c r="J127" s="531"/>
      <c r="K127" s="531"/>
      <c r="L127" s="531"/>
      <c r="M127" s="532"/>
      <c r="N127" s="160"/>
      <c r="O127" s="160"/>
      <c r="P127" s="160"/>
      <c r="Q127" s="160"/>
      <c r="R127" s="159"/>
    </row>
    <row r="128" spans="1:18" s="136" customFormat="1" ht="15.75" customHeight="1" x14ac:dyDescent="0.2">
      <c r="A128" s="182" t="s">
        <v>278</v>
      </c>
      <c r="B128" s="813" t="str">
        <f>IF($A128="","",VLOOKUP($A128,Listes!$A$3:$C$193,2,FALSE))</f>
        <v>Destination Terminal Security Charge</v>
      </c>
      <c r="C128" s="813"/>
      <c r="D128" s="813"/>
      <c r="E128" s="814" t="s">
        <v>51</v>
      </c>
      <c r="F128" s="814"/>
      <c r="G128" s="814"/>
      <c r="H128" s="612"/>
      <c r="I128" s="531"/>
      <c r="J128" s="531"/>
      <c r="K128" s="531"/>
      <c r="L128" s="531"/>
      <c r="M128" s="532"/>
      <c r="N128" s="160"/>
      <c r="O128" s="160"/>
      <c r="P128" s="160"/>
      <c r="Q128" s="160"/>
      <c r="R128" s="159"/>
    </row>
    <row r="129" spans="1:23" s="136" customFormat="1" ht="31.5" x14ac:dyDescent="0.2">
      <c r="A129" s="182" t="s">
        <v>367</v>
      </c>
      <c r="B129" s="813" t="str">
        <f>IF($A129="","",VLOOKUP($A129,Listes!$A$3:$C$193,2,FALSE))</f>
        <v>Tri-Axle / Super Chassis Oncarriage Surcharge</v>
      </c>
      <c r="C129" s="813"/>
      <c r="D129" s="813"/>
      <c r="E129" s="814" t="s">
        <v>51</v>
      </c>
      <c r="F129" s="814"/>
      <c r="G129" s="814"/>
      <c r="H129" s="612"/>
      <c r="I129" s="531"/>
      <c r="J129" s="531"/>
      <c r="K129" s="531"/>
      <c r="L129" s="531"/>
      <c r="M129" s="532"/>
      <c r="N129" s="160"/>
      <c r="O129" s="160"/>
      <c r="P129" s="160"/>
      <c r="Q129" s="160"/>
      <c r="R129" s="159"/>
    </row>
    <row r="130" spans="1:23" s="136" customFormat="1" ht="15.75" customHeight="1" x14ac:dyDescent="0.2">
      <c r="A130" s="182" t="s">
        <v>742</v>
      </c>
      <c r="B130" s="813" t="str">
        <f>IF($A130="","",VLOOKUP($A130,Listes!$A$3:$C$193,2,FALSE))</f>
        <v>Wharfage (Destination)</v>
      </c>
      <c r="C130" s="813"/>
      <c r="D130" s="813"/>
      <c r="E130" s="814" t="s">
        <v>51</v>
      </c>
      <c r="F130" s="814"/>
      <c r="G130" s="814"/>
      <c r="H130" s="612"/>
      <c r="I130" s="531"/>
      <c r="J130" s="531"/>
      <c r="K130" s="531"/>
      <c r="L130" s="531"/>
      <c r="M130" s="532"/>
      <c r="N130" s="160"/>
      <c r="O130" s="160"/>
      <c r="P130" s="160"/>
      <c r="Q130" s="160"/>
      <c r="R130" s="159"/>
    </row>
    <row r="131" spans="1:23" s="136" customFormat="1" ht="16.5" thickBot="1" x14ac:dyDescent="0.25">
      <c r="A131" s="185" t="s">
        <v>833</v>
      </c>
      <c r="B131" s="812" t="str">
        <f>IF($A131="","",VLOOKUP($A131,Listes!$A$3:$C$193,2,FALSE))</f>
        <v>Wharfage (Origin)</v>
      </c>
      <c r="C131" s="812"/>
      <c r="D131" s="812"/>
      <c r="E131" s="815" t="s">
        <v>51</v>
      </c>
      <c r="F131" s="815"/>
      <c r="G131" s="815"/>
      <c r="H131" s="613"/>
      <c r="I131" s="533"/>
      <c r="J131" s="533"/>
      <c r="K131" s="533"/>
      <c r="L131" s="533"/>
      <c r="M131" s="534"/>
      <c r="N131" s="160"/>
      <c r="O131" s="160"/>
      <c r="P131" s="160"/>
      <c r="Q131" s="160"/>
      <c r="R131" s="159"/>
    </row>
    <row r="132" spans="1:23" s="73" customFormat="1" ht="16.5" thickBot="1" x14ac:dyDescent="0.25">
      <c r="A132" s="850" t="s">
        <v>216</v>
      </c>
      <c r="B132" s="851"/>
      <c r="C132" s="851"/>
      <c r="D132" s="851"/>
      <c r="E132" s="852"/>
      <c r="F132" s="852"/>
      <c r="G132" s="852"/>
      <c r="H132" s="852"/>
      <c r="I132" s="853"/>
      <c r="J132" s="169"/>
      <c r="K132" s="118"/>
      <c r="L132" s="134"/>
      <c r="M132" s="134"/>
      <c r="N132" s="134"/>
      <c r="O132" s="134"/>
      <c r="P132" s="134"/>
      <c r="Q132" s="118"/>
    </row>
    <row r="133" spans="1:23" s="73" customFormat="1" ht="16.5" thickBot="1" x14ac:dyDescent="0.25">
      <c r="A133" s="849" t="s">
        <v>597</v>
      </c>
      <c r="B133" s="833"/>
      <c r="C133" s="833"/>
      <c r="D133" s="833"/>
      <c r="E133" s="833"/>
      <c r="F133" s="833"/>
      <c r="G133" s="833"/>
      <c r="H133" s="833"/>
      <c r="I133" s="834"/>
      <c r="J133" s="169"/>
      <c r="K133" s="134"/>
      <c r="L133" s="134"/>
      <c r="M133" s="134"/>
      <c r="N133" s="134"/>
      <c r="O133" s="118"/>
    </row>
    <row r="134" spans="1:23" s="73" customFormat="1" ht="16.5" thickBot="1" x14ac:dyDescent="0.25">
      <c r="A134" s="187"/>
      <c r="B134" s="187"/>
      <c r="C134" s="188"/>
      <c r="D134" s="189"/>
      <c r="E134" s="170"/>
      <c r="F134" s="170"/>
      <c r="G134" s="170"/>
      <c r="H134" s="170"/>
      <c r="I134" s="170"/>
      <c r="J134" s="189"/>
      <c r="K134" s="169"/>
      <c r="L134" s="118"/>
      <c r="M134" s="134"/>
      <c r="N134" s="134"/>
      <c r="O134" s="134"/>
      <c r="P134" s="134"/>
      <c r="Q134" s="134"/>
      <c r="R134" s="118"/>
    </row>
    <row r="135" spans="1:23" s="73" customFormat="1" ht="15.6" customHeight="1" x14ac:dyDescent="0.2">
      <c r="A135" s="830" t="s">
        <v>523</v>
      </c>
      <c r="B135" s="831"/>
      <c r="C135" s="831"/>
      <c r="D135" s="831"/>
      <c r="E135" s="842" t="s">
        <v>288</v>
      </c>
      <c r="F135" s="842">
        <v>20</v>
      </c>
      <c r="G135" s="842">
        <v>40</v>
      </c>
      <c r="H135" s="842" t="s">
        <v>19</v>
      </c>
      <c r="I135" s="842" t="s">
        <v>20</v>
      </c>
      <c r="J135" s="848" t="s">
        <v>297</v>
      </c>
      <c r="K135" s="848" t="s">
        <v>33</v>
      </c>
      <c r="L135" s="846" t="s">
        <v>217</v>
      </c>
      <c r="M135" s="189"/>
      <c r="N135" s="134"/>
      <c r="O135" s="134"/>
      <c r="P135" s="134"/>
      <c r="Q135" s="134"/>
      <c r="R135" s="134"/>
      <c r="S135" s="134"/>
      <c r="T135" s="134"/>
      <c r="U135" s="134"/>
    </row>
    <row r="136" spans="1:23" s="73" customFormat="1" x14ac:dyDescent="0.2">
      <c r="A136" s="537" t="s">
        <v>218</v>
      </c>
      <c r="B136" s="538" t="s">
        <v>11</v>
      </c>
      <c r="C136" s="538" t="s">
        <v>12</v>
      </c>
      <c r="D136" s="538" t="s">
        <v>219</v>
      </c>
      <c r="E136" s="843"/>
      <c r="F136" s="843"/>
      <c r="G136" s="843"/>
      <c r="H136" s="843"/>
      <c r="I136" s="843"/>
      <c r="J136" s="843"/>
      <c r="K136" s="843"/>
      <c r="L136" s="847"/>
      <c r="M136" s="189"/>
      <c r="N136" s="134"/>
      <c r="O136" s="134"/>
      <c r="P136" s="134"/>
      <c r="Q136" s="134"/>
      <c r="R136" s="134"/>
      <c r="S136" s="134"/>
      <c r="T136" s="134"/>
      <c r="U136" s="134"/>
    </row>
    <row r="137" spans="1:23" s="136" customFormat="1" x14ac:dyDescent="0.2">
      <c r="A137" s="539"/>
      <c r="B137" s="540"/>
      <c r="C137" s="540"/>
      <c r="D137" s="540"/>
      <c r="E137" s="540"/>
      <c r="F137" s="255"/>
      <c r="G137" s="255"/>
      <c r="H137" s="255"/>
      <c r="I137" s="255"/>
      <c r="J137" s="540"/>
      <c r="K137" s="21"/>
      <c r="L137" s="541"/>
      <c r="M137" s="190"/>
      <c r="N137" s="160"/>
      <c r="O137" s="160"/>
      <c r="P137" s="160"/>
      <c r="Q137" s="160"/>
      <c r="R137" s="160"/>
      <c r="S137" s="160"/>
      <c r="T137" s="160"/>
      <c r="U137" s="160"/>
    </row>
    <row r="138" spans="1:23" s="136" customFormat="1" x14ac:dyDescent="0.2">
      <c r="A138" s="542"/>
      <c r="B138" s="540"/>
      <c r="C138" s="540"/>
      <c r="D138" s="540"/>
      <c r="E138" s="540"/>
      <c r="F138" s="255"/>
      <c r="G138" s="255"/>
      <c r="H138" s="255"/>
      <c r="I138" s="255"/>
      <c r="J138" s="24"/>
      <c r="K138" s="21"/>
      <c r="L138" s="25"/>
      <c r="M138" s="191"/>
      <c r="N138" s="160"/>
      <c r="O138" s="160"/>
      <c r="P138" s="160"/>
      <c r="Q138" s="160"/>
      <c r="R138" s="160"/>
      <c r="S138" s="160"/>
      <c r="T138" s="160"/>
      <c r="U138" s="160"/>
    </row>
    <row r="139" spans="1:23" s="136" customFormat="1" x14ac:dyDescent="0.2">
      <c r="A139" s="542"/>
      <c r="B139" s="540"/>
      <c r="C139" s="540"/>
      <c r="D139" s="540"/>
      <c r="E139" s="540"/>
      <c r="F139" s="255"/>
      <c r="G139" s="255"/>
      <c r="H139" s="255"/>
      <c r="I139" s="255"/>
      <c r="J139" s="24"/>
      <c r="K139" s="21"/>
      <c r="L139" s="25"/>
      <c r="M139" s="191"/>
      <c r="N139" s="160"/>
      <c r="O139" s="160"/>
      <c r="P139" s="160"/>
      <c r="Q139" s="160"/>
      <c r="R139" s="160"/>
      <c r="S139" s="160"/>
      <c r="T139" s="160"/>
      <c r="U139" s="160"/>
    </row>
    <row r="140" spans="1:23" s="136" customFormat="1" ht="16.5" thickBot="1" x14ac:dyDescent="0.25">
      <c r="A140" s="543"/>
      <c r="B140" s="544"/>
      <c r="C140" s="544"/>
      <c r="D140" s="544"/>
      <c r="E140" s="544"/>
      <c r="F140" s="256"/>
      <c r="G140" s="256"/>
      <c r="H140" s="256"/>
      <c r="I140" s="256"/>
      <c r="J140" s="28"/>
      <c r="K140" s="29"/>
      <c r="L140" s="30"/>
      <c r="M140" s="191"/>
      <c r="N140" s="160"/>
      <c r="O140" s="160"/>
      <c r="P140" s="160"/>
      <c r="Q140" s="160"/>
      <c r="R140" s="160"/>
      <c r="S140" s="160"/>
      <c r="T140" s="160"/>
      <c r="U140" s="160"/>
    </row>
    <row r="141" spans="1:23" s="136" customFormat="1" x14ac:dyDescent="0.2">
      <c r="A141" s="173"/>
      <c r="B141" s="545"/>
      <c r="C141" s="545"/>
      <c r="D141" s="545"/>
      <c r="E141" s="545"/>
      <c r="F141" s="545"/>
      <c r="G141" s="545"/>
      <c r="H141" s="545"/>
      <c r="I141" s="545"/>
      <c r="J141" s="33"/>
      <c r="K141" s="33"/>
      <c r="L141" s="34"/>
      <c r="M141" s="191"/>
      <c r="N141" s="160"/>
      <c r="O141" s="160"/>
      <c r="P141" s="160"/>
      <c r="Q141" s="160"/>
      <c r="R141" s="160"/>
      <c r="S141" s="160"/>
      <c r="T141" s="160"/>
      <c r="U141" s="160"/>
    </row>
    <row r="142" spans="1:23" s="73" customFormat="1" ht="15.6" customHeight="1" x14ac:dyDescent="0.2">
      <c r="A142" s="841" t="s">
        <v>596</v>
      </c>
      <c r="B142" s="840"/>
      <c r="C142" s="840"/>
      <c r="D142" s="840"/>
      <c r="E142" s="840" t="s">
        <v>288</v>
      </c>
      <c r="F142" s="840">
        <v>20</v>
      </c>
      <c r="G142" s="840">
        <v>40</v>
      </c>
      <c r="H142" s="840" t="s">
        <v>19</v>
      </c>
      <c r="I142" s="840" t="s">
        <v>20</v>
      </c>
      <c r="J142" s="845" t="s">
        <v>297</v>
      </c>
      <c r="K142" s="845" t="s">
        <v>33</v>
      </c>
      <c r="L142" s="844" t="s">
        <v>217</v>
      </c>
      <c r="M142" s="844" t="s">
        <v>23</v>
      </c>
      <c r="N142" s="169"/>
      <c r="O142" s="118"/>
      <c r="P142" s="134"/>
      <c r="Q142" s="134"/>
      <c r="R142" s="134"/>
      <c r="S142" s="134"/>
      <c r="T142" s="134"/>
      <c r="U142" s="134"/>
      <c r="V142" s="134"/>
      <c r="W142" s="134"/>
    </row>
    <row r="143" spans="1:23" s="73" customFormat="1" x14ac:dyDescent="0.2">
      <c r="A143" s="600" t="s">
        <v>218</v>
      </c>
      <c r="B143" s="600" t="s">
        <v>11</v>
      </c>
      <c r="C143" s="600" t="s">
        <v>12</v>
      </c>
      <c r="D143" s="600" t="s">
        <v>219</v>
      </c>
      <c r="E143" s="840"/>
      <c r="F143" s="840"/>
      <c r="G143" s="840"/>
      <c r="H143" s="840"/>
      <c r="I143" s="840"/>
      <c r="J143" s="840"/>
      <c r="K143" s="840"/>
      <c r="L143" s="844"/>
      <c r="M143" s="844"/>
      <c r="N143" s="169"/>
      <c r="O143" s="118"/>
      <c r="P143" s="134"/>
      <c r="Q143" s="134"/>
      <c r="R143" s="134"/>
      <c r="S143" s="134"/>
      <c r="T143" s="134"/>
      <c r="U143" s="134"/>
      <c r="V143" s="134"/>
      <c r="W143" s="134"/>
    </row>
    <row r="144" spans="1:23" s="136" customFormat="1" x14ac:dyDescent="0.2">
      <c r="A144" s="372"/>
      <c r="B144" s="547"/>
      <c r="C144" s="547"/>
      <c r="D144" s="547"/>
      <c r="E144" s="547"/>
      <c r="F144" s="368"/>
      <c r="G144" s="368"/>
      <c r="H144" s="368"/>
      <c r="I144" s="368"/>
      <c r="J144" s="369"/>
      <c r="K144" s="370"/>
      <c r="L144" s="548"/>
      <c r="M144" s="548"/>
      <c r="N144" s="192"/>
      <c r="O144" s="159"/>
      <c r="P144" s="160"/>
      <c r="Q144" s="160"/>
      <c r="R144" s="160"/>
      <c r="S144" s="160"/>
      <c r="T144" s="160"/>
      <c r="U144" s="160"/>
      <c r="V144" s="160"/>
      <c r="W144" s="160"/>
    </row>
    <row r="145" spans="1:23" s="136" customFormat="1" x14ac:dyDescent="0.2">
      <c r="A145" s="372"/>
      <c r="B145" s="547"/>
      <c r="C145" s="547"/>
      <c r="D145" s="547"/>
      <c r="E145" s="547"/>
      <c r="F145" s="368"/>
      <c r="G145" s="368"/>
      <c r="H145" s="368"/>
      <c r="I145" s="368"/>
      <c r="J145" s="369"/>
      <c r="K145" s="370"/>
      <c r="L145" s="548"/>
      <c r="M145" s="548"/>
      <c r="N145" s="192"/>
      <c r="O145" s="159"/>
      <c r="P145" s="160"/>
      <c r="Q145" s="160"/>
      <c r="R145" s="160"/>
      <c r="S145" s="160"/>
      <c r="T145" s="160"/>
      <c r="U145" s="160"/>
      <c r="V145" s="160"/>
      <c r="W145" s="160"/>
    </row>
    <row r="146" spans="1:23" s="136" customFormat="1" x14ac:dyDescent="0.2">
      <c r="A146" s="372"/>
      <c r="B146" s="547"/>
      <c r="C146" s="547"/>
      <c r="D146" s="547"/>
      <c r="E146" s="547"/>
      <c r="F146" s="368"/>
      <c r="G146" s="368"/>
      <c r="H146" s="368"/>
      <c r="I146" s="368"/>
      <c r="J146" s="369"/>
      <c r="K146" s="370"/>
      <c r="L146" s="548"/>
      <c r="M146" s="548"/>
      <c r="N146" s="192"/>
      <c r="O146" s="159"/>
      <c r="P146" s="160"/>
      <c r="Q146" s="160"/>
      <c r="R146" s="160"/>
      <c r="S146" s="160"/>
      <c r="T146" s="160"/>
      <c r="U146" s="160"/>
      <c r="V146" s="160"/>
      <c r="W146" s="160"/>
    </row>
    <row r="147" spans="1:23" s="136" customFormat="1" x14ac:dyDescent="0.2">
      <c r="A147" s="372"/>
      <c r="B147" s="547"/>
      <c r="C147" s="547"/>
      <c r="D147" s="547"/>
      <c r="E147" s="547"/>
      <c r="F147" s="368"/>
      <c r="G147" s="368"/>
      <c r="H147" s="368"/>
      <c r="I147" s="368"/>
      <c r="J147" s="369"/>
      <c r="K147" s="370"/>
      <c r="L147" s="373"/>
      <c r="M147" s="373"/>
      <c r="N147" s="191"/>
      <c r="O147" s="159"/>
      <c r="P147" s="160"/>
      <c r="Q147" s="160"/>
      <c r="R147" s="160"/>
      <c r="S147" s="160"/>
      <c r="T147" s="160"/>
      <c r="U147" s="160"/>
      <c r="V147" s="160"/>
      <c r="W147" s="160"/>
    </row>
    <row r="148" spans="1:23" s="73" customFormat="1" x14ac:dyDescent="0.2">
      <c r="A148" s="456"/>
      <c r="B148" s="549"/>
      <c r="C148" s="549"/>
      <c r="D148" s="549"/>
      <c r="E148" s="549"/>
      <c r="F148" s="194"/>
      <c r="G148" s="522"/>
      <c r="H148" s="195"/>
      <c r="I148" s="195"/>
      <c r="J148" s="176"/>
      <c r="K148" s="118"/>
      <c r="L148" s="134"/>
      <c r="M148" s="134"/>
      <c r="N148" s="134"/>
      <c r="O148" s="134"/>
      <c r="P148" s="134"/>
      <c r="Q148" s="134"/>
    </row>
    <row r="149" spans="1:23" s="456" customFormat="1" ht="16.5" thickBot="1" x14ac:dyDescent="0.25">
      <c r="A149" s="196"/>
      <c r="B149" s="197"/>
      <c r="C149" s="198"/>
      <c r="D149" s="198"/>
      <c r="E149" s="169"/>
      <c r="F149" s="176"/>
      <c r="G149" s="176"/>
      <c r="H149" s="176"/>
      <c r="I149" s="176"/>
      <c r="J149" s="170"/>
      <c r="K149" s="118"/>
      <c r="L149" s="134"/>
      <c r="M149" s="134"/>
      <c r="N149" s="134"/>
      <c r="O149" s="134"/>
      <c r="P149" s="134"/>
      <c r="Q149" s="134"/>
      <c r="R149" s="134"/>
      <c r="S149" s="118"/>
      <c r="T149" s="118"/>
      <c r="U149" s="118"/>
    </row>
    <row r="150" spans="1:23" s="456" customFormat="1" ht="16.5" thickBot="1" x14ac:dyDescent="0.25">
      <c r="A150" s="822" t="s">
        <v>220</v>
      </c>
      <c r="B150" s="823"/>
      <c r="C150" s="823"/>
      <c r="D150" s="823"/>
      <c r="E150" s="824"/>
      <c r="F150" s="176"/>
      <c r="G150" s="176"/>
      <c r="H150" s="176"/>
      <c r="I150" s="176"/>
      <c r="J150" s="170"/>
      <c r="K150" s="118"/>
      <c r="L150" s="134"/>
      <c r="M150" s="134"/>
      <c r="N150" s="134"/>
      <c r="O150" s="134"/>
      <c r="P150" s="134"/>
      <c r="Q150" s="134"/>
      <c r="R150" s="134"/>
      <c r="S150" s="118"/>
      <c r="T150" s="118"/>
      <c r="U150" s="118"/>
    </row>
    <row r="151" spans="1:23" s="73" customFormat="1" ht="16.5" thickBot="1" x14ac:dyDescent="0.25">
      <c r="A151" s="550"/>
      <c r="B151" s="456"/>
      <c r="C151" s="456"/>
      <c r="D151" s="456"/>
      <c r="E151" s="456"/>
      <c r="F151" s="194"/>
      <c r="G151" s="456"/>
      <c r="H151" s="200"/>
      <c r="I151" s="194"/>
      <c r="J151" s="194"/>
      <c r="K151" s="118"/>
      <c r="L151" s="134"/>
      <c r="M151" s="134"/>
      <c r="N151" s="134"/>
      <c r="O151" s="134"/>
      <c r="P151" s="134"/>
      <c r="Q151" s="134"/>
      <c r="R151" s="134"/>
      <c r="S151" s="118"/>
      <c r="T151" s="118"/>
      <c r="U151" s="118"/>
    </row>
    <row r="152" spans="1:23" s="73" customFormat="1" ht="16.5" thickBot="1" x14ac:dyDescent="0.25">
      <c r="A152" s="825" t="s">
        <v>221</v>
      </c>
      <c r="B152" s="838"/>
      <c r="C152" s="838"/>
      <c r="D152" s="838"/>
      <c r="E152" s="838"/>
      <c r="F152" s="839"/>
      <c r="G152" s="456"/>
      <c r="H152" s="200"/>
      <c r="I152" s="194"/>
      <c r="J152" s="194"/>
      <c r="K152" s="118"/>
      <c r="L152" s="134"/>
      <c r="M152" s="134"/>
      <c r="N152" s="134"/>
      <c r="O152" s="134"/>
      <c r="P152" s="134"/>
      <c r="Q152" s="134"/>
      <c r="R152" s="134"/>
      <c r="S152" s="118"/>
      <c r="T152" s="118"/>
      <c r="U152" s="118"/>
    </row>
    <row r="153" spans="1:23" s="73" customFormat="1" ht="16.5" customHeight="1" x14ac:dyDescent="0.2">
      <c r="A153" s="835" t="s">
        <v>222</v>
      </c>
      <c r="B153" s="836"/>
      <c r="C153" s="836"/>
      <c r="D153" s="836"/>
      <c r="E153" s="836"/>
      <c r="F153" s="837"/>
      <c r="G153" s="456"/>
      <c r="H153" s="201"/>
      <c r="I153" s="170"/>
      <c r="J153" s="170"/>
      <c r="K153" s="118"/>
      <c r="L153" s="134"/>
      <c r="M153" s="134"/>
      <c r="N153" s="134"/>
      <c r="O153" s="134"/>
      <c r="P153" s="134"/>
      <c r="Q153" s="134"/>
      <c r="R153" s="134"/>
      <c r="S153" s="118"/>
      <c r="T153" s="118"/>
      <c r="U153" s="118"/>
    </row>
    <row r="154" spans="1:23" ht="16.5" thickBot="1" x14ac:dyDescent="0.25">
      <c r="A154" s="832" t="s">
        <v>223</v>
      </c>
      <c r="B154" s="833"/>
      <c r="C154" s="833"/>
      <c r="D154" s="833"/>
      <c r="E154" s="833"/>
      <c r="F154" s="834"/>
      <c r="G154" s="176"/>
      <c r="H154" s="176"/>
      <c r="I154" s="176"/>
      <c r="J154" s="169"/>
      <c r="K154" s="169"/>
      <c r="L154" s="169"/>
      <c r="M154" s="169"/>
      <c r="N154" s="169"/>
      <c r="O154" s="169"/>
      <c r="P154" s="169"/>
      <c r="Q154" s="169"/>
      <c r="R154" s="169"/>
      <c r="S154" s="169"/>
      <c r="T154" s="169"/>
      <c r="U154" s="169"/>
    </row>
    <row r="155" spans="1:23" x14ac:dyDescent="0.2">
      <c r="A155" s="551" t="s">
        <v>224</v>
      </c>
      <c r="B155" s="450" t="s">
        <v>225</v>
      </c>
      <c r="C155" s="596" t="s">
        <v>226</v>
      </c>
      <c r="D155" s="553" t="s">
        <v>227</v>
      </c>
      <c r="E155" s="176"/>
      <c r="F155" s="176"/>
      <c r="G155" s="176"/>
      <c r="H155" s="169"/>
      <c r="I155" s="169"/>
      <c r="J155" s="169"/>
      <c r="K155" s="169"/>
      <c r="L155" s="169"/>
      <c r="M155" s="169"/>
      <c r="N155" s="169"/>
      <c r="O155" s="169"/>
      <c r="P155" s="169"/>
      <c r="Q155" s="169"/>
      <c r="R155" s="169"/>
    </row>
    <row r="156" spans="1:23" s="192" customFormat="1" x14ac:dyDescent="0.2">
      <c r="A156" s="203"/>
      <c r="B156" s="204" t="s">
        <v>344</v>
      </c>
      <c r="C156" s="597" t="s">
        <v>62</v>
      </c>
      <c r="D156" s="206">
        <v>0.8</v>
      </c>
      <c r="E156" s="191"/>
      <c r="F156" s="191"/>
      <c r="G156" s="191"/>
    </row>
    <row r="157" spans="1:23" s="192" customFormat="1" x14ac:dyDescent="0.2">
      <c r="A157" s="203"/>
      <c r="B157" s="204" t="s">
        <v>344</v>
      </c>
      <c r="C157" s="597" t="s">
        <v>417</v>
      </c>
      <c r="D157" s="206">
        <v>1.125</v>
      </c>
      <c r="E157" s="191"/>
      <c r="F157" s="191"/>
      <c r="G157" s="191"/>
    </row>
    <row r="158" spans="1:23" s="192" customFormat="1" ht="16.5" thickBot="1" x14ac:dyDescent="0.25">
      <c r="A158" s="207"/>
      <c r="B158" s="208" t="s">
        <v>344</v>
      </c>
      <c r="C158" s="209" t="s">
        <v>418</v>
      </c>
      <c r="D158" s="210">
        <v>1.266</v>
      </c>
      <c r="E158" s="191"/>
      <c r="F158" s="191"/>
      <c r="G158" s="191"/>
    </row>
    <row r="159" spans="1:23" ht="16.5" thickBot="1" x14ac:dyDescent="0.25"/>
    <row r="160" spans="1:23" s="73" customFormat="1" ht="16.5" thickBot="1" x14ac:dyDescent="0.25">
      <c r="A160" s="822" t="s">
        <v>228</v>
      </c>
      <c r="B160" s="823"/>
      <c r="C160" s="823"/>
      <c r="D160" s="823"/>
      <c r="E160" s="823"/>
      <c r="F160" s="823"/>
      <c r="G160" s="823"/>
      <c r="H160" s="823"/>
      <c r="I160" s="824"/>
      <c r="J160" s="169"/>
      <c r="K160" s="118"/>
      <c r="L160" s="134"/>
      <c r="M160" s="134"/>
      <c r="N160" s="134"/>
      <c r="O160" s="134"/>
      <c r="P160" s="134"/>
      <c r="Q160" s="134"/>
      <c r="R160" s="134"/>
      <c r="S160" s="118"/>
      <c r="T160" s="118"/>
      <c r="U160" s="118"/>
    </row>
    <row r="161" spans="1:21" s="73" customFormat="1" ht="16.5" thickBot="1" x14ac:dyDescent="0.25">
      <c r="A161" s="554" t="s">
        <v>229</v>
      </c>
      <c r="B161" s="213"/>
      <c r="C161" s="214"/>
      <c r="D161" s="214"/>
      <c r="E161" s="214"/>
      <c r="F161" s="214"/>
      <c r="G161" s="215"/>
      <c r="H161" s="216"/>
      <c r="I161" s="217"/>
      <c r="J161" s="170"/>
      <c r="K161" s="118"/>
      <c r="L161" s="134"/>
      <c r="M161" s="134"/>
      <c r="N161" s="134"/>
      <c r="O161" s="134"/>
      <c r="P161" s="134"/>
      <c r="Q161" s="134"/>
      <c r="R161" s="134"/>
      <c r="S161" s="118"/>
      <c r="T161" s="118"/>
      <c r="U161" s="118"/>
    </row>
    <row r="162" spans="1:21" s="308" customFormat="1" x14ac:dyDescent="0.2">
      <c r="A162" s="228"/>
      <c r="B162" s="949"/>
      <c r="C162" s="950"/>
      <c r="D162" s="950"/>
      <c r="E162" s="950"/>
      <c r="F162" s="950"/>
      <c r="G162" s="950"/>
      <c r="H162" s="950"/>
      <c r="I162" s="951"/>
      <c r="J162" s="171"/>
      <c r="K162" s="172"/>
      <c r="L162" s="173"/>
      <c r="M162" s="173"/>
      <c r="N162" s="173"/>
      <c r="O162" s="173"/>
      <c r="P162" s="173"/>
      <c r="Q162" s="173"/>
      <c r="R162" s="173"/>
      <c r="S162" s="172"/>
      <c r="T162" s="172"/>
      <c r="U162" s="172"/>
    </row>
    <row r="163" spans="1:21" s="218" customFormat="1" x14ac:dyDescent="0.2">
      <c r="A163" s="281"/>
      <c r="B163" s="816"/>
      <c r="C163" s="817"/>
      <c r="D163" s="817"/>
      <c r="E163" s="817"/>
      <c r="F163" s="817"/>
      <c r="G163" s="817"/>
      <c r="H163" s="817"/>
      <c r="I163" s="818"/>
    </row>
    <row r="164" spans="1:21" s="218" customFormat="1" x14ac:dyDescent="0.2">
      <c r="A164" s="281"/>
      <c r="B164" s="816"/>
      <c r="C164" s="817"/>
      <c r="D164" s="817"/>
      <c r="E164" s="817"/>
      <c r="F164" s="817"/>
      <c r="G164" s="817"/>
      <c r="H164" s="817"/>
      <c r="I164" s="818"/>
    </row>
    <row r="165" spans="1:21" s="218" customFormat="1" x14ac:dyDescent="0.2">
      <c r="A165" s="281"/>
      <c r="B165" s="816"/>
      <c r="C165" s="817"/>
      <c r="D165" s="817"/>
      <c r="E165" s="817"/>
      <c r="F165" s="817"/>
      <c r="G165" s="817"/>
      <c r="H165" s="817"/>
      <c r="I165" s="818"/>
    </row>
    <row r="166" spans="1:21" s="218" customFormat="1" x14ac:dyDescent="0.2">
      <c r="A166" s="281"/>
      <c r="B166" s="816"/>
      <c r="C166" s="817"/>
      <c r="D166" s="817"/>
      <c r="E166" s="817"/>
      <c r="F166" s="817"/>
      <c r="G166" s="817"/>
      <c r="H166" s="817"/>
      <c r="I166" s="818"/>
    </row>
    <row r="167" spans="1:21" s="218" customFormat="1" x14ac:dyDescent="0.2">
      <c r="A167" s="281"/>
      <c r="B167" s="816"/>
      <c r="C167" s="817"/>
      <c r="D167" s="817"/>
      <c r="E167" s="817"/>
      <c r="F167" s="817"/>
      <c r="G167" s="817"/>
      <c r="H167" s="817"/>
      <c r="I167" s="818"/>
    </row>
    <row r="168" spans="1:21" s="218" customFormat="1" x14ac:dyDescent="0.2">
      <c r="A168" s="281"/>
      <c r="B168" s="816"/>
      <c r="C168" s="817"/>
      <c r="D168" s="817"/>
      <c r="E168" s="817"/>
      <c r="F168" s="817"/>
      <c r="G168" s="817"/>
      <c r="H168" s="817"/>
      <c r="I168" s="818"/>
    </row>
    <row r="169" spans="1:21" s="218" customFormat="1" x14ac:dyDescent="0.2">
      <c r="A169" s="281"/>
      <c r="B169" s="816"/>
      <c r="C169" s="817"/>
      <c r="D169" s="817"/>
      <c r="E169" s="817"/>
      <c r="F169" s="817"/>
      <c r="G169" s="817"/>
      <c r="H169" s="817"/>
      <c r="I169" s="818"/>
    </row>
    <row r="170" spans="1:21" s="218" customFormat="1" x14ac:dyDescent="0.2">
      <c r="A170" s="281"/>
      <c r="B170" s="816"/>
      <c r="C170" s="817"/>
      <c r="D170" s="817"/>
      <c r="E170" s="817"/>
      <c r="F170" s="817"/>
      <c r="G170" s="817"/>
      <c r="H170" s="817"/>
      <c r="I170" s="818"/>
    </row>
    <row r="171" spans="1:21" s="218" customFormat="1" x14ac:dyDescent="0.2">
      <c r="A171" s="281"/>
      <c r="B171" s="816"/>
      <c r="C171" s="817"/>
      <c r="D171" s="817"/>
      <c r="E171" s="817"/>
      <c r="F171" s="817"/>
      <c r="G171" s="817"/>
      <c r="H171" s="817"/>
      <c r="I171" s="818"/>
    </row>
    <row r="172" spans="1:21" s="218" customFormat="1" x14ac:dyDescent="0.2">
      <c r="A172" s="281"/>
      <c r="B172" s="816"/>
      <c r="C172" s="817"/>
      <c r="D172" s="817"/>
      <c r="E172" s="817"/>
      <c r="F172" s="817"/>
      <c r="G172" s="817"/>
      <c r="H172" s="817"/>
      <c r="I172" s="818"/>
    </row>
    <row r="173" spans="1:21" s="218" customFormat="1" x14ac:dyDescent="0.2">
      <c r="A173" s="281"/>
      <c r="B173" s="816"/>
      <c r="C173" s="817"/>
      <c r="D173" s="817"/>
      <c r="E173" s="817"/>
      <c r="F173" s="817"/>
      <c r="G173" s="817"/>
      <c r="H173" s="817"/>
      <c r="I173" s="818"/>
    </row>
    <row r="174" spans="1:21" s="218" customFormat="1" x14ac:dyDescent="0.2">
      <c r="A174" s="281"/>
      <c r="B174" s="816"/>
      <c r="C174" s="817"/>
      <c r="D174" s="817"/>
      <c r="E174" s="817"/>
      <c r="F174" s="817"/>
      <c r="G174" s="817"/>
      <c r="H174" s="817"/>
      <c r="I174" s="818"/>
    </row>
    <row r="175" spans="1:21" s="218" customFormat="1" x14ac:dyDescent="0.2">
      <c r="A175" s="281"/>
      <c r="B175" s="816"/>
      <c r="C175" s="817"/>
      <c r="D175" s="817"/>
      <c r="E175" s="817"/>
      <c r="F175" s="817"/>
      <c r="G175" s="817"/>
      <c r="H175" s="817"/>
      <c r="I175" s="818"/>
    </row>
    <row r="176" spans="1:21" s="218" customFormat="1" ht="16.5" thickBot="1" x14ac:dyDescent="0.25">
      <c r="A176" s="282"/>
      <c r="B176" s="819"/>
      <c r="C176" s="820"/>
      <c r="D176" s="820"/>
      <c r="E176" s="820"/>
      <c r="F176" s="820"/>
      <c r="G176" s="820"/>
      <c r="H176" s="820"/>
      <c r="I176" s="821"/>
    </row>
    <row r="178" spans="1:14" s="218" customFormat="1" x14ac:dyDescent="0.2">
      <c r="F178" s="337"/>
      <c r="G178" s="337"/>
      <c r="H178" s="337"/>
      <c r="I178" s="337"/>
    </row>
    <row r="179" spans="1:14" s="218" customFormat="1" ht="16.5" thickBot="1" x14ac:dyDescent="0.25">
      <c r="F179" s="337"/>
      <c r="G179" s="337"/>
      <c r="H179" s="337"/>
      <c r="I179" s="337"/>
    </row>
    <row r="180" spans="1:14" s="218" customFormat="1" ht="16.5" thickBot="1" x14ac:dyDescent="0.25">
      <c r="A180" s="825" t="s">
        <v>3</v>
      </c>
      <c r="B180" s="826"/>
      <c r="F180" s="337"/>
      <c r="G180" s="337"/>
      <c r="H180" s="337"/>
      <c r="I180" s="337"/>
    </row>
    <row r="181" spans="1:14" s="347" customFormat="1" ht="16.5" thickBot="1" x14ac:dyDescent="0.25">
      <c r="A181" s="338"/>
      <c r="B181" s="338"/>
      <c r="F181" s="348"/>
      <c r="G181" s="348"/>
      <c r="H181" s="348"/>
      <c r="I181" s="348"/>
    </row>
    <row r="182" spans="1:14" s="218" customFormat="1" ht="15.75" customHeight="1" thickBot="1" x14ac:dyDescent="0.25">
      <c r="A182" s="800" t="s">
        <v>2</v>
      </c>
      <c r="B182" s="801"/>
      <c r="C182" s="801"/>
      <c r="D182" s="801"/>
      <c r="E182" s="801"/>
      <c r="F182" s="801"/>
      <c r="G182" s="802"/>
      <c r="H182" s="337"/>
      <c r="I182" s="337"/>
    </row>
    <row r="183" spans="1:14" s="347" customFormat="1" ht="15.75" customHeight="1" thickBot="1" x14ac:dyDescent="0.25">
      <c r="A183" s="338"/>
      <c r="B183" s="338"/>
      <c r="C183" s="338"/>
      <c r="D183" s="338"/>
      <c r="E183" s="338"/>
      <c r="F183" s="338"/>
      <c r="G183" s="338"/>
      <c r="H183" s="348"/>
      <c r="I183" s="348"/>
    </row>
    <row r="184" spans="1:14" s="218" customFormat="1" ht="15.75" customHeight="1" thickBot="1" x14ac:dyDescent="0.25">
      <c r="A184" s="807" t="s">
        <v>1</v>
      </c>
      <c r="B184" s="808"/>
      <c r="C184" s="808"/>
      <c r="D184" s="808"/>
      <c r="E184" s="809"/>
      <c r="F184" s="339"/>
      <c r="G184" s="339"/>
      <c r="H184" s="337"/>
      <c r="I184" s="337"/>
    </row>
    <row r="185" spans="1:14" s="218" customFormat="1" x14ac:dyDescent="0.2">
      <c r="A185" s="803" t="s">
        <v>627</v>
      </c>
      <c r="B185" s="805" t="s">
        <v>888</v>
      </c>
      <c r="C185" s="786" t="s">
        <v>0</v>
      </c>
      <c r="D185" s="786" t="s">
        <v>609</v>
      </c>
      <c r="E185" s="805" t="s">
        <v>889</v>
      </c>
      <c r="F185" s="786" t="s">
        <v>436</v>
      </c>
      <c r="G185" s="786" t="s">
        <v>421</v>
      </c>
      <c r="H185" s="786" t="s">
        <v>628</v>
      </c>
      <c r="I185" s="786" t="s">
        <v>11</v>
      </c>
      <c r="J185" s="786" t="s">
        <v>12</v>
      </c>
      <c r="K185" s="786" t="s">
        <v>13</v>
      </c>
      <c r="L185" s="786" t="s">
        <v>449</v>
      </c>
      <c r="M185" s="786" t="s">
        <v>610</v>
      </c>
      <c r="N185" s="788"/>
    </row>
    <row r="186" spans="1:14" s="218" customFormat="1" ht="32.25" customHeight="1" thickBot="1" x14ac:dyDescent="0.25">
      <c r="A186" s="804"/>
      <c r="B186" s="806"/>
      <c r="C186" s="787"/>
      <c r="D186" s="787"/>
      <c r="E186" s="806"/>
      <c r="F186" s="787"/>
      <c r="G186" s="787"/>
      <c r="H186" s="787"/>
      <c r="I186" s="787"/>
      <c r="J186" s="787"/>
      <c r="K186" s="787"/>
      <c r="L186" s="787"/>
      <c r="M186" s="787"/>
      <c r="N186" s="789"/>
    </row>
    <row r="187" spans="1:14" s="218" customFormat="1" x14ac:dyDescent="0.2">
      <c r="A187" s="344"/>
      <c r="B187" s="340"/>
      <c r="C187" s="601"/>
      <c r="D187" s="340"/>
      <c r="E187" s="340"/>
      <c r="F187" s="340"/>
      <c r="G187" s="340"/>
      <c r="H187" s="340"/>
      <c r="I187" s="340"/>
      <c r="J187" s="340"/>
      <c r="K187" s="340"/>
      <c r="L187" s="661"/>
      <c r="M187" s="810"/>
      <c r="N187" s="811"/>
    </row>
    <row r="188" spans="1:14" s="218" customFormat="1" x14ac:dyDescent="0.2">
      <c r="A188" s="345"/>
      <c r="B188" s="341"/>
      <c r="C188" s="599"/>
      <c r="D188" s="341"/>
      <c r="E188" s="341"/>
      <c r="F188" s="341"/>
      <c r="G188" s="341"/>
      <c r="H188" s="341"/>
      <c r="I188" s="341"/>
      <c r="J188" s="341"/>
      <c r="K188" s="341"/>
      <c r="L188" s="662"/>
      <c r="M188" s="790"/>
      <c r="N188" s="791"/>
    </row>
    <row r="189" spans="1:14" s="218" customFormat="1" x14ac:dyDescent="0.2">
      <c r="A189" s="345"/>
      <c r="B189" s="341"/>
      <c r="C189" s="599"/>
      <c r="D189" s="341"/>
      <c r="E189" s="341"/>
      <c r="F189" s="341"/>
      <c r="G189" s="341"/>
      <c r="H189" s="341"/>
      <c r="I189" s="341"/>
      <c r="J189" s="341"/>
      <c r="K189" s="341"/>
      <c r="L189" s="662"/>
      <c r="M189" s="790"/>
      <c r="N189" s="791"/>
    </row>
    <row r="190" spans="1:14" s="218" customFormat="1" x14ac:dyDescent="0.2">
      <c r="A190" s="345"/>
      <c r="B190" s="341"/>
      <c r="C190" s="599"/>
      <c r="D190" s="341"/>
      <c r="E190" s="341"/>
      <c r="F190" s="341"/>
      <c r="G190" s="341"/>
      <c r="H190" s="341"/>
      <c r="I190" s="341"/>
      <c r="J190" s="341"/>
      <c r="K190" s="341"/>
      <c r="L190" s="662"/>
      <c r="M190" s="790"/>
      <c r="N190" s="791"/>
    </row>
    <row r="191" spans="1:14" s="218" customFormat="1" x14ac:dyDescent="0.2">
      <c r="A191" s="345"/>
      <c r="B191" s="341"/>
      <c r="C191" s="599"/>
      <c r="D191" s="341"/>
      <c r="E191" s="341"/>
      <c r="F191" s="341"/>
      <c r="G191" s="341"/>
      <c r="H191" s="341"/>
      <c r="I191" s="341"/>
      <c r="J191" s="341"/>
      <c r="K191" s="341"/>
      <c r="L191" s="662"/>
      <c r="M191" s="790"/>
      <c r="N191" s="791"/>
    </row>
    <row r="192" spans="1:14" s="218" customFormat="1" ht="16.5" thickBot="1" x14ac:dyDescent="0.25">
      <c r="A192" s="346"/>
      <c r="B192" s="342"/>
      <c r="C192" s="336"/>
      <c r="D192" s="342"/>
      <c r="E192" s="342"/>
      <c r="F192" s="342"/>
      <c r="G192" s="342"/>
      <c r="H192" s="342"/>
      <c r="I192" s="342"/>
      <c r="J192" s="342"/>
      <c r="K192" s="342"/>
      <c r="L192" s="663"/>
      <c r="M192" s="794"/>
      <c r="N192" s="795"/>
    </row>
    <row r="193" spans="1:31" s="218" customFormat="1" x14ac:dyDescent="0.2">
      <c r="F193" s="337"/>
      <c r="G193" s="337"/>
      <c r="H193" s="337"/>
      <c r="I193" s="337"/>
    </row>
    <row r="194" spans="1:31" s="218" customFormat="1" ht="16.5" thickBot="1" x14ac:dyDescent="0.25">
      <c r="F194" s="337"/>
      <c r="G194" s="337"/>
      <c r="H194" s="337"/>
      <c r="I194" s="337"/>
    </row>
    <row r="195" spans="1:31" s="218" customFormat="1" ht="16.5" thickBot="1" x14ac:dyDescent="0.25">
      <c r="A195" s="800" t="s">
        <v>790</v>
      </c>
      <c r="B195" s="801"/>
      <c r="C195" s="801"/>
      <c r="D195" s="801"/>
      <c r="E195" s="801"/>
      <c r="F195" s="801"/>
      <c r="G195" s="802"/>
      <c r="H195" s="337"/>
      <c r="I195" s="337"/>
    </row>
    <row r="196" spans="1:31" s="192" customFormat="1" ht="16.5" thickBot="1" x14ac:dyDescent="0.25">
      <c r="F196" s="191"/>
      <c r="G196" s="191"/>
      <c r="H196" s="191"/>
      <c r="I196" s="191"/>
    </row>
    <row r="197" spans="1:31" s="218" customFormat="1" ht="16.5" thickBot="1" x14ac:dyDescent="0.25">
      <c r="A197" s="807" t="s">
        <v>1</v>
      </c>
      <c r="B197" s="808"/>
      <c r="C197" s="808"/>
      <c r="D197" s="808"/>
      <c r="E197" s="808"/>
      <c r="F197" s="808"/>
      <c r="G197" s="808"/>
      <c r="H197" s="809"/>
      <c r="I197" s="337"/>
    </row>
    <row r="198" spans="1:31" s="1187" customFormat="1" ht="16.5" customHeight="1" thickBot="1" x14ac:dyDescent="0.25">
      <c r="A198" s="803" t="s">
        <v>627</v>
      </c>
      <c r="B198" s="805" t="s">
        <v>888</v>
      </c>
      <c r="C198" s="786" t="s">
        <v>0</v>
      </c>
      <c r="D198" s="786" t="s">
        <v>609</v>
      </c>
      <c r="E198" s="805" t="s">
        <v>889</v>
      </c>
      <c r="F198" s="971" t="s">
        <v>42</v>
      </c>
      <c r="G198" s="1165" t="s">
        <v>789</v>
      </c>
      <c r="H198" s="1163"/>
      <c r="I198" s="1163"/>
      <c r="J198" s="1163"/>
      <c r="K198" s="1163"/>
      <c r="L198" s="1163"/>
      <c r="M198" s="1163"/>
      <c r="N198" s="1163"/>
      <c r="O198" s="1163"/>
      <c r="P198" s="1163"/>
      <c r="Q198" s="1163"/>
      <c r="R198" s="1163"/>
      <c r="S198" s="1163"/>
      <c r="T198" s="1163"/>
      <c r="U198" s="1163"/>
      <c r="V198" s="1164"/>
      <c r="W198" s="930" t="s">
        <v>436</v>
      </c>
      <c r="X198" s="786" t="s">
        <v>421</v>
      </c>
      <c r="Y198" s="786" t="s">
        <v>628</v>
      </c>
      <c r="Z198" s="786" t="s">
        <v>11</v>
      </c>
      <c r="AA198" s="786" t="s">
        <v>12</v>
      </c>
      <c r="AB198" s="786" t="s">
        <v>13</v>
      </c>
      <c r="AC198" s="786" t="s">
        <v>449</v>
      </c>
      <c r="AD198" s="971" t="s">
        <v>610</v>
      </c>
      <c r="AE198" s="1161"/>
    </row>
    <row r="199" spans="1:31" s="1187" customFormat="1" ht="47.25" customHeight="1" thickBot="1" x14ac:dyDescent="0.25">
      <c r="A199" s="804"/>
      <c r="B199" s="806"/>
      <c r="C199" s="787"/>
      <c r="D199" s="787"/>
      <c r="E199" s="806"/>
      <c r="F199" s="787"/>
      <c r="G199" s="1204" t="s">
        <v>432</v>
      </c>
      <c r="H199" s="1204" t="s">
        <v>1380</v>
      </c>
      <c r="I199" s="1200" t="s">
        <v>1381</v>
      </c>
      <c r="J199" s="1200" t="s">
        <v>1382</v>
      </c>
      <c r="K199" s="1200" t="s">
        <v>433</v>
      </c>
      <c r="L199" s="1200" t="s">
        <v>1383</v>
      </c>
      <c r="M199" s="1200" t="s">
        <v>1386</v>
      </c>
      <c r="N199" s="1200" t="s">
        <v>1387</v>
      </c>
      <c r="O199" s="1200" t="s">
        <v>434</v>
      </c>
      <c r="P199" s="1200" t="s">
        <v>1384</v>
      </c>
      <c r="Q199" s="1200" t="s">
        <v>1388</v>
      </c>
      <c r="R199" s="1200" t="s">
        <v>1389</v>
      </c>
      <c r="S199" s="1200" t="s">
        <v>435</v>
      </c>
      <c r="T199" s="1200" t="s">
        <v>1385</v>
      </c>
      <c r="U199" s="1200" t="s">
        <v>1390</v>
      </c>
      <c r="V199" s="1200" t="s">
        <v>1391</v>
      </c>
      <c r="W199" s="787"/>
      <c r="X199" s="787"/>
      <c r="Y199" s="787"/>
      <c r="Z199" s="787"/>
      <c r="AA199" s="787"/>
      <c r="AB199" s="787"/>
      <c r="AC199" s="787"/>
      <c r="AD199" s="972"/>
      <c r="AE199" s="1162"/>
    </row>
    <row r="200" spans="1:31" s="1187" customFormat="1" x14ac:dyDescent="0.2">
      <c r="A200" s="1194"/>
      <c r="B200" s="1191"/>
      <c r="C200" s="1189"/>
      <c r="D200" s="1191"/>
      <c r="E200" s="1191"/>
      <c r="F200" s="1197"/>
      <c r="G200" s="1191"/>
      <c r="H200" s="1191"/>
      <c r="I200" s="1191"/>
      <c r="J200" s="1191"/>
      <c r="K200" s="1191"/>
      <c r="L200" s="1191"/>
      <c r="M200" s="1191"/>
      <c r="N200" s="1191"/>
      <c r="O200" s="1191"/>
      <c r="P200" s="1191"/>
      <c r="Q200" s="1191"/>
      <c r="R200" s="1191"/>
      <c r="S200" s="1191"/>
      <c r="T200" s="1191"/>
      <c r="U200" s="1191"/>
      <c r="V200" s="1191"/>
      <c r="W200" s="1191"/>
      <c r="X200" s="1191"/>
      <c r="Y200" s="1191"/>
      <c r="Z200" s="1191"/>
      <c r="AA200" s="1191"/>
      <c r="AB200" s="1191"/>
      <c r="AC200" s="1201"/>
      <c r="AD200" s="796"/>
      <c r="AE200" s="797"/>
    </row>
    <row r="201" spans="1:31" s="1187" customFormat="1" x14ac:dyDescent="0.2">
      <c r="A201" s="1195"/>
      <c r="B201" s="1192"/>
      <c r="C201" s="1188"/>
      <c r="D201" s="1192"/>
      <c r="E201" s="1192"/>
      <c r="F201" s="1198"/>
      <c r="G201" s="1192"/>
      <c r="H201" s="1192"/>
      <c r="I201" s="1192"/>
      <c r="J201" s="1192"/>
      <c r="K201" s="1192"/>
      <c r="L201" s="1192"/>
      <c r="M201" s="1192"/>
      <c r="N201" s="1192"/>
      <c r="O201" s="1192"/>
      <c r="P201" s="1192"/>
      <c r="Q201" s="1192"/>
      <c r="R201" s="1192"/>
      <c r="S201" s="1192"/>
      <c r="T201" s="1192"/>
      <c r="U201" s="1192"/>
      <c r="V201" s="1192"/>
      <c r="W201" s="1192"/>
      <c r="X201" s="1192"/>
      <c r="Y201" s="1192"/>
      <c r="Z201" s="1192"/>
      <c r="AA201" s="1192"/>
      <c r="AB201" s="1192"/>
      <c r="AC201" s="1202"/>
      <c r="AD201" s="798"/>
      <c r="AE201" s="799"/>
    </row>
    <row r="202" spans="1:31" s="1187" customFormat="1" x14ac:dyDescent="0.2">
      <c r="A202" s="1195"/>
      <c r="B202" s="1192"/>
      <c r="C202" s="1188"/>
      <c r="D202" s="1192"/>
      <c r="E202" s="1192"/>
      <c r="F202" s="1198"/>
      <c r="G202" s="1192"/>
      <c r="H202" s="1192"/>
      <c r="I202" s="1192"/>
      <c r="J202" s="1192"/>
      <c r="K202" s="1192"/>
      <c r="L202" s="1192"/>
      <c r="M202" s="1192"/>
      <c r="N202" s="1192"/>
      <c r="O202" s="1192"/>
      <c r="P202" s="1192"/>
      <c r="Q202" s="1192"/>
      <c r="R202" s="1192"/>
      <c r="S202" s="1192"/>
      <c r="T202" s="1192"/>
      <c r="U202" s="1192"/>
      <c r="V202" s="1192"/>
      <c r="W202" s="1192"/>
      <c r="X202" s="1192"/>
      <c r="Y202" s="1192"/>
      <c r="Z202" s="1192"/>
      <c r="AA202" s="1192"/>
      <c r="AB202" s="1192"/>
      <c r="AC202" s="1202"/>
      <c r="AD202" s="798"/>
      <c r="AE202" s="799"/>
    </row>
    <row r="203" spans="1:31" s="1187" customFormat="1" x14ac:dyDescent="0.2">
      <c r="A203" s="1195"/>
      <c r="B203" s="1192"/>
      <c r="C203" s="1188"/>
      <c r="D203" s="1192"/>
      <c r="E203" s="1192"/>
      <c r="F203" s="1198"/>
      <c r="G203" s="1192"/>
      <c r="H203" s="1192"/>
      <c r="I203" s="1192"/>
      <c r="J203" s="1192"/>
      <c r="K203" s="1192"/>
      <c r="L203" s="1192"/>
      <c r="M203" s="1192"/>
      <c r="N203" s="1192"/>
      <c r="O203" s="1192"/>
      <c r="P203" s="1192"/>
      <c r="Q203" s="1192"/>
      <c r="R203" s="1192"/>
      <c r="S203" s="1192"/>
      <c r="T203" s="1192"/>
      <c r="U203" s="1192"/>
      <c r="V203" s="1192"/>
      <c r="W203" s="1192"/>
      <c r="X203" s="1192"/>
      <c r="Y203" s="1192"/>
      <c r="Z203" s="1192"/>
      <c r="AA203" s="1192"/>
      <c r="AB203" s="1192"/>
      <c r="AC203" s="1202"/>
      <c r="AD203" s="798"/>
      <c r="AE203" s="799"/>
    </row>
    <row r="204" spans="1:31" s="1187" customFormat="1" x14ac:dyDescent="0.2">
      <c r="A204" s="1195"/>
      <c r="B204" s="1192"/>
      <c r="C204" s="1188"/>
      <c r="D204" s="1192"/>
      <c r="E204" s="1192"/>
      <c r="F204" s="1198"/>
      <c r="G204" s="1192"/>
      <c r="H204" s="1192"/>
      <c r="I204" s="1192"/>
      <c r="J204" s="1192"/>
      <c r="K204" s="1192"/>
      <c r="L204" s="1192"/>
      <c r="M204" s="1192"/>
      <c r="N204" s="1192"/>
      <c r="O204" s="1192"/>
      <c r="P204" s="1192"/>
      <c r="Q204" s="1192"/>
      <c r="R204" s="1192"/>
      <c r="S204" s="1192"/>
      <c r="T204" s="1192"/>
      <c r="U204" s="1192"/>
      <c r="V204" s="1192"/>
      <c r="W204" s="1192"/>
      <c r="X204" s="1192"/>
      <c r="Y204" s="1192"/>
      <c r="Z204" s="1192"/>
      <c r="AA204" s="1192"/>
      <c r="AB204" s="1192"/>
      <c r="AC204" s="1202"/>
      <c r="AD204" s="798"/>
      <c r="AE204" s="799"/>
    </row>
    <row r="205" spans="1:31" s="1187" customFormat="1" ht="16.5" thickBot="1" x14ac:dyDescent="0.25">
      <c r="A205" s="1196"/>
      <c r="B205" s="1193"/>
      <c r="C205" s="1190"/>
      <c r="D205" s="1193"/>
      <c r="E205" s="1193"/>
      <c r="F205" s="1199"/>
      <c r="G205" s="1193"/>
      <c r="H205" s="1193"/>
      <c r="I205" s="1193"/>
      <c r="J205" s="1193"/>
      <c r="K205" s="1193"/>
      <c r="L205" s="1193"/>
      <c r="M205" s="1193"/>
      <c r="N205" s="1193"/>
      <c r="O205" s="1193"/>
      <c r="P205" s="1193"/>
      <c r="Q205" s="1193"/>
      <c r="R205" s="1193"/>
      <c r="S205" s="1193"/>
      <c r="T205" s="1193"/>
      <c r="U205" s="1193"/>
      <c r="V205" s="1193"/>
      <c r="W205" s="1193"/>
      <c r="X205" s="1193"/>
      <c r="Y205" s="1193"/>
      <c r="Z205" s="1193"/>
      <c r="AA205" s="1193"/>
      <c r="AB205" s="1193"/>
      <c r="AC205" s="1203"/>
      <c r="AD205" s="792"/>
      <c r="AE205" s="793"/>
    </row>
    <row r="206" spans="1:31" s="218" customFormat="1" x14ac:dyDescent="0.2">
      <c r="F206" s="337"/>
      <c r="G206" s="337"/>
      <c r="H206" s="337"/>
      <c r="I206" s="337"/>
    </row>
    <row r="207" spans="1:31" s="218" customFormat="1" x14ac:dyDescent="0.2">
      <c r="F207" s="337"/>
      <c r="G207" s="337"/>
      <c r="H207" s="337"/>
      <c r="I207" s="337"/>
    </row>
    <row r="208" spans="1:31" s="218" customFormat="1" ht="16.5" thickBot="1" x14ac:dyDescent="0.25">
      <c r="F208" s="337"/>
      <c r="G208" s="337"/>
      <c r="H208" s="337"/>
      <c r="I208" s="337"/>
    </row>
    <row r="209" spans="1:2" ht="16.5" thickBot="1" x14ac:dyDescent="0.25">
      <c r="A209" s="555" t="s">
        <v>454</v>
      </c>
      <c r="B209" s="556" t="s">
        <v>455</v>
      </c>
    </row>
    <row r="210" spans="1:2" x14ac:dyDescent="0.2">
      <c r="A210" s="450" t="s">
        <v>456</v>
      </c>
      <c r="B210" s="557" t="s">
        <v>51</v>
      </c>
    </row>
    <row r="211" spans="1:2" x14ac:dyDescent="0.2">
      <c r="A211" s="558" t="s">
        <v>65</v>
      </c>
      <c r="B211" s="559" t="s">
        <v>51</v>
      </c>
    </row>
    <row r="212" spans="1:2" x14ac:dyDescent="0.2">
      <c r="A212" s="558" t="s">
        <v>257</v>
      </c>
      <c r="B212" s="559" t="s">
        <v>51</v>
      </c>
    </row>
    <row r="213" spans="1:2" x14ac:dyDescent="0.2">
      <c r="A213" s="558" t="s">
        <v>258</v>
      </c>
      <c r="B213" s="559" t="s">
        <v>51</v>
      </c>
    </row>
    <row r="214" spans="1:2" x14ac:dyDescent="0.2">
      <c r="A214" s="558" t="s">
        <v>259</v>
      </c>
      <c r="B214" s="559" t="s">
        <v>53</v>
      </c>
    </row>
    <row r="215" spans="1:2" x14ac:dyDescent="0.2">
      <c r="A215" s="558" t="s">
        <v>281</v>
      </c>
      <c r="B215" s="559" t="s">
        <v>53</v>
      </c>
    </row>
    <row r="216" spans="1:2" x14ac:dyDescent="0.2">
      <c r="A216" s="560" t="s">
        <v>279</v>
      </c>
      <c r="B216" s="559" t="s">
        <v>53</v>
      </c>
    </row>
    <row r="217" spans="1:2" x14ac:dyDescent="0.2">
      <c r="A217" s="560" t="s">
        <v>457</v>
      </c>
      <c r="B217" s="559" t="s">
        <v>53</v>
      </c>
    </row>
    <row r="218" spans="1:2" ht="16.5" thickBot="1" x14ac:dyDescent="0.25">
      <c r="A218" s="561" t="s">
        <v>460</v>
      </c>
      <c r="B218" s="562" t="s">
        <v>51</v>
      </c>
    </row>
  </sheetData>
  <sheetProtection formatCells="0" formatColumns="0" formatRows="0" insertColumns="0" insertRows="0" deleteColumns="0" deleteRows="0" sort="0" autoFilter="0"/>
  <autoFilter ref="A30:AB30" xr:uid="{00000000-0009-0000-0000-00000D000000}"/>
  <dataConsolidate>
    <dataRefs count="2">
      <dataRef ref="B9" sheet="APPENDIX B-1  (FE - USWC)" r:id="rId1"/>
      <dataRef ref="A14:A18" sheet="APPENDIX B-1  (FE - USWC)" r:id="rId2"/>
    </dataRefs>
  </dataConsolidate>
  <mergeCells count="276">
    <mergeCell ref="AD202:AE202"/>
    <mergeCell ref="AD203:AE203"/>
    <mergeCell ref="AD204:AE204"/>
    <mergeCell ref="AD205:AE205"/>
    <mergeCell ref="X198:X199"/>
    <mergeCell ref="Y198:Y199"/>
    <mergeCell ref="Z198:Z199"/>
    <mergeCell ref="AA198:AA199"/>
    <mergeCell ref="AB198:AB199"/>
    <mergeCell ref="AC198:AC199"/>
    <mergeCell ref="AD198:AE199"/>
    <mergeCell ref="AD200:AE200"/>
    <mergeCell ref="AD201:AE201"/>
    <mergeCell ref="B88:I88"/>
    <mergeCell ref="A90:G90"/>
    <mergeCell ref="H90:H92"/>
    <mergeCell ref="B99:D99"/>
    <mergeCell ref="E99:G99"/>
    <mergeCell ref="B102:D102"/>
    <mergeCell ref="E102:G102"/>
    <mergeCell ref="B120:D120"/>
    <mergeCell ref="E120:G120"/>
    <mergeCell ref="B119:D119"/>
    <mergeCell ref="E119:G119"/>
    <mergeCell ref="B113:D113"/>
    <mergeCell ref="E113:G113"/>
    <mergeCell ref="B114:D114"/>
    <mergeCell ref="E114:G114"/>
    <mergeCell ref="B107:D107"/>
    <mergeCell ref="E107:G107"/>
    <mergeCell ref="B109:D109"/>
    <mergeCell ref="E109:G109"/>
    <mergeCell ref="B110:D110"/>
    <mergeCell ref="E110:G110"/>
    <mergeCell ref="B111:D111"/>
    <mergeCell ref="B118:D118"/>
    <mergeCell ref="E118:G118"/>
    <mergeCell ref="A1:B1"/>
    <mergeCell ref="C1:F1"/>
    <mergeCell ref="A2:B2"/>
    <mergeCell ref="C2:F2"/>
    <mergeCell ref="A3:B3"/>
    <mergeCell ref="C3:F3"/>
    <mergeCell ref="B17:I17"/>
    <mergeCell ref="B67:D67"/>
    <mergeCell ref="A47:D47"/>
    <mergeCell ref="A48:A49"/>
    <mergeCell ref="B48:B49"/>
    <mergeCell ref="C48:C49"/>
    <mergeCell ref="D48:D49"/>
    <mergeCell ref="E48:E49"/>
    <mergeCell ref="J17:K17"/>
    <mergeCell ref="L17:M17"/>
    <mergeCell ref="A4:B4"/>
    <mergeCell ref="C4:F4"/>
    <mergeCell ref="A5:B5"/>
    <mergeCell ref="C5:F5"/>
    <mergeCell ref="A6:B6"/>
    <mergeCell ref="C6:F6"/>
    <mergeCell ref="A7:B7"/>
    <mergeCell ref="C7:F7"/>
    <mergeCell ref="A8:B8"/>
    <mergeCell ref="C8:F8"/>
    <mergeCell ref="A12:J12"/>
    <mergeCell ref="B13:I13"/>
    <mergeCell ref="J13:K13"/>
    <mergeCell ref="L13:M13"/>
    <mergeCell ref="B14:I14"/>
    <mergeCell ref="J14:K14"/>
    <mergeCell ref="L14:M14"/>
    <mergeCell ref="B15:I15"/>
    <mergeCell ref="J15:K15"/>
    <mergeCell ref="L15:M15"/>
    <mergeCell ref="B16:I16"/>
    <mergeCell ref="J16:K16"/>
    <mergeCell ref="L16:M16"/>
    <mergeCell ref="Z30:Z31"/>
    <mergeCell ref="Y30:Y31"/>
    <mergeCell ref="AA30:AA31"/>
    <mergeCell ref="A39:A40"/>
    <mergeCell ref="B39:B40"/>
    <mergeCell ref="C39:C40"/>
    <mergeCell ref="D39:D40"/>
    <mergeCell ref="E39:E40"/>
    <mergeCell ref="B20:H20"/>
    <mergeCell ref="B21:H21"/>
    <mergeCell ref="B22:H22"/>
    <mergeCell ref="B23:H23"/>
    <mergeCell ref="B24:H24"/>
    <mergeCell ref="A30:A31"/>
    <mergeCell ref="B30:B31"/>
    <mergeCell ref="C30:C31"/>
    <mergeCell ref="D30:D31"/>
    <mergeCell ref="E30:E31"/>
    <mergeCell ref="F30:F31"/>
    <mergeCell ref="G30:G31"/>
    <mergeCell ref="H30:H31"/>
    <mergeCell ref="I30:I31"/>
    <mergeCell ref="J30:J31"/>
    <mergeCell ref="K30:K31"/>
    <mergeCell ref="L30:L31"/>
    <mergeCell ref="X30:X31"/>
    <mergeCell ref="AA48:AA49"/>
    <mergeCell ref="AB48:AB49"/>
    <mergeCell ref="AC48:AC49"/>
    <mergeCell ref="F48:F49"/>
    <mergeCell ref="G48:G49"/>
    <mergeCell ref="H48:H49"/>
    <mergeCell ref="I48:I49"/>
    <mergeCell ref="AA39:AA40"/>
    <mergeCell ref="X39:X40"/>
    <mergeCell ref="Y39:Y40"/>
    <mergeCell ref="Z39:Z40"/>
    <mergeCell ref="I39:I40"/>
    <mergeCell ref="J39:J40"/>
    <mergeCell ref="K39:K40"/>
    <mergeCell ref="F39:F40"/>
    <mergeCell ref="G39:G40"/>
    <mergeCell ref="H39:H40"/>
    <mergeCell ref="L48:L49"/>
    <mergeCell ref="M48:M49"/>
    <mergeCell ref="Z48:Z49"/>
    <mergeCell ref="J48:J49"/>
    <mergeCell ref="K48:K49"/>
    <mergeCell ref="A57:C57"/>
    <mergeCell ref="A58:C58"/>
    <mergeCell ref="B65:D65"/>
    <mergeCell ref="B66:D66"/>
    <mergeCell ref="B84:D84"/>
    <mergeCell ref="A86:I86"/>
    <mergeCell ref="A87:I87"/>
    <mergeCell ref="B69:D69"/>
    <mergeCell ref="A72:C72"/>
    <mergeCell ref="A73:C73"/>
    <mergeCell ref="B80:D80"/>
    <mergeCell ref="B81:D81"/>
    <mergeCell ref="B68:D68"/>
    <mergeCell ref="B83:D83"/>
    <mergeCell ref="B82:D82"/>
    <mergeCell ref="I90:I92"/>
    <mergeCell ref="K90:K92"/>
    <mergeCell ref="L90:L92"/>
    <mergeCell ref="M90:M92"/>
    <mergeCell ref="A91:G91"/>
    <mergeCell ref="A92:G92"/>
    <mergeCell ref="B123:D123"/>
    <mergeCell ref="E123:G123"/>
    <mergeCell ref="B97:D97"/>
    <mergeCell ref="E97:G97"/>
    <mergeCell ref="B96:D96"/>
    <mergeCell ref="E96:G96"/>
    <mergeCell ref="B93:D93"/>
    <mergeCell ref="E93:G93"/>
    <mergeCell ref="J90:J92"/>
    <mergeCell ref="B98:D98"/>
    <mergeCell ref="E98:G98"/>
    <mergeCell ref="B100:D100"/>
    <mergeCell ref="E100:G100"/>
    <mergeCell ref="B101:D101"/>
    <mergeCell ref="E101:G101"/>
    <mergeCell ref="B94:D94"/>
    <mergeCell ref="E94:G94"/>
    <mergeCell ref="B115:D115"/>
    <mergeCell ref="E125:G125"/>
    <mergeCell ref="B126:D126"/>
    <mergeCell ref="E126:G126"/>
    <mergeCell ref="B127:D127"/>
    <mergeCell ref="E127:G127"/>
    <mergeCell ref="B104:D104"/>
    <mergeCell ref="E104:G104"/>
    <mergeCell ref="B105:D105"/>
    <mergeCell ref="E105:G105"/>
    <mergeCell ref="E111:G111"/>
    <mergeCell ref="B112:D112"/>
    <mergeCell ref="E112:G112"/>
    <mergeCell ref="E115:G115"/>
    <mergeCell ref="B116:D116"/>
    <mergeCell ref="E116:G116"/>
    <mergeCell ref="B108:D108"/>
    <mergeCell ref="E108:G108"/>
    <mergeCell ref="B128:D128"/>
    <mergeCell ref="E128:G128"/>
    <mergeCell ref="B130:D130"/>
    <mergeCell ref="E130:G130"/>
    <mergeCell ref="B95:D95"/>
    <mergeCell ref="E95:G95"/>
    <mergeCell ref="B131:D131"/>
    <mergeCell ref="E131:G131"/>
    <mergeCell ref="A132:I132"/>
    <mergeCell ref="B103:D103"/>
    <mergeCell ref="E103:G103"/>
    <mergeCell ref="B129:D129"/>
    <mergeCell ref="E129:G129"/>
    <mergeCell ref="B106:D106"/>
    <mergeCell ref="E106:G106"/>
    <mergeCell ref="B117:D117"/>
    <mergeCell ref="E117:G117"/>
    <mergeCell ref="B121:D121"/>
    <mergeCell ref="E121:G121"/>
    <mergeCell ref="B122:D122"/>
    <mergeCell ref="E122:G122"/>
    <mergeCell ref="B124:D124"/>
    <mergeCell ref="E124:G124"/>
    <mergeCell ref="B125:D125"/>
    <mergeCell ref="A133:I133"/>
    <mergeCell ref="A135:D135"/>
    <mergeCell ref="E135:E136"/>
    <mergeCell ref="F135:F136"/>
    <mergeCell ref="G135:G136"/>
    <mergeCell ref="H135:H136"/>
    <mergeCell ref="I135:I136"/>
    <mergeCell ref="B163:I163"/>
    <mergeCell ref="B164:I164"/>
    <mergeCell ref="J135:J136"/>
    <mergeCell ref="K135:K136"/>
    <mergeCell ref="L135:L136"/>
    <mergeCell ref="A142:D142"/>
    <mergeCell ref="E142:E143"/>
    <mergeCell ref="F142:F143"/>
    <mergeCell ref="G142:G143"/>
    <mergeCell ref="H142:H143"/>
    <mergeCell ref="I142:I143"/>
    <mergeCell ref="J142:J143"/>
    <mergeCell ref="K142:K143"/>
    <mergeCell ref="L142:L143"/>
    <mergeCell ref="M142:M143"/>
    <mergeCell ref="A150:E150"/>
    <mergeCell ref="A152:F152"/>
    <mergeCell ref="A153:F153"/>
    <mergeCell ref="A154:F154"/>
    <mergeCell ref="A160:I160"/>
    <mergeCell ref="B162:I162"/>
    <mergeCell ref="H185:H186"/>
    <mergeCell ref="I185:I186"/>
    <mergeCell ref="J185:J186"/>
    <mergeCell ref="K185:K186"/>
    <mergeCell ref="M185:N186"/>
    <mergeCell ref="B165:I165"/>
    <mergeCell ref="M187:N187"/>
    <mergeCell ref="B166:I166"/>
    <mergeCell ref="B167:I167"/>
    <mergeCell ref="B168:I168"/>
    <mergeCell ref="B169:I169"/>
    <mergeCell ref="B170:I170"/>
    <mergeCell ref="B171:I171"/>
    <mergeCell ref="B172:I172"/>
    <mergeCell ref="B173:I173"/>
    <mergeCell ref="B174:I174"/>
    <mergeCell ref="B175:I175"/>
    <mergeCell ref="B176:I176"/>
    <mergeCell ref="A180:B180"/>
    <mergeCell ref="A182:G182"/>
    <mergeCell ref="A184:E184"/>
    <mergeCell ref="A185:A186"/>
    <mergeCell ref="B185:B186"/>
    <mergeCell ref="C185:C186"/>
    <mergeCell ref="D185:D186"/>
    <mergeCell ref="E185:E186"/>
    <mergeCell ref="F185:F186"/>
    <mergeCell ref="G185:G186"/>
    <mergeCell ref="L185:L186"/>
    <mergeCell ref="G198:V198"/>
    <mergeCell ref="W198:W199"/>
    <mergeCell ref="M188:N188"/>
    <mergeCell ref="M189:N189"/>
    <mergeCell ref="M190:N190"/>
    <mergeCell ref="M191:N191"/>
    <mergeCell ref="M192:N192"/>
    <mergeCell ref="A195:G195"/>
    <mergeCell ref="A197:H197"/>
    <mergeCell ref="A198:A199"/>
    <mergeCell ref="B198:B199"/>
    <mergeCell ref="C198:C199"/>
    <mergeCell ref="D198:D199"/>
    <mergeCell ref="E198:E199"/>
    <mergeCell ref="F198:F199"/>
  </mergeCells>
  <dataValidations count="33">
    <dataValidation type="list" allowBlank="1" showInputMessage="1" showErrorMessage="1" sqref="B210:B218" xr:uid="{00000000-0002-0000-0D00-000000000000}">
      <formula1>Autom</formula1>
    </dataValidation>
    <dataValidation type="list" showInputMessage="1" showErrorMessage="1" sqref="C187:C192 C200:C205" xr:uid="{00000000-0002-0000-0D00-000001000000}">
      <formula1>IF($B187="I",DDTARIFFUS,DDTARIFF)</formula1>
    </dataValidation>
    <dataValidation type="list" allowBlank="1" showInputMessage="1" showErrorMessage="1" sqref="B187:B192 B200:B205" xr:uid="{00000000-0002-0000-0D00-000002000000}">
      <formula1>EXPIMP</formula1>
    </dataValidation>
    <dataValidation type="list" allowBlank="1" showInputMessage="1" showErrorMessage="1" sqref="F187:F192 W200:W205" xr:uid="{00000000-0002-0000-0D00-000003000000}">
      <formula1>EQTYPE</formula1>
    </dataValidation>
    <dataValidation type="list" allowBlank="1" showInputMessage="1" showErrorMessage="1" sqref="G187:G192 X200:X205" xr:uid="{00000000-0002-0000-0D00-000004000000}">
      <formula1>OPREEFER</formula1>
    </dataValidation>
    <dataValidation type="list" allowBlank="1" showInputMessage="1" showErrorMessage="1" sqref="F200:F205" xr:uid="{0C25EE88-2A66-4E17-85AC-8B703DB02817}">
      <formula1>CURRENCY</formula1>
    </dataValidation>
    <dataValidation type="whole" allowBlank="1" showInputMessage="1" showErrorMessage="1" error="Only whole numbers can be entered into this field" sqref="D187:D192 D200:D205" xr:uid="{00000000-0002-0000-0D00-000006000000}">
      <formula1>1</formula1>
      <formula2>99</formula2>
    </dataValidation>
    <dataValidation type="list" showInputMessage="1" showErrorMessage="1" sqref="E187:E192 E200:E205" xr:uid="{00000000-0002-0000-0D00-000007000000}">
      <formula1>DAYS</formula1>
    </dataValidation>
    <dataValidation type="whole" allowBlank="1" showInputMessage="1" showErrorMessage="1" error="Only whole numbers may be entered into this field_x000a_" sqref="G200:G205 S200:S205 O200:O205 K200:K205" xr:uid="{46EB0A16-3983-42A5-AD5C-E20C59ACD41A}">
      <formula1>1</formula1>
      <formula2>99</formula2>
    </dataValidation>
    <dataValidation type="decimal" allowBlank="1" showInputMessage="1" showErrorMessage="1" error="Only numbers may be entered into this field" sqref="H200:J205 L200:N205 P200:R205 T200:V205" xr:uid="{B210578C-E8F3-44FE-A4A0-CE093D7C9BFC}">
      <formula1>1</formula1>
      <formula2>1000000000</formula2>
    </dataValidation>
    <dataValidation type="list" showInputMessage="1" showErrorMessage="1" sqref="K137:K140 K144:K147 N81:N84 A32:A35 A50:A53 A41:A44 N66:N69" xr:uid="{00000000-0002-0000-0D00-00000A000000}">
      <formula1>$A$14:$A$18</formula1>
    </dataValidation>
    <dataValidation type="list" allowBlank="1" showInputMessage="1" showErrorMessage="1" sqref="J137:J140 J144:J147" xr:uid="{00000000-0002-0000-0D00-00000B000000}">
      <formula1>GRIPSS</formula1>
    </dataValidation>
    <dataValidation type="decimal" allowBlank="1" showInputMessage="1" showErrorMessage="1" sqref="F144:I147 F137:I140 I50:L53 J81:M84 I41:K44 I32:L35" xr:uid="{00000000-0002-0000-0D00-00000C000000}">
      <formula1>0</formula1>
      <formula2>999999999999999</formula2>
    </dataValidation>
    <dataValidation type="list" allowBlank="1" showInputMessage="1" showErrorMessage="1" sqref="E137:E140 E144:E147" xr:uid="{00000000-0002-0000-0D00-00000D000000}">
      <formula1>GRIPSS_EQ</formula1>
    </dataValidation>
    <dataValidation type="list" showInputMessage="1" showErrorMessage="1" sqref="A187:A192 A200:A205" xr:uid="{00000000-0002-0000-0D00-00000E000000}">
      <formula1>BULLET</formula1>
    </dataValidation>
    <dataValidation type="date" allowBlank="1" showInputMessage="1" showErrorMessage="1" sqref="X32:Y35 J93:K131" xr:uid="{00000000-0002-0000-0D00-00000F000000}">
      <formula1>10101</formula1>
      <formula2>311299</formula2>
    </dataValidation>
    <dataValidation type="list" showDropDown="1" showErrorMessage="1" sqref="O65:P65 O80:P80" xr:uid="{00000000-0002-0000-0D00-000010000000}">
      <formula1>Charges</formula1>
    </dataValidation>
    <dataValidation type="list" allowBlank="1" showInputMessage="1" showErrorMessage="1" sqref="O66:P69 O81:P84" xr:uid="{00000000-0002-0000-0D00-000011000000}">
      <formula1 xml:space="preserve"> droppull</formula1>
    </dataValidation>
    <dataValidation type="list" allowBlank="1" showInputMessage="1" showErrorMessage="1" sqref="L41:L44 G81:G84 N41:N44 P50:P53 G66:G69" xr:uid="{00000000-0002-0000-0D00-000012000000}">
      <formula1>YesNo</formula1>
    </dataValidation>
    <dataValidation type="list" allowBlank="1" showInputMessage="1" showErrorMessage="1" sqref="M50:M53" xr:uid="{00000000-0002-0000-0D00-000013000000}">
      <formula1>Equip</formula1>
    </dataValidation>
    <dataValidation type="list" allowBlank="1" showInputMessage="1" showErrorMessage="1" sqref="F66:F69 F81:F84" xr:uid="{00000000-0002-0000-0D00-000014000000}">
      <formula1>ArbMode</formula1>
    </dataValidation>
    <dataValidation type="list" allowBlank="1" showInputMessage="1" showErrorMessage="1" sqref="G41:G44 G32:G35 G50:G53" xr:uid="{00000000-0002-0000-0D00-000015000000}">
      <formula1>SDD</formula1>
    </dataValidation>
    <dataValidation type="list" allowBlank="1" showInputMessage="1" showErrorMessage="1" sqref="M31:W31 Q49:Y49" xr:uid="{00000000-0002-0000-0D00-000016000000}">
      <formula1>Container</formula1>
    </dataValidation>
    <dataValidation type="list" allowBlank="1" showInputMessage="1" showErrorMessage="1" sqref="O40:W40" xr:uid="{00000000-0002-0000-0D00-000017000000}">
      <formula1>Reefer</formula1>
    </dataValidation>
    <dataValidation type="list" allowBlank="1" showInputMessage="1" showErrorMessage="1" sqref="F32:F35 F41:F44 F50:F53" xr:uid="{00000000-0002-0000-0D00-000018000000}">
      <formula1>Mode</formula1>
    </dataValidation>
    <dataValidation type="list" allowBlank="1" showInputMessage="1" showErrorMessage="1" sqref="M41:M44 O50:O53" xr:uid="{00000000-0002-0000-0D00-000019000000}">
      <formula1>ShipperOwn</formula1>
    </dataValidation>
    <dataValidation type="list" allowBlank="1" showInputMessage="1" showErrorMessage="1" sqref="N50:N53" xr:uid="{00000000-0002-0000-0D00-00001A000000}">
      <formula1>OOG</formula1>
    </dataValidation>
    <dataValidation type="list" allowBlank="1" showErrorMessage="1" sqref="M30:W30 O39:W39 Q48:Y48" xr:uid="{00000000-0002-0000-0D00-00001B000000}">
      <formula1>Exceptions</formula1>
    </dataValidation>
    <dataValidation type="list" allowBlank="1" showInputMessage="1" showErrorMessage="1" sqref="AA32:AA35 AA41:AA44 AC50:AC53" xr:uid="{00000000-0002-0000-0D00-00001C000000}">
      <formula1>CST</formula1>
    </dataValidation>
    <dataValidation type="list" allowBlank="1" showInputMessage="1" showErrorMessage="1" sqref="I93:I131" xr:uid="{00000000-0002-0000-0D00-00001D000000}">
      <formula1>$A$14:$A$18</formula1>
    </dataValidation>
    <dataValidation type="list" allowBlank="1" showErrorMessage="1" sqref="A93:A131" xr:uid="{00000000-0002-0000-0D00-00001E000000}">
      <formula1>Charges</formula1>
    </dataValidation>
    <dataValidation allowBlank="1" showInputMessage="1" showErrorMessage="1" promptTitle="Acceptable Values:" prompt="- Applicable _x000a_- Not applicable _x000a_- Included_x000a_- Amount and OSPF for cases of fixed per D40 OSPF_x000a_    (example-  &quot;375 OSPF&quot;)" sqref="E93:G131" xr:uid="{00000000-0002-0000-0D00-00001F000000}"/>
    <dataValidation type="list" allowBlank="1" showInputMessage="1" showErrorMessage="1" errorTitle="Pick up the list" promptTitle="Blank = ALL" sqref="H93:H131" xr:uid="{00000000-0002-0000-0D00-000020000000}">
      <formula1>Type_note2</formula1>
    </dataValidation>
  </dataValidations>
  <pageMargins left="0.25" right="0.25" top="0.25" bottom="0.25" header="0.5" footer="0"/>
  <pageSetup scale="28" fitToHeight="0" orientation="landscape" r:id="rId3"/>
  <headerFooter alignWithMargins="0"/>
  <rowBreaks count="1" manualBreakCount="1">
    <brk id="88" max="16383" man="1"/>
  </rowBreaks>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51">
    <tabColor indexed="12"/>
    <pageSetUpPr fitToPage="1"/>
  </sheetPr>
  <dimension ref="A1:BB213"/>
  <sheetViews>
    <sheetView showGridLines="0" topLeftCell="A166" zoomScale="75" zoomScaleNormal="75" zoomScaleSheetLayoutView="75" workbookViewId="0">
      <selection activeCell="G193" sqref="A193:XFD200"/>
    </sheetView>
  </sheetViews>
  <sheetFormatPr defaultColWidth="9.140625" defaultRowHeight="15.75" x14ac:dyDescent="0.2"/>
  <cols>
    <col min="1" max="1" width="25.140625" style="69" customWidth="1"/>
    <col min="2" max="2" width="18.5703125" style="69" customWidth="1"/>
    <col min="3" max="3" width="18.28515625" style="69" customWidth="1"/>
    <col min="4" max="4" width="17.42578125" style="69" customWidth="1"/>
    <col min="5" max="5" width="19.28515625" style="69" customWidth="1"/>
    <col min="6" max="6" width="12.140625" style="211" customWidth="1"/>
    <col min="7" max="8" width="17.42578125" style="211" customWidth="1"/>
    <col min="9" max="9" width="17.7109375" style="211" customWidth="1"/>
    <col min="10" max="10" width="23.42578125" style="69" bestFit="1" customWidth="1"/>
    <col min="11" max="11" width="18.42578125" style="69" bestFit="1" customWidth="1"/>
    <col min="12" max="12" width="18.5703125" style="69" customWidth="1"/>
    <col min="13" max="13" width="17.28515625" style="69" customWidth="1"/>
    <col min="14" max="14" width="17.7109375" style="69" customWidth="1"/>
    <col min="15" max="16" width="16.5703125" style="69" customWidth="1"/>
    <col min="17" max="17" width="17.5703125" style="69" customWidth="1"/>
    <col min="18" max="18" width="15.85546875" style="69" customWidth="1"/>
    <col min="19" max="19" width="16.7109375" style="69" customWidth="1"/>
    <col min="20" max="20" width="16.5703125" style="69" customWidth="1"/>
    <col min="21" max="21" width="16.7109375" style="69" customWidth="1"/>
    <col min="22" max="22" width="17.5703125" style="69" customWidth="1"/>
    <col min="23" max="23" width="18" style="69" customWidth="1"/>
    <col min="24" max="24" width="12.7109375" style="69" customWidth="1"/>
    <col min="25" max="25" width="16.85546875" style="69" customWidth="1"/>
    <col min="26" max="26" width="9.7109375" style="69" customWidth="1"/>
    <col min="27" max="27" width="14.140625" style="69" customWidth="1"/>
    <col min="28" max="28" width="9.7109375" style="69" customWidth="1"/>
    <col min="29" max="29" width="14.140625" style="69" customWidth="1"/>
    <col min="30" max="16384" width="9.140625" style="69"/>
  </cols>
  <sheetData>
    <row r="1" spans="1:54" x14ac:dyDescent="0.2">
      <c r="A1" s="835" t="s">
        <v>511</v>
      </c>
      <c r="B1" s="837"/>
      <c r="C1" s="902" t="str">
        <f>Cover!B1</f>
        <v>22-XXXX</v>
      </c>
      <c r="D1" s="903"/>
      <c r="E1" s="903"/>
      <c r="F1" s="904"/>
      <c r="G1" s="69"/>
      <c r="H1" s="69"/>
      <c r="I1" s="69"/>
    </row>
    <row r="2" spans="1:54" x14ac:dyDescent="0.2">
      <c r="A2" s="885" t="s">
        <v>1236</v>
      </c>
      <c r="B2" s="886"/>
      <c r="C2" s="887"/>
      <c r="D2" s="888"/>
      <c r="E2" s="888"/>
      <c r="F2" s="889"/>
      <c r="G2" s="69"/>
      <c r="H2" s="69"/>
      <c r="I2" s="69"/>
    </row>
    <row r="3" spans="1:54" x14ac:dyDescent="0.2">
      <c r="A3" s="885" t="s">
        <v>522</v>
      </c>
      <c r="B3" s="886"/>
      <c r="C3" s="905">
        <f>Cover!B2</f>
        <v>0</v>
      </c>
      <c r="D3" s="906"/>
      <c r="E3" s="906"/>
      <c r="F3" s="907"/>
      <c r="G3" s="69"/>
      <c r="H3" s="69"/>
      <c r="I3" s="69"/>
    </row>
    <row r="4" spans="1:54" x14ac:dyDescent="0.2">
      <c r="A4" s="885" t="s">
        <v>1229</v>
      </c>
      <c r="B4" s="886"/>
      <c r="C4" s="884">
        <f>Cover!B7</f>
        <v>0</v>
      </c>
      <c r="D4" s="817"/>
      <c r="E4" s="817"/>
      <c r="F4" s="818"/>
      <c r="G4" s="69"/>
      <c r="H4" s="69"/>
      <c r="I4" s="69"/>
    </row>
    <row r="5" spans="1:54" x14ac:dyDescent="0.2">
      <c r="A5" s="885" t="s">
        <v>528</v>
      </c>
      <c r="B5" s="886"/>
      <c r="C5" s="887" t="s">
        <v>594</v>
      </c>
      <c r="D5" s="888"/>
      <c r="E5" s="888"/>
      <c r="F5" s="889"/>
      <c r="G5" s="69"/>
      <c r="H5" s="69"/>
      <c r="I5" s="69"/>
    </row>
    <row r="6" spans="1:54" ht="15.75" customHeight="1" x14ac:dyDescent="0.2">
      <c r="A6" s="885" t="s">
        <v>512</v>
      </c>
      <c r="B6" s="886"/>
      <c r="C6" s="887" t="s">
        <v>598</v>
      </c>
      <c r="D6" s="888"/>
      <c r="E6" s="888"/>
      <c r="F6" s="889"/>
      <c r="G6" s="69"/>
      <c r="H6" s="69"/>
      <c r="I6" s="69"/>
    </row>
    <row r="7" spans="1:54" ht="15.75" customHeight="1" x14ac:dyDescent="0.2">
      <c r="A7" s="885" t="s">
        <v>612</v>
      </c>
      <c r="B7" s="886"/>
      <c r="C7" s="887" t="s">
        <v>121</v>
      </c>
      <c r="D7" s="888"/>
      <c r="E7" s="888"/>
      <c r="F7" s="889"/>
      <c r="G7" s="69"/>
      <c r="H7" s="69"/>
      <c r="I7" s="69"/>
    </row>
    <row r="8" spans="1:54" ht="2.25" customHeight="1" thickBot="1" x14ac:dyDescent="0.25">
      <c r="A8" s="900"/>
      <c r="B8" s="901"/>
      <c r="C8" s="894"/>
      <c r="D8" s="895"/>
      <c r="E8" s="895"/>
      <c r="F8" s="896"/>
      <c r="G8" s="69"/>
      <c r="H8" s="69"/>
      <c r="I8" s="69"/>
    </row>
    <row r="9" spans="1:54" s="73" customFormat="1" x14ac:dyDescent="0.2">
      <c r="A9" s="442">
        <v>39</v>
      </c>
      <c r="B9" s="443" t="s">
        <v>615</v>
      </c>
      <c r="D9" s="444"/>
      <c r="E9" s="444"/>
      <c r="F9" s="445"/>
    </row>
    <row r="10" spans="1:54" s="73" customFormat="1" ht="16.5" thickBot="1" x14ac:dyDescent="0.25">
      <c r="A10" s="446"/>
      <c r="D10" s="444"/>
      <c r="E10" s="444"/>
      <c r="F10" s="445"/>
      <c r="G10" s="447"/>
      <c r="H10" s="444"/>
      <c r="I10" s="444"/>
      <c r="J10" s="444"/>
    </row>
    <row r="11" spans="1:54" ht="19.5" thickBot="1" x14ac:dyDescent="0.25">
      <c r="A11" s="448" t="s">
        <v>613</v>
      </c>
      <c r="B11" s="449"/>
      <c r="C11" s="73"/>
      <c r="D11" s="444"/>
      <c r="E11" s="444"/>
      <c r="F11" s="445"/>
      <c r="G11" s="447"/>
      <c r="H11" s="444"/>
      <c r="I11" s="444"/>
      <c r="J11" s="444"/>
    </row>
    <row r="12" spans="1:54" s="78" customFormat="1" ht="16.5" thickBot="1" x14ac:dyDescent="0.25">
      <c r="A12" s="897" t="s">
        <v>616</v>
      </c>
      <c r="B12" s="898"/>
      <c r="C12" s="898"/>
      <c r="D12" s="898"/>
      <c r="E12" s="898"/>
      <c r="F12" s="898"/>
      <c r="G12" s="898"/>
      <c r="H12" s="898"/>
      <c r="I12" s="898"/>
      <c r="J12" s="899"/>
    </row>
    <row r="13" spans="1:54" ht="17.25" customHeight="1" x14ac:dyDescent="0.2">
      <c r="A13" s="450" t="s">
        <v>617</v>
      </c>
      <c r="B13" s="881" t="s">
        <v>618</v>
      </c>
      <c r="C13" s="881"/>
      <c r="D13" s="881"/>
      <c r="E13" s="881"/>
      <c r="F13" s="881"/>
      <c r="G13" s="881"/>
      <c r="H13" s="881"/>
      <c r="I13" s="881"/>
      <c r="J13" s="882" t="s">
        <v>622</v>
      </c>
      <c r="K13" s="883"/>
      <c r="L13" s="890" t="s">
        <v>623</v>
      </c>
      <c r="M13" s="891"/>
      <c r="N13" s="350" t="s">
        <v>4</v>
      </c>
    </row>
    <row r="14" spans="1:54" s="81" customFormat="1" x14ac:dyDescent="0.2">
      <c r="A14" s="451" t="s">
        <v>503</v>
      </c>
      <c r="B14" s="862" t="s">
        <v>503</v>
      </c>
      <c r="C14" s="892"/>
      <c r="D14" s="892"/>
      <c r="E14" s="892"/>
      <c r="F14" s="892"/>
      <c r="G14" s="892"/>
      <c r="H14" s="892"/>
      <c r="I14" s="892"/>
      <c r="J14" s="870"/>
      <c r="K14" s="855"/>
      <c r="L14" s="893"/>
      <c r="M14" s="871"/>
      <c r="N14" s="349" t="str">
        <f>IF($A14&gt;0,$A14,"")</f>
        <v>FAK</v>
      </c>
    </row>
    <row r="15" spans="1:54" s="453" customFormat="1" x14ac:dyDescent="0.2">
      <c r="A15" s="452"/>
      <c r="B15" s="879"/>
      <c r="C15" s="880"/>
      <c r="D15" s="880"/>
      <c r="E15" s="880"/>
      <c r="F15" s="880"/>
      <c r="G15" s="880"/>
      <c r="H15" s="880"/>
      <c r="I15" s="880"/>
      <c r="J15" s="870"/>
      <c r="K15" s="855"/>
      <c r="L15" s="870"/>
      <c r="M15" s="871"/>
      <c r="N15" s="349" t="str">
        <f>IF($A15&gt;0,$A15,"")</f>
        <v/>
      </c>
      <c r="BB15" s="81"/>
    </row>
    <row r="16" spans="1:54" s="453" customFormat="1" x14ac:dyDescent="0.2">
      <c r="A16" s="452"/>
      <c r="B16" s="879"/>
      <c r="C16" s="880"/>
      <c r="D16" s="880"/>
      <c r="E16" s="880"/>
      <c r="F16" s="880"/>
      <c r="G16" s="880"/>
      <c r="H16" s="880"/>
      <c r="I16" s="880"/>
      <c r="J16" s="870"/>
      <c r="K16" s="855"/>
      <c r="L16" s="870"/>
      <c r="M16" s="871"/>
      <c r="N16" s="349" t="str">
        <f>IF($A16&gt;0,$A16,"")</f>
        <v/>
      </c>
      <c r="BB16" s="81"/>
    </row>
    <row r="17" spans="1:54" s="453" customFormat="1" ht="16.5" thickBot="1" x14ac:dyDescent="0.25">
      <c r="A17" s="454"/>
      <c r="B17" s="864"/>
      <c r="C17" s="865"/>
      <c r="D17" s="865"/>
      <c r="E17" s="865"/>
      <c r="F17" s="865"/>
      <c r="G17" s="865"/>
      <c r="H17" s="865"/>
      <c r="I17" s="865"/>
      <c r="J17" s="866"/>
      <c r="K17" s="867"/>
      <c r="L17" s="857"/>
      <c r="M17" s="858"/>
      <c r="N17" s="349" t="str">
        <f>IF($A17&gt;0,$A17,"")</f>
        <v/>
      </c>
      <c r="BB17" s="81"/>
    </row>
    <row r="18" spans="1:54" s="462" customFormat="1" ht="16.5" thickBot="1" x14ac:dyDescent="0.25">
      <c r="A18" s="455"/>
      <c r="B18" s="456"/>
      <c r="C18" s="457"/>
      <c r="D18" s="458"/>
      <c r="E18" s="458"/>
      <c r="F18" s="459"/>
      <c r="G18" s="459"/>
      <c r="H18" s="460"/>
      <c r="I18" s="461"/>
      <c r="J18" s="461"/>
      <c r="K18" s="457"/>
      <c r="L18" s="457"/>
      <c r="M18" s="457"/>
      <c r="N18" s="349" t="str">
        <f>IF($A18&gt;0,$A18,"")</f>
        <v/>
      </c>
      <c r="O18" s="457"/>
      <c r="P18" s="457"/>
      <c r="Q18" s="457"/>
      <c r="BB18" s="81"/>
    </row>
    <row r="19" spans="1:54" s="462" customFormat="1" ht="19.5" thickBot="1" x14ac:dyDescent="0.25">
      <c r="A19" s="448" t="s">
        <v>419</v>
      </c>
      <c r="B19" s="463"/>
      <c r="I19" s="461"/>
      <c r="J19" s="461"/>
      <c r="K19" s="457"/>
      <c r="L19" s="457"/>
      <c r="M19" s="457"/>
      <c r="N19" s="457"/>
      <c r="O19" s="457"/>
      <c r="P19" s="457"/>
      <c r="Q19" s="457"/>
    </row>
    <row r="20" spans="1:54" s="462" customFormat="1" x14ac:dyDescent="0.2">
      <c r="A20" s="464" t="s">
        <v>419</v>
      </c>
      <c r="B20" s="859" t="s">
        <v>618</v>
      </c>
      <c r="C20" s="860"/>
      <c r="D20" s="860"/>
      <c r="E20" s="860"/>
      <c r="F20" s="860"/>
      <c r="G20" s="860"/>
      <c r="H20" s="861"/>
      <c r="I20" s="461"/>
      <c r="J20" s="461"/>
      <c r="K20" s="457"/>
      <c r="L20" s="457"/>
      <c r="M20" s="457"/>
      <c r="N20" s="457"/>
      <c r="O20" s="457"/>
      <c r="P20" s="457"/>
      <c r="Q20" s="457"/>
    </row>
    <row r="21" spans="1:54" s="467" customFormat="1" ht="15.75" customHeight="1" x14ac:dyDescent="0.2">
      <c r="A21" s="451" t="s">
        <v>463</v>
      </c>
      <c r="B21" s="862" t="s">
        <v>550</v>
      </c>
      <c r="C21" s="862"/>
      <c r="D21" s="862"/>
      <c r="E21" s="862"/>
      <c r="F21" s="862"/>
      <c r="G21" s="862"/>
      <c r="H21" s="863"/>
      <c r="I21" s="220"/>
      <c r="J21" s="465"/>
      <c r="K21" s="466"/>
      <c r="L21" s="466"/>
      <c r="M21" s="466"/>
      <c r="N21" s="466"/>
      <c r="O21" s="466"/>
      <c r="P21" s="466"/>
      <c r="Q21" s="466"/>
    </row>
    <row r="22" spans="1:54" s="467" customFormat="1" x14ac:dyDescent="0.2">
      <c r="A22" s="468" t="s">
        <v>505</v>
      </c>
      <c r="B22" s="862" t="s">
        <v>506</v>
      </c>
      <c r="C22" s="862"/>
      <c r="D22" s="862"/>
      <c r="E22" s="862"/>
      <c r="F22" s="862"/>
      <c r="G22" s="862"/>
      <c r="H22" s="863"/>
      <c r="I22" s="465"/>
      <c r="J22" s="465"/>
      <c r="K22" s="466"/>
      <c r="L22" s="466"/>
      <c r="M22" s="466"/>
      <c r="N22" s="466"/>
      <c r="O22" s="466"/>
      <c r="P22" s="466"/>
      <c r="Q22" s="466"/>
    </row>
    <row r="23" spans="1:54" s="467" customFormat="1" x14ac:dyDescent="0.2">
      <c r="A23" s="468"/>
      <c r="B23" s="854"/>
      <c r="C23" s="855"/>
      <c r="D23" s="855"/>
      <c r="E23" s="855"/>
      <c r="F23" s="855"/>
      <c r="G23" s="855"/>
      <c r="H23" s="856"/>
      <c r="I23" s="465"/>
      <c r="J23" s="465"/>
      <c r="K23" s="466"/>
      <c r="L23" s="466"/>
      <c r="M23" s="466"/>
      <c r="N23" s="466"/>
      <c r="O23" s="466"/>
      <c r="P23" s="466"/>
      <c r="Q23" s="466"/>
    </row>
    <row r="24" spans="1:54" s="467" customFormat="1" ht="16.5" thickBot="1" x14ac:dyDescent="0.25">
      <c r="A24" s="469"/>
      <c r="B24" s="877"/>
      <c r="C24" s="867"/>
      <c r="D24" s="867"/>
      <c r="E24" s="867"/>
      <c r="F24" s="867"/>
      <c r="G24" s="867"/>
      <c r="H24" s="878"/>
      <c r="I24" s="465"/>
      <c r="J24" s="465"/>
      <c r="K24" s="466"/>
      <c r="L24" s="466"/>
      <c r="M24" s="466"/>
      <c r="N24" s="466"/>
      <c r="O24" s="466"/>
      <c r="P24" s="466"/>
      <c r="Q24" s="466"/>
    </row>
    <row r="25" spans="1:54" s="462" customFormat="1" ht="16.5" thickBot="1" x14ac:dyDescent="0.25">
      <c r="A25" s="456"/>
      <c r="B25" s="95"/>
      <c r="C25" s="95"/>
      <c r="D25" s="95"/>
      <c r="E25" s="95"/>
      <c r="F25" s="95"/>
      <c r="G25" s="95"/>
      <c r="H25" s="95"/>
      <c r="I25" s="461"/>
      <c r="J25" s="461"/>
      <c r="K25" s="457"/>
      <c r="L25" s="457"/>
      <c r="M25" s="457"/>
      <c r="N25" s="457"/>
      <c r="O25" s="457"/>
      <c r="P25" s="457"/>
      <c r="Q25" s="457"/>
      <c r="R25" s="457"/>
      <c r="S25" s="457"/>
      <c r="T25" s="457"/>
      <c r="U25" s="457"/>
    </row>
    <row r="26" spans="1:54" s="462" customFormat="1" ht="19.5" thickBot="1" x14ac:dyDescent="0.25">
      <c r="A26" s="448" t="s">
        <v>624</v>
      </c>
      <c r="B26" s="449"/>
      <c r="I26" s="461"/>
      <c r="J26" s="461"/>
      <c r="K26" s="457"/>
      <c r="L26" s="457"/>
      <c r="M26" s="457"/>
      <c r="N26" s="457"/>
      <c r="O26" s="457"/>
      <c r="P26" s="457"/>
      <c r="Q26" s="457"/>
      <c r="R26" s="457"/>
      <c r="S26" s="457"/>
      <c r="T26" s="457"/>
      <c r="U26" s="457"/>
    </row>
    <row r="27" spans="1:54" s="462" customFormat="1" x14ac:dyDescent="0.2">
      <c r="A27" s="223" t="s">
        <v>886</v>
      </c>
      <c r="B27" s="470"/>
      <c r="C27" s="471"/>
      <c r="D27" s="472"/>
      <c r="E27" s="472"/>
      <c r="F27" s="473"/>
      <c r="G27" s="473"/>
      <c r="H27" s="473"/>
      <c r="I27" s="474"/>
      <c r="J27" s="475"/>
      <c r="K27" s="476"/>
      <c r="L27" s="457"/>
      <c r="M27" s="457"/>
      <c r="N27" s="457"/>
      <c r="O27" s="457"/>
      <c r="P27" s="457"/>
      <c r="Q27" s="457"/>
      <c r="R27" s="457"/>
      <c r="S27" s="457"/>
      <c r="T27" s="457"/>
      <c r="U27" s="457"/>
      <c r="V27" s="457"/>
    </row>
    <row r="28" spans="1:54" s="462" customFormat="1" x14ac:dyDescent="0.2">
      <c r="A28" s="96" t="s">
        <v>626</v>
      </c>
      <c r="B28" s="214"/>
      <c r="C28" s="477"/>
      <c r="D28" s="478"/>
      <c r="E28" s="478"/>
      <c r="F28" s="479"/>
      <c r="G28" s="479"/>
      <c r="H28" s="479"/>
      <c r="I28" s="480"/>
      <c r="J28" s="481"/>
      <c r="K28" s="482"/>
      <c r="L28" s="457"/>
      <c r="M28" s="457"/>
      <c r="N28" s="457"/>
      <c r="O28" s="457"/>
      <c r="P28" s="457"/>
      <c r="Q28" s="457"/>
      <c r="R28" s="457"/>
    </row>
    <row r="29" spans="1:54" s="462" customFormat="1" ht="16.5" thickBot="1" x14ac:dyDescent="0.25">
      <c r="A29" s="110" t="s">
        <v>172</v>
      </c>
      <c r="B29" s="483"/>
      <c r="C29" s="484"/>
      <c r="D29" s="485"/>
      <c r="E29" s="485"/>
      <c r="F29" s="486"/>
      <c r="G29" s="486"/>
      <c r="H29" s="486"/>
      <c r="I29" s="487"/>
      <c r="J29" s="488"/>
      <c r="K29" s="489"/>
      <c r="L29" s="457"/>
      <c r="M29" s="457"/>
      <c r="N29" s="457"/>
      <c r="O29" s="457"/>
      <c r="P29" s="457"/>
      <c r="Q29" s="457"/>
      <c r="R29" s="457"/>
      <c r="S29" s="118"/>
      <c r="T29" s="118"/>
      <c r="U29" s="118"/>
      <c r="V29" s="457"/>
      <c r="W29" s="457"/>
      <c r="X29" s="457"/>
    </row>
    <row r="30" spans="1:54" s="491" customFormat="1" ht="32.25" customHeight="1" x14ac:dyDescent="0.2">
      <c r="A30" s="875" t="s">
        <v>627</v>
      </c>
      <c r="B30" s="868" t="s">
        <v>628</v>
      </c>
      <c r="C30" s="868" t="s">
        <v>11</v>
      </c>
      <c r="D30" s="868" t="s">
        <v>12</v>
      </c>
      <c r="E30" s="868" t="s">
        <v>13</v>
      </c>
      <c r="F30" s="868" t="s">
        <v>14</v>
      </c>
      <c r="G30" s="868" t="s">
        <v>15</v>
      </c>
      <c r="H30" s="868" t="s">
        <v>16</v>
      </c>
      <c r="I30" s="868" t="s">
        <v>17</v>
      </c>
      <c r="J30" s="868" t="s">
        <v>18</v>
      </c>
      <c r="K30" s="868" t="s">
        <v>19</v>
      </c>
      <c r="L30" s="868" t="s">
        <v>20</v>
      </c>
      <c r="M30" s="490"/>
      <c r="N30" s="490"/>
      <c r="O30" s="490"/>
      <c r="P30" s="490"/>
      <c r="Q30" s="490"/>
      <c r="R30" s="490"/>
      <c r="S30" s="490"/>
      <c r="T30" s="490"/>
      <c r="U30" s="490"/>
      <c r="V30" s="490"/>
      <c r="W30" s="490"/>
      <c r="X30" s="868" t="s">
        <v>22</v>
      </c>
      <c r="Y30" s="868" t="s">
        <v>23</v>
      </c>
      <c r="Z30" s="868" t="s">
        <v>24</v>
      </c>
      <c r="AA30" s="922" t="s">
        <v>352</v>
      </c>
    </row>
    <row r="31" spans="1:54" s="491" customFormat="1" ht="16.5" thickBot="1" x14ac:dyDescent="0.25">
      <c r="A31" s="876"/>
      <c r="B31" s="869"/>
      <c r="C31" s="869"/>
      <c r="D31" s="869"/>
      <c r="E31" s="869"/>
      <c r="F31" s="869"/>
      <c r="G31" s="872"/>
      <c r="H31" s="869"/>
      <c r="I31" s="869"/>
      <c r="J31" s="869"/>
      <c r="K31" s="869"/>
      <c r="L31" s="869"/>
      <c r="M31" s="492"/>
      <c r="N31" s="492"/>
      <c r="O31" s="492"/>
      <c r="P31" s="492"/>
      <c r="Q31" s="492"/>
      <c r="R31" s="492"/>
      <c r="S31" s="492"/>
      <c r="T31" s="492"/>
      <c r="U31" s="492"/>
      <c r="V31" s="492"/>
      <c r="W31" s="492"/>
      <c r="X31" s="869"/>
      <c r="Y31" s="869"/>
      <c r="Z31" s="869"/>
      <c r="AA31" s="923"/>
    </row>
    <row r="32" spans="1:54" s="136" customFormat="1" x14ac:dyDescent="0.2">
      <c r="A32" s="493"/>
      <c r="B32" s="49"/>
      <c r="C32" s="225"/>
      <c r="D32" s="225"/>
      <c r="E32" s="225"/>
      <c r="F32" s="225"/>
      <c r="G32" s="120"/>
      <c r="H32" s="225"/>
      <c r="I32" s="263"/>
      <c r="J32" s="263"/>
      <c r="K32" s="263"/>
      <c r="L32" s="263"/>
      <c r="M32" s="120"/>
      <c r="N32" s="120"/>
      <c r="O32" s="120"/>
      <c r="P32" s="226"/>
      <c r="Q32" s="226"/>
      <c r="R32" s="226"/>
      <c r="S32" s="120"/>
      <c r="T32" s="120"/>
      <c r="U32" s="120"/>
      <c r="V32" s="120"/>
      <c r="W32" s="120"/>
      <c r="X32" s="227"/>
      <c r="Y32" s="227"/>
      <c r="Z32" s="120"/>
      <c r="AA32" s="121"/>
    </row>
    <row r="33" spans="1:29" s="136" customFormat="1" x14ac:dyDescent="0.2">
      <c r="A33" s="494"/>
      <c r="B33" s="123"/>
      <c r="C33" s="123"/>
      <c r="D33" s="123"/>
      <c r="E33" s="123"/>
      <c r="F33" s="123"/>
      <c r="G33" s="124"/>
      <c r="H33" s="123"/>
      <c r="I33" s="255"/>
      <c r="J33" s="255"/>
      <c r="K33" s="255"/>
      <c r="L33" s="255"/>
      <c r="M33" s="125"/>
      <c r="N33" s="124"/>
      <c r="O33" s="124"/>
      <c r="P33" s="125"/>
      <c r="Q33" s="125"/>
      <c r="R33" s="125"/>
      <c r="S33" s="124"/>
      <c r="T33" s="124"/>
      <c r="U33" s="124"/>
      <c r="V33" s="124"/>
      <c r="W33" s="124"/>
      <c r="X33" s="126"/>
      <c r="Y33" s="126"/>
      <c r="Z33" s="124"/>
      <c r="AA33" s="127"/>
    </row>
    <row r="34" spans="1:29" s="136" customFormat="1" x14ac:dyDescent="0.2">
      <c r="A34" s="494"/>
      <c r="B34" s="123"/>
      <c r="C34" s="123"/>
      <c r="D34" s="123"/>
      <c r="E34" s="123"/>
      <c r="F34" s="123"/>
      <c r="G34" s="124"/>
      <c r="H34" s="123"/>
      <c r="I34" s="255"/>
      <c r="J34" s="255"/>
      <c r="K34" s="255"/>
      <c r="L34" s="255"/>
      <c r="M34" s="125"/>
      <c r="N34" s="124"/>
      <c r="O34" s="124"/>
      <c r="P34" s="125"/>
      <c r="Q34" s="125"/>
      <c r="R34" s="125"/>
      <c r="S34" s="124"/>
      <c r="T34" s="124"/>
      <c r="U34" s="124"/>
      <c r="V34" s="124"/>
      <c r="W34" s="124"/>
      <c r="X34" s="126"/>
      <c r="Y34" s="126"/>
      <c r="Z34" s="124"/>
      <c r="AA34" s="127"/>
    </row>
    <row r="35" spans="1:29" s="136" customFormat="1" ht="16.5" thickBot="1" x14ac:dyDescent="0.25">
      <c r="A35" s="495"/>
      <c r="B35" s="128"/>
      <c r="C35" s="128"/>
      <c r="D35" s="128"/>
      <c r="E35" s="128"/>
      <c r="F35" s="128"/>
      <c r="G35" s="129"/>
      <c r="H35" s="128"/>
      <c r="I35" s="256"/>
      <c r="J35" s="256"/>
      <c r="K35" s="256"/>
      <c r="L35" s="256"/>
      <c r="M35" s="129"/>
      <c r="N35" s="129"/>
      <c r="O35" s="129"/>
      <c r="P35" s="130"/>
      <c r="Q35" s="130"/>
      <c r="R35" s="130"/>
      <c r="S35" s="129"/>
      <c r="T35" s="129"/>
      <c r="U35" s="129"/>
      <c r="V35" s="129"/>
      <c r="W35" s="129"/>
      <c r="X35" s="131"/>
      <c r="Y35" s="131"/>
      <c r="Z35" s="129"/>
      <c r="AA35" s="132"/>
    </row>
    <row r="36" spans="1:29" s="73" customFormat="1" x14ac:dyDescent="0.2">
      <c r="A36" s="133"/>
      <c r="B36" s="133"/>
      <c r="C36" s="133"/>
      <c r="D36" s="133"/>
      <c r="E36" s="133"/>
      <c r="F36" s="133"/>
      <c r="G36" s="118"/>
      <c r="H36" s="118"/>
      <c r="I36" s="118"/>
      <c r="J36" s="118"/>
      <c r="K36" s="118"/>
      <c r="L36" s="118"/>
      <c r="M36" s="134"/>
      <c r="N36" s="118"/>
      <c r="O36" s="159"/>
      <c r="P36" s="159"/>
      <c r="Q36" s="159"/>
      <c r="R36" s="159"/>
      <c r="S36" s="159"/>
      <c r="T36" s="159"/>
      <c r="U36" s="159"/>
      <c r="V36" s="159"/>
      <c r="W36" s="466"/>
    </row>
    <row r="37" spans="1:29" s="73" customFormat="1" ht="16.5" thickBot="1" x14ac:dyDescent="0.25">
      <c r="A37" s="133"/>
      <c r="B37" s="133"/>
      <c r="C37" s="133"/>
      <c r="D37" s="133"/>
      <c r="E37" s="133"/>
      <c r="F37" s="133"/>
      <c r="G37" s="118"/>
      <c r="H37" s="118"/>
      <c r="I37" s="118"/>
      <c r="J37" s="118"/>
      <c r="K37" s="118"/>
      <c r="N37" s="118"/>
      <c r="O37" s="159"/>
      <c r="P37" s="159"/>
      <c r="Q37" s="159"/>
      <c r="R37" s="159"/>
      <c r="S37" s="159"/>
      <c r="T37" s="159"/>
      <c r="U37" s="159"/>
      <c r="V37" s="159"/>
      <c r="W37" s="467"/>
    </row>
    <row r="38" spans="1:29" s="73" customFormat="1" ht="16.5" thickBot="1" x14ac:dyDescent="0.25">
      <c r="A38" s="496" t="s">
        <v>25</v>
      </c>
      <c r="B38" s="133"/>
      <c r="C38" s="133"/>
      <c r="D38" s="133"/>
      <c r="E38" s="133"/>
      <c r="F38" s="133"/>
      <c r="G38" s="118"/>
      <c r="H38" s="118"/>
      <c r="I38" s="118"/>
      <c r="J38" s="118"/>
      <c r="K38" s="118"/>
      <c r="M38" s="118"/>
      <c r="N38" s="118"/>
      <c r="O38" s="159"/>
      <c r="P38" s="136"/>
      <c r="Q38" s="136"/>
      <c r="R38" s="136"/>
      <c r="S38" s="466"/>
      <c r="T38" s="466"/>
      <c r="U38" s="466"/>
      <c r="V38" s="466"/>
      <c r="W38" s="159"/>
    </row>
    <row r="39" spans="1:29" s="73" customFormat="1" ht="15.75" customHeight="1" x14ac:dyDescent="0.2">
      <c r="A39" s="875" t="s">
        <v>627</v>
      </c>
      <c r="B39" s="868" t="s">
        <v>628</v>
      </c>
      <c r="C39" s="868" t="s">
        <v>11</v>
      </c>
      <c r="D39" s="868" t="s">
        <v>12</v>
      </c>
      <c r="E39" s="868" t="s">
        <v>13</v>
      </c>
      <c r="F39" s="868" t="s">
        <v>14</v>
      </c>
      <c r="G39" s="868" t="s">
        <v>15</v>
      </c>
      <c r="H39" s="868" t="s">
        <v>16</v>
      </c>
      <c r="I39" s="868" t="s">
        <v>26</v>
      </c>
      <c r="J39" s="868" t="s">
        <v>27</v>
      </c>
      <c r="K39" s="945" t="s">
        <v>295</v>
      </c>
      <c r="L39" s="497" t="s">
        <v>63</v>
      </c>
      <c r="M39" s="498" t="s">
        <v>64</v>
      </c>
      <c r="N39" s="499" t="s">
        <v>65</v>
      </c>
      <c r="O39" s="490"/>
      <c r="P39" s="490"/>
      <c r="Q39" s="490"/>
      <c r="R39" s="490"/>
      <c r="S39" s="490"/>
      <c r="T39" s="490"/>
      <c r="U39" s="490"/>
      <c r="V39" s="490"/>
      <c r="W39" s="490"/>
      <c r="X39" s="868" t="s">
        <v>22</v>
      </c>
      <c r="Y39" s="868" t="s">
        <v>23</v>
      </c>
      <c r="Z39" s="868" t="s">
        <v>24</v>
      </c>
      <c r="AA39" s="922" t="s">
        <v>352</v>
      </c>
    </row>
    <row r="40" spans="1:29" s="73" customFormat="1" ht="31.7" customHeight="1" thickBot="1" x14ac:dyDescent="0.25">
      <c r="A40" s="876"/>
      <c r="B40" s="869"/>
      <c r="C40" s="869"/>
      <c r="D40" s="869"/>
      <c r="E40" s="869"/>
      <c r="F40" s="869"/>
      <c r="G40" s="872"/>
      <c r="H40" s="869"/>
      <c r="I40" s="869"/>
      <c r="J40" s="869"/>
      <c r="K40" s="946"/>
      <c r="L40" s="500" t="s">
        <v>66</v>
      </c>
      <c r="M40" s="501" t="s">
        <v>67</v>
      </c>
      <c r="N40" s="502" t="s">
        <v>68</v>
      </c>
      <c r="O40" s="503"/>
      <c r="P40" s="492"/>
      <c r="Q40" s="492"/>
      <c r="R40" s="492"/>
      <c r="S40" s="492"/>
      <c r="T40" s="492"/>
      <c r="U40" s="492"/>
      <c r="V40" s="492"/>
      <c r="W40" s="492"/>
      <c r="X40" s="869"/>
      <c r="Y40" s="869"/>
      <c r="Z40" s="869"/>
      <c r="AA40" s="923"/>
    </row>
    <row r="41" spans="1:29" s="136" customFormat="1" x14ac:dyDescent="0.2">
      <c r="A41" s="493"/>
      <c r="B41" s="225"/>
      <c r="C41" s="225"/>
      <c r="D41" s="225"/>
      <c r="E41" s="225"/>
      <c r="F41" s="225"/>
      <c r="G41" s="120"/>
      <c r="H41" s="225"/>
      <c r="I41" s="263"/>
      <c r="J41" s="263"/>
      <c r="K41" s="265"/>
      <c r="L41" s="268"/>
      <c r="M41" s="120"/>
      <c r="N41" s="121"/>
      <c r="O41" s="269"/>
      <c r="P41" s="226"/>
      <c r="Q41" s="226"/>
      <c r="R41" s="226"/>
      <c r="S41" s="120"/>
      <c r="T41" s="120"/>
      <c r="U41" s="120"/>
      <c r="V41" s="120"/>
      <c r="W41" s="120"/>
      <c r="X41" s="227"/>
      <c r="Y41" s="227"/>
      <c r="Z41" s="120"/>
      <c r="AA41" s="121"/>
    </row>
    <row r="42" spans="1:29" s="136" customFormat="1" x14ac:dyDescent="0.2">
      <c r="A42" s="494"/>
      <c r="B42" s="123"/>
      <c r="C42" s="123"/>
      <c r="D42" s="123"/>
      <c r="E42" s="123"/>
      <c r="F42" s="123"/>
      <c r="G42" s="124"/>
      <c r="H42" s="123"/>
      <c r="I42" s="255"/>
      <c r="J42" s="255"/>
      <c r="K42" s="266"/>
      <c r="L42" s="259"/>
      <c r="M42" s="124"/>
      <c r="N42" s="127"/>
      <c r="O42" s="248"/>
      <c r="P42" s="125"/>
      <c r="Q42" s="125"/>
      <c r="R42" s="125"/>
      <c r="S42" s="124"/>
      <c r="T42" s="124"/>
      <c r="U42" s="124"/>
      <c r="V42" s="124"/>
      <c r="W42" s="124"/>
      <c r="X42" s="126"/>
      <c r="Y42" s="126"/>
      <c r="Z42" s="124"/>
      <c r="AA42" s="127"/>
    </row>
    <row r="43" spans="1:29" s="136" customFormat="1" x14ac:dyDescent="0.2">
      <c r="A43" s="494"/>
      <c r="B43" s="123"/>
      <c r="C43" s="123"/>
      <c r="D43" s="123"/>
      <c r="E43" s="123"/>
      <c r="F43" s="123"/>
      <c r="G43" s="124"/>
      <c r="H43" s="123"/>
      <c r="I43" s="255"/>
      <c r="J43" s="255"/>
      <c r="K43" s="266"/>
      <c r="L43" s="259"/>
      <c r="M43" s="124"/>
      <c r="N43" s="127"/>
      <c r="O43" s="248"/>
      <c r="P43" s="125"/>
      <c r="Q43" s="125"/>
      <c r="R43" s="125"/>
      <c r="S43" s="124"/>
      <c r="T43" s="124"/>
      <c r="U43" s="124"/>
      <c r="V43" s="124"/>
      <c r="W43" s="124"/>
      <c r="X43" s="126"/>
      <c r="Y43" s="126"/>
      <c r="Z43" s="124"/>
      <c r="AA43" s="127"/>
    </row>
    <row r="44" spans="1:29" s="136" customFormat="1" ht="16.5" thickBot="1" x14ac:dyDescent="0.25">
      <c r="A44" s="495"/>
      <c r="B44" s="128"/>
      <c r="C44" s="128"/>
      <c r="D44" s="128"/>
      <c r="E44" s="128"/>
      <c r="F44" s="128"/>
      <c r="G44" s="129"/>
      <c r="H44" s="128"/>
      <c r="I44" s="256"/>
      <c r="J44" s="256"/>
      <c r="K44" s="267"/>
      <c r="L44" s="137"/>
      <c r="M44" s="129"/>
      <c r="N44" s="132"/>
      <c r="O44" s="137"/>
      <c r="P44" s="129"/>
      <c r="Q44" s="129"/>
      <c r="R44" s="129"/>
      <c r="S44" s="129"/>
      <c r="T44" s="129"/>
      <c r="U44" s="129"/>
      <c r="V44" s="129"/>
      <c r="W44" s="129"/>
      <c r="X44" s="131"/>
      <c r="Y44" s="131"/>
      <c r="Z44" s="129"/>
      <c r="AA44" s="132"/>
    </row>
    <row r="45" spans="1:29" s="73" customFormat="1" x14ac:dyDescent="0.2">
      <c r="A45" s="133"/>
      <c r="B45" s="133"/>
      <c r="C45" s="133"/>
      <c r="D45" s="133"/>
      <c r="E45" s="133"/>
      <c r="F45" s="133"/>
      <c r="G45" s="118"/>
      <c r="H45" s="118"/>
      <c r="I45" s="118"/>
      <c r="J45" s="118"/>
      <c r="K45" s="118"/>
      <c r="L45" s="118"/>
      <c r="M45" s="118"/>
      <c r="N45" s="118"/>
      <c r="O45" s="160"/>
      <c r="P45" s="159"/>
      <c r="Q45" s="159"/>
      <c r="R45" s="159"/>
      <c r="S45" s="136"/>
      <c r="T45" s="136"/>
      <c r="U45" s="136"/>
      <c r="V45" s="136"/>
      <c r="W45" s="136"/>
      <c r="X45" s="118"/>
    </row>
    <row r="46" spans="1:29" s="73" customFormat="1" ht="16.5" thickBot="1" x14ac:dyDescent="0.25">
      <c r="A46" s="133"/>
      <c r="B46" s="133"/>
      <c r="C46" s="133"/>
      <c r="D46" s="133"/>
      <c r="E46" s="133"/>
      <c r="F46" s="133"/>
      <c r="G46" s="118"/>
      <c r="H46" s="118"/>
      <c r="I46" s="118"/>
      <c r="J46" s="118"/>
      <c r="K46" s="118"/>
      <c r="L46" s="118"/>
      <c r="M46" s="118"/>
      <c r="N46" s="118"/>
      <c r="O46" s="160"/>
      <c r="P46" s="159"/>
      <c r="Q46" s="159"/>
      <c r="R46" s="159"/>
      <c r="S46" s="136"/>
      <c r="T46" s="136"/>
      <c r="U46" s="136"/>
      <c r="V46" s="136"/>
      <c r="W46" s="136"/>
      <c r="X46" s="118"/>
    </row>
    <row r="47" spans="1:29" s="73" customFormat="1" ht="16.5" thickBot="1" x14ac:dyDescent="0.25">
      <c r="A47" s="822" t="s">
        <v>307</v>
      </c>
      <c r="B47" s="873"/>
      <c r="C47" s="873"/>
      <c r="D47" s="874"/>
      <c r="E47" s="133"/>
      <c r="F47" s="133"/>
      <c r="G47" s="118"/>
      <c r="H47" s="118"/>
      <c r="I47" s="118"/>
      <c r="J47" s="118"/>
      <c r="K47" s="118"/>
      <c r="L47" s="118"/>
      <c r="M47" s="118"/>
      <c r="N47" s="118"/>
      <c r="O47" s="136"/>
      <c r="P47" s="159"/>
      <c r="Q47" s="159"/>
      <c r="R47" s="159"/>
      <c r="S47" s="466"/>
      <c r="T47" s="466"/>
      <c r="U47" s="466"/>
      <c r="V47" s="466"/>
      <c r="W47" s="159"/>
      <c r="X47" s="118"/>
      <c r="Y47" s="118"/>
    </row>
    <row r="48" spans="1:29" s="73" customFormat="1" ht="15.75" customHeight="1" x14ac:dyDescent="0.2">
      <c r="A48" s="875" t="s">
        <v>627</v>
      </c>
      <c r="B48" s="868" t="s">
        <v>628</v>
      </c>
      <c r="C48" s="868" t="s">
        <v>11</v>
      </c>
      <c r="D48" s="868" t="s">
        <v>12</v>
      </c>
      <c r="E48" s="868" t="s">
        <v>13</v>
      </c>
      <c r="F48" s="868" t="s">
        <v>14</v>
      </c>
      <c r="G48" s="868" t="s">
        <v>15</v>
      </c>
      <c r="H48" s="868" t="s">
        <v>16</v>
      </c>
      <c r="I48" s="868">
        <v>20</v>
      </c>
      <c r="J48" s="868">
        <v>40</v>
      </c>
      <c r="K48" s="868" t="s">
        <v>19</v>
      </c>
      <c r="L48" s="922" t="s">
        <v>20</v>
      </c>
      <c r="M48" s="943" t="s">
        <v>28</v>
      </c>
      <c r="N48" s="504" t="s">
        <v>69</v>
      </c>
      <c r="O48" s="498" t="s">
        <v>64</v>
      </c>
      <c r="P48" s="499" t="s">
        <v>65</v>
      </c>
      <c r="Q48" s="490" t="s">
        <v>147</v>
      </c>
      <c r="R48" s="490" t="s">
        <v>71</v>
      </c>
      <c r="S48" s="490"/>
      <c r="T48" s="490"/>
      <c r="U48" s="490"/>
      <c r="V48" s="490"/>
      <c r="W48" s="490"/>
      <c r="X48" s="490"/>
      <c r="Y48" s="490"/>
      <c r="Z48" s="868" t="s">
        <v>22</v>
      </c>
      <c r="AA48" s="868" t="s">
        <v>23</v>
      </c>
      <c r="AB48" s="868" t="s">
        <v>24</v>
      </c>
      <c r="AC48" s="922" t="s">
        <v>352</v>
      </c>
    </row>
    <row r="49" spans="1:29" s="73" customFormat="1" ht="48" thickBot="1" x14ac:dyDescent="0.25">
      <c r="A49" s="876"/>
      <c r="B49" s="869"/>
      <c r="C49" s="869"/>
      <c r="D49" s="869"/>
      <c r="E49" s="869"/>
      <c r="F49" s="869"/>
      <c r="G49" s="872"/>
      <c r="H49" s="869"/>
      <c r="I49" s="869"/>
      <c r="J49" s="869"/>
      <c r="K49" s="869"/>
      <c r="L49" s="923"/>
      <c r="M49" s="944"/>
      <c r="N49" s="505" t="s">
        <v>70</v>
      </c>
      <c r="O49" s="501" t="s">
        <v>67</v>
      </c>
      <c r="P49" s="502" t="s">
        <v>68</v>
      </c>
      <c r="Q49" s="503" t="s">
        <v>84</v>
      </c>
      <c r="R49" s="492" t="s">
        <v>84</v>
      </c>
      <c r="S49" s="492"/>
      <c r="T49" s="492"/>
      <c r="U49" s="492"/>
      <c r="V49" s="492"/>
      <c r="W49" s="492"/>
      <c r="X49" s="492"/>
      <c r="Y49" s="492"/>
      <c r="Z49" s="924"/>
      <c r="AA49" s="924"/>
      <c r="AB49" s="924"/>
      <c r="AC49" s="923"/>
    </row>
    <row r="50" spans="1:29" s="136" customFormat="1" x14ac:dyDescent="0.2">
      <c r="A50" s="493"/>
      <c r="B50" s="225"/>
      <c r="C50" s="225"/>
      <c r="D50" s="225"/>
      <c r="E50" s="225"/>
      <c r="F50" s="225"/>
      <c r="G50" s="120"/>
      <c r="H50" s="225"/>
      <c r="I50" s="263"/>
      <c r="J50" s="263"/>
      <c r="K50" s="263"/>
      <c r="L50" s="265"/>
      <c r="M50" s="270"/>
      <c r="N50" s="268"/>
      <c r="O50" s="120"/>
      <c r="P50" s="121"/>
      <c r="Q50" s="269"/>
      <c r="R50" s="226"/>
      <c r="S50" s="226"/>
      <c r="T50" s="226"/>
      <c r="U50" s="226"/>
      <c r="V50" s="226"/>
      <c r="W50" s="120"/>
      <c r="X50" s="120"/>
      <c r="Y50" s="120"/>
      <c r="Z50" s="227"/>
      <c r="AA50" s="227"/>
      <c r="AB50" s="120"/>
      <c r="AC50" s="121"/>
    </row>
    <row r="51" spans="1:29" s="136" customFormat="1" x14ac:dyDescent="0.2">
      <c r="A51" s="494"/>
      <c r="B51" s="123"/>
      <c r="C51" s="123"/>
      <c r="D51" s="123"/>
      <c r="E51" s="123"/>
      <c r="F51" s="123"/>
      <c r="G51" s="124"/>
      <c r="H51" s="123"/>
      <c r="I51" s="255"/>
      <c r="J51" s="255"/>
      <c r="K51" s="255"/>
      <c r="L51" s="266"/>
      <c r="M51" s="271"/>
      <c r="N51" s="259"/>
      <c r="O51" s="124"/>
      <c r="P51" s="127"/>
      <c r="Q51" s="248"/>
      <c r="R51" s="125"/>
      <c r="S51" s="125"/>
      <c r="T51" s="125"/>
      <c r="U51" s="125"/>
      <c r="V51" s="125"/>
      <c r="W51" s="124"/>
      <c r="X51" s="124"/>
      <c r="Y51" s="124"/>
      <c r="Z51" s="126"/>
      <c r="AA51" s="126"/>
      <c r="AB51" s="124"/>
      <c r="AC51" s="127"/>
    </row>
    <row r="52" spans="1:29" s="136" customFormat="1" x14ac:dyDescent="0.2">
      <c r="A52" s="494"/>
      <c r="B52" s="123"/>
      <c r="C52" s="123"/>
      <c r="D52" s="123"/>
      <c r="E52" s="123"/>
      <c r="F52" s="123"/>
      <c r="G52" s="124"/>
      <c r="H52" s="123"/>
      <c r="I52" s="255"/>
      <c r="J52" s="255"/>
      <c r="K52" s="255"/>
      <c r="L52" s="266"/>
      <c r="M52" s="271"/>
      <c r="N52" s="259"/>
      <c r="O52" s="124"/>
      <c r="P52" s="127"/>
      <c r="Q52" s="248"/>
      <c r="R52" s="125"/>
      <c r="S52" s="125"/>
      <c r="T52" s="125"/>
      <c r="U52" s="125"/>
      <c r="V52" s="125"/>
      <c r="W52" s="124"/>
      <c r="X52" s="124"/>
      <c r="Y52" s="124"/>
      <c r="Z52" s="126"/>
      <c r="AA52" s="126"/>
      <c r="AB52" s="124"/>
      <c r="AC52" s="127"/>
    </row>
    <row r="53" spans="1:29" s="136" customFormat="1" ht="16.5" thickBot="1" x14ac:dyDescent="0.25">
      <c r="A53" s="495"/>
      <c r="B53" s="128"/>
      <c r="C53" s="128"/>
      <c r="D53" s="128"/>
      <c r="E53" s="128"/>
      <c r="F53" s="128"/>
      <c r="G53" s="129"/>
      <c r="H53" s="128"/>
      <c r="I53" s="256"/>
      <c r="J53" s="256"/>
      <c r="K53" s="256"/>
      <c r="L53" s="267"/>
      <c r="M53" s="161"/>
      <c r="N53" s="137"/>
      <c r="O53" s="129"/>
      <c r="P53" s="132"/>
      <c r="Q53" s="137"/>
      <c r="R53" s="129"/>
      <c r="S53" s="129"/>
      <c r="T53" s="129"/>
      <c r="U53" s="129"/>
      <c r="V53" s="129"/>
      <c r="W53" s="129"/>
      <c r="X53" s="129"/>
      <c r="Y53" s="129"/>
      <c r="Z53" s="131"/>
      <c r="AA53" s="131"/>
      <c r="AB53" s="129"/>
      <c r="AC53" s="132"/>
    </row>
    <row r="54" spans="1:29" s="73" customFormat="1" x14ac:dyDescent="0.2">
      <c r="A54" s="133"/>
      <c r="B54" s="133"/>
      <c r="C54" s="133"/>
      <c r="D54" s="133"/>
      <c r="E54" s="133"/>
      <c r="F54" s="133"/>
      <c r="G54" s="118"/>
      <c r="H54" s="118"/>
      <c r="I54" s="118"/>
      <c r="J54" s="118"/>
      <c r="K54" s="118"/>
      <c r="M54" s="118"/>
      <c r="V54" s="118"/>
      <c r="W54" s="118"/>
    </row>
    <row r="55" spans="1:29" s="73" customFormat="1" x14ac:dyDescent="0.2">
      <c r="A55" s="133"/>
      <c r="B55" s="133"/>
      <c r="C55" s="133"/>
      <c r="D55" s="133"/>
      <c r="E55" s="133"/>
      <c r="F55" s="118"/>
      <c r="G55" s="118"/>
      <c r="H55" s="118"/>
      <c r="I55" s="118"/>
      <c r="J55" s="118"/>
      <c r="K55" s="134"/>
      <c r="L55" s="118"/>
      <c r="M55" s="118"/>
      <c r="N55" s="118"/>
      <c r="S55" s="118"/>
      <c r="T55" s="118"/>
      <c r="U55" s="118"/>
    </row>
    <row r="56" spans="1:29" s="456" customFormat="1" ht="16.5" thickBot="1" x14ac:dyDescent="0.25">
      <c r="A56" s="133"/>
      <c r="B56" s="133"/>
      <c r="C56" s="133"/>
      <c r="D56" s="133"/>
      <c r="E56" s="118"/>
      <c r="F56" s="118"/>
      <c r="G56" s="118"/>
      <c r="H56" s="118"/>
      <c r="I56" s="118"/>
      <c r="J56" s="134"/>
      <c r="K56" s="134"/>
      <c r="L56" s="134"/>
      <c r="M56" s="134"/>
      <c r="R56" s="134"/>
    </row>
    <row r="57" spans="1:29" s="456" customFormat="1" ht="19.5" thickBot="1" x14ac:dyDescent="0.25">
      <c r="A57" s="938" t="s">
        <v>29</v>
      </c>
      <c r="B57" s="939"/>
      <c r="C57" s="940"/>
      <c r="D57" s="133"/>
      <c r="E57" s="133"/>
      <c r="F57" s="118"/>
      <c r="G57" s="118"/>
      <c r="H57" s="118"/>
      <c r="I57" s="118"/>
      <c r="J57" s="118"/>
      <c r="K57" s="134"/>
      <c r="L57" s="134"/>
      <c r="M57" s="134"/>
      <c r="N57" s="134"/>
      <c r="S57" s="134"/>
      <c r="T57" s="134"/>
      <c r="U57" s="134"/>
    </row>
    <row r="58" spans="1:29" s="456" customFormat="1" ht="16.5" thickBot="1" x14ac:dyDescent="0.25">
      <c r="A58" s="800" t="s">
        <v>625</v>
      </c>
      <c r="B58" s="801"/>
      <c r="C58" s="802"/>
      <c r="D58" s="133"/>
      <c r="E58" s="133"/>
      <c r="F58" s="133"/>
      <c r="G58" s="118"/>
      <c r="H58" s="118"/>
      <c r="I58" s="118"/>
      <c r="J58" s="118"/>
      <c r="K58" s="118"/>
      <c r="L58" s="134"/>
      <c r="N58" s="134"/>
      <c r="O58" s="134"/>
      <c r="V58" s="134"/>
    </row>
    <row r="59" spans="1:29" s="456" customFormat="1" x14ac:dyDescent="0.2">
      <c r="A59" s="506" t="s">
        <v>30</v>
      </c>
      <c r="B59" s="507"/>
      <c r="C59" s="508" t="s">
        <v>155</v>
      </c>
      <c r="D59" s="509"/>
      <c r="E59" s="509"/>
      <c r="F59" s="510"/>
      <c r="G59" s="510"/>
      <c r="H59" s="509"/>
      <c r="I59" s="510"/>
      <c r="J59" s="509"/>
      <c r="K59" s="143"/>
      <c r="L59" s="144"/>
      <c r="N59" s="134"/>
      <c r="O59" s="134"/>
      <c r="P59" s="134"/>
    </row>
    <row r="60" spans="1:29" s="456" customFormat="1" x14ac:dyDescent="0.2">
      <c r="A60" s="96" t="s">
        <v>626</v>
      </c>
      <c r="B60" s="511"/>
      <c r="C60" s="511"/>
      <c r="D60" s="512"/>
      <c r="E60" s="512"/>
      <c r="F60" s="215"/>
      <c r="G60" s="215"/>
      <c r="H60" s="512"/>
      <c r="I60" s="215"/>
      <c r="J60" s="512"/>
      <c r="K60" s="149"/>
      <c r="L60" s="150"/>
      <c r="N60" s="134"/>
      <c r="O60" s="134"/>
      <c r="P60" s="134"/>
    </row>
    <row r="61" spans="1:29" s="456" customFormat="1" x14ac:dyDescent="0.2">
      <c r="A61" s="96" t="s">
        <v>173</v>
      </c>
      <c r="B61" s="511"/>
      <c r="C61" s="511"/>
      <c r="D61" s="512"/>
      <c r="E61" s="512"/>
      <c r="F61" s="215"/>
      <c r="G61" s="215"/>
      <c r="H61" s="512"/>
      <c r="I61" s="215"/>
      <c r="J61" s="512"/>
      <c r="K61" s="149"/>
      <c r="L61" s="150"/>
      <c r="N61" s="134"/>
      <c r="O61" s="134"/>
      <c r="P61" s="134"/>
    </row>
    <row r="62" spans="1:29" s="456" customFormat="1" x14ac:dyDescent="0.2">
      <c r="A62" s="96" t="s">
        <v>987</v>
      </c>
      <c r="B62" s="511"/>
      <c r="C62" s="511"/>
      <c r="D62" s="512"/>
      <c r="E62" s="512"/>
      <c r="F62" s="215"/>
      <c r="G62" s="215"/>
      <c r="H62" s="512"/>
      <c r="I62" s="215"/>
      <c r="J62" s="512"/>
      <c r="K62" s="149"/>
      <c r="L62" s="150"/>
      <c r="N62" s="134"/>
      <c r="O62" s="134"/>
      <c r="P62" s="134"/>
    </row>
    <row r="63" spans="1:29" s="456" customFormat="1" ht="16.5" thickBot="1" x14ac:dyDescent="0.25">
      <c r="A63" s="110" t="s">
        <v>988</v>
      </c>
      <c r="B63" s="513"/>
      <c r="C63" s="513"/>
      <c r="D63" s="514"/>
      <c r="E63" s="514"/>
      <c r="F63" s="515"/>
      <c r="G63" s="515"/>
      <c r="H63" s="514"/>
      <c r="I63" s="515"/>
      <c r="J63" s="514"/>
      <c r="K63" s="154"/>
      <c r="L63" s="155"/>
      <c r="N63" s="134"/>
      <c r="O63" s="134"/>
      <c r="P63" s="134"/>
    </row>
    <row r="64" spans="1:29" s="456" customFormat="1" ht="16.5" thickBot="1" x14ac:dyDescent="0.25">
      <c r="A64" s="516"/>
      <c r="B64" s="517"/>
      <c r="C64" s="134"/>
      <c r="D64" s="133"/>
      <c r="E64" s="133"/>
      <c r="F64" s="133"/>
      <c r="G64" s="133"/>
      <c r="H64" s="118"/>
      <c r="I64" s="118"/>
      <c r="J64" s="118"/>
      <c r="K64" s="118"/>
      <c r="L64" s="118"/>
      <c r="M64" s="134"/>
      <c r="O64" s="134"/>
      <c r="P64" s="134"/>
      <c r="Q64" s="118"/>
    </row>
    <row r="65" spans="1:24" s="14" customFormat="1" ht="48" thickBot="1" x14ac:dyDescent="0.25">
      <c r="A65" s="518" t="s">
        <v>31</v>
      </c>
      <c r="B65" s="932" t="s">
        <v>628</v>
      </c>
      <c r="C65" s="933"/>
      <c r="D65" s="934"/>
      <c r="E65" s="519" t="s">
        <v>11</v>
      </c>
      <c r="F65" s="519" t="s">
        <v>14</v>
      </c>
      <c r="G65" s="519" t="s">
        <v>287</v>
      </c>
      <c r="H65" s="519" t="s">
        <v>32</v>
      </c>
      <c r="I65" s="519" t="s">
        <v>16</v>
      </c>
      <c r="J65" s="519" t="s">
        <v>17</v>
      </c>
      <c r="K65" s="519" t="s">
        <v>18</v>
      </c>
      <c r="L65" s="519" t="s">
        <v>19</v>
      </c>
      <c r="M65" s="519" t="s">
        <v>20</v>
      </c>
      <c r="N65" s="520" t="s">
        <v>123</v>
      </c>
      <c r="O65" s="519" t="s">
        <v>96</v>
      </c>
      <c r="P65" s="521" t="s">
        <v>809</v>
      </c>
    </row>
    <row r="66" spans="1:24" s="303" customFormat="1" x14ac:dyDescent="0.2">
      <c r="A66" s="269"/>
      <c r="B66" s="925"/>
      <c r="C66" s="926"/>
      <c r="D66" s="926"/>
      <c r="E66" s="226"/>
      <c r="F66" s="226"/>
      <c r="G66" s="226"/>
      <c r="H66" s="226"/>
      <c r="I66" s="226"/>
      <c r="J66" s="273"/>
      <c r="K66" s="263"/>
      <c r="L66" s="263"/>
      <c r="M66" s="306"/>
      <c r="N66" s="49"/>
      <c r="O66" s="226"/>
      <c r="P66" s="274"/>
      <c r="Q66" s="159"/>
      <c r="R66" s="159"/>
      <c r="S66" s="159"/>
      <c r="T66" s="159"/>
      <c r="U66" s="159"/>
      <c r="V66" s="160"/>
      <c r="W66" s="160"/>
      <c r="X66" s="160"/>
    </row>
    <row r="67" spans="1:24" s="303" customFormat="1" x14ac:dyDescent="0.2">
      <c r="A67" s="248"/>
      <c r="B67" s="927"/>
      <c r="C67" s="928"/>
      <c r="D67" s="928"/>
      <c r="E67" s="125"/>
      <c r="F67" s="125"/>
      <c r="G67" s="125"/>
      <c r="H67" s="125"/>
      <c r="I67" s="125"/>
      <c r="J67" s="275"/>
      <c r="K67" s="255"/>
      <c r="L67" s="255"/>
      <c r="M67" s="307"/>
      <c r="N67" s="21"/>
      <c r="O67" s="125"/>
      <c r="P67" s="276"/>
      <c r="Q67" s="159"/>
      <c r="R67" s="159"/>
      <c r="S67" s="159"/>
      <c r="T67" s="159"/>
      <c r="U67" s="159"/>
      <c r="V67" s="160"/>
      <c r="W67" s="160"/>
      <c r="X67" s="160"/>
    </row>
    <row r="68" spans="1:24" s="303" customFormat="1" x14ac:dyDescent="0.2">
      <c r="A68" s="248"/>
      <c r="B68" s="927"/>
      <c r="C68" s="928"/>
      <c r="D68" s="928"/>
      <c r="E68" s="125"/>
      <c r="F68" s="125"/>
      <c r="G68" s="125"/>
      <c r="H68" s="125"/>
      <c r="I68" s="125"/>
      <c r="J68" s="275"/>
      <c r="K68" s="255"/>
      <c r="L68" s="255"/>
      <c r="M68" s="307"/>
      <c r="N68" s="21"/>
      <c r="O68" s="125"/>
      <c r="P68" s="276"/>
      <c r="Q68" s="159"/>
      <c r="R68" s="159"/>
      <c r="S68" s="159"/>
      <c r="T68" s="159"/>
      <c r="U68" s="159"/>
      <c r="V68" s="160"/>
      <c r="W68" s="160"/>
      <c r="X68" s="160"/>
    </row>
    <row r="69" spans="1:24" s="303" customFormat="1" ht="16.5" thickBot="1" x14ac:dyDescent="0.25">
      <c r="A69" s="304"/>
      <c r="B69" s="912"/>
      <c r="C69" s="913"/>
      <c r="D69" s="913"/>
      <c r="E69" s="130"/>
      <c r="F69" s="130"/>
      <c r="G69" s="130"/>
      <c r="H69" s="130"/>
      <c r="I69" s="130"/>
      <c r="J69" s="258"/>
      <c r="K69" s="256"/>
      <c r="L69" s="256"/>
      <c r="M69" s="305"/>
      <c r="N69" s="29"/>
      <c r="O69" s="129"/>
      <c r="P69" s="132"/>
      <c r="Q69" s="159"/>
      <c r="R69" s="159"/>
      <c r="S69" s="159"/>
      <c r="T69" s="159"/>
      <c r="U69" s="159"/>
      <c r="V69" s="160"/>
      <c r="W69" s="160"/>
      <c r="X69" s="160"/>
    </row>
    <row r="70" spans="1:24" s="456" customFormat="1" x14ac:dyDescent="0.2">
      <c r="A70" s="134"/>
      <c r="B70" s="134"/>
      <c r="C70" s="522"/>
      <c r="D70" s="522"/>
      <c r="E70" s="134"/>
      <c r="F70" s="134"/>
      <c r="G70" s="134"/>
      <c r="H70" s="134"/>
      <c r="I70" s="134"/>
      <c r="J70" s="134"/>
      <c r="K70" s="134"/>
      <c r="L70" s="134"/>
      <c r="M70" s="134"/>
      <c r="O70" s="118"/>
      <c r="P70" s="118"/>
      <c r="Q70" s="118"/>
      <c r="R70" s="118"/>
      <c r="S70" s="118"/>
      <c r="T70" s="118"/>
      <c r="U70" s="118"/>
      <c r="V70" s="134"/>
      <c r="W70" s="134"/>
      <c r="X70" s="134"/>
    </row>
    <row r="71" spans="1:24" s="456" customFormat="1" ht="16.5" thickBot="1" x14ac:dyDescent="0.25">
      <c r="A71" s="133"/>
      <c r="B71" s="133"/>
      <c r="C71" s="133"/>
      <c r="D71" s="133"/>
      <c r="E71" s="133"/>
      <c r="F71" s="133"/>
      <c r="G71" s="133"/>
      <c r="H71" s="133"/>
      <c r="I71" s="118"/>
      <c r="J71" s="118"/>
      <c r="K71" s="118"/>
      <c r="L71" s="118"/>
      <c r="M71" s="118"/>
      <c r="N71" s="134"/>
      <c r="O71" s="134"/>
      <c r="P71" s="134"/>
      <c r="Q71" s="134"/>
      <c r="R71" s="134"/>
      <c r="S71" s="134"/>
      <c r="T71" s="134"/>
      <c r="U71" s="134"/>
      <c r="V71" s="134"/>
      <c r="W71" s="118"/>
    </row>
    <row r="72" spans="1:24" s="456" customFormat="1" ht="19.5" thickBot="1" x14ac:dyDescent="0.25">
      <c r="A72" s="938" t="s">
        <v>34</v>
      </c>
      <c r="B72" s="939"/>
      <c r="C72" s="940"/>
      <c r="D72" s="523"/>
      <c r="E72" s="133"/>
      <c r="F72" s="133"/>
      <c r="G72" s="133"/>
      <c r="H72" s="133"/>
      <c r="I72" s="118"/>
      <c r="J72" s="118"/>
      <c r="K72" s="118"/>
      <c r="L72" s="118"/>
      <c r="M72" s="118"/>
      <c r="N72" s="134"/>
      <c r="O72" s="134"/>
      <c r="P72" s="134"/>
      <c r="Q72" s="134"/>
      <c r="R72" s="134"/>
      <c r="S72" s="134"/>
      <c r="T72" s="134"/>
      <c r="U72" s="134"/>
      <c r="V72" s="134"/>
      <c r="W72" s="118"/>
    </row>
    <row r="73" spans="1:24" s="456" customFormat="1" ht="16.5" thickBot="1" x14ac:dyDescent="0.25">
      <c r="A73" s="800" t="s">
        <v>625</v>
      </c>
      <c r="B73" s="801"/>
      <c r="C73" s="802"/>
      <c r="D73" s="200"/>
      <c r="E73" s="200"/>
      <c r="F73" s="200"/>
      <c r="G73" s="200"/>
      <c r="H73" s="194"/>
      <c r="I73" s="194"/>
      <c r="J73" s="200"/>
      <c r="K73" s="194"/>
      <c r="L73" s="200"/>
      <c r="M73" s="118"/>
      <c r="N73" s="134"/>
      <c r="O73" s="134"/>
      <c r="P73" s="134"/>
      <c r="Q73" s="134"/>
      <c r="R73" s="134"/>
      <c r="S73" s="134"/>
      <c r="T73" s="134"/>
      <c r="U73" s="134"/>
      <c r="V73" s="134"/>
      <c r="W73" s="118"/>
    </row>
    <row r="74" spans="1:24" s="456" customFormat="1" x14ac:dyDescent="0.2">
      <c r="A74" s="506" t="s">
        <v>30</v>
      </c>
      <c r="B74" s="470"/>
      <c r="C74" s="508" t="s">
        <v>155</v>
      </c>
      <c r="D74" s="508"/>
      <c r="E74" s="509"/>
      <c r="F74" s="509"/>
      <c r="G74" s="509"/>
      <c r="H74" s="510"/>
      <c r="I74" s="510"/>
      <c r="J74" s="509"/>
      <c r="K74" s="510"/>
      <c r="L74" s="524"/>
      <c r="M74" s="118"/>
      <c r="N74" s="134"/>
      <c r="O74" s="134"/>
      <c r="P74" s="134"/>
      <c r="Q74" s="134"/>
      <c r="R74" s="134"/>
      <c r="S74" s="134"/>
      <c r="T74" s="134"/>
      <c r="U74" s="134"/>
      <c r="V74" s="134"/>
      <c r="W74" s="118"/>
    </row>
    <row r="75" spans="1:24" s="456" customFormat="1" x14ac:dyDescent="0.2">
      <c r="A75" s="96" t="s">
        <v>35</v>
      </c>
      <c r="B75" s="512"/>
      <c r="C75" s="512"/>
      <c r="D75" s="512"/>
      <c r="E75" s="512"/>
      <c r="F75" s="512"/>
      <c r="G75" s="512"/>
      <c r="H75" s="215"/>
      <c r="I75" s="215"/>
      <c r="J75" s="512"/>
      <c r="K75" s="215"/>
      <c r="L75" s="525"/>
      <c r="M75" s="118"/>
      <c r="N75" s="134"/>
      <c r="O75" s="134"/>
      <c r="P75" s="134"/>
      <c r="Q75" s="134"/>
      <c r="R75" s="134"/>
      <c r="S75" s="134"/>
      <c r="T75" s="134"/>
      <c r="U75" s="134"/>
      <c r="V75" s="134"/>
      <c r="W75" s="118"/>
    </row>
    <row r="76" spans="1:24" s="456" customFormat="1" x14ac:dyDescent="0.2">
      <c r="A76" s="96" t="s">
        <v>174</v>
      </c>
      <c r="B76" s="512"/>
      <c r="C76" s="512"/>
      <c r="D76" s="512"/>
      <c r="E76" s="512"/>
      <c r="F76" s="512"/>
      <c r="G76" s="512"/>
      <c r="H76" s="215"/>
      <c r="I76" s="215"/>
      <c r="J76" s="512"/>
      <c r="K76" s="215"/>
      <c r="L76" s="525"/>
      <c r="M76" s="118"/>
      <c r="N76" s="134"/>
      <c r="O76" s="134"/>
      <c r="P76" s="134"/>
      <c r="Q76" s="134"/>
      <c r="R76" s="134"/>
      <c r="S76" s="134"/>
      <c r="T76" s="134"/>
      <c r="U76" s="134"/>
      <c r="V76" s="134"/>
      <c r="W76" s="118"/>
    </row>
    <row r="77" spans="1:24" s="456" customFormat="1" x14ac:dyDescent="0.2">
      <c r="A77" s="96" t="s">
        <v>987</v>
      </c>
      <c r="B77" s="512"/>
      <c r="C77" s="512"/>
      <c r="D77" s="512"/>
      <c r="E77" s="512"/>
      <c r="F77" s="512"/>
      <c r="G77" s="512"/>
      <c r="H77" s="215"/>
      <c r="I77" s="215"/>
      <c r="J77" s="512"/>
      <c r="K77" s="215"/>
      <c r="L77" s="525"/>
      <c r="M77" s="118"/>
      <c r="N77" s="134"/>
      <c r="O77" s="134"/>
      <c r="P77" s="134"/>
      <c r="Q77" s="134"/>
      <c r="R77" s="134"/>
      <c r="S77" s="134"/>
      <c r="T77" s="134"/>
      <c r="U77" s="134"/>
      <c r="V77" s="134"/>
      <c r="W77" s="118"/>
    </row>
    <row r="78" spans="1:24" s="456" customFormat="1" ht="16.5" thickBot="1" x14ac:dyDescent="0.25">
      <c r="A78" s="110" t="s">
        <v>988</v>
      </c>
      <c r="B78" s="514"/>
      <c r="C78" s="514"/>
      <c r="D78" s="514"/>
      <c r="E78" s="514"/>
      <c r="F78" s="514"/>
      <c r="G78" s="514"/>
      <c r="H78" s="515"/>
      <c r="I78" s="515"/>
      <c r="J78" s="514"/>
      <c r="K78" s="515"/>
      <c r="L78" s="526"/>
      <c r="M78" s="118"/>
      <c r="N78" s="134"/>
      <c r="O78" s="134"/>
      <c r="P78" s="134"/>
      <c r="Q78" s="134"/>
      <c r="R78" s="134"/>
      <c r="S78" s="134"/>
      <c r="T78" s="134"/>
      <c r="U78" s="134"/>
      <c r="V78" s="134"/>
      <c r="W78" s="118"/>
    </row>
    <row r="79" spans="1:24" s="456" customFormat="1" ht="16.5" thickBot="1" x14ac:dyDescent="0.25">
      <c r="A79" s="527"/>
      <c r="E79" s="200"/>
      <c r="F79" s="200"/>
      <c r="G79" s="200"/>
      <c r="H79" s="194"/>
      <c r="I79" s="517"/>
      <c r="J79" s="200"/>
      <c r="K79" s="194"/>
      <c r="L79" s="200"/>
      <c r="M79" s="118"/>
      <c r="N79" s="134"/>
      <c r="O79" s="134"/>
      <c r="P79" s="134"/>
      <c r="Q79" s="134"/>
      <c r="R79" s="118"/>
      <c r="V79" s="528"/>
      <c r="W79" s="528"/>
    </row>
    <row r="80" spans="1:24" s="14" customFormat="1" ht="32.25" thickBot="1" x14ac:dyDescent="0.25">
      <c r="A80" s="518" t="s">
        <v>31</v>
      </c>
      <c r="B80" s="932" t="s">
        <v>13</v>
      </c>
      <c r="C80" s="933"/>
      <c r="D80" s="934"/>
      <c r="E80" s="519" t="s">
        <v>12</v>
      </c>
      <c r="F80" s="519" t="s">
        <v>14</v>
      </c>
      <c r="G80" s="519" t="s">
        <v>276</v>
      </c>
      <c r="H80" s="519" t="s">
        <v>32</v>
      </c>
      <c r="I80" s="519" t="s">
        <v>16</v>
      </c>
      <c r="J80" s="519" t="s">
        <v>17</v>
      </c>
      <c r="K80" s="519" t="s">
        <v>18</v>
      </c>
      <c r="L80" s="519" t="s">
        <v>19</v>
      </c>
      <c r="M80" s="519" t="s">
        <v>20</v>
      </c>
      <c r="N80" s="520" t="s">
        <v>123</v>
      </c>
      <c r="O80" s="519" t="s">
        <v>94</v>
      </c>
      <c r="P80" s="521" t="s">
        <v>807</v>
      </c>
      <c r="W80" s="13"/>
    </row>
    <row r="81" spans="1:23" s="303" customFormat="1" x14ac:dyDescent="0.2">
      <c r="A81" s="269"/>
      <c r="B81" s="925"/>
      <c r="C81" s="926"/>
      <c r="D81" s="926"/>
      <c r="E81" s="226"/>
      <c r="F81" s="226"/>
      <c r="G81" s="226"/>
      <c r="H81" s="226"/>
      <c r="I81" s="226"/>
      <c r="J81" s="263"/>
      <c r="K81" s="263"/>
      <c r="L81" s="263"/>
      <c r="M81" s="263"/>
      <c r="N81" s="49"/>
      <c r="O81" s="226"/>
      <c r="P81" s="274"/>
      <c r="Q81" s="160"/>
      <c r="R81" s="160"/>
      <c r="S81" s="160"/>
      <c r="T81" s="160"/>
      <c r="U81" s="160"/>
      <c r="V81" s="160"/>
      <c r="W81" s="159"/>
    </row>
    <row r="82" spans="1:23" s="303" customFormat="1" x14ac:dyDescent="0.2">
      <c r="A82" s="248"/>
      <c r="B82" s="927"/>
      <c r="C82" s="928"/>
      <c r="D82" s="928"/>
      <c r="E82" s="125"/>
      <c r="F82" s="125"/>
      <c r="G82" s="125"/>
      <c r="H82" s="125"/>
      <c r="I82" s="125"/>
      <c r="J82" s="255"/>
      <c r="K82" s="255"/>
      <c r="L82" s="255"/>
      <c r="M82" s="255"/>
      <c r="N82" s="21"/>
      <c r="O82" s="125"/>
      <c r="P82" s="276"/>
      <c r="Q82" s="160"/>
      <c r="R82" s="160"/>
      <c r="S82" s="160"/>
      <c r="T82" s="160"/>
      <c r="U82" s="160"/>
      <c r="V82" s="160"/>
      <c r="W82" s="159"/>
    </row>
    <row r="83" spans="1:23" s="303" customFormat="1" x14ac:dyDescent="0.2">
      <c r="A83" s="248"/>
      <c r="B83" s="927"/>
      <c r="C83" s="928"/>
      <c r="D83" s="928"/>
      <c r="E83" s="125"/>
      <c r="F83" s="125"/>
      <c r="G83" s="125"/>
      <c r="H83" s="125"/>
      <c r="I83" s="125"/>
      <c r="J83" s="255"/>
      <c r="K83" s="255"/>
      <c r="L83" s="255"/>
      <c r="M83" s="255"/>
      <c r="N83" s="21"/>
      <c r="O83" s="125"/>
      <c r="P83" s="276"/>
      <c r="Q83" s="160"/>
      <c r="R83" s="160"/>
      <c r="S83" s="160"/>
      <c r="T83" s="160"/>
      <c r="U83" s="160"/>
      <c r="V83" s="160"/>
      <c r="W83" s="159"/>
    </row>
    <row r="84" spans="1:23" s="303" customFormat="1" ht="16.5" thickBot="1" x14ac:dyDescent="0.25">
      <c r="A84" s="304"/>
      <c r="B84" s="912"/>
      <c r="C84" s="913"/>
      <c r="D84" s="913"/>
      <c r="E84" s="130"/>
      <c r="F84" s="130"/>
      <c r="G84" s="130"/>
      <c r="H84" s="130"/>
      <c r="I84" s="130"/>
      <c r="J84" s="256"/>
      <c r="K84" s="256"/>
      <c r="L84" s="256"/>
      <c r="M84" s="256"/>
      <c r="N84" s="29"/>
      <c r="O84" s="129"/>
      <c r="P84" s="132"/>
      <c r="Q84" s="160"/>
      <c r="R84" s="160"/>
      <c r="S84" s="160"/>
      <c r="T84" s="160"/>
      <c r="U84" s="160"/>
      <c r="V84" s="160"/>
      <c r="W84" s="159"/>
    </row>
    <row r="85" spans="1:23" s="456" customFormat="1" ht="16.5" thickBot="1" x14ac:dyDescent="0.25">
      <c r="A85" s="133"/>
      <c r="B85" s="133"/>
      <c r="C85" s="133"/>
      <c r="D85" s="133"/>
      <c r="E85" s="133"/>
      <c r="F85" s="133"/>
      <c r="G85" s="133"/>
      <c r="H85" s="118"/>
      <c r="I85" s="118"/>
      <c r="J85" s="118"/>
      <c r="K85" s="118"/>
      <c r="L85" s="118"/>
      <c r="M85" s="134"/>
      <c r="N85" s="134"/>
      <c r="O85" s="134"/>
      <c r="P85" s="134"/>
      <c r="Q85" s="134"/>
      <c r="R85" s="134"/>
      <c r="S85" s="134"/>
      <c r="T85" s="134"/>
      <c r="U85" s="134"/>
      <c r="V85" s="118"/>
    </row>
    <row r="86" spans="1:23" s="73" customFormat="1" ht="16.5" thickBot="1" x14ac:dyDescent="0.25">
      <c r="A86" s="822" t="s">
        <v>36</v>
      </c>
      <c r="B86" s="823"/>
      <c r="C86" s="823"/>
      <c r="D86" s="823"/>
      <c r="E86" s="823"/>
      <c r="F86" s="823"/>
      <c r="G86" s="823"/>
      <c r="H86" s="823"/>
      <c r="I86" s="824"/>
      <c r="J86" s="169"/>
      <c r="K86" s="118"/>
      <c r="L86" s="134"/>
      <c r="M86" s="134"/>
      <c r="N86" s="134"/>
      <c r="O86" s="134"/>
      <c r="P86" s="134"/>
      <c r="Q86" s="134"/>
      <c r="R86" s="134"/>
      <c r="S86" s="118"/>
      <c r="T86" s="118"/>
      <c r="U86" s="118"/>
    </row>
    <row r="87" spans="1:23" s="73" customFormat="1" ht="16.5" thickBot="1" x14ac:dyDescent="0.25">
      <c r="A87" s="935" t="s">
        <v>37</v>
      </c>
      <c r="B87" s="936"/>
      <c r="C87" s="936"/>
      <c r="D87" s="936"/>
      <c r="E87" s="936"/>
      <c r="F87" s="936"/>
      <c r="G87" s="936"/>
      <c r="H87" s="936"/>
      <c r="I87" s="937"/>
      <c r="J87" s="170"/>
      <c r="K87" s="118"/>
      <c r="L87" s="134"/>
      <c r="M87" s="134"/>
      <c r="N87" s="134"/>
      <c r="O87" s="134"/>
      <c r="P87" s="134"/>
      <c r="Q87" s="134"/>
      <c r="R87" s="134"/>
      <c r="S87" s="118"/>
      <c r="T87" s="118"/>
      <c r="U87" s="118"/>
    </row>
    <row r="88" spans="1:23" s="308" customFormat="1" ht="15.75" customHeight="1" thickBot="1" x14ac:dyDescent="0.25">
      <c r="A88" s="665" t="s">
        <v>296</v>
      </c>
      <c r="B88" s="909" t="s">
        <v>1129</v>
      </c>
      <c r="C88" s="910"/>
      <c r="D88" s="910"/>
      <c r="E88" s="910"/>
      <c r="F88" s="910"/>
      <c r="G88" s="910"/>
      <c r="H88" s="910"/>
      <c r="I88" s="911"/>
      <c r="J88" s="171"/>
      <c r="K88" s="172"/>
      <c r="L88" s="173"/>
      <c r="M88" s="173"/>
      <c r="N88" s="173"/>
      <c r="O88" s="173"/>
      <c r="P88" s="173"/>
      <c r="Q88" s="173"/>
      <c r="R88" s="173"/>
      <c r="S88" s="172"/>
      <c r="T88" s="172"/>
      <c r="U88" s="172"/>
    </row>
    <row r="89" spans="1:23" s="73" customFormat="1" ht="16.5" thickBot="1" x14ac:dyDescent="0.25">
      <c r="A89" s="196"/>
      <c r="B89" s="169"/>
      <c r="C89" s="169"/>
      <c r="D89" s="169"/>
      <c r="E89" s="169"/>
      <c r="F89" s="176"/>
      <c r="G89" s="176"/>
      <c r="H89" s="176"/>
      <c r="I89" s="176"/>
      <c r="J89" s="176"/>
      <c r="K89" s="118"/>
      <c r="L89" s="134"/>
      <c r="M89" s="134"/>
      <c r="N89" s="134"/>
      <c r="O89" s="134"/>
      <c r="P89" s="134"/>
      <c r="Q89" s="118"/>
    </row>
    <row r="90" spans="1:23" s="73" customFormat="1" ht="16.5" customHeight="1" thickBot="1" x14ac:dyDescent="0.25">
      <c r="A90" s="917" t="s">
        <v>214</v>
      </c>
      <c r="B90" s="918"/>
      <c r="C90" s="918"/>
      <c r="D90" s="918"/>
      <c r="E90" s="918"/>
      <c r="F90" s="918"/>
      <c r="G90" s="918"/>
      <c r="H90" s="930" t="s">
        <v>226</v>
      </c>
      <c r="I90" s="786" t="s">
        <v>627</v>
      </c>
      <c r="J90" s="786" t="s">
        <v>215</v>
      </c>
      <c r="K90" s="786" t="s">
        <v>23</v>
      </c>
      <c r="L90" s="786" t="s">
        <v>302</v>
      </c>
      <c r="M90" s="788" t="s">
        <v>83</v>
      </c>
      <c r="N90" s="134"/>
      <c r="O90" s="118"/>
      <c r="P90" s="456"/>
      <c r="Q90" s="528"/>
      <c r="R90" s="528"/>
    </row>
    <row r="91" spans="1:23" s="446" customFormat="1" ht="16.5" thickBot="1" x14ac:dyDescent="0.25">
      <c r="A91" s="919" t="s">
        <v>887</v>
      </c>
      <c r="B91" s="920"/>
      <c r="C91" s="920"/>
      <c r="D91" s="920"/>
      <c r="E91" s="920"/>
      <c r="F91" s="920"/>
      <c r="G91" s="921"/>
      <c r="H91" s="931"/>
      <c r="I91" s="908"/>
      <c r="J91" s="908"/>
      <c r="K91" s="908"/>
      <c r="L91" s="908"/>
      <c r="M91" s="929"/>
      <c r="N91" s="177"/>
      <c r="O91" s="177"/>
      <c r="P91" s="177"/>
      <c r="Q91" s="177"/>
      <c r="R91" s="177"/>
    </row>
    <row r="92" spans="1:23" s="446" customFormat="1" ht="15.75" customHeight="1" thickBot="1" x14ac:dyDescent="0.25">
      <c r="A92" s="914" t="s">
        <v>353</v>
      </c>
      <c r="B92" s="915"/>
      <c r="C92" s="915"/>
      <c r="D92" s="915"/>
      <c r="E92" s="915"/>
      <c r="F92" s="915"/>
      <c r="G92" s="916"/>
      <c r="H92" s="931"/>
      <c r="I92" s="908"/>
      <c r="J92" s="908"/>
      <c r="K92" s="908"/>
      <c r="L92" s="908"/>
      <c r="M92" s="929"/>
      <c r="N92" s="177"/>
      <c r="O92" s="177"/>
      <c r="P92" s="177"/>
      <c r="Q92" s="177"/>
      <c r="R92" s="177"/>
    </row>
    <row r="93" spans="1:23" s="136" customFormat="1" ht="15.75" customHeight="1" x14ac:dyDescent="0.2">
      <c r="A93" s="178" t="s">
        <v>346</v>
      </c>
      <c r="B93" s="942" t="str">
        <f>IF($A93="","",VLOOKUP($A93,Listes!$A$3:$C$193,2,FALSE))</f>
        <v>Aden Gulf Surcharge</v>
      </c>
      <c r="C93" s="942"/>
      <c r="D93" s="942"/>
      <c r="E93" s="941" t="s">
        <v>53</v>
      </c>
      <c r="F93" s="941"/>
      <c r="G93" s="941"/>
      <c r="H93" s="654"/>
      <c r="I93" s="529"/>
      <c r="J93" s="529"/>
      <c r="K93" s="529"/>
      <c r="L93" s="529"/>
      <c r="M93" s="530"/>
      <c r="N93" s="160"/>
      <c r="O93" s="160"/>
      <c r="P93" s="160"/>
      <c r="Q93" s="160"/>
      <c r="R93" s="159"/>
    </row>
    <row r="94" spans="1:23" s="136" customFormat="1" ht="15.75" customHeight="1" x14ac:dyDescent="0.2">
      <c r="A94" s="182" t="s">
        <v>234</v>
      </c>
      <c r="B94" s="813" t="str">
        <f>IF($A94="","",VLOOKUP($A94,Listes!$A$3:$C$193,2,FALSE))</f>
        <v>Bunker Adjustment Factor</v>
      </c>
      <c r="C94" s="813"/>
      <c r="D94" s="813"/>
      <c r="E94" s="814" t="s">
        <v>51</v>
      </c>
      <c r="F94" s="814"/>
      <c r="G94" s="814"/>
      <c r="H94" s="653"/>
      <c r="I94" s="531"/>
      <c r="J94" s="531"/>
      <c r="K94" s="531"/>
      <c r="L94" s="531"/>
      <c r="M94" s="532"/>
      <c r="N94" s="160"/>
      <c r="O94" s="160"/>
      <c r="P94" s="160"/>
      <c r="Q94" s="160"/>
      <c r="R94" s="159"/>
    </row>
    <row r="95" spans="1:23" s="136" customFormat="1" ht="15.75" customHeight="1" x14ac:dyDescent="0.2">
      <c r="A95" s="182" t="s">
        <v>557</v>
      </c>
      <c r="B95" s="813" t="str">
        <f>IF($A95="","",VLOOKUP($A95,Listes!$A$3:$C$193,2,FALSE))</f>
        <v>Cargo Facility Charge</v>
      </c>
      <c r="C95" s="813"/>
      <c r="D95" s="813"/>
      <c r="E95" s="814" t="s">
        <v>51</v>
      </c>
      <c r="F95" s="814"/>
      <c r="G95" s="814"/>
      <c r="H95" s="653"/>
      <c r="I95" s="531"/>
      <c r="J95" s="531"/>
      <c r="K95" s="531"/>
      <c r="L95" s="531"/>
      <c r="M95" s="532"/>
      <c r="N95" s="160"/>
      <c r="O95" s="160"/>
      <c r="P95" s="160"/>
      <c r="Q95" s="160"/>
      <c r="R95" s="159"/>
    </row>
    <row r="96" spans="1:23" s="136" customFormat="1" ht="15.75" customHeight="1" x14ac:dyDescent="0.2">
      <c r="A96" s="182" t="s">
        <v>1335</v>
      </c>
      <c r="B96" s="813" t="str">
        <f>IF($A96="","",VLOOKUP($A96,Listes!$A$3:$C$193,2,FALSE))</f>
        <v>Container Cleaning Surcharge Destination</v>
      </c>
      <c r="C96" s="813"/>
      <c r="D96" s="813"/>
      <c r="E96" s="814" t="s">
        <v>51</v>
      </c>
      <c r="F96" s="814"/>
      <c r="G96" s="814"/>
      <c r="H96" s="653"/>
      <c r="I96" s="531"/>
      <c r="J96" s="531"/>
      <c r="K96" s="531"/>
      <c r="L96" s="531"/>
      <c r="M96" s="532"/>
      <c r="N96" s="160"/>
      <c r="O96" s="160"/>
      <c r="P96" s="160"/>
      <c r="Q96" s="160"/>
      <c r="R96" s="159"/>
    </row>
    <row r="97" spans="1:18" s="136" customFormat="1" ht="15.75" customHeight="1" x14ac:dyDescent="0.2">
      <c r="A97" s="182" t="s">
        <v>1103</v>
      </c>
      <c r="B97" s="813" t="str">
        <f>IF($A97="","",VLOOKUP($A97,Listes!$A$3:$C$193,2,FALSE))</f>
        <v>Chassis Administration Fee Pre-Carriage</v>
      </c>
      <c r="C97" s="813"/>
      <c r="D97" s="813"/>
      <c r="E97" s="814" t="s">
        <v>51</v>
      </c>
      <c r="F97" s="814"/>
      <c r="G97" s="814"/>
      <c r="H97" s="653"/>
      <c r="I97" s="531"/>
      <c r="J97" s="531"/>
      <c r="K97" s="531"/>
      <c r="L97" s="531"/>
      <c r="M97" s="532"/>
      <c r="N97" s="160"/>
      <c r="O97" s="160"/>
      <c r="P97" s="160"/>
      <c r="Q97" s="160"/>
      <c r="R97" s="159"/>
    </row>
    <row r="98" spans="1:18" s="136" customFormat="1" ht="15.75" customHeight="1" x14ac:dyDescent="0.2">
      <c r="A98" s="182" t="s">
        <v>551</v>
      </c>
      <c r="B98" s="813" t="str">
        <f>IF($A98="","",VLOOKUP($A98,Listes!$A$3:$C$193,2,FALSE))</f>
        <v>Chassis Provision Charge</v>
      </c>
      <c r="C98" s="813"/>
      <c r="D98" s="813"/>
      <c r="E98" s="814" t="s">
        <v>51</v>
      </c>
      <c r="F98" s="814"/>
      <c r="G98" s="814"/>
      <c r="H98" s="653"/>
      <c r="I98" s="531"/>
      <c r="J98" s="531"/>
      <c r="K98" s="531"/>
      <c r="L98" s="531"/>
      <c r="M98" s="532"/>
      <c r="N98" s="160"/>
      <c r="O98" s="160"/>
      <c r="P98" s="160"/>
      <c r="Q98" s="160"/>
      <c r="R98" s="159"/>
    </row>
    <row r="99" spans="1:18" s="136" customFormat="1" ht="15.75" customHeight="1" x14ac:dyDescent="0.2">
      <c r="A99" s="182" t="s">
        <v>263</v>
      </c>
      <c r="B99" s="813" t="str">
        <f>IF($A99="","",VLOOKUP($A99,Listes!$A$3:$C$193,2,FALSE))</f>
        <v>Carrier Security Charge</v>
      </c>
      <c r="C99" s="813"/>
      <c r="D99" s="813"/>
      <c r="E99" s="814" t="s">
        <v>51</v>
      </c>
      <c r="F99" s="814"/>
      <c r="G99" s="814"/>
      <c r="H99" s="653"/>
      <c r="I99" s="531"/>
      <c r="J99" s="531"/>
      <c r="K99" s="531"/>
      <c r="L99" s="531"/>
      <c r="M99" s="532"/>
      <c r="N99" s="160"/>
      <c r="O99" s="160"/>
      <c r="P99" s="160"/>
      <c r="Q99" s="160"/>
      <c r="R99" s="159"/>
    </row>
    <row r="100" spans="1:18" s="136" customFormat="1" ht="15.75" customHeight="1" x14ac:dyDescent="0.2">
      <c r="A100" s="182" t="s">
        <v>1262</v>
      </c>
      <c r="B100" s="813" t="str">
        <f>IF($A100="","",VLOOKUP($A100,Listes!$A$3:$C$193,2,FALSE))</f>
        <v>Container Maintenance Charge Destination</v>
      </c>
      <c r="C100" s="813"/>
      <c r="D100" s="813"/>
      <c r="E100" s="814" t="s">
        <v>51</v>
      </c>
      <c r="F100" s="814"/>
      <c r="G100" s="814"/>
      <c r="H100" s="653"/>
      <c r="I100" s="531"/>
      <c r="J100" s="531"/>
      <c r="K100" s="531"/>
      <c r="L100" s="531"/>
      <c r="M100" s="532"/>
      <c r="N100" s="160"/>
      <c r="O100" s="160"/>
      <c r="P100" s="160"/>
      <c r="Q100" s="160"/>
      <c r="R100" s="159"/>
    </row>
    <row r="101" spans="1:18" s="136" customFormat="1" ht="15.75" customHeight="1" x14ac:dyDescent="0.2">
      <c r="A101" s="182" t="s">
        <v>230</v>
      </c>
      <c r="B101" s="813" t="str">
        <f>IF($A101="","",VLOOKUP($A101,Listes!$A$3:$C$193,2,FALSE))</f>
        <v>Destination THC / Destination Receiving Charge</v>
      </c>
      <c r="C101" s="813"/>
      <c r="D101" s="813"/>
      <c r="E101" s="814" t="s">
        <v>51</v>
      </c>
      <c r="F101" s="814"/>
      <c r="G101" s="814"/>
      <c r="H101" s="653"/>
      <c r="I101" s="531"/>
      <c r="J101" s="531"/>
      <c r="K101" s="531"/>
      <c r="L101" s="531"/>
      <c r="M101" s="532"/>
      <c r="N101" s="160"/>
      <c r="O101" s="160"/>
      <c r="P101" s="160"/>
      <c r="Q101" s="160"/>
      <c r="R101" s="159"/>
    </row>
    <row r="102" spans="1:18" s="136" customFormat="1" ht="15.75" customHeight="1" x14ac:dyDescent="0.2">
      <c r="A102" s="182" t="s">
        <v>1081</v>
      </c>
      <c r="B102" s="813" t="str">
        <f>IF($A102="","",VLOOKUP($A102,Listes!$A$3:$C$193,2,FALSE))</f>
        <v>Equipment Imbalance Surcharge at Origin</v>
      </c>
      <c r="C102" s="813"/>
      <c r="D102" s="813"/>
      <c r="E102" s="814" t="s">
        <v>51</v>
      </c>
      <c r="F102" s="814"/>
      <c r="G102" s="814"/>
      <c r="H102" s="653"/>
      <c r="I102" s="531"/>
      <c r="J102" s="531"/>
      <c r="K102" s="531"/>
      <c r="L102" s="531"/>
      <c r="M102" s="532"/>
      <c r="N102" s="160"/>
      <c r="O102" s="160"/>
      <c r="P102" s="160"/>
      <c r="Q102" s="160"/>
      <c r="R102" s="159"/>
    </row>
    <row r="103" spans="1:18" s="136" customFormat="1" ht="15.75" customHeight="1" x14ac:dyDescent="0.2">
      <c r="A103" s="182" t="s">
        <v>1082</v>
      </c>
      <c r="B103" s="813" t="str">
        <f>IF($A103="","",VLOOKUP($A103,Listes!$A$3:$C$193,2,FALSE))</f>
        <v>Equipment Imbalance Surcharge at Destination</v>
      </c>
      <c r="C103" s="813"/>
      <c r="D103" s="813"/>
      <c r="E103" s="814" t="s">
        <v>51</v>
      </c>
      <c r="F103" s="814"/>
      <c r="G103" s="814"/>
      <c r="H103" s="653"/>
      <c r="I103" s="531"/>
      <c r="J103" s="531"/>
      <c r="K103" s="531"/>
      <c r="L103" s="531"/>
      <c r="M103" s="532"/>
      <c r="N103" s="160"/>
      <c r="O103" s="160"/>
      <c r="P103" s="160"/>
      <c r="Q103" s="160"/>
      <c r="R103" s="159"/>
    </row>
    <row r="104" spans="1:18" s="136" customFormat="1" ht="15.75" customHeight="1" x14ac:dyDescent="0.2">
      <c r="A104" s="182" t="s">
        <v>874</v>
      </c>
      <c r="B104" s="813" t="str">
        <f>IF($A104="","",VLOOKUP($A104,Listes!$A$3:$C$193,2,FALSE))</f>
        <v>Export Documentation Fees - Carrier</v>
      </c>
      <c r="C104" s="813"/>
      <c r="D104" s="813"/>
      <c r="E104" s="814" t="s">
        <v>51</v>
      </c>
      <c r="F104" s="814"/>
      <c r="G104" s="814"/>
      <c r="H104" s="653"/>
      <c r="I104" s="531"/>
      <c r="J104" s="531"/>
      <c r="K104" s="531"/>
      <c r="L104" s="531"/>
      <c r="M104" s="532"/>
      <c r="N104" s="160"/>
      <c r="O104" s="160"/>
      <c r="P104" s="160"/>
      <c r="Q104" s="160"/>
      <c r="R104" s="159"/>
    </row>
    <row r="105" spans="1:18" s="136" customFormat="1" ht="15.75" customHeight="1" x14ac:dyDescent="0.2">
      <c r="A105" s="182" t="s">
        <v>1114</v>
      </c>
      <c r="B105" s="813" t="str">
        <f>IF($A105="","",VLOOKUP($A105,Listes!$A$3:$C$193,2,FALSE))</f>
        <v>Extra Risk Surcharge (Destination)</v>
      </c>
      <c r="C105" s="813"/>
      <c r="D105" s="813"/>
      <c r="E105" s="814" t="s">
        <v>51</v>
      </c>
      <c r="F105" s="814"/>
      <c r="G105" s="814"/>
      <c r="H105" s="653"/>
      <c r="I105" s="531"/>
      <c r="J105" s="531"/>
      <c r="K105" s="531"/>
      <c r="L105" s="531"/>
      <c r="M105" s="532"/>
      <c r="N105" s="160"/>
      <c r="O105" s="160"/>
      <c r="P105" s="160"/>
      <c r="Q105" s="160"/>
      <c r="R105" s="159"/>
    </row>
    <row r="106" spans="1:18" s="136" customFormat="1" ht="15.75" customHeight="1" x14ac:dyDescent="0.2">
      <c r="A106" s="182" t="s">
        <v>82</v>
      </c>
      <c r="B106" s="813" t="str">
        <f>IF($A106="","",VLOOKUP($A106,Listes!$A$3:$C$193,2,FALSE))</f>
        <v>General Rate Increase</v>
      </c>
      <c r="C106" s="813"/>
      <c r="D106" s="813"/>
      <c r="E106" s="814" t="s">
        <v>51</v>
      </c>
      <c r="F106" s="814"/>
      <c r="G106" s="814"/>
      <c r="H106" s="653"/>
      <c r="I106" s="531"/>
      <c r="J106" s="531"/>
      <c r="K106" s="531"/>
      <c r="L106" s="531"/>
      <c r="M106" s="532"/>
      <c r="N106" s="160"/>
      <c r="O106" s="160"/>
      <c r="P106" s="160"/>
      <c r="Q106" s="160"/>
      <c r="R106" s="159"/>
    </row>
    <row r="107" spans="1:18" s="136" customFormat="1" ht="15.75" customHeight="1" x14ac:dyDescent="0.2">
      <c r="A107" s="182" t="s">
        <v>260</v>
      </c>
      <c r="B107" s="813" t="str">
        <f>IF($A107="","",VLOOKUP($A107,Listes!$A$3:$C$193,2,FALSE))</f>
        <v>Hazardous Fees (Ocean)</v>
      </c>
      <c r="C107" s="813"/>
      <c r="D107" s="813"/>
      <c r="E107" s="814" t="s">
        <v>51</v>
      </c>
      <c r="F107" s="814"/>
      <c r="G107" s="814"/>
      <c r="H107" s="653"/>
      <c r="I107" s="531"/>
      <c r="J107" s="531"/>
      <c r="K107" s="531"/>
      <c r="L107" s="531"/>
      <c r="M107" s="532"/>
      <c r="N107" s="160"/>
      <c r="O107" s="160"/>
      <c r="P107" s="160"/>
      <c r="Q107" s="160"/>
      <c r="R107" s="159"/>
    </row>
    <row r="108" spans="1:18" s="136" customFormat="1" ht="15.75" customHeight="1" x14ac:dyDescent="0.2">
      <c r="A108" s="182" t="s">
        <v>897</v>
      </c>
      <c r="B108" s="813" t="str">
        <f>IF($A108="","",VLOOKUP($A108,Listes!$A$3:$C$193,2,FALSE))</f>
        <v xml:space="preserve">Intermodal Door Precarriage Additional for </v>
      </c>
      <c r="C108" s="813"/>
      <c r="D108" s="813"/>
      <c r="E108" s="814" t="s">
        <v>51</v>
      </c>
      <c r="F108" s="814"/>
      <c r="G108" s="814"/>
      <c r="H108" s="653"/>
      <c r="I108" s="531"/>
      <c r="J108" s="531"/>
      <c r="K108" s="531"/>
      <c r="L108" s="531"/>
      <c r="M108" s="532"/>
      <c r="N108" s="160"/>
      <c r="O108" s="160"/>
      <c r="P108" s="160"/>
      <c r="Q108" s="160"/>
      <c r="R108" s="159"/>
    </row>
    <row r="109" spans="1:18" s="136" customFormat="1" ht="15.75" customHeight="1" x14ac:dyDescent="0.2">
      <c r="A109" s="182" t="s">
        <v>96</v>
      </c>
      <c r="B109" s="813" t="str">
        <f>IF($A109="","",VLOOKUP($A109,Listes!$A$3:$C$193,2,FALSE))</f>
        <v xml:space="preserve">Precarriage Inland Fuel Charge </v>
      </c>
      <c r="C109" s="813"/>
      <c r="D109" s="813"/>
      <c r="E109" s="814" t="s">
        <v>51</v>
      </c>
      <c r="F109" s="814"/>
      <c r="G109" s="814"/>
      <c r="H109" s="653"/>
      <c r="I109" s="531"/>
      <c r="J109" s="531"/>
      <c r="K109" s="531"/>
      <c r="L109" s="531"/>
      <c r="M109" s="532"/>
      <c r="N109" s="160"/>
      <c r="O109" s="160"/>
      <c r="P109" s="160"/>
      <c r="Q109" s="160"/>
      <c r="R109" s="159"/>
    </row>
    <row r="110" spans="1:18" s="136" customFormat="1" ht="15.75" customHeight="1" x14ac:dyDescent="0.2">
      <c r="A110" s="182" t="s">
        <v>1290</v>
      </c>
      <c r="B110" s="813" t="str">
        <f>IF($A110="","",VLOOKUP($A110,Listes!$A$3:$C$193,2,FALSE))</f>
        <v>Local Port Charge Destination Sanitary Fee</v>
      </c>
      <c r="C110" s="813"/>
      <c r="D110" s="813"/>
      <c r="E110" s="814" t="s">
        <v>51</v>
      </c>
      <c r="F110" s="814"/>
      <c r="G110" s="814"/>
      <c r="H110" s="675"/>
      <c r="I110" s="531"/>
      <c r="J110" s="531"/>
      <c r="K110" s="531"/>
      <c r="L110" s="531"/>
      <c r="M110" s="532"/>
      <c r="N110" s="160"/>
      <c r="O110" s="160"/>
      <c r="P110" s="160"/>
      <c r="Q110" s="160"/>
      <c r="R110" s="159"/>
    </row>
    <row r="111" spans="1:18" s="136" customFormat="1" ht="15.75" customHeight="1" x14ac:dyDescent="0.2">
      <c r="A111" s="182" t="s">
        <v>1292</v>
      </c>
      <c r="B111" s="813" t="str">
        <f>IF($A111="","",VLOOKUP($A111,Listes!$A$3:$C$193,2,FALSE))</f>
        <v>Local Port Charge Origin Sanitary Fee</v>
      </c>
      <c r="C111" s="813"/>
      <c r="D111" s="813"/>
      <c r="E111" s="814" t="s">
        <v>51</v>
      </c>
      <c r="F111" s="814"/>
      <c r="G111" s="814"/>
      <c r="H111" s="675"/>
      <c r="I111" s="531"/>
      <c r="J111" s="531"/>
      <c r="K111" s="531"/>
      <c r="L111" s="531"/>
      <c r="M111" s="532"/>
      <c r="N111" s="160"/>
      <c r="O111" s="160"/>
      <c r="P111" s="160"/>
      <c r="Q111" s="160"/>
      <c r="R111" s="159"/>
    </row>
    <row r="112" spans="1:18" s="136" customFormat="1" ht="15.75" customHeight="1" x14ac:dyDescent="0.2">
      <c r="A112" s="182" t="s">
        <v>199</v>
      </c>
      <c r="B112" s="813" t="str">
        <f>IF($A112="","",VLOOKUP($A112,Listes!$A$3:$C$193,2,FALSE))</f>
        <v>Low Sulfur Surcharge</v>
      </c>
      <c r="C112" s="813"/>
      <c r="D112" s="813"/>
      <c r="E112" s="814" t="s">
        <v>53</v>
      </c>
      <c r="F112" s="814"/>
      <c r="G112" s="814"/>
      <c r="H112" s="653"/>
      <c r="I112" s="531"/>
      <c r="J112" s="531"/>
      <c r="K112" s="531"/>
      <c r="L112" s="531"/>
      <c r="M112" s="532"/>
      <c r="N112" s="160"/>
      <c r="O112" s="160"/>
      <c r="P112" s="160"/>
      <c r="Q112" s="160"/>
      <c r="R112" s="159"/>
    </row>
    <row r="113" spans="1:18" s="136" customFormat="1" ht="15.75" customHeight="1" x14ac:dyDescent="0.2">
      <c r="A113" s="182" t="s">
        <v>1124</v>
      </c>
      <c r="B113" s="813" t="str">
        <f>IF($A113="","",VLOOKUP($A113,Listes!$A$3:$C$193,2,FALSE))</f>
        <v>Low Sulfur Surcharge IMO2020</v>
      </c>
      <c r="C113" s="813"/>
      <c r="D113" s="813"/>
      <c r="E113" s="814" t="s">
        <v>53</v>
      </c>
      <c r="F113" s="814"/>
      <c r="G113" s="814"/>
      <c r="H113" s="667"/>
      <c r="I113" s="531"/>
      <c r="J113" s="531"/>
      <c r="K113" s="531"/>
      <c r="L113" s="531"/>
      <c r="M113" s="532"/>
      <c r="N113" s="160"/>
      <c r="O113" s="160"/>
      <c r="P113" s="160"/>
      <c r="Q113" s="160"/>
      <c r="R113" s="159"/>
    </row>
    <row r="114" spans="1:18" s="136" customFormat="1" ht="15.75" customHeight="1" x14ac:dyDescent="0.2">
      <c r="A114" s="182" t="s">
        <v>497</v>
      </c>
      <c r="B114" s="813" t="str">
        <f>IF($A114="","",VLOOKUP($A114,Listes!$A$3:$C$193,2,FALSE))</f>
        <v>Inland Hazardous Charge Oncarriage</v>
      </c>
      <c r="C114" s="813"/>
      <c r="D114" s="813"/>
      <c r="E114" s="814" t="s">
        <v>51</v>
      </c>
      <c r="F114" s="814"/>
      <c r="G114" s="814"/>
      <c r="H114" s="653"/>
      <c r="I114" s="531"/>
      <c r="J114" s="531"/>
      <c r="K114" s="531"/>
      <c r="L114" s="531"/>
      <c r="M114" s="532"/>
      <c r="N114" s="160"/>
      <c r="O114" s="160"/>
      <c r="P114" s="160"/>
      <c r="Q114" s="160"/>
      <c r="R114" s="159"/>
    </row>
    <row r="115" spans="1:18" s="136" customFormat="1" x14ac:dyDescent="0.2">
      <c r="A115" s="182" t="s">
        <v>89</v>
      </c>
      <c r="B115" s="813" t="str">
        <f>IF($A115="","",VLOOKUP($A115,Listes!$A$3:$C$193,2,FALSE))</f>
        <v>Origin THC / Origin Receiving Charge</v>
      </c>
      <c r="C115" s="813"/>
      <c r="D115" s="813"/>
      <c r="E115" s="814" t="s">
        <v>53</v>
      </c>
      <c r="F115" s="814"/>
      <c r="G115" s="814"/>
      <c r="H115" s="653"/>
      <c r="I115" s="531"/>
      <c r="J115" s="531"/>
      <c r="K115" s="531"/>
      <c r="L115" s="531"/>
      <c r="M115" s="532"/>
      <c r="N115" s="160"/>
      <c r="O115" s="160"/>
      <c r="P115" s="160"/>
      <c r="Q115" s="160"/>
      <c r="R115" s="159"/>
    </row>
    <row r="116" spans="1:18" s="136" customFormat="1" ht="15.75" customHeight="1" x14ac:dyDescent="0.2">
      <c r="A116" s="182" t="s">
        <v>1257</v>
      </c>
      <c r="B116" s="813" t="str">
        <f>IF($A116="","",VLOOKUP($A116,Listes!$A$3:$C$193,2,FALSE))</f>
        <v>Panama Canal Adj Factor</v>
      </c>
      <c r="C116" s="813"/>
      <c r="D116" s="813"/>
      <c r="E116" s="814" t="s">
        <v>53</v>
      </c>
      <c r="F116" s="814"/>
      <c r="G116" s="814"/>
      <c r="H116" s="685"/>
      <c r="I116" s="531"/>
      <c r="J116" s="531"/>
      <c r="K116" s="531"/>
      <c r="L116" s="531"/>
      <c r="M116" s="532"/>
      <c r="N116" s="160"/>
      <c r="O116" s="160"/>
      <c r="P116" s="160"/>
      <c r="Q116" s="160"/>
      <c r="R116" s="159"/>
    </row>
    <row r="117" spans="1:18" s="136" customFormat="1" ht="15.75" customHeight="1" x14ac:dyDescent="0.2">
      <c r="A117" s="182" t="s">
        <v>832</v>
      </c>
      <c r="B117" s="813" t="str">
        <f>IF($A117="","",VLOOKUP($A117,Listes!$A$3:$C$193,2,FALSE))</f>
        <v>Port Congestion Surcharge Destination</v>
      </c>
      <c r="C117" s="813"/>
      <c r="D117" s="813"/>
      <c r="E117" s="814" t="s">
        <v>51</v>
      </c>
      <c r="F117" s="814"/>
      <c r="G117" s="814"/>
      <c r="H117" s="653"/>
      <c r="I117" s="531"/>
      <c r="J117" s="531"/>
      <c r="K117" s="531"/>
      <c r="L117" s="531"/>
      <c r="M117" s="532"/>
      <c r="N117" s="160"/>
      <c r="O117" s="160"/>
      <c r="P117" s="160"/>
      <c r="Q117" s="160"/>
      <c r="R117" s="159"/>
    </row>
    <row r="118" spans="1:18" s="136" customFormat="1" ht="15.75" customHeight="1" x14ac:dyDescent="0.2">
      <c r="A118" s="182" t="s">
        <v>348</v>
      </c>
      <c r="B118" s="813" t="str">
        <f>IF($A118="","",VLOOKUP($A118,Listes!$A$3:$C$193,2,FALSE))</f>
        <v>Piracy Surcharge</v>
      </c>
      <c r="C118" s="813"/>
      <c r="D118" s="813"/>
      <c r="E118" s="814" t="s">
        <v>51</v>
      </c>
      <c r="F118" s="814"/>
      <c r="G118" s="814"/>
      <c r="H118" s="653"/>
      <c r="I118" s="531"/>
      <c r="J118" s="531"/>
      <c r="K118" s="531"/>
      <c r="L118" s="531"/>
      <c r="M118" s="532"/>
      <c r="N118" s="160"/>
      <c r="O118" s="160"/>
      <c r="P118" s="160"/>
      <c r="Q118" s="160"/>
      <c r="R118" s="159"/>
    </row>
    <row r="119" spans="1:18" s="136" customFormat="1" x14ac:dyDescent="0.2">
      <c r="A119" s="182" t="s">
        <v>1060</v>
      </c>
      <c r="B119" s="813" t="str">
        <f>IF($A119="","",VLOOKUP($A119,Listes!$A$3:$C$193,2,FALSE))</f>
        <v>Pre-Carriage Emergency Inland Fuel Surcharge</v>
      </c>
      <c r="C119" s="813"/>
      <c r="D119" s="813"/>
      <c r="E119" s="814" t="s">
        <v>51</v>
      </c>
      <c r="F119" s="814"/>
      <c r="G119" s="814"/>
      <c r="H119" s="653"/>
      <c r="I119" s="531"/>
      <c r="J119" s="531"/>
      <c r="K119" s="531"/>
      <c r="L119" s="531"/>
      <c r="M119" s="532"/>
      <c r="N119" s="160"/>
      <c r="O119" s="160"/>
      <c r="P119" s="160"/>
      <c r="Q119" s="160"/>
      <c r="R119" s="159"/>
    </row>
    <row r="120" spans="1:18" s="136" customFormat="1" ht="31.5" x14ac:dyDescent="0.2">
      <c r="A120" s="182" t="s">
        <v>1046</v>
      </c>
      <c r="B120" s="813" t="str">
        <f>IF($A120="","",VLOOKUP($A120,Listes!$A$3:$C$193,2,FALSE))</f>
        <v>Pre-Carriage Emergency Intermodal Surcharge</v>
      </c>
      <c r="C120" s="813"/>
      <c r="D120" s="813"/>
      <c r="E120" s="814" t="s">
        <v>51</v>
      </c>
      <c r="F120" s="814"/>
      <c r="G120" s="814"/>
      <c r="H120" s="653"/>
      <c r="I120" s="531"/>
      <c r="J120" s="531"/>
      <c r="K120" s="531"/>
      <c r="L120" s="531"/>
      <c r="M120" s="532"/>
      <c r="N120" s="160"/>
      <c r="O120" s="160"/>
      <c r="P120" s="160"/>
      <c r="Q120" s="160"/>
      <c r="R120" s="159"/>
    </row>
    <row r="121" spans="1:18" s="136" customFormat="1" ht="15.75" customHeight="1" x14ac:dyDescent="0.2">
      <c r="A121" s="182" t="s">
        <v>500</v>
      </c>
      <c r="B121" s="813" t="str">
        <f>IF($A121="","",VLOOKUP($A121,Listes!$A$3:$C$193,2,FALSE))</f>
        <v>Inland Hazardous Charge Precarriage</v>
      </c>
      <c r="C121" s="813"/>
      <c r="D121" s="813"/>
      <c r="E121" s="814" t="s">
        <v>51</v>
      </c>
      <c r="F121" s="814"/>
      <c r="G121" s="814"/>
      <c r="H121" s="653"/>
      <c r="I121" s="531"/>
      <c r="J121" s="531"/>
      <c r="K121" s="531"/>
      <c r="L121" s="531"/>
      <c r="M121" s="532"/>
      <c r="N121" s="160"/>
      <c r="O121" s="160"/>
      <c r="P121" s="160"/>
      <c r="Q121" s="160"/>
      <c r="R121" s="159"/>
    </row>
    <row r="122" spans="1:18" s="136" customFormat="1" ht="15.75" customHeight="1" x14ac:dyDescent="0.2">
      <c r="A122" s="182" t="s">
        <v>277</v>
      </c>
      <c r="B122" s="813" t="str">
        <f>IF($A122="","",VLOOKUP($A122,Listes!$A$3:$C$193,2,FALSE))</f>
        <v>Origin Terminal Security Charge</v>
      </c>
      <c r="C122" s="813"/>
      <c r="D122" s="813"/>
      <c r="E122" s="814" t="s">
        <v>51</v>
      </c>
      <c r="F122" s="814"/>
      <c r="G122" s="814"/>
      <c r="H122" s="653"/>
      <c r="I122" s="531"/>
      <c r="J122" s="531"/>
      <c r="K122" s="531"/>
      <c r="L122" s="531"/>
      <c r="M122" s="532"/>
      <c r="N122" s="160"/>
      <c r="O122" s="160"/>
      <c r="P122" s="160"/>
      <c r="Q122" s="160"/>
      <c r="R122" s="159"/>
    </row>
    <row r="123" spans="1:18" s="136" customFormat="1" ht="15.75" customHeight="1" x14ac:dyDescent="0.2">
      <c r="A123" s="182" t="s">
        <v>489</v>
      </c>
      <c r="B123" s="813" t="str">
        <f>IF($A123="","",VLOOKUP($A123,Listes!$A$3:$C$193,2,FALSE))</f>
        <v>Shipper Owned Container Surcharge</v>
      </c>
      <c r="C123" s="813"/>
      <c r="D123" s="813"/>
      <c r="E123" s="814" t="s">
        <v>51</v>
      </c>
      <c r="F123" s="814"/>
      <c r="G123" s="814"/>
      <c r="H123" s="653"/>
      <c r="I123" s="531"/>
      <c r="J123" s="531"/>
      <c r="K123" s="531"/>
      <c r="L123" s="531"/>
      <c r="M123" s="532"/>
      <c r="N123" s="160"/>
      <c r="O123" s="160"/>
      <c r="P123" s="160"/>
      <c r="Q123" s="160"/>
      <c r="R123" s="159"/>
    </row>
    <row r="124" spans="1:18" s="136" customFormat="1" ht="31.5" x14ac:dyDescent="0.2">
      <c r="A124" s="182" t="s">
        <v>368</v>
      </c>
      <c r="B124" s="813" t="str">
        <f>IF($A124="","",VLOOKUP($A124,Listes!$A$3:$C$193,2,FALSE))</f>
        <v>Tri-Axle / Super Chassis Precarriage Surcharge</v>
      </c>
      <c r="C124" s="813"/>
      <c r="D124" s="813"/>
      <c r="E124" s="814" t="s">
        <v>51</v>
      </c>
      <c r="F124" s="814"/>
      <c r="G124" s="814"/>
      <c r="H124" s="653"/>
      <c r="I124" s="531"/>
      <c r="J124" s="531"/>
      <c r="K124" s="531"/>
      <c r="L124" s="531"/>
      <c r="M124" s="532"/>
      <c r="N124" s="160"/>
      <c r="O124" s="160"/>
      <c r="P124" s="160"/>
      <c r="Q124" s="160"/>
      <c r="R124" s="159"/>
    </row>
    <row r="125" spans="1:18" s="136" customFormat="1" ht="15.75" customHeight="1" x14ac:dyDescent="0.2">
      <c r="A125" s="182" t="s">
        <v>742</v>
      </c>
      <c r="B125" s="813" t="str">
        <f>IF($A125="","",VLOOKUP($A125,Listes!$A$3:$C$193,2,FALSE))</f>
        <v>Wharfage (Destination)</v>
      </c>
      <c r="C125" s="813"/>
      <c r="D125" s="813"/>
      <c r="E125" s="814" t="s">
        <v>51</v>
      </c>
      <c r="F125" s="814"/>
      <c r="G125" s="814"/>
      <c r="H125" s="653"/>
      <c r="I125" s="531"/>
      <c r="J125" s="531"/>
      <c r="K125" s="531"/>
      <c r="L125" s="531"/>
      <c r="M125" s="532"/>
      <c r="N125" s="160"/>
      <c r="O125" s="160"/>
      <c r="P125" s="160"/>
      <c r="Q125" s="160"/>
      <c r="R125" s="159"/>
    </row>
    <row r="126" spans="1:18" s="136" customFormat="1" ht="15.75" customHeight="1" thickBot="1" x14ac:dyDescent="0.25">
      <c r="A126" s="185" t="s">
        <v>833</v>
      </c>
      <c r="B126" s="812" t="str">
        <f>IF($A126="","",VLOOKUP($A126,Listes!$A$3:$C$193,2,FALSE))</f>
        <v>Wharfage (Origin)</v>
      </c>
      <c r="C126" s="812"/>
      <c r="D126" s="812"/>
      <c r="E126" s="815" t="s">
        <v>51</v>
      </c>
      <c r="F126" s="815"/>
      <c r="G126" s="815"/>
      <c r="H126" s="655"/>
      <c r="I126" s="533"/>
      <c r="J126" s="533"/>
      <c r="K126" s="533"/>
      <c r="L126" s="533"/>
      <c r="M126" s="534"/>
      <c r="N126" s="160"/>
      <c r="O126" s="160"/>
      <c r="P126" s="160"/>
      <c r="Q126" s="160"/>
      <c r="R126" s="159"/>
    </row>
    <row r="127" spans="1:18" s="73" customFormat="1" ht="16.5" thickBot="1" x14ac:dyDescent="0.25">
      <c r="A127" s="850" t="s">
        <v>216</v>
      </c>
      <c r="B127" s="851"/>
      <c r="C127" s="851"/>
      <c r="D127" s="851"/>
      <c r="E127" s="852"/>
      <c r="F127" s="852"/>
      <c r="G127" s="852"/>
      <c r="H127" s="852"/>
      <c r="I127" s="853"/>
      <c r="J127" s="169"/>
      <c r="K127" s="118"/>
      <c r="L127" s="134"/>
      <c r="M127" s="134"/>
      <c r="N127" s="134"/>
      <c r="O127" s="134"/>
      <c r="P127" s="134"/>
      <c r="Q127" s="118"/>
    </row>
    <row r="128" spans="1:18" s="73" customFormat="1" ht="16.5" thickBot="1" x14ac:dyDescent="0.25">
      <c r="A128" s="849" t="s">
        <v>597</v>
      </c>
      <c r="B128" s="833"/>
      <c r="C128" s="833"/>
      <c r="D128" s="833"/>
      <c r="E128" s="833"/>
      <c r="F128" s="833"/>
      <c r="G128" s="833"/>
      <c r="H128" s="833"/>
      <c r="I128" s="834"/>
      <c r="J128" s="169"/>
      <c r="K128" s="134"/>
      <c r="L128" s="134"/>
      <c r="M128" s="134"/>
      <c r="N128" s="134"/>
      <c r="O128" s="118"/>
    </row>
    <row r="129" spans="1:23" s="73" customFormat="1" ht="16.5" thickBot="1" x14ac:dyDescent="0.25">
      <c r="A129" s="187"/>
      <c r="B129" s="187"/>
      <c r="C129" s="188"/>
      <c r="D129" s="189"/>
      <c r="E129" s="170"/>
      <c r="F129" s="170"/>
      <c r="G129" s="170"/>
      <c r="H129" s="170"/>
      <c r="I129" s="170"/>
      <c r="J129" s="189"/>
      <c r="K129" s="169"/>
      <c r="L129" s="118"/>
      <c r="M129" s="134"/>
      <c r="N129" s="134"/>
      <c r="O129" s="134"/>
      <c r="P129" s="134"/>
      <c r="Q129" s="134"/>
      <c r="R129" s="118"/>
    </row>
    <row r="130" spans="1:23" s="73" customFormat="1" ht="15.6" customHeight="1" x14ac:dyDescent="0.2">
      <c r="A130" s="830" t="s">
        <v>523</v>
      </c>
      <c r="B130" s="831"/>
      <c r="C130" s="831"/>
      <c r="D130" s="831"/>
      <c r="E130" s="842" t="s">
        <v>288</v>
      </c>
      <c r="F130" s="842">
        <v>20</v>
      </c>
      <c r="G130" s="842">
        <v>40</v>
      </c>
      <c r="H130" s="842" t="s">
        <v>19</v>
      </c>
      <c r="I130" s="842" t="s">
        <v>20</v>
      </c>
      <c r="J130" s="848" t="s">
        <v>297</v>
      </c>
      <c r="K130" s="848" t="s">
        <v>33</v>
      </c>
      <c r="L130" s="846" t="s">
        <v>217</v>
      </c>
      <c r="M130" s="189"/>
      <c r="N130" s="134"/>
      <c r="O130" s="134"/>
      <c r="P130" s="134"/>
      <c r="Q130" s="134"/>
      <c r="R130" s="134"/>
      <c r="S130" s="134"/>
      <c r="T130" s="134"/>
      <c r="U130" s="134"/>
    </row>
    <row r="131" spans="1:23" s="73" customFormat="1" x14ac:dyDescent="0.2">
      <c r="A131" s="537" t="s">
        <v>218</v>
      </c>
      <c r="B131" s="538" t="s">
        <v>11</v>
      </c>
      <c r="C131" s="538" t="s">
        <v>12</v>
      </c>
      <c r="D131" s="538" t="s">
        <v>219</v>
      </c>
      <c r="E131" s="843"/>
      <c r="F131" s="843"/>
      <c r="G131" s="843"/>
      <c r="H131" s="843"/>
      <c r="I131" s="843"/>
      <c r="J131" s="843"/>
      <c r="K131" s="843"/>
      <c r="L131" s="847"/>
      <c r="M131" s="189"/>
      <c r="N131" s="134"/>
      <c r="O131" s="134"/>
      <c r="P131" s="134"/>
      <c r="Q131" s="134"/>
      <c r="R131" s="134"/>
      <c r="S131" s="134"/>
      <c r="T131" s="134"/>
      <c r="U131" s="134"/>
    </row>
    <row r="132" spans="1:23" s="136" customFormat="1" x14ac:dyDescent="0.2">
      <c r="A132" s="539"/>
      <c r="B132" s="540"/>
      <c r="C132" s="540"/>
      <c r="D132" s="540"/>
      <c r="E132" s="540"/>
      <c r="F132" s="255"/>
      <c r="G132" s="255"/>
      <c r="H132" s="255"/>
      <c r="I132" s="255"/>
      <c r="J132" s="540"/>
      <c r="K132" s="21"/>
      <c r="L132" s="541"/>
      <c r="M132" s="190"/>
      <c r="N132" s="160"/>
      <c r="O132" s="160"/>
      <c r="P132" s="160"/>
      <c r="Q132" s="160"/>
      <c r="R132" s="160"/>
      <c r="S132" s="160"/>
      <c r="T132" s="160"/>
      <c r="U132" s="160"/>
    </row>
    <row r="133" spans="1:23" s="136" customFormat="1" x14ac:dyDescent="0.2">
      <c r="A133" s="542"/>
      <c r="B133" s="540"/>
      <c r="C133" s="540"/>
      <c r="D133" s="540"/>
      <c r="E133" s="540"/>
      <c r="F133" s="255"/>
      <c r="G133" s="255"/>
      <c r="H133" s="255"/>
      <c r="I133" s="255"/>
      <c r="J133" s="24"/>
      <c r="K133" s="21"/>
      <c r="L133" s="25"/>
      <c r="M133" s="191"/>
      <c r="N133" s="160"/>
      <c r="O133" s="160"/>
      <c r="P133" s="160"/>
      <c r="Q133" s="160"/>
      <c r="R133" s="160"/>
      <c r="S133" s="160"/>
      <c r="T133" s="160"/>
      <c r="U133" s="160"/>
    </row>
    <row r="134" spans="1:23" s="136" customFormat="1" x14ac:dyDescent="0.2">
      <c r="A134" s="542"/>
      <c r="B134" s="540"/>
      <c r="C134" s="540"/>
      <c r="D134" s="540"/>
      <c r="E134" s="540"/>
      <c r="F134" s="255"/>
      <c r="G134" s="255"/>
      <c r="H134" s="255"/>
      <c r="I134" s="255"/>
      <c r="J134" s="24"/>
      <c r="K134" s="21"/>
      <c r="L134" s="25"/>
      <c r="M134" s="191"/>
      <c r="N134" s="160"/>
      <c r="O134" s="160"/>
      <c r="P134" s="160"/>
      <c r="Q134" s="160"/>
      <c r="R134" s="160"/>
      <c r="S134" s="160"/>
      <c r="T134" s="160"/>
      <c r="U134" s="160"/>
    </row>
    <row r="135" spans="1:23" s="136" customFormat="1" ht="16.5" thickBot="1" x14ac:dyDescent="0.25">
      <c r="A135" s="543"/>
      <c r="B135" s="544"/>
      <c r="C135" s="544"/>
      <c r="D135" s="544"/>
      <c r="E135" s="544"/>
      <c r="F135" s="256"/>
      <c r="G135" s="256"/>
      <c r="H135" s="256"/>
      <c r="I135" s="256"/>
      <c r="J135" s="28"/>
      <c r="K135" s="29"/>
      <c r="L135" s="30"/>
      <c r="M135" s="191"/>
      <c r="N135" s="160"/>
      <c r="O135" s="160"/>
      <c r="P135" s="160"/>
      <c r="Q135" s="160"/>
      <c r="R135" s="160"/>
      <c r="S135" s="160"/>
      <c r="T135" s="160"/>
      <c r="U135" s="160"/>
    </row>
    <row r="136" spans="1:23" s="136" customFormat="1" x14ac:dyDescent="0.2">
      <c r="A136" s="173"/>
      <c r="B136" s="545"/>
      <c r="C136" s="545"/>
      <c r="D136" s="545"/>
      <c r="E136" s="545"/>
      <c r="F136" s="545"/>
      <c r="G136" s="545"/>
      <c r="H136" s="545"/>
      <c r="I136" s="545"/>
      <c r="J136" s="33"/>
      <c r="K136" s="33"/>
      <c r="L136" s="34"/>
      <c r="M136" s="191"/>
      <c r="N136" s="160"/>
      <c r="O136" s="160"/>
      <c r="P136" s="160"/>
      <c r="Q136" s="160"/>
      <c r="R136" s="160"/>
      <c r="S136" s="160"/>
      <c r="T136" s="160"/>
      <c r="U136" s="160"/>
    </row>
    <row r="137" spans="1:23" s="73" customFormat="1" ht="15.6" customHeight="1" x14ac:dyDescent="0.2">
      <c r="A137" s="841" t="s">
        <v>596</v>
      </c>
      <c r="B137" s="840"/>
      <c r="C137" s="840"/>
      <c r="D137" s="840"/>
      <c r="E137" s="840" t="s">
        <v>288</v>
      </c>
      <c r="F137" s="840">
        <v>20</v>
      </c>
      <c r="G137" s="840">
        <v>40</v>
      </c>
      <c r="H137" s="840" t="s">
        <v>19</v>
      </c>
      <c r="I137" s="840" t="s">
        <v>20</v>
      </c>
      <c r="J137" s="845" t="s">
        <v>297</v>
      </c>
      <c r="K137" s="845" t="s">
        <v>33</v>
      </c>
      <c r="L137" s="844" t="s">
        <v>217</v>
      </c>
      <c r="M137" s="844" t="s">
        <v>23</v>
      </c>
      <c r="N137" s="169"/>
      <c r="O137" s="118"/>
      <c r="P137" s="134"/>
      <c r="Q137" s="134"/>
      <c r="R137" s="134"/>
      <c r="S137" s="134"/>
      <c r="T137" s="134"/>
      <c r="U137" s="134"/>
      <c r="V137" s="134"/>
      <c r="W137" s="134"/>
    </row>
    <row r="138" spans="1:23" s="73" customFormat="1" x14ac:dyDescent="0.2">
      <c r="A138" s="546" t="s">
        <v>218</v>
      </c>
      <c r="B138" s="546" t="s">
        <v>11</v>
      </c>
      <c r="C138" s="546" t="s">
        <v>12</v>
      </c>
      <c r="D138" s="546" t="s">
        <v>219</v>
      </c>
      <c r="E138" s="840"/>
      <c r="F138" s="840"/>
      <c r="G138" s="840"/>
      <c r="H138" s="840"/>
      <c r="I138" s="840"/>
      <c r="J138" s="840"/>
      <c r="K138" s="840"/>
      <c r="L138" s="844"/>
      <c r="M138" s="844"/>
      <c r="N138" s="169"/>
      <c r="O138" s="118"/>
      <c r="P138" s="134"/>
      <c r="Q138" s="134"/>
      <c r="R138" s="134"/>
      <c r="S138" s="134"/>
      <c r="T138" s="134"/>
      <c r="U138" s="134"/>
      <c r="V138" s="134"/>
      <c r="W138" s="134"/>
    </row>
    <row r="139" spans="1:23" s="136" customFormat="1" x14ac:dyDescent="0.2">
      <c r="A139" s="372"/>
      <c r="B139" s="547"/>
      <c r="C139" s="547"/>
      <c r="D139" s="547"/>
      <c r="E139" s="547"/>
      <c r="F139" s="368"/>
      <c r="G139" s="368"/>
      <c r="H139" s="368"/>
      <c r="I139" s="368"/>
      <c r="J139" s="369"/>
      <c r="K139" s="370"/>
      <c r="L139" s="548"/>
      <c r="M139" s="548"/>
      <c r="N139" s="192"/>
      <c r="O139" s="159"/>
      <c r="P139" s="160"/>
      <c r="Q139" s="160"/>
      <c r="R139" s="160"/>
      <c r="S139" s="160"/>
      <c r="T139" s="160"/>
      <c r="U139" s="160"/>
      <c r="V139" s="160"/>
      <c r="W139" s="160"/>
    </row>
    <row r="140" spans="1:23" s="136" customFormat="1" x14ac:dyDescent="0.2">
      <c r="A140" s="372"/>
      <c r="B140" s="547"/>
      <c r="C140" s="547"/>
      <c r="D140" s="547"/>
      <c r="E140" s="547"/>
      <c r="F140" s="368"/>
      <c r="G140" s="368"/>
      <c r="H140" s="368"/>
      <c r="I140" s="368"/>
      <c r="J140" s="369"/>
      <c r="K140" s="370"/>
      <c r="L140" s="548"/>
      <c r="M140" s="548"/>
      <c r="N140" s="192"/>
      <c r="O140" s="159"/>
      <c r="P140" s="160"/>
      <c r="Q140" s="160"/>
      <c r="R140" s="160"/>
      <c r="S140" s="160"/>
      <c r="T140" s="160"/>
      <c r="U140" s="160"/>
      <c r="V140" s="160"/>
      <c r="W140" s="160"/>
    </row>
    <row r="141" spans="1:23" s="136" customFormat="1" x14ac:dyDescent="0.2">
      <c r="A141" s="372"/>
      <c r="B141" s="547"/>
      <c r="C141" s="547"/>
      <c r="D141" s="547"/>
      <c r="E141" s="547"/>
      <c r="F141" s="368"/>
      <c r="G141" s="368"/>
      <c r="H141" s="368"/>
      <c r="I141" s="368"/>
      <c r="J141" s="369"/>
      <c r="K141" s="370"/>
      <c r="L141" s="548"/>
      <c r="M141" s="548"/>
      <c r="N141" s="192"/>
      <c r="O141" s="159"/>
      <c r="P141" s="160"/>
      <c r="Q141" s="160"/>
      <c r="R141" s="160"/>
      <c r="S141" s="160"/>
      <c r="T141" s="160"/>
      <c r="U141" s="160"/>
      <c r="V141" s="160"/>
      <c r="W141" s="160"/>
    </row>
    <row r="142" spans="1:23" s="136" customFormat="1" x14ac:dyDescent="0.2">
      <c r="A142" s="372"/>
      <c r="B142" s="547"/>
      <c r="C142" s="547"/>
      <c r="D142" s="547"/>
      <c r="E142" s="547"/>
      <c r="F142" s="368"/>
      <c r="G142" s="368"/>
      <c r="H142" s="368"/>
      <c r="I142" s="368"/>
      <c r="J142" s="369"/>
      <c r="K142" s="370"/>
      <c r="L142" s="373"/>
      <c r="M142" s="373"/>
      <c r="N142" s="191"/>
      <c r="O142" s="159"/>
      <c r="P142" s="160"/>
      <c r="Q142" s="160"/>
      <c r="R142" s="160"/>
      <c r="S142" s="160"/>
      <c r="T142" s="160"/>
      <c r="U142" s="160"/>
      <c r="V142" s="160"/>
      <c r="W142" s="160"/>
    </row>
    <row r="143" spans="1:23" s="73" customFormat="1" x14ac:dyDescent="0.2">
      <c r="A143" s="456"/>
      <c r="B143" s="549"/>
      <c r="C143" s="549"/>
      <c r="D143" s="549"/>
      <c r="E143" s="549"/>
      <c r="F143" s="194"/>
      <c r="G143" s="522"/>
      <c r="H143" s="195"/>
      <c r="I143" s="195"/>
      <c r="J143" s="176"/>
      <c r="K143" s="118"/>
      <c r="L143" s="134"/>
      <c r="M143" s="134"/>
      <c r="N143" s="134"/>
      <c r="O143" s="134"/>
      <c r="P143" s="134"/>
      <c r="Q143" s="134"/>
    </row>
    <row r="144" spans="1:23" s="456" customFormat="1" ht="16.5" thickBot="1" x14ac:dyDescent="0.25">
      <c r="A144" s="196"/>
      <c r="B144" s="197"/>
      <c r="C144" s="198"/>
      <c r="D144" s="198"/>
      <c r="E144" s="169"/>
      <c r="F144" s="176"/>
      <c r="G144" s="176"/>
      <c r="H144" s="176"/>
      <c r="I144" s="176"/>
      <c r="J144" s="170"/>
      <c r="K144" s="118"/>
      <c r="L144" s="134"/>
      <c r="M144" s="134"/>
      <c r="N144" s="134"/>
      <c r="O144" s="134"/>
      <c r="P144" s="134"/>
      <c r="Q144" s="134"/>
      <c r="R144" s="134"/>
      <c r="S144" s="118"/>
      <c r="T144" s="118"/>
      <c r="U144" s="118"/>
    </row>
    <row r="145" spans="1:21" s="456" customFormat="1" ht="16.5" thickBot="1" x14ac:dyDescent="0.25">
      <c r="A145" s="822" t="s">
        <v>220</v>
      </c>
      <c r="B145" s="823"/>
      <c r="C145" s="823"/>
      <c r="D145" s="823"/>
      <c r="E145" s="824"/>
      <c r="F145" s="176"/>
      <c r="G145" s="176"/>
      <c r="H145" s="176"/>
      <c r="I145" s="176"/>
      <c r="J145" s="170"/>
      <c r="K145" s="118"/>
      <c r="L145" s="134"/>
      <c r="M145" s="134"/>
      <c r="N145" s="134"/>
      <c r="O145" s="134"/>
      <c r="P145" s="134"/>
      <c r="Q145" s="134"/>
      <c r="R145" s="134"/>
      <c r="S145" s="118"/>
      <c r="T145" s="118"/>
      <c r="U145" s="118"/>
    </row>
    <row r="146" spans="1:21" s="73" customFormat="1" ht="16.5" thickBot="1" x14ac:dyDescent="0.25">
      <c r="A146" s="550"/>
      <c r="B146" s="456"/>
      <c r="C146" s="456"/>
      <c r="D146" s="456"/>
      <c r="E146" s="456"/>
      <c r="F146" s="194"/>
      <c r="G146" s="456"/>
      <c r="H146" s="200"/>
      <c r="I146" s="194"/>
      <c r="J146" s="194"/>
      <c r="K146" s="118"/>
      <c r="L146" s="134"/>
      <c r="M146" s="134"/>
      <c r="N146" s="134"/>
      <c r="O146" s="134"/>
      <c r="P146" s="134"/>
      <c r="Q146" s="134"/>
      <c r="R146" s="134"/>
      <c r="S146" s="118"/>
      <c r="T146" s="118"/>
      <c r="U146" s="118"/>
    </row>
    <row r="147" spans="1:21" s="73" customFormat="1" ht="16.5" thickBot="1" x14ac:dyDescent="0.25">
      <c r="A147" s="825" t="s">
        <v>221</v>
      </c>
      <c r="B147" s="838"/>
      <c r="C147" s="838"/>
      <c r="D147" s="838"/>
      <c r="E147" s="838"/>
      <c r="F147" s="839"/>
      <c r="G147" s="456"/>
      <c r="H147" s="200"/>
      <c r="I147" s="194"/>
      <c r="J147" s="194"/>
      <c r="K147" s="118"/>
      <c r="L147" s="134"/>
      <c r="M147" s="134"/>
      <c r="N147" s="134"/>
      <c r="O147" s="134"/>
      <c r="P147" s="134"/>
      <c r="Q147" s="134"/>
      <c r="R147" s="134"/>
      <c r="S147" s="118"/>
      <c r="T147" s="118"/>
      <c r="U147" s="118"/>
    </row>
    <row r="148" spans="1:21" s="73" customFormat="1" ht="16.5" customHeight="1" x14ac:dyDescent="0.2">
      <c r="A148" s="835" t="s">
        <v>222</v>
      </c>
      <c r="B148" s="836"/>
      <c r="C148" s="836"/>
      <c r="D148" s="836"/>
      <c r="E148" s="836"/>
      <c r="F148" s="837"/>
      <c r="G148" s="456"/>
      <c r="H148" s="201"/>
      <c r="I148" s="170"/>
      <c r="J148" s="170"/>
      <c r="K148" s="118"/>
      <c r="L148" s="134"/>
      <c r="M148" s="134"/>
      <c r="N148" s="134"/>
      <c r="O148" s="134"/>
      <c r="P148" s="134"/>
      <c r="Q148" s="134"/>
      <c r="R148" s="134"/>
      <c r="S148" s="118"/>
      <c r="T148" s="118"/>
      <c r="U148" s="118"/>
    </row>
    <row r="149" spans="1:21" ht="16.5" thickBot="1" x14ac:dyDescent="0.25">
      <c r="A149" s="832" t="s">
        <v>223</v>
      </c>
      <c r="B149" s="833"/>
      <c r="C149" s="833"/>
      <c r="D149" s="833"/>
      <c r="E149" s="833"/>
      <c r="F149" s="834"/>
      <c r="G149" s="176"/>
      <c r="H149" s="176"/>
      <c r="I149" s="176"/>
      <c r="J149" s="169"/>
      <c r="K149" s="169"/>
      <c r="L149" s="169"/>
      <c r="M149" s="169"/>
      <c r="N149" s="169"/>
      <c r="O149" s="169"/>
      <c r="P149" s="169"/>
      <c r="Q149" s="169"/>
      <c r="R149" s="169"/>
      <c r="S149" s="169"/>
      <c r="T149" s="169"/>
      <c r="U149" s="169"/>
    </row>
    <row r="150" spans="1:21" x14ac:dyDescent="0.2">
      <c r="A150" s="551" t="s">
        <v>224</v>
      </c>
      <c r="B150" s="450" t="s">
        <v>225</v>
      </c>
      <c r="C150" s="552" t="s">
        <v>226</v>
      </c>
      <c r="D150" s="553" t="s">
        <v>227</v>
      </c>
      <c r="E150" s="176"/>
      <c r="F150" s="176"/>
      <c r="G150" s="176"/>
      <c r="H150" s="169"/>
      <c r="I150" s="169"/>
      <c r="J150" s="169"/>
      <c r="K150" s="169"/>
      <c r="L150" s="169"/>
      <c r="M150" s="169"/>
      <c r="N150" s="169"/>
      <c r="O150" s="169"/>
      <c r="P150" s="169"/>
      <c r="Q150" s="169"/>
      <c r="R150" s="169"/>
    </row>
    <row r="151" spans="1:21" s="192" customFormat="1" x14ac:dyDescent="0.2">
      <c r="A151" s="203"/>
      <c r="B151" s="204"/>
      <c r="C151" s="205"/>
      <c r="D151" s="206"/>
      <c r="E151" s="191"/>
      <c r="F151" s="191"/>
      <c r="G151" s="191"/>
    </row>
    <row r="152" spans="1:21" s="192" customFormat="1" x14ac:dyDescent="0.2">
      <c r="A152" s="203"/>
      <c r="B152" s="204"/>
      <c r="C152" s="205"/>
      <c r="D152" s="206"/>
      <c r="E152" s="191"/>
      <c r="F152" s="191"/>
      <c r="G152" s="191"/>
    </row>
    <row r="153" spans="1:21" s="192" customFormat="1" ht="16.5" thickBot="1" x14ac:dyDescent="0.25">
      <c r="A153" s="207"/>
      <c r="B153" s="208"/>
      <c r="C153" s="209"/>
      <c r="D153" s="210"/>
      <c r="E153" s="191"/>
      <c r="F153" s="191"/>
      <c r="G153" s="191"/>
    </row>
    <row r="154" spans="1:21" ht="16.5" thickBot="1" x14ac:dyDescent="0.25"/>
    <row r="155" spans="1:21" s="73" customFormat="1" ht="16.5" thickBot="1" x14ac:dyDescent="0.25">
      <c r="A155" s="822" t="s">
        <v>228</v>
      </c>
      <c r="B155" s="823"/>
      <c r="C155" s="823"/>
      <c r="D155" s="823"/>
      <c r="E155" s="823"/>
      <c r="F155" s="823"/>
      <c r="G155" s="823"/>
      <c r="H155" s="823"/>
      <c r="I155" s="824"/>
      <c r="J155" s="169"/>
      <c r="K155" s="118"/>
      <c r="L155" s="134"/>
      <c r="M155" s="134"/>
      <c r="N155" s="134"/>
      <c r="O155" s="134"/>
      <c r="P155" s="134"/>
      <c r="Q155" s="134"/>
      <c r="R155" s="134"/>
      <c r="S155" s="118"/>
      <c r="T155" s="118"/>
      <c r="U155" s="118"/>
    </row>
    <row r="156" spans="1:21" s="73" customFormat="1" ht="16.5" thickBot="1" x14ac:dyDescent="0.25">
      <c r="A156" s="554" t="s">
        <v>229</v>
      </c>
      <c r="B156" s="213"/>
      <c r="C156" s="214"/>
      <c r="D156" s="214"/>
      <c r="E156" s="214"/>
      <c r="F156" s="214"/>
      <c r="G156" s="215"/>
      <c r="H156" s="216"/>
      <c r="I156" s="217"/>
      <c r="J156" s="170"/>
      <c r="K156" s="118"/>
      <c r="L156" s="134"/>
      <c r="M156" s="134"/>
      <c r="N156" s="134"/>
      <c r="O156" s="134"/>
      <c r="P156" s="134"/>
      <c r="Q156" s="134"/>
      <c r="R156" s="134"/>
      <c r="S156" s="118"/>
      <c r="T156" s="118"/>
      <c r="U156" s="118"/>
    </row>
    <row r="157" spans="1:21" s="308" customFormat="1" ht="169.5" customHeight="1" x14ac:dyDescent="0.2">
      <c r="A157" s="228" t="s">
        <v>504</v>
      </c>
      <c r="B157" s="827" t="s">
        <v>1063</v>
      </c>
      <c r="C157" s="828"/>
      <c r="D157" s="828"/>
      <c r="E157" s="828"/>
      <c r="F157" s="828"/>
      <c r="G157" s="828"/>
      <c r="H157" s="828"/>
      <c r="I157" s="829"/>
      <c r="J157" s="171"/>
      <c r="K157" s="172"/>
      <c r="L157" s="173"/>
      <c r="M157" s="173"/>
      <c r="N157" s="173"/>
      <c r="O157" s="173"/>
      <c r="P157" s="173"/>
      <c r="Q157" s="173"/>
      <c r="R157" s="173"/>
      <c r="S157" s="172"/>
    </row>
    <row r="158" spans="1:21" s="218" customFormat="1" x14ac:dyDescent="0.2">
      <c r="A158" s="281"/>
      <c r="B158" s="816"/>
      <c r="C158" s="817"/>
      <c r="D158" s="817"/>
      <c r="E158" s="817"/>
      <c r="F158" s="817"/>
      <c r="G158" s="817"/>
      <c r="H158" s="817"/>
      <c r="I158" s="818"/>
    </row>
    <row r="159" spans="1:21" s="218" customFormat="1" x14ac:dyDescent="0.2">
      <c r="A159" s="281"/>
      <c r="B159" s="816"/>
      <c r="C159" s="817"/>
      <c r="D159" s="817"/>
      <c r="E159" s="817"/>
      <c r="F159" s="817"/>
      <c r="G159" s="817"/>
      <c r="H159" s="817"/>
      <c r="I159" s="818"/>
    </row>
    <row r="160" spans="1:21" s="218" customFormat="1" x14ac:dyDescent="0.2">
      <c r="A160" s="281"/>
      <c r="B160" s="816"/>
      <c r="C160" s="817"/>
      <c r="D160" s="817"/>
      <c r="E160" s="817"/>
      <c r="F160" s="817"/>
      <c r="G160" s="817"/>
      <c r="H160" s="817"/>
      <c r="I160" s="818"/>
    </row>
    <row r="161" spans="1:9" s="218" customFormat="1" x14ac:dyDescent="0.2">
      <c r="A161" s="281"/>
      <c r="B161" s="816"/>
      <c r="C161" s="817"/>
      <c r="D161" s="817"/>
      <c r="E161" s="817"/>
      <c r="F161" s="817"/>
      <c r="G161" s="817"/>
      <c r="H161" s="817"/>
      <c r="I161" s="818"/>
    </row>
    <row r="162" spans="1:9" s="218" customFormat="1" x14ac:dyDescent="0.2">
      <c r="A162" s="281"/>
      <c r="B162" s="816"/>
      <c r="C162" s="817"/>
      <c r="D162" s="817"/>
      <c r="E162" s="817"/>
      <c r="F162" s="817"/>
      <c r="G162" s="817"/>
      <c r="H162" s="817"/>
      <c r="I162" s="818"/>
    </row>
    <row r="163" spans="1:9" s="218" customFormat="1" x14ac:dyDescent="0.2">
      <c r="A163" s="281"/>
      <c r="B163" s="816"/>
      <c r="C163" s="817"/>
      <c r="D163" s="817"/>
      <c r="E163" s="817"/>
      <c r="F163" s="817"/>
      <c r="G163" s="817"/>
      <c r="H163" s="817"/>
      <c r="I163" s="818"/>
    </row>
    <row r="164" spans="1:9" s="218" customFormat="1" x14ac:dyDescent="0.2">
      <c r="A164" s="281"/>
      <c r="B164" s="816"/>
      <c r="C164" s="817"/>
      <c r="D164" s="817"/>
      <c r="E164" s="817"/>
      <c r="F164" s="817"/>
      <c r="G164" s="817"/>
      <c r="H164" s="817"/>
      <c r="I164" s="818"/>
    </row>
    <row r="165" spans="1:9" s="218" customFormat="1" x14ac:dyDescent="0.2">
      <c r="A165" s="281"/>
      <c r="B165" s="816"/>
      <c r="C165" s="817"/>
      <c r="D165" s="817"/>
      <c r="E165" s="817"/>
      <c r="F165" s="817"/>
      <c r="G165" s="817"/>
      <c r="H165" s="817"/>
      <c r="I165" s="818"/>
    </row>
    <row r="166" spans="1:9" s="218" customFormat="1" x14ac:dyDescent="0.2">
      <c r="A166" s="281"/>
      <c r="B166" s="816"/>
      <c r="C166" s="817"/>
      <c r="D166" s="817"/>
      <c r="E166" s="817"/>
      <c r="F166" s="817"/>
      <c r="G166" s="817"/>
      <c r="H166" s="817"/>
      <c r="I166" s="818"/>
    </row>
    <row r="167" spans="1:9" s="218" customFormat="1" x14ac:dyDescent="0.2">
      <c r="A167" s="281"/>
      <c r="B167" s="816"/>
      <c r="C167" s="817"/>
      <c r="D167" s="817"/>
      <c r="E167" s="817"/>
      <c r="F167" s="817"/>
      <c r="G167" s="817"/>
      <c r="H167" s="817"/>
      <c r="I167" s="818"/>
    </row>
    <row r="168" spans="1:9" s="218" customFormat="1" x14ac:dyDescent="0.2">
      <c r="A168" s="281"/>
      <c r="B168" s="816"/>
      <c r="C168" s="817"/>
      <c r="D168" s="817"/>
      <c r="E168" s="817"/>
      <c r="F168" s="817"/>
      <c r="G168" s="817"/>
      <c r="H168" s="817"/>
      <c r="I168" s="818"/>
    </row>
    <row r="169" spans="1:9" s="218" customFormat="1" x14ac:dyDescent="0.2">
      <c r="A169" s="281"/>
      <c r="B169" s="816"/>
      <c r="C169" s="817"/>
      <c r="D169" s="817"/>
      <c r="E169" s="817"/>
      <c r="F169" s="817"/>
      <c r="G169" s="817"/>
      <c r="H169" s="817"/>
      <c r="I169" s="818"/>
    </row>
    <row r="170" spans="1:9" s="218" customFormat="1" x14ac:dyDescent="0.2">
      <c r="A170" s="281"/>
      <c r="B170" s="816"/>
      <c r="C170" s="817"/>
      <c r="D170" s="817"/>
      <c r="E170" s="817"/>
      <c r="F170" s="817"/>
      <c r="G170" s="817"/>
      <c r="H170" s="817"/>
      <c r="I170" s="818"/>
    </row>
    <row r="171" spans="1:9" s="218" customFormat="1" ht="16.5" thickBot="1" x14ac:dyDescent="0.25">
      <c r="A171" s="282"/>
      <c r="B171" s="819"/>
      <c r="C171" s="820"/>
      <c r="D171" s="820"/>
      <c r="E171" s="820"/>
      <c r="F171" s="820"/>
      <c r="G171" s="820"/>
      <c r="H171" s="820"/>
      <c r="I171" s="821"/>
    </row>
    <row r="173" spans="1:9" s="218" customFormat="1" x14ac:dyDescent="0.2">
      <c r="F173" s="337"/>
      <c r="G173" s="337"/>
      <c r="H173" s="337"/>
      <c r="I173" s="337"/>
    </row>
    <row r="174" spans="1:9" s="218" customFormat="1" ht="16.5" thickBot="1" x14ac:dyDescent="0.25">
      <c r="F174" s="337"/>
      <c r="G174" s="337"/>
      <c r="H174" s="337"/>
      <c r="I174" s="337"/>
    </row>
    <row r="175" spans="1:9" s="218" customFormat="1" ht="16.5" thickBot="1" x14ac:dyDescent="0.25">
      <c r="A175" s="825" t="s">
        <v>3</v>
      </c>
      <c r="B175" s="826"/>
      <c r="F175" s="337"/>
      <c r="G175" s="337"/>
      <c r="H175" s="337"/>
      <c r="I175" s="337"/>
    </row>
    <row r="176" spans="1:9" s="347" customFormat="1" ht="16.5" thickBot="1" x14ac:dyDescent="0.25">
      <c r="A176" s="338"/>
      <c r="B176" s="338"/>
      <c r="F176" s="348"/>
      <c r="G176" s="348"/>
      <c r="H176" s="348"/>
      <c r="I176" s="348"/>
    </row>
    <row r="177" spans="1:14" s="218" customFormat="1" ht="15.75" customHeight="1" thickBot="1" x14ac:dyDescent="0.25">
      <c r="A177" s="800" t="s">
        <v>2</v>
      </c>
      <c r="B177" s="801"/>
      <c r="C177" s="801"/>
      <c r="D177" s="801"/>
      <c r="E177" s="801"/>
      <c r="F177" s="801"/>
      <c r="G177" s="802"/>
      <c r="H177" s="337"/>
      <c r="I177" s="337"/>
    </row>
    <row r="178" spans="1:14" s="347" customFormat="1" ht="15.75" customHeight="1" thickBot="1" x14ac:dyDescent="0.25">
      <c r="A178" s="338"/>
      <c r="B178" s="338"/>
      <c r="C178" s="338"/>
      <c r="D178" s="338"/>
      <c r="E178" s="338"/>
      <c r="F178" s="338"/>
      <c r="G178" s="338"/>
      <c r="H178" s="348"/>
      <c r="I178" s="348"/>
    </row>
    <row r="179" spans="1:14" s="218" customFormat="1" ht="15.75" customHeight="1" thickBot="1" x14ac:dyDescent="0.25">
      <c r="A179" s="807" t="s">
        <v>1</v>
      </c>
      <c r="B179" s="808"/>
      <c r="C179" s="808"/>
      <c r="D179" s="808"/>
      <c r="E179" s="809"/>
      <c r="F179" s="339"/>
      <c r="G179" s="339"/>
      <c r="H179" s="337"/>
      <c r="I179" s="337"/>
    </row>
    <row r="180" spans="1:14" s="218" customFormat="1" x14ac:dyDescent="0.2">
      <c r="A180" s="803" t="s">
        <v>627</v>
      </c>
      <c r="B180" s="805" t="s">
        <v>888</v>
      </c>
      <c r="C180" s="786" t="s">
        <v>0</v>
      </c>
      <c r="D180" s="786" t="s">
        <v>609</v>
      </c>
      <c r="E180" s="805" t="s">
        <v>889</v>
      </c>
      <c r="F180" s="786" t="s">
        <v>436</v>
      </c>
      <c r="G180" s="786" t="s">
        <v>421</v>
      </c>
      <c r="H180" s="786" t="s">
        <v>628</v>
      </c>
      <c r="I180" s="786" t="s">
        <v>11</v>
      </c>
      <c r="J180" s="786" t="s">
        <v>12</v>
      </c>
      <c r="K180" s="786" t="s">
        <v>13</v>
      </c>
      <c r="L180" s="786" t="s">
        <v>449</v>
      </c>
      <c r="M180" s="786" t="s">
        <v>610</v>
      </c>
      <c r="N180" s="788"/>
    </row>
    <row r="181" spans="1:14" s="218" customFormat="1" ht="32.25" customHeight="1" thickBot="1" x14ac:dyDescent="0.25">
      <c r="A181" s="804"/>
      <c r="B181" s="806"/>
      <c r="C181" s="787"/>
      <c r="D181" s="787"/>
      <c r="E181" s="806"/>
      <c r="F181" s="787"/>
      <c r="G181" s="787"/>
      <c r="H181" s="787"/>
      <c r="I181" s="787"/>
      <c r="J181" s="787"/>
      <c r="K181" s="787"/>
      <c r="L181" s="787"/>
      <c r="M181" s="787"/>
      <c r="N181" s="789"/>
    </row>
    <row r="182" spans="1:14" s="218" customFormat="1" x14ac:dyDescent="0.2">
      <c r="A182" s="344"/>
      <c r="B182" s="340"/>
      <c r="C182" s="394"/>
      <c r="D182" s="340"/>
      <c r="E182" s="340"/>
      <c r="F182" s="340"/>
      <c r="G182" s="340"/>
      <c r="H182" s="340"/>
      <c r="I182" s="340"/>
      <c r="J182" s="340"/>
      <c r="K182" s="340"/>
      <c r="L182" s="661"/>
      <c r="M182" s="810"/>
      <c r="N182" s="811"/>
    </row>
    <row r="183" spans="1:14" s="218" customFormat="1" x14ac:dyDescent="0.2">
      <c r="A183" s="345"/>
      <c r="B183" s="341"/>
      <c r="C183" s="392"/>
      <c r="D183" s="341"/>
      <c r="E183" s="341"/>
      <c r="F183" s="341"/>
      <c r="G183" s="341"/>
      <c r="H183" s="341"/>
      <c r="I183" s="341"/>
      <c r="J183" s="341"/>
      <c r="K183" s="341"/>
      <c r="L183" s="662"/>
      <c r="M183" s="790"/>
      <c r="N183" s="791"/>
    </row>
    <row r="184" spans="1:14" s="218" customFormat="1" x14ac:dyDescent="0.2">
      <c r="A184" s="345"/>
      <c r="B184" s="341"/>
      <c r="C184" s="392"/>
      <c r="D184" s="341"/>
      <c r="E184" s="341"/>
      <c r="F184" s="341"/>
      <c r="G184" s="341"/>
      <c r="H184" s="341"/>
      <c r="I184" s="341"/>
      <c r="J184" s="341"/>
      <c r="K184" s="341"/>
      <c r="L184" s="662"/>
      <c r="M184" s="790"/>
      <c r="N184" s="791"/>
    </row>
    <row r="185" spans="1:14" s="218" customFormat="1" x14ac:dyDescent="0.2">
      <c r="A185" s="345"/>
      <c r="B185" s="341"/>
      <c r="C185" s="392"/>
      <c r="D185" s="341"/>
      <c r="E185" s="341"/>
      <c r="F185" s="341"/>
      <c r="G185" s="341"/>
      <c r="H185" s="341"/>
      <c r="I185" s="341"/>
      <c r="J185" s="341"/>
      <c r="K185" s="341"/>
      <c r="L185" s="662"/>
      <c r="M185" s="790"/>
      <c r="N185" s="791"/>
    </row>
    <row r="186" spans="1:14" s="218" customFormat="1" x14ac:dyDescent="0.2">
      <c r="A186" s="345"/>
      <c r="B186" s="341"/>
      <c r="C186" s="392"/>
      <c r="D186" s="341"/>
      <c r="E186" s="341"/>
      <c r="F186" s="341"/>
      <c r="G186" s="341"/>
      <c r="H186" s="341"/>
      <c r="I186" s="341"/>
      <c r="J186" s="341"/>
      <c r="K186" s="341"/>
      <c r="L186" s="662"/>
      <c r="M186" s="790"/>
      <c r="N186" s="791"/>
    </row>
    <row r="187" spans="1:14" s="218" customFormat="1" ht="16.5" thickBot="1" x14ac:dyDescent="0.25">
      <c r="A187" s="346"/>
      <c r="B187" s="342"/>
      <c r="C187" s="336"/>
      <c r="D187" s="342"/>
      <c r="E187" s="342"/>
      <c r="F187" s="342"/>
      <c r="G187" s="342"/>
      <c r="H187" s="342"/>
      <c r="I187" s="342"/>
      <c r="J187" s="342"/>
      <c r="K187" s="342"/>
      <c r="L187" s="663"/>
      <c r="M187" s="794"/>
      <c r="N187" s="795"/>
    </row>
    <row r="188" spans="1:14" s="218" customFormat="1" x14ac:dyDescent="0.2">
      <c r="F188" s="337"/>
      <c r="G188" s="337"/>
      <c r="H188" s="337"/>
      <c r="I188" s="337"/>
    </row>
    <row r="189" spans="1:14" s="218" customFormat="1" ht="16.5" thickBot="1" x14ac:dyDescent="0.25">
      <c r="F189" s="337"/>
      <c r="G189" s="337"/>
      <c r="H189" s="337"/>
      <c r="I189" s="337"/>
    </row>
    <row r="190" spans="1:14" s="218" customFormat="1" ht="16.5" thickBot="1" x14ac:dyDescent="0.25">
      <c r="A190" s="800" t="s">
        <v>790</v>
      </c>
      <c r="B190" s="801"/>
      <c r="C190" s="801"/>
      <c r="D190" s="801"/>
      <c r="E190" s="801"/>
      <c r="F190" s="801"/>
      <c r="G190" s="802"/>
      <c r="H190" s="337"/>
      <c r="I190" s="337"/>
    </row>
    <row r="191" spans="1:14" s="192" customFormat="1" ht="16.5" thickBot="1" x14ac:dyDescent="0.25">
      <c r="F191" s="191"/>
      <c r="G191" s="191"/>
      <c r="H191" s="191"/>
      <c r="I191" s="191"/>
    </row>
    <row r="192" spans="1:14" s="218" customFormat="1" ht="16.5" thickBot="1" x14ac:dyDescent="0.25">
      <c r="A192" s="807" t="s">
        <v>1</v>
      </c>
      <c r="B192" s="808"/>
      <c r="C192" s="808"/>
      <c r="D192" s="808"/>
      <c r="E192" s="808"/>
      <c r="F192" s="808"/>
      <c r="G192" s="808"/>
      <c r="H192" s="809"/>
      <c r="I192" s="337"/>
    </row>
    <row r="193" spans="1:31" s="1169" customFormat="1" ht="36.75" customHeight="1" thickBot="1" x14ac:dyDescent="0.25">
      <c r="A193" s="803" t="s">
        <v>627</v>
      </c>
      <c r="B193" s="805" t="s">
        <v>888</v>
      </c>
      <c r="C193" s="786" t="s">
        <v>0</v>
      </c>
      <c r="D193" s="786" t="s">
        <v>609</v>
      </c>
      <c r="E193" s="805" t="s">
        <v>889</v>
      </c>
      <c r="F193" s="971" t="s">
        <v>42</v>
      </c>
      <c r="G193" s="1165" t="s">
        <v>789</v>
      </c>
      <c r="H193" s="1163"/>
      <c r="I193" s="1163"/>
      <c r="J193" s="1163"/>
      <c r="K193" s="1163"/>
      <c r="L193" s="1163"/>
      <c r="M193" s="1163"/>
      <c r="N193" s="1163"/>
      <c r="O193" s="1163"/>
      <c r="P193" s="1163"/>
      <c r="Q193" s="1163"/>
      <c r="R193" s="1163"/>
      <c r="S193" s="1163"/>
      <c r="T193" s="1163"/>
      <c r="U193" s="1163"/>
      <c r="V193" s="1164"/>
      <c r="W193" s="930" t="s">
        <v>436</v>
      </c>
      <c r="X193" s="786" t="s">
        <v>421</v>
      </c>
      <c r="Y193" s="786" t="s">
        <v>628</v>
      </c>
      <c r="Z193" s="786" t="s">
        <v>11</v>
      </c>
      <c r="AA193" s="786" t="s">
        <v>12</v>
      </c>
      <c r="AB193" s="786" t="s">
        <v>13</v>
      </c>
      <c r="AC193" s="786" t="s">
        <v>449</v>
      </c>
      <c r="AD193" s="971" t="s">
        <v>610</v>
      </c>
      <c r="AE193" s="1161"/>
    </row>
    <row r="194" spans="1:31" s="1169" customFormat="1" ht="45.75" customHeight="1" thickBot="1" x14ac:dyDescent="0.25">
      <c r="A194" s="804"/>
      <c r="B194" s="806"/>
      <c r="C194" s="787"/>
      <c r="D194" s="787"/>
      <c r="E194" s="806"/>
      <c r="F194" s="787"/>
      <c r="G194" s="1186" t="s">
        <v>432</v>
      </c>
      <c r="H194" s="1186" t="s">
        <v>1380</v>
      </c>
      <c r="I194" s="1186" t="s">
        <v>1381</v>
      </c>
      <c r="J194" s="1186" t="s">
        <v>1382</v>
      </c>
      <c r="K194" s="1186" t="s">
        <v>433</v>
      </c>
      <c r="L194" s="1186" t="s">
        <v>1383</v>
      </c>
      <c r="M194" s="1182" t="s">
        <v>1386</v>
      </c>
      <c r="N194" s="1182" t="s">
        <v>1387</v>
      </c>
      <c r="O194" s="1186" t="s">
        <v>434</v>
      </c>
      <c r="P194" s="1186" t="s">
        <v>1384</v>
      </c>
      <c r="Q194" s="1182" t="s">
        <v>1388</v>
      </c>
      <c r="R194" s="1182" t="s">
        <v>1389</v>
      </c>
      <c r="S194" s="1186" t="s">
        <v>435</v>
      </c>
      <c r="T194" s="1186" t="s">
        <v>1385</v>
      </c>
      <c r="U194" s="1182" t="s">
        <v>1390</v>
      </c>
      <c r="V194" s="1182" t="s">
        <v>1391</v>
      </c>
      <c r="W194" s="959"/>
      <c r="X194" s="787"/>
      <c r="Y194" s="787"/>
      <c r="Z194" s="787"/>
      <c r="AA194" s="787"/>
      <c r="AB194" s="787"/>
      <c r="AC194" s="787"/>
      <c r="AD194" s="972"/>
      <c r="AE194" s="1162"/>
    </row>
    <row r="195" spans="1:31" s="1169" customFormat="1" x14ac:dyDescent="0.2">
      <c r="A195" s="1176"/>
      <c r="B195" s="1173"/>
      <c r="C195" s="1171"/>
      <c r="D195" s="1173"/>
      <c r="E195" s="1173"/>
      <c r="F195" s="1179"/>
      <c r="G195" s="1173"/>
      <c r="H195" s="1173"/>
      <c r="I195" s="1173"/>
      <c r="J195" s="1173"/>
      <c r="K195" s="1173"/>
      <c r="L195" s="1173"/>
      <c r="M195" s="1173"/>
      <c r="N195" s="1173"/>
      <c r="O195" s="1173"/>
      <c r="P195" s="1173"/>
      <c r="Q195" s="1173"/>
      <c r="R195" s="1173"/>
      <c r="S195" s="1173"/>
      <c r="T195" s="1173"/>
      <c r="U195" s="1173"/>
      <c r="V195" s="1173"/>
      <c r="W195" s="1173"/>
      <c r="X195" s="1173"/>
      <c r="Y195" s="1173"/>
      <c r="Z195" s="1173"/>
      <c r="AA195" s="1173"/>
      <c r="AB195" s="1173"/>
      <c r="AC195" s="1183"/>
      <c r="AD195" s="796"/>
      <c r="AE195" s="797"/>
    </row>
    <row r="196" spans="1:31" s="1169" customFormat="1" x14ac:dyDescent="0.2">
      <c r="A196" s="1177"/>
      <c r="B196" s="1174"/>
      <c r="C196" s="1170"/>
      <c r="D196" s="1174"/>
      <c r="E196" s="1174"/>
      <c r="F196" s="1180"/>
      <c r="G196" s="1174"/>
      <c r="H196" s="1174"/>
      <c r="I196" s="1174"/>
      <c r="J196" s="1174"/>
      <c r="K196" s="1174"/>
      <c r="L196" s="1174"/>
      <c r="M196" s="1174"/>
      <c r="N196" s="1174"/>
      <c r="O196" s="1174"/>
      <c r="P196" s="1174"/>
      <c r="Q196" s="1174"/>
      <c r="R196" s="1174"/>
      <c r="S196" s="1174"/>
      <c r="T196" s="1174"/>
      <c r="U196" s="1174"/>
      <c r="V196" s="1174"/>
      <c r="W196" s="1174"/>
      <c r="X196" s="1174"/>
      <c r="Y196" s="1174"/>
      <c r="Z196" s="1174"/>
      <c r="AA196" s="1174"/>
      <c r="AB196" s="1174"/>
      <c r="AC196" s="1184"/>
      <c r="AD196" s="798"/>
      <c r="AE196" s="799"/>
    </row>
    <row r="197" spans="1:31" s="1169" customFormat="1" x14ac:dyDescent="0.2">
      <c r="A197" s="1177"/>
      <c r="B197" s="1174"/>
      <c r="C197" s="1170"/>
      <c r="D197" s="1174"/>
      <c r="E197" s="1174"/>
      <c r="F197" s="1180"/>
      <c r="G197" s="1174"/>
      <c r="H197" s="1174"/>
      <c r="I197" s="1174"/>
      <c r="J197" s="1174"/>
      <c r="K197" s="1174"/>
      <c r="L197" s="1174"/>
      <c r="M197" s="1174"/>
      <c r="N197" s="1174"/>
      <c r="O197" s="1174"/>
      <c r="P197" s="1174"/>
      <c r="Q197" s="1174"/>
      <c r="R197" s="1174"/>
      <c r="S197" s="1174"/>
      <c r="T197" s="1174"/>
      <c r="U197" s="1174"/>
      <c r="V197" s="1174"/>
      <c r="W197" s="1174"/>
      <c r="X197" s="1174"/>
      <c r="Y197" s="1174"/>
      <c r="Z197" s="1174"/>
      <c r="AA197" s="1174"/>
      <c r="AB197" s="1174"/>
      <c r="AC197" s="1184"/>
      <c r="AD197" s="798"/>
      <c r="AE197" s="799"/>
    </row>
    <row r="198" spans="1:31" s="1169" customFormat="1" x14ac:dyDescent="0.2">
      <c r="A198" s="1177"/>
      <c r="B198" s="1174"/>
      <c r="C198" s="1170"/>
      <c r="D198" s="1174"/>
      <c r="E198" s="1174"/>
      <c r="F198" s="1180"/>
      <c r="G198" s="1174"/>
      <c r="H198" s="1174"/>
      <c r="I198" s="1174"/>
      <c r="J198" s="1174"/>
      <c r="K198" s="1174"/>
      <c r="L198" s="1174"/>
      <c r="M198" s="1174"/>
      <c r="N198" s="1174"/>
      <c r="O198" s="1174"/>
      <c r="P198" s="1174"/>
      <c r="Q198" s="1174"/>
      <c r="R198" s="1174"/>
      <c r="S198" s="1174"/>
      <c r="T198" s="1174"/>
      <c r="U198" s="1174"/>
      <c r="V198" s="1174"/>
      <c r="W198" s="1174"/>
      <c r="X198" s="1174"/>
      <c r="Y198" s="1174"/>
      <c r="Z198" s="1174"/>
      <c r="AA198" s="1174"/>
      <c r="AB198" s="1174"/>
      <c r="AC198" s="1184"/>
      <c r="AD198" s="798"/>
      <c r="AE198" s="799"/>
    </row>
    <row r="199" spans="1:31" s="1169" customFormat="1" x14ac:dyDescent="0.2">
      <c r="A199" s="1177"/>
      <c r="B199" s="1174"/>
      <c r="C199" s="1170"/>
      <c r="D199" s="1174"/>
      <c r="E199" s="1174"/>
      <c r="F199" s="1180"/>
      <c r="G199" s="1174"/>
      <c r="H199" s="1174"/>
      <c r="I199" s="1174"/>
      <c r="J199" s="1174"/>
      <c r="K199" s="1174"/>
      <c r="L199" s="1174"/>
      <c r="M199" s="1174"/>
      <c r="N199" s="1174"/>
      <c r="O199" s="1174"/>
      <c r="P199" s="1174"/>
      <c r="Q199" s="1174"/>
      <c r="R199" s="1174"/>
      <c r="S199" s="1174"/>
      <c r="T199" s="1174"/>
      <c r="U199" s="1174"/>
      <c r="V199" s="1174"/>
      <c r="W199" s="1174"/>
      <c r="X199" s="1174"/>
      <c r="Y199" s="1174"/>
      <c r="Z199" s="1174"/>
      <c r="AA199" s="1174"/>
      <c r="AB199" s="1174"/>
      <c r="AC199" s="1184"/>
      <c r="AD199" s="798"/>
      <c r="AE199" s="799"/>
    </row>
    <row r="200" spans="1:31" s="1169" customFormat="1" ht="16.5" thickBot="1" x14ac:dyDescent="0.25">
      <c r="A200" s="1178"/>
      <c r="B200" s="1175"/>
      <c r="C200" s="1172"/>
      <c r="D200" s="1175"/>
      <c r="E200" s="1175"/>
      <c r="F200" s="1181"/>
      <c r="G200" s="1175"/>
      <c r="H200" s="1175"/>
      <c r="I200" s="1175"/>
      <c r="J200" s="1175"/>
      <c r="K200" s="1175"/>
      <c r="L200" s="1175"/>
      <c r="M200" s="1175"/>
      <c r="N200" s="1175"/>
      <c r="O200" s="1175"/>
      <c r="P200" s="1175"/>
      <c r="Q200" s="1175"/>
      <c r="R200" s="1175"/>
      <c r="S200" s="1175"/>
      <c r="T200" s="1175"/>
      <c r="U200" s="1175"/>
      <c r="V200" s="1175"/>
      <c r="W200" s="1175"/>
      <c r="X200" s="1175"/>
      <c r="Y200" s="1175"/>
      <c r="Z200" s="1175"/>
      <c r="AA200" s="1175"/>
      <c r="AB200" s="1175"/>
      <c r="AC200" s="1185"/>
      <c r="AD200" s="792"/>
      <c r="AE200" s="793"/>
    </row>
    <row r="201" spans="1:31" s="218" customFormat="1" x14ac:dyDescent="0.2">
      <c r="F201" s="337"/>
      <c r="G201" s="337"/>
      <c r="H201" s="337"/>
      <c r="I201" s="337"/>
    </row>
    <row r="202" spans="1:31" s="218" customFormat="1" x14ac:dyDescent="0.2">
      <c r="F202" s="337"/>
      <c r="G202" s="337"/>
      <c r="H202" s="337"/>
      <c r="I202" s="337"/>
    </row>
    <row r="203" spans="1:31" s="218" customFormat="1" ht="16.5" thickBot="1" x14ac:dyDescent="0.25">
      <c r="F203" s="337"/>
      <c r="G203" s="337"/>
      <c r="H203" s="337"/>
      <c r="I203" s="337"/>
    </row>
    <row r="204" spans="1:31" ht="16.5" thickBot="1" x14ac:dyDescent="0.25">
      <c r="A204" s="555" t="s">
        <v>454</v>
      </c>
      <c r="B204" s="556" t="s">
        <v>455</v>
      </c>
    </row>
    <row r="205" spans="1:31" x14ac:dyDescent="0.2">
      <c r="A205" s="450" t="s">
        <v>456</v>
      </c>
      <c r="B205" s="557" t="s">
        <v>51</v>
      </c>
    </row>
    <row r="206" spans="1:31" x14ac:dyDescent="0.2">
      <c r="A206" s="558" t="s">
        <v>65</v>
      </c>
      <c r="B206" s="559" t="s">
        <v>51</v>
      </c>
    </row>
    <row r="207" spans="1:31" x14ac:dyDescent="0.2">
      <c r="A207" s="558" t="s">
        <v>257</v>
      </c>
      <c r="B207" s="559" t="s">
        <v>51</v>
      </c>
    </row>
    <row r="208" spans="1:31" x14ac:dyDescent="0.2">
      <c r="A208" s="558" t="s">
        <v>258</v>
      </c>
      <c r="B208" s="559" t="s">
        <v>51</v>
      </c>
      <c r="F208" s="69"/>
      <c r="G208" s="69"/>
      <c r="H208" s="69"/>
      <c r="I208" s="69"/>
    </row>
    <row r="209" spans="1:9" x14ac:dyDescent="0.2">
      <c r="A209" s="558" t="s">
        <v>259</v>
      </c>
      <c r="B209" s="559" t="s">
        <v>53</v>
      </c>
      <c r="F209" s="69"/>
      <c r="G209" s="69"/>
      <c r="H209" s="69"/>
      <c r="I209" s="69"/>
    </row>
    <row r="210" spans="1:9" x14ac:dyDescent="0.2">
      <c r="A210" s="558" t="s">
        <v>281</v>
      </c>
      <c r="B210" s="559" t="s">
        <v>53</v>
      </c>
      <c r="F210" s="69"/>
      <c r="G210" s="69"/>
      <c r="H210" s="69"/>
      <c r="I210" s="69"/>
    </row>
    <row r="211" spans="1:9" x14ac:dyDescent="0.2">
      <c r="A211" s="560" t="s">
        <v>279</v>
      </c>
      <c r="B211" s="559" t="s">
        <v>53</v>
      </c>
      <c r="F211" s="69"/>
      <c r="G211" s="69"/>
      <c r="H211" s="69"/>
      <c r="I211" s="69"/>
    </row>
    <row r="212" spans="1:9" x14ac:dyDescent="0.2">
      <c r="A212" s="560" t="s">
        <v>457</v>
      </c>
      <c r="B212" s="559" t="s">
        <v>53</v>
      </c>
      <c r="F212" s="69"/>
      <c r="G212" s="69"/>
      <c r="H212" s="69"/>
      <c r="I212" s="69"/>
    </row>
    <row r="213" spans="1:9" ht="16.5" thickBot="1" x14ac:dyDescent="0.25">
      <c r="A213" s="561" t="s">
        <v>460</v>
      </c>
      <c r="B213" s="562" t="s">
        <v>51</v>
      </c>
      <c r="F213" s="69"/>
      <c r="G213" s="69"/>
      <c r="H213" s="69"/>
      <c r="I213" s="69"/>
    </row>
  </sheetData>
  <sheetProtection formatCells="0" formatColumns="0" formatRows="0" insertColumns="0" insertRows="0" deleteColumns="0" deleteRows="0" sort="0" autoFilter="0"/>
  <autoFilter ref="A30:AB30" xr:uid="{00000000-0009-0000-0000-00000E000000}"/>
  <sortState xmlns:xlrd2="http://schemas.microsoft.com/office/spreadsheetml/2017/richdata2" ref="A90:A122">
    <sortCondition ref="A89"/>
  </sortState>
  <dataConsolidate>
    <dataRefs count="2">
      <dataRef ref="B9" sheet="APPENDIX B-1  (FE - USWC)"/>
      <dataRef ref="A14:A18" sheet="APPENDIX B-1  (FE - USWC)"/>
    </dataRefs>
  </dataConsolidate>
  <mergeCells count="266">
    <mergeCell ref="AD196:AE196"/>
    <mergeCell ref="AD197:AE197"/>
    <mergeCell ref="AD198:AE198"/>
    <mergeCell ref="AD199:AE199"/>
    <mergeCell ref="AD200:AE200"/>
    <mergeCell ref="W193:W194"/>
    <mergeCell ref="X193:X194"/>
    <mergeCell ref="Y193:Y194"/>
    <mergeCell ref="Z193:Z194"/>
    <mergeCell ref="AA193:AA194"/>
    <mergeCell ref="AB193:AB194"/>
    <mergeCell ref="AC193:AC194"/>
    <mergeCell ref="AD193:AE194"/>
    <mergeCell ref="AD195:AE195"/>
    <mergeCell ref="B88:I88"/>
    <mergeCell ref="B169:I169"/>
    <mergeCell ref="B170:I170"/>
    <mergeCell ref="F137:F138"/>
    <mergeCell ref="B160:I160"/>
    <mergeCell ref="A149:F149"/>
    <mergeCell ref="B158:I158"/>
    <mergeCell ref="B162:I162"/>
    <mergeCell ref="B161:I161"/>
    <mergeCell ref="B167:I167"/>
    <mergeCell ref="B168:I168"/>
    <mergeCell ref="B164:I164"/>
    <mergeCell ref="B165:I165"/>
    <mergeCell ref="B163:I163"/>
    <mergeCell ref="G137:G138"/>
    <mergeCell ref="B96:D96"/>
    <mergeCell ref="E117:G117"/>
    <mergeCell ref="B118:D118"/>
    <mergeCell ref="B120:D120"/>
    <mergeCell ref="E120:G120"/>
    <mergeCell ref="B94:D94"/>
    <mergeCell ref="E94:G94"/>
    <mergeCell ref="B93:D93"/>
    <mergeCell ref="E93:G93"/>
    <mergeCell ref="A155:I155"/>
    <mergeCell ref="L130:L131"/>
    <mergeCell ref="J137:J138"/>
    <mergeCell ref="E125:G125"/>
    <mergeCell ref="B126:D126"/>
    <mergeCell ref="A128:I128"/>
    <mergeCell ref="E126:G126"/>
    <mergeCell ref="J130:J131"/>
    <mergeCell ref="K130:K131"/>
    <mergeCell ref="K137:K138"/>
    <mergeCell ref="I130:I131"/>
    <mergeCell ref="B125:D125"/>
    <mergeCell ref="A127:I127"/>
    <mergeCell ref="A130:D130"/>
    <mergeCell ref="H130:H131"/>
    <mergeCell ref="G130:G131"/>
    <mergeCell ref="E130:E131"/>
    <mergeCell ref="F130:F131"/>
    <mergeCell ref="M137:M138"/>
    <mergeCell ref="I137:I138"/>
    <mergeCell ref="L137:L138"/>
    <mergeCell ref="L180:L181"/>
    <mergeCell ref="E180:E181"/>
    <mergeCell ref="F180:F181"/>
    <mergeCell ref="A180:A181"/>
    <mergeCell ref="B180:B181"/>
    <mergeCell ref="C180:C181"/>
    <mergeCell ref="D180:D181"/>
    <mergeCell ref="G180:G181"/>
    <mergeCell ref="I180:I181"/>
    <mergeCell ref="B166:I166"/>
    <mergeCell ref="A148:F148"/>
    <mergeCell ref="A137:D137"/>
    <mergeCell ref="E137:E138"/>
    <mergeCell ref="H180:H181"/>
    <mergeCell ref="K180:K181"/>
    <mergeCell ref="M180:N181"/>
    <mergeCell ref="H137:H138"/>
    <mergeCell ref="B159:I159"/>
    <mergeCell ref="A145:E145"/>
    <mergeCell ref="A147:F147"/>
    <mergeCell ref="B157:I157"/>
    <mergeCell ref="M186:N186"/>
    <mergeCell ref="M182:N182"/>
    <mergeCell ref="J180:J181"/>
    <mergeCell ref="B171:I171"/>
    <mergeCell ref="A175:B175"/>
    <mergeCell ref="A177:G177"/>
    <mergeCell ref="A179:E179"/>
    <mergeCell ref="M184:N184"/>
    <mergeCell ref="M185:N185"/>
    <mergeCell ref="M183:N183"/>
    <mergeCell ref="G193:V193"/>
    <mergeCell ref="E111:G111"/>
    <mergeCell ref="M187:N187"/>
    <mergeCell ref="A192:H192"/>
    <mergeCell ref="A193:A194"/>
    <mergeCell ref="A190:G190"/>
    <mergeCell ref="B193:B194"/>
    <mergeCell ref="C193:C194"/>
    <mergeCell ref="D193:D194"/>
    <mergeCell ref="F193:F194"/>
    <mergeCell ref="E193:E194"/>
    <mergeCell ref="A1:B1"/>
    <mergeCell ref="C1:F1"/>
    <mergeCell ref="A2:B2"/>
    <mergeCell ref="C2:F2"/>
    <mergeCell ref="A3:B3"/>
    <mergeCell ref="A4:B4"/>
    <mergeCell ref="C4:F4"/>
    <mergeCell ref="C5:F5"/>
    <mergeCell ref="C30:C31"/>
    <mergeCell ref="D30:D31"/>
    <mergeCell ref="B23:H23"/>
    <mergeCell ref="B24:H24"/>
    <mergeCell ref="G30:G31"/>
    <mergeCell ref="H30:H31"/>
    <mergeCell ref="F30:F31"/>
    <mergeCell ref="A6:B6"/>
    <mergeCell ref="C6:F6"/>
    <mergeCell ref="A7:B7"/>
    <mergeCell ref="C7:F7"/>
    <mergeCell ref="A5:B5"/>
    <mergeCell ref="C3:F3"/>
    <mergeCell ref="A8:B8"/>
    <mergeCell ref="C8:F8"/>
    <mergeCell ref="B15:I15"/>
    <mergeCell ref="A12:J12"/>
    <mergeCell ref="B13:I13"/>
    <mergeCell ref="J39:J40"/>
    <mergeCell ref="B14:I14"/>
    <mergeCell ref="B20:H20"/>
    <mergeCell ref="E30:E31"/>
    <mergeCell ref="A30:A31"/>
    <mergeCell ref="D39:D40"/>
    <mergeCell ref="B21:H21"/>
    <mergeCell ref="A39:A40"/>
    <mergeCell ref="B39:B40"/>
    <mergeCell ref="C39:C40"/>
    <mergeCell ref="B30:B31"/>
    <mergeCell ref="F39:F40"/>
    <mergeCell ref="I30:I31"/>
    <mergeCell ref="L13:M13"/>
    <mergeCell ref="L14:M14"/>
    <mergeCell ref="L15:M15"/>
    <mergeCell ref="L17:M17"/>
    <mergeCell ref="L16:M16"/>
    <mergeCell ref="G48:G49"/>
    <mergeCell ref="G39:G40"/>
    <mergeCell ref="B22:H22"/>
    <mergeCell ref="B17:I17"/>
    <mergeCell ref="H39:H40"/>
    <mergeCell ref="K30:K31"/>
    <mergeCell ref="K39:K40"/>
    <mergeCell ref="J13:K13"/>
    <mergeCell ref="J16:K16"/>
    <mergeCell ref="J30:J31"/>
    <mergeCell ref="J15:K15"/>
    <mergeCell ref="J14:K14"/>
    <mergeCell ref="I39:I40"/>
    <mergeCell ref="J17:K17"/>
    <mergeCell ref="E48:E49"/>
    <mergeCell ref="E39:E40"/>
    <mergeCell ref="A47:D47"/>
    <mergeCell ref="B16:I16"/>
    <mergeCell ref="C48:C49"/>
    <mergeCell ref="AA30:AA31"/>
    <mergeCell ref="L30:L31"/>
    <mergeCell ref="X39:X40"/>
    <mergeCell ref="AA39:AA40"/>
    <mergeCell ref="Z30:Z31"/>
    <mergeCell ref="Y39:Y40"/>
    <mergeCell ref="Y30:Y31"/>
    <mergeCell ref="X30:X31"/>
    <mergeCell ref="Z39:Z40"/>
    <mergeCell ref="AC48:AC49"/>
    <mergeCell ref="AA48:AA49"/>
    <mergeCell ref="AB48:AB49"/>
    <mergeCell ref="K48:K49"/>
    <mergeCell ref="L48:L49"/>
    <mergeCell ref="J48:J49"/>
    <mergeCell ref="M48:M49"/>
    <mergeCell ref="Z48:Z49"/>
    <mergeCell ref="B69:D69"/>
    <mergeCell ref="B65:D65"/>
    <mergeCell ref="A58:C58"/>
    <mergeCell ref="H48:H49"/>
    <mergeCell ref="F48:F49"/>
    <mergeCell ref="I48:I49"/>
    <mergeCell ref="B66:D66"/>
    <mergeCell ref="D48:D49"/>
    <mergeCell ref="B68:D68"/>
    <mergeCell ref="A57:C57"/>
    <mergeCell ref="A48:A49"/>
    <mergeCell ref="B67:D67"/>
    <mergeCell ref="B48:B49"/>
    <mergeCell ref="A72:C72"/>
    <mergeCell ref="A73:C73"/>
    <mergeCell ref="B80:D80"/>
    <mergeCell ref="B81:D81"/>
    <mergeCell ref="E123:G123"/>
    <mergeCell ref="B115:D115"/>
    <mergeCell ref="B122:D122"/>
    <mergeCell ref="E122:G122"/>
    <mergeCell ref="B117:D117"/>
    <mergeCell ref="B109:D109"/>
    <mergeCell ref="E109:G109"/>
    <mergeCell ref="B84:D84"/>
    <mergeCell ref="B83:D83"/>
    <mergeCell ref="A86:I86"/>
    <mergeCell ref="A87:I87"/>
    <mergeCell ref="A91:G91"/>
    <mergeCell ref="E101:G101"/>
    <mergeCell ref="B101:D101"/>
    <mergeCell ref="B98:D98"/>
    <mergeCell ref="B99:D99"/>
    <mergeCell ref="E99:G99"/>
    <mergeCell ref="B100:D100"/>
    <mergeCell ref="E103:G103"/>
    <mergeCell ref="B114:D114"/>
    <mergeCell ref="B124:D124"/>
    <mergeCell ref="E124:G124"/>
    <mergeCell ref="A90:G90"/>
    <mergeCell ref="K90:K92"/>
    <mergeCell ref="B95:D95"/>
    <mergeCell ref="E95:G95"/>
    <mergeCell ref="B123:D123"/>
    <mergeCell ref="B108:D108"/>
    <mergeCell ref="B121:D121"/>
    <mergeCell ref="E108:G108"/>
    <mergeCell ref="E98:G98"/>
    <mergeCell ref="E96:G96"/>
    <mergeCell ref="B119:D119"/>
    <mergeCell ref="E119:G119"/>
    <mergeCell ref="E118:G118"/>
    <mergeCell ref="E114:G114"/>
    <mergeCell ref="E121:G121"/>
    <mergeCell ref="E100:G100"/>
    <mergeCell ref="E115:G115"/>
    <mergeCell ref="B112:D112"/>
    <mergeCell ref="E112:G112"/>
    <mergeCell ref="B97:D97"/>
    <mergeCell ref="E97:G97"/>
    <mergeCell ref="B103:D103"/>
    <mergeCell ref="B116:D116"/>
    <mergeCell ref="E116:G116"/>
    <mergeCell ref="M90:M92"/>
    <mergeCell ref="H90:H92"/>
    <mergeCell ref="I90:I92"/>
    <mergeCell ref="J90:J92"/>
    <mergeCell ref="L90:L92"/>
    <mergeCell ref="A92:G92"/>
    <mergeCell ref="B82:D82"/>
    <mergeCell ref="B105:D105"/>
    <mergeCell ref="E105:G105"/>
    <mergeCell ref="B104:D104"/>
    <mergeCell ref="E104:G104"/>
    <mergeCell ref="B107:D107"/>
    <mergeCell ref="E107:G107"/>
    <mergeCell ref="B113:D113"/>
    <mergeCell ref="B102:D102"/>
    <mergeCell ref="B106:D106"/>
    <mergeCell ref="E102:G102"/>
    <mergeCell ref="E106:G106"/>
    <mergeCell ref="B110:D110"/>
    <mergeCell ref="E110:G110"/>
    <mergeCell ref="E113:G113"/>
    <mergeCell ref="B111:D111"/>
  </mergeCells>
  <phoneticPr fontId="11" type="noConversion"/>
  <dataValidations count="33">
    <dataValidation type="list" allowBlank="1" showInputMessage="1" showErrorMessage="1" sqref="B205:B213" xr:uid="{00000000-0002-0000-0E00-000000000000}">
      <formula1>Autom</formula1>
    </dataValidation>
    <dataValidation type="list" showInputMessage="1" showErrorMessage="1" sqref="C182:C187 C195:C200" xr:uid="{00000000-0002-0000-0E00-000001000000}">
      <formula1>IF($B182="I",DDTARIFF,DDTARIFFUSE)</formula1>
    </dataValidation>
    <dataValidation type="list" allowBlank="1" showInputMessage="1" showErrorMessage="1" sqref="B182:B187 B195:B200" xr:uid="{00000000-0002-0000-0E00-000002000000}">
      <formula1>EXPIMP</formula1>
    </dataValidation>
    <dataValidation type="list" allowBlank="1" showInputMessage="1" showErrorMessage="1" sqref="F182:F187 W195:W200" xr:uid="{00000000-0002-0000-0E00-000003000000}">
      <formula1>EQTYPE</formula1>
    </dataValidation>
    <dataValidation type="list" allowBlank="1" showInputMessage="1" showErrorMessage="1" sqref="G182:G187 X195:X200" xr:uid="{00000000-0002-0000-0E00-000004000000}">
      <formula1>OPREEFER</formula1>
    </dataValidation>
    <dataValidation type="list" allowBlank="1" showInputMessage="1" showErrorMessage="1" sqref="F195:F200" xr:uid="{6167B044-61D1-47DA-A8F4-53583F981281}">
      <formula1>CURRENCY</formula1>
    </dataValidation>
    <dataValidation type="whole" allowBlank="1" showInputMessage="1" showErrorMessage="1" error="Only whole numbers can be entered into this field" sqref="D182:D187 D195:D200" xr:uid="{00000000-0002-0000-0E00-000006000000}">
      <formula1>1</formula1>
      <formula2>99</formula2>
    </dataValidation>
    <dataValidation type="list" showInputMessage="1" showErrorMessage="1" sqref="E182:E187 E195:E200" xr:uid="{00000000-0002-0000-0E00-000007000000}">
      <formula1>DAYS</formula1>
    </dataValidation>
    <dataValidation type="whole" allowBlank="1" showInputMessage="1" showErrorMessage="1" error="Only whole numbers may be entered into this field_x000a_" sqref="G195:G200 S195:S200 O195:O200 K195:K200" xr:uid="{23D85FA3-AC80-441D-BD68-4B4A2CF59C7B}">
      <formula1>1</formula1>
      <formula2>99</formula2>
    </dataValidation>
    <dataValidation type="decimal" allowBlank="1" showInputMessage="1" showErrorMessage="1" error="Only numbers may be entered into this field" sqref="H195:J200 L195:N200 P195:R200 T195:V200" xr:uid="{CF283A6D-160A-4A91-927A-8F6C862D84A8}">
      <formula1>1</formula1>
      <formula2>1000000000</formula2>
    </dataValidation>
    <dataValidation type="list" showInputMessage="1" showErrorMessage="1" sqref="K132:K135 K139:K142 N66:N69 A41:A44 A50:A53 A32:A35 N81:N84" xr:uid="{00000000-0002-0000-0E00-00000A000000}">
      <formula1>$A$14:$A$18</formula1>
    </dataValidation>
    <dataValidation type="list" allowBlank="1" showInputMessage="1" showErrorMessage="1" sqref="J132:J135 J139:J142" xr:uid="{00000000-0002-0000-0E00-00000B000000}">
      <formula1>GRIPSS</formula1>
    </dataValidation>
    <dataValidation type="decimal" allowBlank="1" showInputMessage="1" showErrorMessage="1" sqref="F139:I142 F132:I135 I32:L35 I41:K44 J81:M84 I50:L53" xr:uid="{00000000-0002-0000-0E00-00000C000000}">
      <formula1>0</formula1>
      <formula2>999999999999999</formula2>
    </dataValidation>
    <dataValidation type="list" allowBlank="1" showInputMessage="1" showErrorMessage="1" sqref="E132:E135 E139:E142" xr:uid="{00000000-0002-0000-0E00-00000D000000}">
      <formula1>GRIPSS_EQ</formula1>
    </dataValidation>
    <dataValidation type="list" showInputMessage="1" showErrorMessage="1" sqref="A182:A187 A195:A200" xr:uid="{00000000-0002-0000-0E00-00000E000000}">
      <formula1>BULLET</formula1>
    </dataValidation>
    <dataValidation type="date" allowBlank="1" showInputMessage="1" showErrorMessage="1" sqref="X32:Y35 J93:K126" xr:uid="{00000000-0002-0000-0E00-00000F000000}">
      <formula1>10101</formula1>
      <formula2>311299</formula2>
    </dataValidation>
    <dataValidation type="list" showDropDown="1" showErrorMessage="1" sqref="O65:P65 O80:P80" xr:uid="{00000000-0002-0000-0E00-000010000000}">
      <formula1>Charges</formula1>
    </dataValidation>
    <dataValidation type="list" allowBlank="1" showInputMessage="1" showErrorMessage="1" sqref="O66:P69 O81:P84" xr:uid="{00000000-0002-0000-0E00-000011000000}">
      <formula1 xml:space="preserve"> droppull</formula1>
    </dataValidation>
    <dataValidation type="list" allowBlank="1" showInputMessage="1" showErrorMessage="1" sqref="L41:L44 G66:G69 P50:P53 N41:N44 G81:G84" xr:uid="{00000000-0002-0000-0E00-000012000000}">
      <formula1>YesNo</formula1>
    </dataValidation>
    <dataValidation type="list" allowBlank="1" showInputMessage="1" showErrorMessage="1" sqref="M50:M53" xr:uid="{00000000-0002-0000-0E00-000013000000}">
      <formula1>Equip</formula1>
    </dataValidation>
    <dataValidation type="list" allowBlank="1" showInputMessage="1" showErrorMessage="1" sqref="F66:F69 F81:F84" xr:uid="{00000000-0002-0000-0E00-000014000000}">
      <formula1>ArbMode</formula1>
    </dataValidation>
    <dataValidation type="list" allowBlank="1" showInputMessage="1" showErrorMessage="1" sqref="G41:G44 G50:G53 G32:G35" xr:uid="{00000000-0002-0000-0E00-000015000000}">
      <formula1>SDD</formula1>
    </dataValidation>
    <dataValidation type="list" allowBlank="1" showInputMessage="1" showErrorMessage="1" sqref="M31:W31 Q49:Y49" xr:uid="{00000000-0002-0000-0E00-000016000000}">
      <formula1>Container</formula1>
    </dataValidation>
    <dataValidation type="list" allowBlank="1" showInputMessage="1" showErrorMessage="1" sqref="O40:W40" xr:uid="{00000000-0002-0000-0E00-000017000000}">
      <formula1>Reefer</formula1>
    </dataValidation>
    <dataValidation type="list" allowBlank="1" showInputMessage="1" showErrorMessage="1" sqref="F32:F35 F50:F53 F41:F44" xr:uid="{00000000-0002-0000-0E00-000018000000}">
      <formula1>Mode</formula1>
    </dataValidation>
    <dataValidation type="list" allowBlank="1" showInputMessage="1" showErrorMessage="1" sqref="M41:M44 O50:O53" xr:uid="{00000000-0002-0000-0E00-000019000000}">
      <formula1>ShipperOwn</formula1>
    </dataValidation>
    <dataValidation type="list" allowBlank="1" showInputMessage="1" showErrorMessage="1" sqref="N50:N53" xr:uid="{00000000-0002-0000-0E00-00001A000000}">
      <formula1>OOG</formula1>
    </dataValidation>
    <dataValidation type="list" allowBlank="1" showErrorMessage="1" sqref="M30:W30 Q48:Y48 O39:W39" xr:uid="{00000000-0002-0000-0E00-00001B000000}">
      <formula1>Exceptions</formula1>
    </dataValidation>
    <dataValidation type="list" allowBlank="1" showInputMessage="1" showErrorMessage="1" sqref="AA32:AA35 AC50:AC53 AA41:AA44" xr:uid="{00000000-0002-0000-0E00-00001C000000}">
      <formula1>CST</formula1>
    </dataValidation>
    <dataValidation type="list" allowBlank="1" showInputMessage="1" showErrorMessage="1" sqref="I93:I126" xr:uid="{00000000-0002-0000-0E00-00001D000000}">
      <formula1>$A$14:$A$18</formula1>
    </dataValidation>
    <dataValidation type="list" allowBlank="1" showErrorMessage="1" sqref="A93:A126" xr:uid="{00000000-0002-0000-0E00-00001E000000}">
      <formula1>Charges</formula1>
    </dataValidation>
    <dataValidation allowBlank="1" showInputMessage="1" showErrorMessage="1" promptTitle="Acceptable Values:" prompt="- Applicable _x000a_- Not applicable _x000a_- Included_x000a_- Amount and OSPF for cases of fixed per D40 OSPF_x000a_    (example-  &quot;375 OSPF&quot;)" sqref="E93:G126" xr:uid="{00000000-0002-0000-0E00-00001F000000}"/>
    <dataValidation type="list" allowBlank="1" showInputMessage="1" showErrorMessage="1" errorTitle="Pick up the list" promptTitle="Blank = ALL" sqref="H93:H126" xr:uid="{00000000-0002-0000-0E00-000020000000}">
      <formula1>Type_note2</formula1>
    </dataValidation>
  </dataValidations>
  <pageMargins left="0.25" right="0.25" top="0.25" bottom="0.25" header="0.5" footer="0"/>
  <pageSetup scale="28" fitToHeight="0" orientation="landscape" r:id="rId1"/>
  <headerFooter alignWithMargins="0"/>
  <rowBreaks count="1" manualBreakCount="1">
    <brk id="88" max="16383" man="1"/>
  </rowBreaks>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52">
    <tabColor indexed="12"/>
    <pageSetUpPr fitToPage="1"/>
  </sheetPr>
  <dimension ref="A1:BB214"/>
  <sheetViews>
    <sheetView showGridLines="0" topLeftCell="A172" zoomScale="75" zoomScaleNormal="75" zoomScaleSheetLayoutView="75" workbookViewId="0">
      <selection activeCell="G194" sqref="A194:XFD201"/>
    </sheetView>
  </sheetViews>
  <sheetFormatPr defaultColWidth="9.140625" defaultRowHeight="15.75" x14ac:dyDescent="0.2"/>
  <cols>
    <col min="1" max="1" width="25.140625" style="69" customWidth="1"/>
    <col min="2" max="2" width="18.5703125" style="69" customWidth="1"/>
    <col min="3" max="3" width="18.28515625" style="69" customWidth="1"/>
    <col min="4" max="4" width="17.42578125" style="69" customWidth="1"/>
    <col min="5" max="5" width="19.28515625" style="69" customWidth="1"/>
    <col min="6" max="6" width="12.140625" style="211" customWidth="1"/>
    <col min="7" max="8" width="17.42578125" style="211" customWidth="1"/>
    <col min="9" max="9" width="17.7109375" style="211" customWidth="1"/>
    <col min="10" max="10" width="23.42578125" style="69" bestFit="1" customWidth="1"/>
    <col min="11" max="11" width="18.42578125" style="69" bestFit="1" customWidth="1"/>
    <col min="12" max="12" width="18.5703125" style="69" customWidth="1"/>
    <col min="13" max="13" width="17.28515625" style="69" customWidth="1"/>
    <col min="14" max="14" width="17.7109375" style="69" customWidth="1"/>
    <col min="15" max="16" width="16.5703125" style="69" customWidth="1"/>
    <col min="17" max="17" width="17.5703125" style="69" customWidth="1"/>
    <col min="18" max="18" width="15.85546875" style="69" customWidth="1"/>
    <col min="19" max="19" width="16.7109375" style="69" customWidth="1"/>
    <col min="20" max="20" width="16.5703125" style="69" customWidth="1"/>
    <col min="21" max="21" width="16.7109375" style="69" customWidth="1"/>
    <col min="22" max="22" width="17.5703125" style="69" customWidth="1"/>
    <col min="23" max="23" width="18" style="69" customWidth="1"/>
    <col min="24" max="24" width="12.7109375" style="69" customWidth="1"/>
    <col min="25" max="25" width="16.85546875" style="69" customWidth="1"/>
    <col min="26" max="26" width="9.7109375" style="69" customWidth="1"/>
    <col min="27" max="27" width="14.140625" style="69" customWidth="1"/>
    <col min="28" max="28" width="9.7109375" style="69" customWidth="1"/>
    <col min="29" max="29" width="14.140625" style="69" customWidth="1"/>
    <col min="30" max="16384" width="9.140625" style="69"/>
  </cols>
  <sheetData>
    <row r="1" spans="1:54" x14ac:dyDescent="0.2">
      <c r="A1" s="835" t="s">
        <v>511</v>
      </c>
      <c r="B1" s="837"/>
      <c r="C1" s="902" t="str">
        <f>Cover!B1</f>
        <v>22-XXXX</v>
      </c>
      <c r="D1" s="903"/>
      <c r="E1" s="903"/>
      <c r="F1" s="904"/>
      <c r="G1" s="69"/>
      <c r="H1" s="69"/>
      <c r="I1" s="69"/>
    </row>
    <row r="2" spans="1:54" x14ac:dyDescent="0.2">
      <c r="A2" s="885" t="s">
        <v>1236</v>
      </c>
      <c r="B2" s="886"/>
      <c r="C2" s="887"/>
      <c r="D2" s="888"/>
      <c r="E2" s="888"/>
      <c r="F2" s="889"/>
      <c r="G2" s="69"/>
      <c r="H2" s="69"/>
      <c r="I2" s="69"/>
    </row>
    <row r="3" spans="1:54" x14ac:dyDescent="0.2">
      <c r="A3" s="885" t="s">
        <v>522</v>
      </c>
      <c r="B3" s="886"/>
      <c r="C3" s="905">
        <f>Cover!B2</f>
        <v>0</v>
      </c>
      <c r="D3" s="906"/>
      <c r="E3" s="906"/>
      <c r="F3" s="907"/>
      <c r="G3" s="69"/>
      <c r="H3" s="69"/>
      <c r="I3" s="69"/>
    </row>
    <row r="4" spans="1:54" x14ac:dyDescent="0.2">
      <c r="A4" s="885" t="s">
        <v>1229</v>
      </c>
      <c r="B4" s="886"/>
      <c r="C4" s="884">
        <f>Cover!B7</f>
        <v>0</v>
      </c>
      <c r="D4" s="817"/>
      <c r="E4" s="817"/>
      <c r="F4" s="818"/>
      <c r="G4" s="69"/>
      <c r="H4" s="69"/>
      <c r="I4" s="69"/>
    </row>
    <row r="5" spans="1:54" x14ac:dyDescent="0.2">
      <c r="A5" s="885" t="s">
        <v>528</v>
      </c>
      <c r="B5" s="886"/>
      <c r="C5" s="887" t="s">
        <v>334</v>
      </c>
      <c r="D5" s="888"/>
      <c r="E5" s="888"/>
      <c r="F5" s="889"/>
      <c r="G5" s="69"/>
      <c r="H5" s="69"/>
      <c r="I5" s="69"/>
    </row>
    <row r="6" spans="1:54" ht="15.75" customHeight="1" x14ac:dyDescent="0.2">
      <c r="A6" s="885" t="s">
        <v>512</v>
      </c>
      <c r="B6" s="886"/>
      <c r="C6" s="887" t="s">
        <v>335</v>
      </c>
      <c r="D6" s="888"/>
      <c r="E6" s="888"/>
      <c r="F6" s="889"/>
      <c r="G6" s="69"/>
      <c r="H6" s="69"/>
      <c r="I6" s="69"/>
    </row>
    <row r="7" spans="1:54" ht="15.75" customHeight="1" x14ac:dyDescent="0.2">
      <c r="A7" s="885" t="s">
        <v>612</v>
      </c>
      <c r="B7" s="886"/>
      <c r="C7" s="887" t="s">
        <v>121</v>
      </c>
      <c r="D7" s="888"/>
      <c r="E7" s="888"/>
      <c r="F7" s="889"/>
      <c r="G7" s="69"/>
      <c r="H7" s="69"/>
      <c r="I7" s="69"/>
    </row>
    <row r="8" spans="1:54" ht="2.25" customHeight="1" thickBot="1" x14ac:dyDescent="0.25">
      <c r="A8" s="900"/>
      <c r="B8" s="901"/>
      <c r="C8" s="894"/>
      <c r="D8" s="895"/>
      <c r="E8" s="895"/>
      <c r="F8" s="896"/>
      <c r="G8" s="69"/>
      <c r="H8" s="69"/>
      <c r="I8" s="69"/>
    </row>
    <row r="9" spans="1:54" s="73" customFormat="1" x14ac:dyDescent="0.2">
      <c r="A9" s="442">
        <v>39</v>
      </c>
      <c r="B9" s="443" t="s">
        <v>615</v>
      </c>
      <c r="D9" s="444"/>
      <c r="E9" s="444"/>
      <c r="F9" s="445"/>
    </row>
    <row r="10" spans="1:54" s="73" customFormat="1" ht="16.5" thickBot="1" x14ac:dyDescent="0.25">
      <c r="A10" s="446"/>
      <c r="D10" s="444"/>
      <c r="E10" s="444"/>
      <c r="F10" s="445"/>
      <c r="G10" s="447"/>
      <c r="H10" s="444"/>
      <c r="I10" s="444"/>
      <c r="J10" s="444"/>
    </row>
    <row r="11" spans="1:54" ht="19.5" thickBot="1" x14ac:dyDescent="0.25">
      <c r="A11" s="448" t="s">
        <v>613</v>
      </c>
      <c r="B11" s="449"/>
      <c r="C11" s="73"/>
      <c r="D11" s="444"/>
      <c r="E11" s="444"/>
      <c r="F11" s="445"/>
      <c r="G11" s="447"/>
      <c r="H11" s="444"/>
      <c r="I11" s="444"/>
      <c r="J11" s="444"/>
    </row>
    <row r="12" spans="1:54" s="78" customFormat="1" ht="16.5" thickBot="1" x14ac:dyDescent="0.25">
      <c r="A12" s="897" t="s">
        <v>616</v>
      </c>
      <c r="B12" s="898"/>
      <c r="C12" s="898"/>
      <c r="D12" s="898"/>
      <c r="E12" s="898"/>
      <c r="F12" s="898"/>
      <c r="G12" s="898"/>
      <c r="H12" s="898"/>
      <c r="I12" s="898"/>
      <c r="J12" s="899"/>
    </row>
    <row r="13" spans="1:54" ht="17.25" customHeight="1" x14ac:dyDescent="0.2">
      <c r="A13" s="450" t="s">
        <v>617</v>
      </c>
      <c r="B13" s="881" t="s">
        <v>618</v>
      </c>
      <c r="C13" s="881"/>
      <c r="D13" s="881"/>
      <c r="E13" s="881"/>
      <c r="F13" s="881"/>
      <c r="G13" s="881"/>
      <c r="H13" s="881"/>
      <c r="I13" s="881"/>
      <c r="J13" s="882" t="s">
        <v>622</v>
      </c>
      <c r="K13" s="883"/>
      <c r="L13" s="890" t="s">
        <v>623</v>
      </c>
      <c r="M13" s="891"/>
      <c r="N13" s="350" t="s">
        <v>4</v>
      </c>
    </row>
    <row r="14" spans="1:54" s="81" customFormat="1" x14ac:dyDescent="0.2">
      <c r="A14" s="451"/>
      <c r="B14" s="980"/>
      <c r="C14" s="981"/>
      <c r="D14" s="981"/>
      <c r="E14" s="981"/>
      <c r="F14" s="981"/>
      <c r="G14" s="981"/>
      <c r="H14" s="981"/>
      <c r="I14" s="984"/>
      <c r="J14" s="985"/>
      <c r="K14" s="986"/>
      <c r="L14" s="987"/>
      <c r="M14" s="988"/>
      <c r="N14" s="349" t="str">
        <f>IF($A14&gt;0,$A14,"")</f>
        <v/>
      </c>
    </row>
    <row r="15" spans="1:54" s="453" customFormat="1" x14ac:dyDescent="0.2">
      <c r="A15" s="452"/>
      <c r="B15" s="879"/>
      <c r="C15" s="880"/>
      <c r="D15" s="880"/>
      <c r="E15" s="880"/>
      <c r="F15" s="880"/>
      <c r="G15" s="880"/>
      <c r="H15" s="880"/>
      <c r="I15" s="880"/>
      <c r="J15" s="870"/>
      <c r="K15" s="855"/>
      <c r="L15" s="870"/>
      <c r="M15" s="871"/>
      <c r="N15" s="349" t="str">
        <f>IF($A15&gt;0,$A15,"")</f>
        <v/>
      </c>
      <c r="BB15" s="81"/>
    </row>
    <row r="16" spans="1:54" s="453" customFormat="1" x14ac:dyDescent="0.2">
      <c r="A16" s="452"/>
      <c r="B16" s="879"/>
      <c r="C16" s="880"/>
      <c r="D16" s="880"/>
      <c r="E16" s="880"/>
      <c r="F16" s="880"/>
      <c r="G16" s="880"/>
      <c r="H16" s="880"/>
      <c r="I16" s="880"/>
      <c r="J16" s="870"/>
      <c r="K16" s="855"/>
      <c r="L16" s="870"/>
      <c r="M16" s="871"/>
      <c r="N16" s="349" t="str">
        <f>IF($A16&gt;0,$A16,"")</f>
        <v/>
      </c>
      <c r="BB16" s="81"/>
    </row>
    <row r="17" spans="1:54" s="453" customFormat="1" ht="16.5" thickBot="1" x14ac:dyDescent="0.25">
      <c r="A17" s="454"/>
      <c r="B17" s="864"/>
      <c r="C17" s="865"/>
      <c r="D17" s="865"/>
      <c r="E17" s="865"/>
      <c r="F17" s="865"/>
      <c r="G17" s="865"/>
      <c r="H17" s="865"/>
      <c r="I17" s="865"/>
      <c r="J17" s="866"/>
      <c r="K17" s="867"/>
      <c r="L17" s="857"/>
      <c r="M17" s="858"/>
      <c r="N17" s="349" t="str">
        <f>IF($A17&gt;0,$A17,"")</f>
        <v/>
      </c>
      <c r="BB17" s="81"/>
    </row>
    <row r="18" spans="1:54" s="462" customFormat="1" ht="16.5" thickBot="1" x14ac:dyDescent="0.25">
      <c r="A18" s="455"/>
      <c r="B18" s="456"/>
      <c r="C18" s="457"/>
      <c r="D18" s="458"/>
      <c r="E18" s="458"/>
      <c r="F18" s="459"/>
      <c r="G18" s="459"/>
      <c r="H18" s="460"/>
      <c r="I18" s="461"/>
      <c r="J18" s="461"/>
      <c r="K18" s="457"/>
      <c r="L18" s="457"/>
      <c r="M18" s="457"/>
      <c r="N18" s="349" t="str">
        <f>IF($A18&gt;0,$A18,"")</f>
        <v/>
      </c>
      <c r="O18" s="457"/>
      <c r="P18" s="457"/>
      <c r="Q18" s="457"/>
      <c r="BB18" s="81"/>
    </row>
    <row r="19" spans="1:54" s="462" customFormat="1" ht="19.5" thickBot="1" x14ac:dyDescent="0.25">
      <c r="A19" s="448" t="s">
        <v>419</v>
      </c>
      <c r="B19" s="463"/>
      <c r="I19" s="461"/>
      <c r="J19" s="461"/>
      <c r="K19" s="457"/>
      <c r="L19" s="457"/>
      <c r="M19" s="457"/>
      <c r="N19" s="457"/>
      <c r="O19" s="457"/>
      <c r="P19" s="457"/>
      <c r="Q19" s="457"/>
    </row>
    <row r="20" spans="1:54" s="462" customFormat="1" x14ac:dyDescent="0.2">
      <c r="A20" s="464" t="s">
        <v>419</v>
      </c>
      <c r="B20" s="859" t="s">
        <v>618</v>
      </c>
      <c r="C20" s="860"/>
      <c r="D20" s="860"/>
      <c r="E20" s="860"/>
      <c r="F20" s="860"/>
      <c r="G20" s="860"/>
      <c r="H20" s="861"/>
      <c r="I20" s="461"/>
      <c r="J20" s="461"/>
      <c r="K20" s="457"/>
      <c r="L20" s="457"/>
      <c r="M20" s="457"/>
      <c r="N20" s="457"/>
      <c r="O20" s="457"/>
      <c r="P20" s="457"/>
      <c r="Q20" s="457"/>
    </row>
    <row r="21" spans="1:54" s="467" customFormat="1" ht="15.75" customHeight="1" x14ac:dyDescent="0.2">
      <c r="A21" s="451" t="s">
        <v>549</v>
      </c>
      <c r="B21" s="862" t="s">
        <v>476</v>
      </c>
      <c r="C21" s="862"/>
      <c r="D21" s="862"/>
      <c r="E21" s="862"/>
      <c r="F21" s="862"/>
      <c r="G21" s="862"/>
      <c r="H21" s="863"/>
      <c r="I21" s="220"/>
      <c r="J21" s="465"/>
      <c r="K21" s="466"/>
      <c r="L21" s="466"/>
      <c r="M21" s="466"/>
      <c r="N21" s="466"/>
      <c r="O21" s="466"/>
      <c r="P21" s="466"/>
      <c r="Q21" s="466"/>
    </row>
    <row r="22" spans="1:54" s="467" customFormat="1" x14ac:dyDescent="0.2">
      <c r="A22" s="468"/>
      <c r="B22" s="862"/>
      <c r="C22" s="862"/>
      <c r="D22" s="862"/>
      <c r="E22" s="862"/>
      <c r="F22" s="862"/>
      <c r="G22" s="862"/>
      <c r="H22" s="863"/>
      <c r="I22" s="465"/>
      <c r="J22" s="465"/>
      <c r="K22" s="466"/>
      <c r="L22" s="466"/>
      <c r="M22" s="466"/>
      <c r="N22" s="466"/>
      <c r="O22" s="466"/>
      <c r="P22" s="466"/>
      <c r="Q22" s="466"/>
    </row>
    <row r="23" spans="1:54" s="467" customFormat="1" x14ac:dyDescent="0.2">
      <c r="A23" s="468"/>
      <c r="B23" s="854"/>
      <c r="C23" s="855"/>
      <c r="D23" s="855"/>
      <c r="E23" s="855"/>
      <c r="F23" s="855"/>
      <c r="G23" s="855"/>
      <c r="H23" s="856"/>
      <c r="I23" s="465"/>
      <c r="J23" s="465"/>
      <c r="K23" s="466"/>
      <c r="L23" s="466"/>
      <c r="M23" s="466"/>
      <c r="N23" s="466"/>
      <c r="O23" s="466"/>
      <c r="P23" s="466"/>
      <c r="Q23" s="466"/>
    </row>
    <row r="24" spans="1:54" s="467" customFormat="1" ht="16.5" thickBot="1" x14ac:dyDescent="0.25">
      <c r="A24" s="469"/>
      <c r="B24" s="877"/>
      <c r="C24" s="867"/>
      <c r="D24" s="867"/>
      <c r="E24" s="867"/>
      <c r="F24" s="867"/>
      <c r="G24" s="867"/>
      <c r="H24" s="878"/>
      <c r="I24" s="465"/>
      <c r="J24" s="465"/>
      <c r="K24" s="466"/>
      <c r="L24" s="466"/>
      <c r="M24" s="466"/>
      <c r="N24" s="466"/>
      <c r="O24" s="466"/>
      <c r="P24" s="466"/>
      <c r="Q24" s="466"/>
    </row>
    <row r="25" spans="1:54" s="462" customFormat="1" ht="16.5" thickBot="1" x14ac:dyDescent="0.25">
      <c r="A25" s="456"/>
      <c r="B25" s="95"/>
      <c r="C25" s="95"/>
      <c r="D25" s="95"/>
      <c r="E25" s="95"/>
      <c r="F25" s="95"/>
      <c r="G25" s="95"/>
      <c r="H25" s="95"/>
      <c r="I25" s="461"/>
      <c r="J25" s="461"/>
      <c r="K25" s="457"/>
      <c r="L25" s="457"/>
      <c r="M25" s="457"/>
      <c r="N25" s="457"/>
      <c r="O25" s="457"/>
      <c r="P25" s="457"/>
      <c r="Q25" s="457"/>
      <c r="R25" s="457"/>
      <c r="S25" s="457"/>
      <c r="T25" s="457"/>
      <c r="U25" s="457"/>
    </row>
    <row r="26" spans="1:54" s="462" customFormat="1" ht="19.5" thickBot="1" x14ac:dyDescent="0.25">
      <c r="A26" s="448" t="s">
        <v>624</v>
      </c>
      <c r="B26" s="449"/>
      <c r="I26" s="461"/>
      <c r="J26" s="461"/>
      <c r="K26" s="457"/>
      <c r="L26" s="457"/>
      <c r="M26" s="457"/>
      <c r="N26" s="457"/>
      <c r="O26" s="457"/>
      <c r="P26" s="457"/>
      <c r="Q26" s="457"/>
      <c r="R26" s="457"/>
      <c r="S26" s="457"/>
      <c r="T26" s="457"/>
      <c r="U26" s="457"/>
    </row>
    <row r="27" spans="1:54" s="462" customFormat="1" x14ac:dyDescent="0.2">
      <c r="A27" s="223" t="s">
        <v>886</v>
      </c>
      <c r="B27" s="470"/>
      <c r="C27" s="471"/>
      <c r="D27" s="472"/>
      <c r="E27" s="472"/>
      <c r="F27" s="473"/>
      <c r="G27" s="473"/>
      <c r="H27" s="473"/>
      <c r="I27" s="474"/>
      <c r="J27" s="475"/>
      <c r="K27" s="476"/>
      <c r="L27" s="457"/>
      <c r="M27" s="457"/>
      <c r="N27" s="457"/>
      <c r="O27" s="457"/>
      <c r="P27" s="457"/>
      <c r="Q27" s="457"/>
      <c r="R27" s="457"/>
      <c r="S27" s="457"/>
      <c r="T27" s="457"/>
      <c r="U27" s="457"/>
      <c r="V27" s="457"/>
    </row>
    <row r="28" spans="1:54" s="462" customFormat="1" x14ac:dyDescent="0.2">
      <c r="A28" s="96" t="s">
        <v>626</v>
      </c>
      <c r="B28" s="214"/>
      <c r="C28" s="477"/>
      <c r="D28" s="478"/>
      <c r="E28" s="478"/>
      <c r="F28" s="479"/>
      <c r="G28" s="479"/>
      <c r="H28" s="479"/>
      <c r="I28" s="480"/>
      <c r="J28" s="481"/>
      <c r="K28" s="482"/>
      <c r="L28" s="457"/>
      <c r="M28" s="457"/>
      <c r="N28" s="457"/>
      <c r="O28" s="457"/>
      <c r="P28" s="457"/>
      <c r="Q28" s="457"/>
      <c r="R28" s="457"/>
    </row>
    <row r="29" spans="1:54" s="462" customFormat="1" ht="16.5" thickBot="1" x14ac:dyDescent="0.25">
      <c r="A29" s="110" t="s">
        <v>172</v>
      </c>
      <c r="B29" s="483"/>
      <c r="C29" s="484"/>
      <c r="D29" s="485"/>
      <c r="E29" s="485"/>
      <c r="F29" s="486"/>
      <c r="G29" s="486"/>
      <c r="H29" s="486"/>
      <c r="I29" s="487"/>
      <c r="J29" s="488"/>
      <c r="K29" s="489"/>
      <c r="L29" s="457"/>
      <c r="M29" s="457"/>
      <c r="N29" s="457"/>
      <c r="O29" s="457"/>
      <c r="P29" s="457"/>
      <c r="Q29" s="457"/>
      <c r="R29" s="457"/>
      <c r="S29" s="118"/>
      <c r="T29" s="118"/>
      <c r="U29" s="118"/>
      <c r="V29" s="457"/>
      <c r="W29" s="457"/>
      <c r="X29" s="457"/>
    </row>
    <row r="30" spans="1:54" s="491" customFormat="1" ht="32.25" customHeight="1" x14ac:dyDescent="0.2">
      <c r="A30" s="875" t="s">
        <v>627</v>
      </c>
      <c r="B30" s="868" t="s">
        <v>628</v>
      </c>
      <c r="C30" s="868" t="s">
        <v>11</v>
      </c>
      <c r="D30" s="868" t="s">
        <v>12</v>
      </c>
      <c r="E30" s="868" t="s">
        <v>13</v>
      </c>
      <c r="F30" s="868" t="s">
        <v>14</v>
      </c>
      <c r="G30" s="868" t="s">
        <v>15</v>
      </c>
      <c r="H30" s="868" t="s">
        <v>16</v>
      </c>
      <c r="I30" s="868" t="s">
        <v>17</v>
      </c>
      <c r="J30" s="868" t="s">
        <v>18</v>
      </c>
      <c r="K30" s="868" t="s">
        <v>19</v>
      </c>
      <c r="L30" s="868" t="s">
        <v>20</v>
      </c>
      <c r="M30" s="490"/>
      <c r="N30" s="490"/>
      <c r="O30" s="490"/>
      <c r="P30" s="490"/>
      <c r="Q30" s="490"/>
      <c r="R30" s="490"/>
      <c r="S30" s="490"/>
      <c r="T30" s="490"/>
      <c r="U30" s="490"/>
      <c r="V30" s="490"/>
      <c r="W30" s="490"/>
      <c r="X30" s="868" t="s">
        <v>22</v>
      </c>
      <c r="Y30" s="868" t="s">
        <v>23</v>
      </c>
      <c r="Z30" s="868" t="s">
        <v>24</v>
      </c>
      <c r="AA30" s="922" t="s">
        <v>352</v>
      </c>
    </row>
    <row r="31" spans="1:54" s="491" customFormat="1" ht="16.5" thickBot="1" x14ac:dyDescent="0.25">
      <c r="A31" s="876"/>
      <c r="B31" s="869"/>
      <c r="C31" s="869"/>
      <c r="D31" s="869"/>
      <c r="E31" s="869"/>
      <c r="F31" s="869"/>
      <c r="G31" s="872"/>
      <c r="H31" s="869"/>
      <c r="I31" s="869"/>
      <c r="J31" s="869"/>
      <c r="K31" s="869"/>
      <c r="L31" s="869"/>
      <c r="M31" s="492"/>
      <c r="N31" s="492"/>
      <c r="O31" s="492"/>
      <c r="P31" s="492"/>
      <c r="Q31" s="492"/>
      <c r="R31" s="492"/>
      <c r="S31" s="492"/>
      <c r="T31" s="492"/>
      <c r="U31" s="492"/>
      <c r="V31" s="492"/>
      <c r="W31" s="492"/>
      <c r="X31" s="869"/>
      <c r="Y31" s="869"/>
      <c r="Z31" s="869"/>
      <c r="AA31" s="923"/>
    </row>
    <row r="32" spans="1:54" s="136" customFormat="1" x14ac:dyDescent="0.2">
      <c r="A32" s="493"/>
      <c r="B32" s="49"/>
      <c r="C32" s="225"/>
      <c r="D32" s="225"/>
      <c r="E32" s="225"/>
      <c r="F32" s="225"/>
      <c r="G32" s="120"/>
      <c r="H32" s="225"/>
      <c r="I32" s="263"/>
      <c r="J32" s="263"/>
      <c r="K32" s="263"/>
      <c r="L32" s="263"/>
      <c r="M32" s="120"/>
      <c r="N32" s="120"/>
      <c r="O32" s="120"/>
      <c r="P32" s="226"/>
      <c r="Q32" s="226"/>
      <c r="R32" s="226"/>
      <c r="S32" s="120"/>
      <c r="T32" s="120"/>
      <c r="U32" s="120"/>
      <c r="V32" s="120"/>
      <c r="W32" s="120"/>
      <c r="X32" s="227"/>
      <c r="Y32" s="227"/>
      <c r="Z32" s="120"/>
      <c r="AA32" s="121"/>
    </row>
    <row r="33" spans="1:29" s="136" customFormat="1" x14ac:dyDescent="0.2">
      <c r="A33" s="494"/>
      <c r="B33" s="123"/>
      <c r="C33" s="123"/>
      <c r="D33" s="123"/>
      <c r="E33" s="123"/>
      <c r="F33" s="123"/>
      <c r="G33" s="124"/>
      <c r="H33" s="123"/>
      <c r="I33" s="255"/>
      <c r="J33" s="255"/>
      <c r="K33" s="255"/>
      <c r="L33" s="255"/>
      <c r="M33" s="125"/>
      <c r="N33" s="124"/>
      <c r="O33" s="124"/>
      <c r="P33" s="125"/>
      <c r="Q33" s="125"/>
      <c r="R33" s="125"/>
      <c r="S33" s="124"/>
      <c r="T33" s="124"/>
      <c r="U33" s="124"/>
      <c r="V33" s="124"/>
      <c r="W33" s="124"/>
      <c r="X33" s="126"/>
      <c r="Y33" s="126"/>
      <c r="Z33" s="124"/>
      <c r="AA33" s="127"/>
    </row>
    <row r="34" spans="1:29" s="136" customFormat="1" x14ac:dyDescent="0.2">
      <c r="A34" s="494"/>
      <c r="B34" s="123"/>
      <c r="C34" s="123"/>
      <c r="D34" s="123"/>
      <c r="E34" s="123"/>
      <c r="F34" s="123"/>
      <c r="G34" s="124"/>
      <c r="H34" s="123"/>
      <c r="I34" s="255"/>
      <c r="J34" s="255"/>
      <c r="K34" s="255"/>
      <c r="L34" s="255"/>
      <c r="M34" s="125"/>
      <c r="N34" s="124"/>
      <c r="O34" s="124"/>
      <c r="P34" s="125"/>
      <c r="Q34" s="125"/>
      <c r="R34" s="125"/>
      <c r="S34" s="124"/>
      <c r="T34" s="124"/>
      <c r="U34" s="124"/>
      <c r="V34" s="124"/>
      <c r="W34" s="124"/>
      <c r="X34" s="126"/>
      <c r="Y34" s="126"/>
      <c r="Z34" s="124"/>
      <c r="AA34" s="127"/>
    </row>
    <row r="35" spans="1:29" s="136" customFormat="1" ht="16.5" thickBot="1" x14ac:dyDescent="0.25">
      <c r="A35" s="495"/>
      <c r="B35" s="128"/>
      <c r="C35" s="128"/>
      <c r="D35" s="128"/>
      <c r="E35" s="128"/>
      <c r="F35" s="128"/>
      <c r="G35" s="129"/>
      <c r="H35" s="128"/>
      <c r="I35" s="256"/>
      <c r="J35" s="256"/>
      <c r="K35" s="256"/>
      <c r="L35" s="256"/>
      <c r="M35" s="129"/>
      <c r="N35" s="129"/>
      <c r="O35" s="129"/>
      <c r="P35" s="130"/>
      <c r="Q35" s="130"/>
      <c r="R35" s="130"/>
      <c r="S35" s="129"/>
      <c r="T35" s="129"/>
      <c r="U35" s="129"/>
      <c r="V35" s="129"/>
      <c r="W35" s="129"/>
      <c r="X35" s="131"/>
      <c r="Y35" s="131"/>
      <c r="Z35" s="129"/>
      <c r="AA35" s="132"/>
    </row>
    <row r="36" spans="1:29" s="73" customFormat="1" x14ac:dyDescent="0.2">
      <c r="A36" s="133"/>
      <c r="B36" s="133"/>
      <c r="C36" s="133"/>
      <c r="D36" s="133"/>
      <c r="E36" s="133"/>
      <c r="F36" s="133"/>
      <c r="G36" s="118"/>
      <c r="H36" s="118"/>
      <c r="I36" s="118"/>
      <c r="J36" s="118"/>
      <c r="K36" s="118"/>
      <c r="L36" s="118"/>
      <c r="M36" s="134"/>
      <c r="N36" s="118"/>
      <c r="O36" s="159"/>
      <c r="P36" s="159"/>
      <c r="Q36" s="159"/>
      <c r="R36" s="159"/>
      <c r="S36" s="159"/>
      <c r="T36" s="159"/>
      <c r="U36" s="159"/>
      <c r="V36" s="159"/>
      <c r="W36" s="466"/>
    </row>
    <row r="37" spans="1:29" s="73" customFormat="1" ht="16.5" thickBot="1" x14ac:dyDescent="0.25">
      <c r="A37" s="133"/>
      <c r="B37" s="133"/>
      <c r="C37" s="133"/>
      <c r="D37" s="133"/>
      <c r="E37" s="133"/>
      <c r="F37" s="133"/>
      <c r="G37" s="118"/>
      <c r="H37" s="118"/>
      <c r="I37" s="118"/>
      <c r="J37" s="118"/>
      <c r="K37" s="118"/>
      <c r="N37" s="118"/>
      <c r="O37" s="159"/>
      <c r="P37" s="159"/>
      <c r="Q37" s="159"/>
      <c r="R37" s="159"/>
      <c r="S37" s="159"/>
      <c r="T37" s="159"/>
      <c r="U37" s="159"/>
      <c r="V37" s="159"/>
      <c r="W37" s="467"/>
    </row>
    <row r="38" spans="1:29" s="73" customFormat="1" ht="16.5" thickBot="1" x14ac:dyDescent="0.25">
      <c r="A38" s="496" t="s">
        <v>25</v>
      </c>
      <c r="B38" s="133"/>
      <c r="C38" s="133"/>
      <c r="D38" s="133"/>
      <c r="E38" s="133"/>
      <c r="F38" s="133"/>
      <c r="G38" s="118"/>
      <c r="H38" s="118"/>
      <c r="I38" s="118"/>
      <c r="J38" s="118"/>
      <c r="K38" s="118"/>
      <c r="M38" s="118"/>
      <c r="N38" s="118"/>
      <c r="O38" s="159"/>
      <c r="P38" s="136"/>
      <c r="Q38" s="136"/>
      <c r="R38" s="136"/>
      <c r="S38" s="466"/>
      <c r="T38" s="466"/>
      <c r="U38" s="466"/>
      <c r="V38" s="466"/>
      <c r="W38" s="159"/>
    </row>
    <row r="39" spans="1:29" s="73" customFormat="1" ht="15.75" customHeight="1" x14ac:dyDescent="0.2">
      <c r="A39" s="875" t="s">
        <v>627</v>
      </c>
      <c r="B39" s="868" t="s">
        <v>628</v>
      </c>
      <c r="C39" s="868" t="s">
        <v>11</v>
      </c>
      <c r="D39" s="868" t="s">
        <v>12</v>
      </c>
      <c r="E39" s="868" t="s">
        <v>13</v>
      </c>
      <c r="F39" s="868" t="s">
        <v>14</v>
      </c>
      <c r="G39" s="868" t="s">
        <v>15</v>
      </c>
      <c r="H39" s="868" t="s">
        <v>16</v>
      </c>
      <c r="I39" s="868" t="s">
        <v>26</v>
      </c>
      <c r="J39" s="868" t="s">
        <v>27</v>
      </c>
      <c r="K39" s="945" t="s">
        <v>295</v>
      </c>
      <c r="L39" s="497" t="s">
        <v>63</v>
      </c>
      <c r="M39" s="498" t="s">
        <v>64</v>
      </c>
      <c r="N39" s="499" t="s">
        <v>65</v>
      </c>
      <c r="O39" s="490"/>
      <c r="P39" s="490"/>
      <c r="Q39" s="490"/>
      <c r="R39" s="490"/>
      <c r="S39" s="490"/>
      <c r="T39" s="490"/>
      <c r="U39" s="490"/>
      <c r="V39" s="490"/>
      <c r="W39" s="490"/>
      <c r="X39" s="868" t="s">
        <v>22</v>
      </c>
      <c r="Y39" s="868" t="s">
        <v>23</v>
      </c>
      <c r="Z39" s="868" t="s">
        <v>24</v>
      </c>
      <c r="AA39" s="922" t="s">
        <v>352</v>
      </c>
    </row>
    <row r="40" spans="1:29" s="73" customFormat="1" ht="31.7" customHeight="1" thickBot="1" x14ac:dyDescent="0.25">
      <c r="A40" s="876"/>
      <c r="B40" s="869"/>
      <c r="C40" s="869"/>
      <c r="D40" s="869"/>
      <c r="E40" s="869"/>
      <c r="F40" s="869"/>
      <c r="G40" s="872"/>
      <c r="H40" s="869"/>
      <c r="I40" s="869"/>
      <c r="J40" s="869"/>
      <c r="K40" s="946"/>
      <c r="L40" s="500" t="s">
        <v>66</v>
      </c>
      <c r="M40" s="501" t="s">
        <v>67</v>
      </c>
      <c r="N40" s="502" t="s">
        <v>68</v>
      </c>
      <c r="O40" s="503"/>
      <c r="P40" s="492"/>
      <c r="Q40" s="492"/>
      <c r="R40" s="492"/>
      <c r="S40" s="492"/>
      <c r="T40" s="492"/>
      <c r="U40" s="492"/>
      <c r="V40" s="492"/>
      <c r="W40" s="492"/>
      <c r="X40" s="869"/>
      <c r="Y40" s="869"/>
      <c r="Z40" s="869"/>
      <c r="AA40" s="923"/>
    </row>
    <row r="41" spans="1:29" s="136" customFormat="1" x14ac:dyDescent="0.2">
      <c r="A41" s="493"/>
      <c r="B41" s="225"/>
      <c r="C41" s="225"/>
      <c r="D41" s="225"/>
      <c r="E41" s="225"/>
      <c r="F41" s="225"/>
      <c r="G41" s="120"/>
      <c r="H41" s="225"/>
      <c r="I41" s="263"/>
      <c r="J41" s="263"/>
      <c r="K41" s="265"/>
      <c r="L41" s="268"/>
      <c r="M41" s="120"/>
      <c r="N41" s="121"/>
      <c r="O41" s="269"/>
      <c r="P41" s="226"/>
      <c r="Q41" s="226"/>
      <c r="R41" s="226"/>
      <c r="S41" s="120"/>
      <c r="T41" s="120"/>
      <c r="U41" s="120"/>
      <c r="V41" s="120"/>
      <c r="W41" s="120"/>
      <c r="X41" s="227"/>
      <c r="Y41" s="227"/>
      <c r="Z41" s="120"/>
      <c r="AA41" s="121"/>
    </row>
    <row r="42" spans="1:29" s="136" customFormat="1" x14ac:dyDescent="0.2">
      <c r="A42" s="494"/>
      <c r="B42" s="123"/>
      <c r="C42" s="123"/>
      <c r="D42" s="123"/>
      <c r="E42" s="123"/>
      <c r="F42" s="123"/>
      <c r="G42" s="124"/>
      <c r="H42" s="123"/>
      <c r="I42" s="255"/>
      <c r="J42" s="255"/>
      <c r="K42" s="266"/>
      <c r="L42" s="259"/>
      <c r="M42" s="124"/>
      <c r="N42" s="127"/>
      <c r="O42" s="248"/>
      <c r="P42" s="125"/>
      <c r="Q42" s="125"/>
      <c r="R42" s="125"/>
      <c r="S42" s="124"/>
      <c r="T42" s="124"/>
      <c r="U42" s="124"/>
      <c r="V42" s="124"/>
      <c r="W42" s="124"/>
      <c r="X42" s="126"/>
      <c r="Y42" s="126"/>
      <c r="Z42" s="124"/>
      <c r="AA42" s="127"/>
    </row>
    <row r="43" spans="1:29" s="136" customFormat="1" x14ac:dyDescent="0.2">
      <c r="A43" s="494"/>
      <c r="B43" s="123"/>
      <c r="C43" s="123"/>
      <c r="D43" s="123"/>
      <c r="E43" s="123"/>
      <c r="F43" s="123"/>
      <c r="G43" s="124"/>
      <c r="H43" s="123"/>
      <c r="I43" s="255"/>
      <c r="J43" s="255"/>
      <c r="K43" s="266"/>
      <c r="L43" s="259"/>
      <c r="M43" s="124"/>
      <c r="N43" s="127"/>
      <c r="O43" s="248"/>
      <c r="P43" s="125"/>
      <c r="Q43" s="125"/>
      <c r="R43" s="125"/>
      <c r="S43" s="124"/>
      <c r="T43" s="124"/>
      <c r="U43" s="124"/>
      <c r="V43" s="124"/>
      <c r="W43" s="124"/>
      <c r="X43" s="126"/>
      <c r="Y43" s="126"/>
      <c r="Z43" s="124"/>
      <c r="AA43" s="127"/>
    </row>
    <row r="44" spans="1:29" s="136" customFormat="1" ht="16.5" thickBot="1" x14ac:dyDescent="0.25">
      <c r="A44" s="495"/>
      <c r="B44" s="128"/>
      <c r="C44" s="128"/>
      <c r="D44" s="128"/>
      <c r="E44" s="128"/>
      <c r="F44" s="128"/>
      <c r="G44" s="129"/>
      <c r="H44" s="128"/>
      <c r="I44" s="256"/>
      <c r="J44" s="256"/>
      <c r="K44" s="267"/>
      <c r="L44" s="137"/>
      <c r="M44" s="129"/>
      <c r="N44" s="132"/>
      <c r="O44" s="137"/>
      <c r="P44" s="129"/>
      <c r="Q44" s="129"/>
      <c r="R44" s="129"/>
      <c r="S44" s="129"/>
      <c r="T44" s="129"/>
      <c r="U44" s="129"/>
      <c r="V44" s="129"/>
      <c r="W44" s="129"/>
      <c r="X44" s="131"/>
      <c r="Y44" s="131"/>
      <c r="Z44" s="129"/>
      <c r="AA44" s="132"/>
    </row>
    <row r="45" spans="1:29" s="73" customFormat="1" x14ac:dyDescent="0.2">
      <c r="A45" s="133"/>
      <c r="B45" s="133"/>
      <c r="C45" s="133"/>
      <c r="D45" s="133"/>
      <c r="E45" s="133"/>
      <c r="F45" s="133"/>
      <c r="G45" s="118"/>
      <c r="H45" s="118"/>
      <c r="I45" s="118"/>
      <c r="J45" s="118"/>
      <c r="K45" s="118"/>
      <c r="L45" s="118"/>
      <c r="M45" s="118"/>
      <c r="N45" s="118"/>
      <c r="O45" s="160"/>
      <c r="P45" s="159"/>
      <c r="Q45" s="159"/>
      <c r="R45" s="159"/>
      <c r="S45" s="136"/>
      <c r="T45" s="136"/>
      <c r="U45" s="136"/>
      <c r="V45" s="136"/>
      <c r="W45" s="136"/>
      <c r="X45" s="118"/>
    </row>
    <row r="46" spans="1:29" s="73" customFormat="1" ht="16.5" thickBot="1" x14ac:dyDescent="0.25">
      <c r="A46" s="133"/>
      <c r="B46" s="133"/>
      <c r="C46" s="133"/>
      <c r="D46" s="133"/>
      <c r="E46" s="133"/>
      <c r="F46" s="133"/>
      <c r="G46" s="118"/>
      <c r="H46" s="118"/>
      <c r="I46" s="118"/>
      <c r="J46" s="118"/>
      <c r="K46" s="118"/>
      <c r="L46" s="118"/>
      <c r="M46" s="118"/>
      <c r="N46" s="118"/>
      <c r="O46" s="160"/>
      <c r="P46" s="159"/>
      <c r="Q46" s="159"/>
      <c r="R46" s="159"/>
      <c r="S46" s="136"/>
      <c r="T46" s="136"/>
      <c r="U46" s="136"/>
      <c r="V46" s="136"/>
      <c r="W46" s="136"/>
      <c r="X46" s="118"/>
    </row>
    <row r="47" spans="1:29" s="73" customFormat="1" ht="16.5" thickBot="1" x14ac:dyDescent="0.25">
      <c r="A47" s="822" t="s">
        <v>307</v>
      </c>
      <c r="B47" s="873"/>
      <c r="C47" s="873"/>
      <c r="D47" s="874"/>
      <c r="E47" s="133"/>
      <c r="F47" s="133"/>
      <c r="G47" s="118"/>
      <c r="H47" s="118"/>
      <c r="I47" s="118"/>
      <c r="J47" s="118"/>
      <c r="K47" s="118"/>
      <c r="L47" s="118"/>
      <c r="M47" s="118"/>
      <c r="N47" s="118"/>
      <c r="O47" s="136"/>
      <c r="P47" s="159"/>
      <c r="Q47" s="159"/>
      <c r="R47" s="159"/>
      <c r="S47" s="466"/>
      <c r="T47" s="466"/>
      <c r="U47" s="466"/>
      <c r="V47" s="466"/>
      <c r="W47" s="159"/>
      <c r="X47" s="118"/>
      <c r="Y47" s="118"/>
    </row>
    <row r="48" spans="1:29" s="73" customFormat="1" ht="15.75" customHeight="1" x14ac:dyDescent="0.2">
      <c r="A48" s="875" t="s">
        <v>627</v>
      </c>
      <c r="B48" s="868" t="s">
        <v>628</v>
      </c>
      <c r="C48" s="868" t="s">
        <v>11</v>
      </c>
      <c r="D48" s="868" t="s">
        <v>12</v>
      </c>
      <c r="E48" s="868" t="s">
        <v>13</v>
      </c>
      <c r="F48" s="868" t="s">
        <v>14</v>
      </c>
      <c r="G48" s="868" t="s">
        <v>15</v>
      </c>
      <c r="H48" s="868" t="s">
        <v>16</v>
      </c>
      <c r="I48" s="868">
        <v>20</v>
      </c>
      <c r="J48" s="868">
        <v>40</v>
      </c>
      <c r="K48" s="868" t="s">
        <v>19</v>
      </c>
      <c r="L48" s="922" t="s">
        <v>20</v>
      </c>
      <c r="M48" s="943" t="s">
        <v>28</v>
      </c>
      <c r="N48" s="504" t="s">
        <v>69</v>
      </c>
      <c r="O48" s="498" t="s">
        <v>64</v>
      </c>
      <c r="P48" s="499" t="s">
        <v>65</v>
      </c>
      <c r="Q48" s="490" t="s">
        <v>147</v>
      </c>
      <c r="R48" s="490" t="s">
        <v>71</v>
      </c>
      <c r="S48" s="490"/>
      <c r="T48" s="490"/>
      <c r="U48" s="490"/>
      <c r="V48" s="490"/>
      <c r="W48" s="490"/>
      <c r="X48" s="490"/>
      <c r="Y48" s="490"/>
      <c r="Z48" s="868" t="s">
        <v>22</v>
      </c>
      <c r="AA48" s="868" t="s">
        <v>23</v>
      </c>
      <c r="AB48" s="868" t="s">
        <v>24</v>
      </c>
      <c r="AC48" s="922" t="s">
        <v>352</v>
      </c>
    </row>
    <row r="49" spans="1:29" s="73" customFormat="1" ht="48" thickBot="1" x14ac:dyDescent="0.25">
      <c r="A49" s="876"/>
      <c r="B49" s="869"/>
      <c r="C49" s="869"/>
      <c r="D49" s="869"/>
      <c r="E49" s="869"/>
      <c r="F49" s="869"/>
      <c r="G49" s="872"/>
      <c r="H49" s="869"/>
      <c r="I49" s="869"/>
      <c r="J49" s="869"/>
      <c r="K49" s="869"/>
      <c r="L49" s="923"/>
      <c r="M49" s="944"/>
      <c r="N49" s="505" t="s">
        <v>70</v>
      </c>
      <c r="O49" s="501" t="s">
        <v>67</v>
      </c>
      <c r="P49" s="502" t="s">
        <v>68</v>
      </c>
      <c r="Q49" s="503" t="s">
        <v>84</v>
      </c>
      <c r="R49" s="492" t="s">
        <v>84</v>
      </c>
      <c r="S49" s="492"/>
      <c r="T49" s="492"/>
      <c r="U49" s="492"/>
      <c r="V49" s="492"/>
      <c r="W49" s="492"/>
      <c r="X49" s="492"/>
      <c r="Y49" s="492"/>
      <c r="Z49" s="924"/>
      <c r="AA49" s="924"/>
      <c r="AB49" s="924"/>
      <c r="AC49" s="923"/>
    </row>
    <row r="50" spans="1:29" s="136" customFormat="1" x14ac:dyDescent="0.2">
      <c r="A50" s="493"/>
      <c r="B50" s="225"/>
      <c r="C50" s="225"/>
      <c r="D50" s="225"/>
      <c r="E50" s="225"/>
      <c r="F50" s="225"/>
      <c r="G50" s="120"/>
      <c r="H50" s="225"/>
      <c r="I50" s="263"/>
      <c r="J50" s="263"/>
      <c r="K50" s="263"/>
      <c r="L50" s="265"/>
      <c r="M50" s="270"/>
      <c r="N50" s="268"/>
      <c r="O50" s="120"/>
      <c r="P50" s="121"/>
      <c r="Q50" s="269"/>
      <c r="R50" s="226"/>
      <c r="S50" s="226"/>
      <c r="T50" s="226"/>
      <c r="U50" s="226"/>
      <c r="V50" s="226"/>
      <c r="W50" s="120"/>
      <c r="X50" s="120"/>
      <c r="Y50" s="120"/>
      <c r="Z50" s="227"/>
      <c r="AA50" s="227"/>
      <c r="AB50" s="120"/>
      <c r="AC50" s="121"/>
    </row>
    <row r="51" spans="1:29" s="136" customFormat="1" x14ac:dyDescent="0.2">
      <c r="A51" s="494"/>
      <c r="B51" s="123"/>
      <c r="C51" s="123"/>
      <c r="D51" s="123"/>
      <c r="E51" s="123"/>
      <c r="F51" s="123"/>
      <c r="G51" s="124"/>
      <c r="H51" s="123"/>
      <c r="I51" s="255"/>
      <c r="J51" s="255"/>
      <c r="K51" s="255"/>
      <c r="L51" s="266"/>
      <c r="M51" s="271"/>
      <c r="N51" s="259"/>
      <c r="O51" s="124"/>
      <c r="P51" s="127"/>
      <c r="Q51" s="248"/>
      <c r="R51" s="125"/>
      <c r="S51" s="125"/>
      <c r="T51" s="125"/>
      <c r="U51" s="125"/>
      <c r="V51" s="125"/>
      <c r="W51" s="124"/>
      <c r="X51" s="124"/>
      <c r="Y51" s="124"/>
      <c r="Z51" s="126"/>
      <c r="AA51" s="126"/>
      <c r="AB51" s="124"/>
      <c r="AC51" s="127"/>
    </row>
    <row r="52" spans="1:29" s="136" customFormat="1" x14ac:dyDescent="0.2">
      <c r="A52" s="494"/>
      <c r="B52" s="123"/>
      <c r="C52" s="123"/>
      <c r="D52" s="123"/>
      <c r="E52" s="123"/>
      <c r="F52" s="123"/>
      <c r="G52" s="124"/>
      <c r="H52" s="123"/>
      <c r="I52" s="255"/>
      <c r="J52" s="255"/>
      <c r="K52" s="255"/>
      <c r="L52" s="266"/>
      <c r="M52" s="271"/>
      <c r="N52" s="259"/>
      <c r="O52" s="124"/>
      <c r="P52" s="127"/>
      <c r="Q52" s="248"/>
      <c r="R52" s="125"/>
      <c r="S52" s="125"/>
      <c r="T52" s="125"/>
      <c r="U52" s="125"/>
      <c r="V52" s="125"/>
      <c r="W52" s="124"/>
      <c r="X52" s="124"/>
      <c r="Y52" s="124"/>
      <c r="Z52" s="126"/>
      <c r="AA52" s="126"/>
      <c r="AB52" s="124"/>
      <c r="AC52" s="127"/>
    </row>
    <row r="53" spans="1:29" s="136" customFormat="1" ht="16.5" thickBot="1" x14ac:dyDescent="0.25">
      <c r="A53" s="495"/>
      <c r="B53" s="128"/>
      <c r="C53" s="128"/>
      <c r="D53" s="128"/>
      <c r="E53" s="128"/>
      <c r="F53" s="128"/>
      <c r="G53" s="129"/>
      <c r="H53" s="128"/>
      <c r="I53" s="256"/>
      <c r="J53" s="256"/>
      <c r="K53" s="256"/>
      <c r="L53" s="267"/>
      <c r="M53" s="161"/>
      <c r="N53" s="137"/>
      <c r="O53" s="129"/>
      <c r="P53" s="132"/>
      <c r="Q53" s="137"/>
      <c r="R53" s="129"/>
      <c r="S53" s="129"/>
      <c r="T53" s="129"/>
      <c r="U53" s="129"/>
      <c r="V53" s="129"/>
      <c r="W53" s="129"/>
      <c r="X53" s="129"/>
      <c r="Y53" s="129"/>
      <c r="Z53" s="131"/>
      <c r="AA53" s="131"/>
      <c r="AB53" s="129"/>
      <c r="AC53" s="132"/>
    </row>
    <row r="54" spans="1:29" s="73" customFormat="1" x14ac:dyDescent="0.2">
      <c r="A54" s="133"/>
      <c r="B54" s="133"/>
      <c r="C54" s="133"/>
      <c r="D54" s="133"/>
      <c r="E54" s="133"/>
      <c r="F54" s="133"/>
      <c r="G54" s="118"/>
      <c r="H54" s="118"/>
      <c r="I54" s="118"/>
      <c r="J54" s="118"/>
      <c r="K54" s="118"/>
      <c r="M54" s="118"/>
      <c r="V54" s="118"/>
      <c r="W54" s="118"/>
    </row>
    <row r="55" spans="1:29" s="73" customFormat="1" x14ac:dyDescent="0.2">
      <c r="A55" s="133"/>
      <c r="B55" s="133"/>
      <c r="C55" s="133"/>
      <c r="D55" s="133"/>
      <c r="E55" s="133"/>
      <c r="F55" s="118"/>
      <c r="G55" s="118"/>
      <c r="H55" s="118"/>
      <c r="I55" s="118"/>
      <c r="J55" s="118"/>
      <c r="K55" s="134"/>
      <c r="L55" s="118"/>
      <c r="M55" s="118"/>
      <c r="N55" s="118"/>
      <c r="S55" s="118"/>
      <c r="T55" s="118"/>
      <c r="U55" s="118"/>
    </row>
    <row r="56" spans="1:29" s="456" customFormat="1" ht="16.5" thickBot="1" x14ac:dyDescent="0.25">
      <c r="A56" s="133"/>
      <c r="B56" s="133"/>
      <c r="C56" s="133"/>
      <c r="D56" s="133"/>
      <c r="E56" s="118"/>
      <c r="F56" s="118"/>
      <c r="G56" s="118"/>
      <c r="H56" s="118"/>
      <c r="I56" s="118"/>
      <c r="J56" s="134"/>
      <c r="K56" s="134"/>
      <c r="L56" s="134"/>
      <c r="M56" s="134"/>
      <c r="R56" s="134"/>
    </row>
    <row r="57" spans="1:29" s="456" customFormat="1" ht="19.5" thickBot="1" x14ac:dyDescent="0.25">
      <c r="A57" s="938" t="s">
        <v>29</v>
      </c>
      <c r="B57" s="939"/>
      <c r="C57" s="940"/>
      <c r="D57" s="133"/>
      <c r="E57" s="133"/>
      <c r="F57" s="118"/>
      <c r="G57" s="118"/>
      <c r="H57" s="118"/>
      <c r="I57" s="118"/>
      <c r="J57" s="118"/>
      <c r="K57" s="134"/>
      <c r="L57" s="134"/>
      <c r="M57" s="134"/>
      <c r="N57" s="134"/>
      <c r="S57" s="134"/>
      <c r="T57" s="134"/>
      <c r="U57" s="134"/>
    </row>
    <row r="58" spans="1:29" s="456" customFormat="1" ht="16.5" thickBot="1" x14ac:dyDescent="0.25">
      <c r="A58" s="800" t="s">
        <v>625</v>
      </c>
      <c r="B58" s="801"/>
      <c r="C58" s="802"/>
      <c r="D58" s="133"/>
      <c r="E58" s="133"/>
      <c r="F58" s="133"/>
      <c r="G58" s="118"/>
      <c r="H58" s="118"/>
      <c r="I58" s="118"/>
      <c r="J58" s="118"/>
      <c r="K58" s="118"/>
      <c r="L58" s="134"/>
      <c r="N58" s="134"/>
      <c r="O58" s="134"/>
      <c r="V58" s="134"/>
    </row>
    <row r="59" spans="1:29" s="456" customFormat="1" x14ac:dyDescent="0.2">
      <c r="A59" s="506" t="s">
        <v>30</v>
      </c>
      <c r="B59" s="507"/>
      <c r="C59" s="508" t="s">
        <v>155</v>
      </c>
      <c r="D59" s="509"/>
      <c r="E59" s="509"/>
      <c r="F59" s="510"/>
      <c r="G59" s="510"/>
      <c r="H59" s="509"/>
      <c r="I59" s="510"/>
      <c r="J59" s="509"/>
      <c r="K59" s="143"/>
      <c r="L59" s="144"/>
      <c r="N59" s="134"/>
      <c r="O59" s="134"/>
      <c r="P59" s="134"/>
    </row>
    <row r="60" spans="1:29" s="456" customFormat="1" x14ac:dyDescent="0.2">
      <c r="A60" s="96" t="s">
        <v>626</v>
      </c>
      <c r="B60" s="511"/>
      <c r="C60" s="511"/>
      <c r="D60" s="512"/>
      <c r="E60" s="512"/>
      <c r="F60" s="215"/>
      <c r="G60" s="215"/>
      <c r="H60" s="512"/>
      <c r="I60" s="215"/>
      <c r="J60" s="512"/>
      <c r="K60" s="149"/>
      <c r="L60" s="150"/>
      <c r="N60" s="134"/>
      <c r="O60" s="134"/>
      <c r="P60" s="134"/>
    </row>
    <row r="61" spans="1:29" s="456" customFormat="1" x14ac:dyDescent="0.2">
      <c r="A61" s="96" t="s">
        <v>173</v>
      </c>
      <c r="B61" s="511"/>
      <c r="C61" s="511"/>
      <c r="D61" s="512"/>
      <c r="E61" s="512"/>
      <c r="F61" s="215"/>
      <c r="G61" s="215"/>
      <c r="H61" s="512"/>
      <c r="I61" s="215"/>
      <c r="J61" s="512"/>
      <c r="K61" s="149"/>
      <c r="L61" s="150"/>
      <c r="N61" s="134"/>
      <c r="O61" s="134"/>
      <c r="P61" s="134"/>
    </row>
    <row r="62" spans="1:29" s="456" customFormat="1" x14ac:dyDescent="0.2">
      <c r="A62" s="96" t="s">
        <v>987</v>
      </c>
      <c r="B62" s="511"/>
      <c r="C62" s="511"/>
      <c r="D62" s="512"/>
      <c r="E62" s="512"/>
      <c r="F62" s="215"/>
      <c r="G62" s="215"/>
      <c r="H62" s="512"/>
      <c r="I62" s="215"/>
      <c r="J62" s="512"/>
      <c r="K62" s="149"/>
      <c r="L62" s="150"/>
      <c r="N62" s="134"/>
      <c r="O62" s="134"/>
      <c r="P62" s="134"/>
    </row>
    <row r="63" spans="1:29" s="456" customFormat="1" ht="16.5" thickBot="1" x14ac:dyDescent="0.25">
      <c r="A63" s="110" t="s">
        <v>988</v>
      </c>
      <c r="B63" s="513"/>
      <c r="C63" s="513"/>
      <c r="D63" s="514"/>
      <c r="E63" s="514"/>
      <c r="F63" s="515"/>
      <c r="G63" s="515"/>
      <c r="H63" s="514"/>
      <c r="I63" s="515"/>
      <c r="J63" s="514"/>
      <c r="K63" s="154"/>
      <c r="L63" s="155"/>
      <c r="N63" s="134"/>
      <c r="O63" s="134"/>
      <c r="P63" s="134"/>
    </row>
    <row r="64" spans="1:29" s="456" customFormat="1" ht="16.5" thickBot="1" x14ac:dyDescent="0.25">
      <c r="A64" s="516"/>
      <c r="B64" s="517"/>
      <c r="C64" s="134"/>
      <c r="D64" s="133"/>
      <c r="E64" s="133"/>
      <c r="F64" s="133"/>
      <c r="G64" s="133"/>
      <c r="H64" s="118"/>
      <c r="I64" s="118"/>
      <c r="J64" s="118"/>
      <c r="K64" s="118"/>
      <c r="L64" s="118"/>
      <c r="M64" s="134"/>
      <c r="O64" s="134"/>
      <c r="P64" s="134"/>
      <c r="Q64" s="118"/>
    </row>
    <row r="65" spans="1:24" s="14" customFormat="1" ht="48" thickBot="1" x14ac:dyDescent="0.25">
      <c r="A65" s="518" t="s">
        <v>31</v>
      </c>
      <c r="B65" s="932" t="s">
        <v>628</v>
      </c>
      <c r="C65" s="933"/>
      <c r="D65" s="934"/>
      <c r="E65" s="519" t="s">
        <v>11</v>
      </c>
      <c r="F65" s="519" t="s">
        <v>14</v>
      </c>
      <c r="G65" s="519" t="s">
        <v>287</v>
      </c>
      <c r="H65" s="519" t="s">
        <v>32</v>
      </c>
      <c r="I65" s="519" t="s">
        <v>16</v>
      </c>
      <c r="J65" s="519" t="s">
        <v>17</v>
      </c>
      <c r="K65" s="519" t="s">
        <v>18</v>
      </c>
      <c r="L65" s="519" t="s">
        <v>19</v>
      </c>
      <c r="M65" s="519" t="s">
        <v>20</v>
      </c>
      <c r="N65" s="520" t="s">
        <v>123</v>
      </c>
      <c r="O65" s="519" t="s">
        <v>96</v>
      </c>
      <c r="P65" s="521" t="s">
        <v>809</v>
      </c>
    </row>
    <row r="66" spans="1:24" s="303" customFormat="1" x14ac:dyDescent="0.2">
      <c r="A66" s="269"/>
      <c r="B66" s="925"/>
      <c r="C66" s="926"/>
      <c r="D66" s="926"/>
      <c r="E66" s="226"/>
      <c r="F66" s="226"/>
      <c r="G66" s="226"/>
      <c r="H66" s="226"/>
      <c r="I66" s="226"/>
      <c r="J66" s="273"/>
      <c r="K66" s="263"/>
      <c r="L66" s="263"/>
      <c r="M66" s="306"/>
      <c r="N66" s="49"/>
      <c r="O66" s="226"/>
      <c r="P66" s="274"/>
      <c r="Q66" s="159"/>
      <c r="R66" s="159"/>
      <c r="S66" s="159"/>
      <c r="T66" s="159"/>
      <c r="U66" s="159"/>
      <c r="V66" s="160"/>
      <c r="W66" s="160"/>
      <c r="X66" s="160"/>
    </row>
    <row r="67" spans="1:24" s="303" customFormat="1" x14ac:dyDescent="0.2">
      <c r="A67" s="248"/>
      <c r="B67" s="927"/>
      <c r="C67" s="928"/>
      <c r="D67" s="928"/>
      <c r="E67" s="125"/>
      <c r="F67" s="125"/>
      <c r="G67" s="125"/>
      <c r="H67" s="125"/>
      <c r="I67" s="125"/>
      <c r="J67" s="275"/>
      <c r="K67" s="255"/>
      <c r="L67" s="255"/>
      <c r="M67" s="307"/>
      <c r="N67" s="21"/>
      <c r="O67" s="125"/>
      <c r="P67" s="276"/>
      <c r="Q67" s="159"/>
      <c r="R67" s="159"/>
      <c r="S67" s="159"/>
      <c r="T67" s="159"/>
      <c r="U67" s="159"/>
      <c r="V67" s="160"/>
      <c r="W67" s="160"/>
      <c r="X67" s="160"/>
    </row>
    <row r="68" spans="1:24" s="303" customFormat="1" x14ac:dyDescent="0.2">
      <c r="A68" s="248"/>
      <c r="B68" s="927"/>
      <c r="C68" s="928"/>
      <c r="D68" s="928"/>
      <c r="E68" s="125"/>
      <c r="F68" s="125"/>
      <c r="G68" s="125"/>
      <c r="H68" s="125"/>
      <c r="I68" s="125"/>
      <c r="J68" s="275"/>
      <c r="K68" s="255"/>
      <c r="L68" s="255"/>
      <c r="M68" s="307"/>
      <c r="N68" s="21"/>
      <c r="O68" s="125"/>
      <c r="P68" s="276"/>
      <c r="Q68" s="159"/>
      <c r="R68" s="159"/>
      <c r="S68" s="159"/>
      <c r="T68" s="159"/>
      <c r="U68" s="159"/>
      <c r="V68" s="160"/>
      <c r="W68" s="160"/>
      <c r="X68" s="160"/>
    </row>
    <row r="69" spans="1:24" s="303" customFormat="1" ht="16.5" thickBot="1" x14ac:dyDescent="0.25">
      <c r="A69" s="304"/>
      <c r="B69" s="912"/>
      <c r="C69" s="913"/>
      <c r="D69" s="913"/>
      <c r="E69" s="130"/>
      <c r="F69" s="130"/>
      <c r="G69" s="130"/>
      <c r="H69" s="130"/>
      <c r="I69" s="130"/>
      <c r="J69" s="258"/>
      <c r="K69" s="256"/>
      <c r="L69" s="256"/>
      <c r="M69" s="305"/>
      <c r="N69" s="29"/>
      <c r="O69" s="129"/>
      <c r="P69" s="132"/>
      <c r="Q69" s="159"/>
      <c r="R69" s="159"/>
      <c r="S69" s="159"/>
      <c r="T69" s="159"/>
      <c r="U69" s="159"/>
      <c r="V69" s="160"/>
      <c r="W69" s="160"/>
      <c r="X69" s="160"/>
    </row>
    <row r="70" spans="1:24" s="456" customFormat="1" x14ac:dyDescent="0.2">
      <c r="A70" s="134"/>
      <c r="B70" s="134"/>
      <c r="C70" s="522"/>
      <c r="D70" s="522"/>
      <c r="E70" s="134"/>
      <c r="F70" s="134"/>
      <c r="G70" s="134"/>
      <c r="H70" s="134"/>
      <c r="I70" s="134"/>
      <c r="J70" s="134"/>
      <c r="K70" s="134"/>
      <c r="L70" s="134"/>
      <c r="M70" s="134"/>
      <c r="O70" s="118"/>
      <c r="P70" s="118"/>
      <c r="Q70" s="118"/>
      <c r="R70" s="118"/>
      <c r="S70" s="118"/>
      <c r="T70" s="118"/>
      <c r="U70" s="118"/>
      <c r="V70" s="134"/>
      <c r="W70" s="134"/>
      <c r="X70" s="134"/>
    </row>
    <row r="71" spans="1:24" s="456" customFormat="1" ht="16.5" thickBot="1" x14ac:dyDescent="0.25">
      <c r="A71" s="133"/>
      <c r="B71" s="133"/>
      <c r="C71" s="133"/>
      <c r="D71" s="133"/>
      <c r="E71" s="133"/>
      <c r="F71" s="133"/>
      <c r="G71" s="133"/>
      <c r="H71" s="133"/>
      <c r="I71" s="118"/>
      <c r="J71" s="118"/>
      <c r="K71" s="118"/>
      <c r="L71" s="118"/>
      <c r="M71" s="118"/>
      <c r="N71" s="134"/>
      <c r="O71" s="134"/>
      <c r="P71" s="134"/>
      <c r="Q71" s="134"/>
      <c r="R71" s="134"/>
      <c r="S71" s="134"/>
      <c r="T71" s="134"/>
      <c r="U71" s="134"/>
      <c r="V71" s="134"/>
      <c r="W71" s="118"/>
    </row>
    <row r="72" spans="1:24" s="456" customFormat="1" ht="19.5" thickBot="1" x14ac:dyDescent="0.25">
      <c r="A72" s="938" t="s">
        <v>34</v>
      </c>
      <c r="B72" s="939"/>
      <c r="C72" s="940"/>
      <c r="D72" s="523"/>
      <c r="E72" s="133"/>
      <c r="F72" s="133"/>
      <c r="G72" s="133"/>
      <c r="H72" s="133"/>
      <c r="I72" s="118"/>
      <c r="J72" s="118"/>
      <c r="K72" s="118"/>
      <c r="L72" s="118"/>
      <c r="M72" s="118"/>
      <c r="N72" s="134"/>
      <c r="O72" s="134"/>
      <c r="P72" s="134"/>
      <c r="Q72" s="134"/>
      <c r="R72" s="134"/>
      <c r="S72" s="134"/>
      <c r="T72" s="134"/>
      <c r="U72" s="134"/>
      <c r="V72" s="134"/>
      <c r="W72" s="118"/>
    </row>
    <row r="73" spans="1:24" s="456" customFormat="1" ht="16.5" thickBot="1" x14ac:dyDescent="0.25">
      <c r="A73" s="800" t="s">
        <v>625</v>
      </c>
      <c r="B73" s="801"/>
      <c r="C73" s="802"/>
      <c r="D73" s="200"/>
      <c r="E73" s="200"/>
      <c r="F73" s="200"/>
      <c r="G73" s="200"/>
      <c r="H73" s="194"/>
      <c r="I73" s="194"/>
      <c r="J73" s="200"/>
      <c r="K73" s="194"/>
      <c r="L73" s="200"/>
      <c r="M73" s="118"/>
      <c r="N73" s="134"/>
      <c r="O73" s="134"/>
      <c r="P73" s="134"/>
      <c r="Q73" s="134"/>
      <c r="R73" s="134"/>
      <c r="S73" s="134"/>
      <c r="T73" s="134"/>
      <c r="U73" s="134"/>
      <c r="V73" s="134"/>
      <c r="W73" s="118"/>
    </row>
    <row r="74" spans="1:24" s="456" customFormat="1" x14ac:dyDescent="0.2">
      <c r="A74" s="506" t="s">
        <v>30</v>
      </c>
      <c r="B74" s="470"/>
      <c r="C74" s="508" t="s">
        <v>155</v>
      </c>
      <c r="D74" s="508"/>
      <c r="E74" s="509"/>
      <c r="F74" s="509"/>
      <c r="G74" s="509"/>
      <c r="H74" s="510"/>
      <c r="I74" s="510"/>
      <c r="J74" s="509"/>
      <c r="K74" s="510"/>
      <c r="L74" s="524"/>
      <c r="M74" s="118"/>
      <c r="N74" s="134"/>
      <c r="O74" s="134"/>
      <c r="P74" s="134"/>
      <c r="Q74" s="134"/>
      <c r="R74" s="134"/>
      <c r="S74" s="134"/>
      <c r="T74" s="134"/>
      <c r="U74" s="134"/>
      <c r="V74" s="134"/>
      <c r="W74" s="118"/>
    </row>
    <row r="75" spans="1:24" s="456" customFormat="1" x14ac:dyDescent="0.2">
      <c r="A75" s="96" t="s">
        <v>35</v>
      </c>
      <c r="B75" s="512"/>
      <c r="C75" s="512"/>
      <c r="D75" s="512"/>
      <c r="E75" s="512"/>
      <c r="F75" s="512"/>
      <c r="G75" s="512"/>
      <c r="H75" s="215"/>
      <c r="I75" s="215"/>
      <c r="J75" s="512"/>
      <c r="K75" s="215"/>
      <c r="L75" s="525"/>
      <c r="M75" s="118"/>
      <c r="N75" s="134"/>
      <c r="O75" s="134"/>
      <c r="P75" s="134"/>
      <c r="Q75" s="134"/>
      <c r="R75" s="134"/>
      <c r="S75" s="134"/>
      <c r="T75" s="134"/>
      <c r="U75" s="134"/>
      <c r="V75" s="134"/>
      <c r="W75" s="118"/>
    </row>
    <row r="76" spans="1:24" s="456" customFormat="1" x14ac:dyDescent="0.2">
      <c r="A76" s="96" t="s">
        <v>174</v>
      </c>
      <c r="B76" s="512"/>
      <c r="C76" s="512"/>
      <c r="D76" s="512"/>
      <c r="E76" s="512"/>
      <c r="F76" s="512"/>
      <c r="G76" s="512"/>
      <c r="H76" s="215"/>
      <c r="I76" s="215"/>
      <c r="J76" s="512"/>
      <c r="K76" s="215"/>
      <c r="L76" s="525"/>
      <c r="M76" s="118"/>
      <c r="N76" s="134"/>
      <c r="O76" s="134"/>
      <c r="P76" s="134"/>
      <c r="Q76" s="134"/>
      <c r="R76" s="134"/>
      <c r="S76" s="134"/>
      <c r="T76" s="134"/>
      <c r="U76" s="134"/>
      <c r="V76" s="134"/>
      <c r="W76" s="118"/>
    </row>
    <row r="77" spans="1:24" s="456" customFormat="1" x14ac:dyDescent="0.2">
      <c r="A77" s="96" t="s">
        <v>987</v>
      </c>
      <c r="B77" s="512"/>
      <c r="C77" s="512"/>
      <c r="D77" s="512"/>
      <c r="E77" s="512"/>
      <c r="F77" s="512"/>
      <c r="G77" s="512"/>
      <c r="H77" s="215"/>
      <c r="I77" s="215"/>
      <c r="J77" s="512"/>
      <c r="K77" s="215"/>
      <c r="L77" s="525"/>
      <c r="M77" s="118"/>
      <c r="N77" s="134"/>
      <c r="O77" s="134"/>
      <c r="P77" s="134"/>
      <c r="Q77" s="134"/>
      <c r="R77" s="134"/>
      <c r="S77" s="134"/>
      <c r="T77" s="134"/>
      <c r="U77" s="134"/>
      <c r="V77" s="134"/>
      <c r="W77" s="118"/>
    </row>
    <row r="78" spans="1:24" s="456" customFormat="1" ht="16.5" thickBot="1" x14ac:dyDescent="0.25">
      <c r="A78" s="110" t="s">
        <v>988</v>
      </c>
      <c r="B78" s="514"/>
      <c r="C78" s="514"/>
      <c r="D78" s="514"/>
      <c r="E78" s="514"/>
      <c r="F78" s="514"/>
      <c r="G78" s="514"/>
      <c r="H78" s="515"/>
      <c r="I78" s="515"/>
      <c r="J78" s="514"/>
      <c r="K78" s="515"/>
      <c r="L78" s="526"/>
      <c r="M78" s="118"/>
      <c r="N78" s="134"/>
      <c r="O78" s="134"/>
      <c r="P78" s="134"/>
      <c r="Q78" s="134"/>
      <c r="R78" s="134"/>
      <c r="S78" s="134"/>
      <c r="T78" s="134"/>
      <c r="U78" s="134"/>
      <c r="V78" s="134"/>
      <c r="W78" s="118"/>
    </row>
    <row r="79" spans="1:24" s="456" customFormat="1" ht="16.5" thickBot="1" x14ac:dyDescent="0.25">
      <c r="A79" s="527"/>
      <c r="E79" s="200"/>
      <c r="F79" s="200"/>
      <c r="G79" s="200"/>
      <c r="H79" s="194"/>
      <c r="I79" s="517"/>
      <c r="J79" s="200"/>
      <c r="K79" s="194"/>
      <c r="L79" s="200"/>
      <c r="M79" s="118"/>
      <c r="N79" s="134"/>
      <c r="O79" s="134"/>
      <c r="P79" s="134"/>
      <c r="Q79" s="134"/>
      <c r="R79" s="118"/>
      <c r="V79" s="528"/>
      <c r="W79" s="528"/>
    </row>
    <row r="80" spans="1:24" s="14" customFormat="1" ht="32.25" thickBot="1" x14ac:dyDescent="0.25">
      <c r="A80" s="518" t="s">
        <v>31</v>
      </c>
      <c r="B80" s="932" t="s">
        <v>13</v>
      </c>
      <c r="C80" s="933"/>
      <c r="D80" s="934"/>
      <c r="E80" s="519" t="s">
        <v>12</v>
      </c>
      <c r="F80" s="519" t="s">
        <v>14</v>
      </c>
      <c r="G80" s="519" t="s">
        <v>276</v>
      </c>
      <c r="H80" s="519" t="s">
        <v>32</v>
      </c>
      <c r="I80" s="519" t="s">
        <v>16</v>
      </c>
      <c r="J80" s="519" t="s">
        <v>17</v>
      </c>
      <c r="K80" s="519" t="s">
        <v>18</v>
      </c>
      <c r="L80" s="519" t="s">
        <v>19</v>
      </c>
      <c r="M80" s="519" t="s">
        <v>20</v>
      </c>
      <c r="N80" s="520" t="s">
        <v>123</v>
      </c>
      <c r="O80" s="519" t="s">
        <v>94</v>
      </c>
      <c r="P80" s="521" t="s">
        <v>807</v>
      </c>
      <c r="W80" s="13"/>
    </row>
    <row r="81" spans="1:23" s="303" customFormat="1" x14ac:dyDescent="0.2">
      <c r="A81" s="269"/>
      <c r="B81" s="925"/>
      <c r="C81" s="926"/>
      <c r="D81" s="926"/>
      <c r="E81" s="226"/>
      <c r="F81" s="226"/>
      <c r="G81" s="226"/>
      <c r="H81" s="226"/>
      <c r="I81" s="226"/>
      <c r="J81" s="263"/>
      <c r="K81" s="263"/>
      <c r="L81" s="263"/>
      <c r="M81" s="263"/>
      <c r="N81" s="49"/>
      <c r="O81" s="226"/>
      <c r="P81" s="274"/>
      <c r="Q81" s="160"/>
      <c r="R81" s="160"/>
      <c r="S81" s="160"/>
      <c r="T81" s="160"/>
      <c r="U81" s="160"/>
      <c r="V81" s="160"/>
      <c r="W81" s="159"/>
    </row>
    <row r="82" spans="1:23" s="303" customFormat="1" x14ac:dyDescent="0.2">
      <c r="A82" s="248"/>
      <c r="B82" s="927"/>
      <c r="C82" s="928"/>
      <c r="D82" s="928"/>
      <c r="E82" s="125"/>
      <c r="F82" s="125"/>
      <c r="G82" s="125"/>
      <c r="H82" s="125"/>
      <c r="I82" s="125"/>
      <c r="J82" s="255"/>
      <c r="K82" s="255"/>
      <c r="L82" s="255"/>
      <c r="M82" s="255"/>
      <c r="N82" s="21"/>
      <c r="O82" s="125"/>
      <c r="P82" s="276"/>
      <c r="Q82" s="160"/>
      <c r="R82" s="160"/>
      <c r="S82" s="160"/>
      <c r="T82" s="160"/>
      <c r="U82" s="160"/>
      <c r="V82" s="160"/>
      <c r="W82" s="159"/>
    </row>
    <row r="83" spans="1:23" s="303" customFormat="1" x14ac:dyDescent="0.2">
      <c r="A83" s="248"/>
      <c r="B83" s="927"/>
      <c r="C83" s="928"/>
      <c r="D83" s="928"/>
      <c r="E83" s="125"/>
      <c r="F83" s="125"/>
      <c r="G83" s="125"/>
      <c r="H83" s="125"/>
      <c r="I83" s="125"/>
      <c r="J83" s="255"/>
      <c r="K83" s="255"/>
      <c r="L83" s="255"/>
      <c r="M83" s="255"/>
      <c r="N83" s="21"/>
      <c r="O83" s="125"/>
      <c r="P83" s="276"/>
      <c r="Q83" s="160"/>
      <c r="R83" s="160"/>
      <c r="S83" s="160"/>
      <c r="T83" s="160"/>
      <c r="U83" s="160"/>
      <c r="V83" s="160"/>
      <c r="W83" s="159"/>
    </row>
    <row r="84" spans="1:23" s="303" customFormat="1" ht="16.5" thickBot="1" x14ac:dyDescent="0.25">
      <c r="A84" s="304"/>
      <c r="B84" s="912"/>
      <c r="C84" s="913"/>
      <c r="D84" s="913"/>
      <c r="E84" s="130"/>
      <c r="F84" s="130"/>
      <c r="G84" s="130"/>
      <c r="H84" s="130"/>
      <c r="I84" s="130"/>
      <c r="J84" s="256"/>
      <c r="K84" s="256"/>
      <c r="L84" s="256"/>
      <c r="M84" s="256"/>
      <c r="N84" s="29"/>
      <c r="O84" s="129"/>
      <c r="P84" s="132"/>
      <c r="Q84" s="160"/>
      <c r="R84" s="160"/>
      <c r="S84" s="160"/>
      <c r="T84" s="160"/>
      <c r="U84" s="160"/>
      <c r="V84" s="160"/>
      <c r="W84" s="159"/>
    </row>
    <row r="85" spans="1:23" s="456" customFormat="1" ht="16.5" thickBot="1" x14ac:dyDescent="0.25">
      <c r="A85" s="133"/>
      <c r="B85" s="133"/>
      <c r="C85" s="133"/>
      <c r="D85" s="133"/>
      <c r="E85" s="133"/>
      <c r="F85" s="133"/>
      <c r="G85" s="133"/>
      <c r="H85" s="118"/>
      <c r="I85" s="118"/>
      <c r="J85" s="118"/>
      <c r="K85" s="118"/>
      <c r="L85" s="118"/>
      <c r="M85" s="134"/>
      <c r="N85" s="134"/>
      <c r="O85" s="134"/>
      <c r="P85" s="134"/>
      <c r="Q85" s="134"/>
      <c r="R85" s="134"/>
      <c r="S85" s="134"/>
      <c r="T85" s="134"/>
      <c r="U85" s="134"/>
      <c r="V85" s="118"/>
    </row>
    <row r="86" spans="1:23" s="73" customFormat="1" ht="16.5" thickBot="1" x14ac:dyDescent="0.25">
      <c r="A86" s="822" t="s">
        <v>36</v>
      </c>
      <c r="B86" s="823"/>
      <c r="C86" s="823"/>
      <c r="D86" s="823"/>
      <c r="E86" s="823"/>
      <c r="F86" s="823"/>
      <c r="G86" s="823"/>
      <c r="H86" s="823"/>
      <c r="I86" s="824"/>
      <c r="J86" s="169"/>
      <c r="K86" s="118"/>
      <c r="L86" s="134"/>
      <c r="M86" s="134"/>
      <c r="N86" s="134"/>
      <c r="O86" s="134"/>
      <c r="P86" s="134"/>
      <c r="Q86" s="134"/>
      <c r="R86" s="134"/>
      <c r="S86" s="118"/>
      <c r="T86" s="118"/>
      <c r="U86" s="118"/>
    </row>
    <row r="87" spans="1:23" s="73" customFormat="1" ht="16.5" thickBot="1" x14ac:dyDescent="0.25">
      <c r="A87" s="935" t="s">
        <v>37</v>
      </c>
      <c r="B87" s="936"/>
      <c r="C87" s="936"/>
      <c r="D87" s="936"/>
      <c r="E87" s="936"/>
      <c r="F87" s="936"/>
      <c r="G87" s="936"/>
      <c r="H87" s="936"/>
      <c r="I87" s="937"/>
      <c r="J87" s="170"/>
      <c r="K87" s="118"/>
      <c r="L87" s="134"/>
      <c r="M87" s="134"/>
      <c r="N87" s="134"/>
      <c r="O87" s="134"/>
      <c r="P87" s="134"/>
      <c r="Q87" s="134"/>
      <c r="R87" s="134"/>
      <c r="S87" s="118"/>
      <c r="T87" s="118"/>
      <c r="U87" s="118"/>
    </row>
    <row r="88" spans="1:23" s="308" customFormat="1" ht="15.75" customHeight="1" thickBot="1" x14ac:dyDescent="0.25">
      <c r="A88" s="665" t="s">
        <v>296</v>
      </c>
      <c r="B88" s="909" t="s">
        <v>1129</v>
      </c>
      <c r="C88" s="910"/>
      <c r="D88" s="910"/>
      <c r="E88" s="910"/>
      <c r="F88" s="910"/>
      <c r="G88" s="910"/>
      <c r="H88" s="910"/>
      <c r="I88" s="911"/>
      <c r="J88" s="171"/>
      <c r="K88" s="172"/>
      <c r="L88" s="173"/>
      <c r="M88" s="173"/>
      <c r="N88" s="173"/>
      <c r="O88" s="173"/>
      <c r="P88" s="173"/>
      <c r="Q88" s="173"/>
      <c r="R88" s="173"/>
      <c r="S88" s="172"/>
      <c r="T88" s="172"/>
      <c r="U88" s="172"/>
    </row>
    <row r="89" spans="1:23" s="73" customFormat="1" ht="16.5" thickBot="1" x14ac:dyDescent="0.25">
      <c r="A89" s="196"/>
      <c r="B89" s="169"/>
      <c r="C89" s="169"/>
      <c r="D89" s="169"/>
      <c r="E89" s="169"/>
      <c r="F89" s="176"/>
      <c r="G89" s="176"/>
      <c r="H89" s="176"/>
      <c r="I89" s="176"/>
      <c r="J89" s="176"/>
      <c r="K89" s="118"/>
      <c r="L89" s="134"/>
      <c r="M89" s="134"/>
      <c r="N89" s="134"/>
      <c r="O89" s="134"/>
      <c r="P89" s="134"/>
      <c r="Q89" s="118"/>
    </row>
    <row r="90" spans="1:23" s="73" customFormat="1" ht="16.5" customHeight="1" thickBot="1" x14ac:dyDescent="0.25">
      <c r="A90" s="917" t="s">
        <v>214</v>
      </c>
      <c r="B90" s="918"/>
      <c r="C90" s="918"/>
      <c r="D90" s="918"/>
      <c r="E90" s="918"/>
      <c r="F90" s="918"/>
      <c r="G90" s="918"/>
      <c r="H90" s="930" t="s">
        <v>226</v>
      </c>
      <c r="I90" s="786" t="s">
        <v>627</v>
      </c>
      <c r="J90" s="786" t="s">
        <v>215</v>
      </c>
      <c r="K90" s="786" t="s">
        <v>23</v>
      </c>
      <c r="L90" s="786" t="s">
        <v>302</v>
      </c>
      <c r="M90" s="788" t="s">
        <v>83</v>
      </c>
      <c r="N90" s="134"/>
      <c r="O90" s="118"/>
      <c r="P90" s="456"/>
      <c r="Q90" s="528"/>
      <c r="R90" s="528"/>
    </row>
    <row r="91" spans="1:23" s="446" customFormat="1" ht="16.5" thickBot="1" x14ac:dyDescent="0.25">
      <c r="A91" s="919" t="s">
        <v>887</v>
      </c>
      <c r="B91" s="920"/>
      <c r="C91" s="920"/>
      <c r="D91" s="920"/>
      <c r="E91" s="920"/>
      <c r="F91" s="920"/>
      <c r="G91" s="921"/>
      <c r="H91" s="931"/>
      <c r="I91" s="908"/>
      <c r="J91" s="908"/>
      <c r="K91" s="908"/>
      <c r="L91" s="908"/>
      <c r="M91" s="929"/>
      <c r="N91" s="177"/>
      <c r="O91" s="177"/>
      <c r="P91" s="177"/>
      <c r="Q91" s="177"/>
      <c r="R91" s="177"/>
    </row>
    <row r="92" spans="1:23" s="446" customFormat="1" ht="15.75" customHeight="1" thickBot="1" x14ac:dyDescent="0.25">
      <c r="A92" s="914" t="s">
        <v>353</v>
      </c>
      <c r="B92" s="915"/>
      <c r="C92" s="915"/>
      <c r="D92" s="915"/>
      <c r="E92" s="915"/>
      <c r="F92" s="915"/>
      <c r="G92" s="916"/>
      <c r="H92" s="931"/>
      <c r="I92" s="908"/>
      <c r="J92" s="908"/>
      <c r="K92" s="908"/>
      <c r="L92" s="908"/>
      <c r="M92" s="929"/>
      <c r="N92" s="177"/>
      <c r="O92" s="177"/>
      <c r="P92" s="177"/>
      <c r="Q92" s="177"/>
      <c r="R92" s="177"/>
    </row>
    <row r="93" spans="1:23" s="136" customFormat="1" ht="15.75" customHeight="1" x14ac:dyDescent="0.2">
      <c r="A93" s="178" t="s">
        <v>103</v>
      </c>
      <c r="B93" s="942" t="str">
        <f>IF($A93="","",VLOOKUP($A93,Listes!$A$3:$C$193,2,FALSE))</f>
        <v>Alameda Corridor Surcharge export</v>
      </c>
      <c r="C93" s="942"/>
      <c r="D93" s="942"/>
      <c r="E93" s="941" t="s">
        <v>51</v>
      </c>
      <c r="F93" s="941"/>
      <c r="G93" s="941"/>
      <c r="H93" s="654"/>
      <c r="I93" s="529"/>
      <c r="J93" s="529"/>
      <c r="K93" s="529"/>
      <c r="L93" s="529"/>
      <c r="M93" s="530"/>
      <c r="N93" s="160"/>
      <c r="O93" s="160"/>
      <c r="P93" s="160"/>
      <c r="Q93" s="160"/>
      <c r="R93" s="159"/>
    </row>
    <row r="94" spans="1:23" s="136" customFormat="1" ht="15.75" customHeight="1" x14ac:dyDescent="0.2">
      <c r="A94" s="182" t="s">
        <v>346</v>
      </c>
      <c r="B94" s="813" t="str">
        <f>IF($A94="","",VLOOKUP($A94,Listes!$A$3:$C$193,2,FALSE))</f>
        <v>Aden Gulf Surcharge</v>
      </c>
      <c r="C94" s="813"/>
      <c r="D94" s="813"/>
      <c r="E94" s="814" t="s">
        <v>53</v>
      </c>
      <c r="F94" s="814"/>
      <c r="G94" s="814"/>
      <c r="H94" s="653"/>
      <c r="I94" s="531"/>
      <c r="J94" s="531"/>
      <c r="K94" s="531"/>
      <c r="L94" s="531"/>
      <c r="M94" s="532"/>
      <c r="N94" s="160"/>
      <c r="O94" s="160"/>
      <c r="P94" s="160"/>
      <c r="Q94" s="160"/>
      <c r="R94" s="159"/>
    </row>
    <row r="95" spans="1:23" s="136" customFormat="1" x14ac:dyDescent="0.2">
      <c r="A95" s="182" t="s">
        <v>234</v>
      </c>
      <c r="B95" s="813" t="str">
        <f>IF($A95="","",VLOOKUP($A95,Listes!$A$3:$C$193,2,FALSE))</f>
        <v>Bunker Adjustment Factor</v>
      </c>
      <c r="C95" s="813"/>
      <c r="D95" s="813"/>
      <c r="E95" s="814" t="s">
        <v>51</v>
      </c>
      <c r="F95" s="814"/>
      <c r="G95" s="814"/>
      <c r="H95" s="653"/>
      <c r="I95" s="531"/>
      <c r="J95" s="531"/>
      <c r="K95" s="531"/>
      <c r="L95" s="531"/>
      <c r="M95" s="532"/>
      <c r="N95" s="160"/>
      <c r="O95" s="160"/>
      <c r="P95" s="160"/>
      <c r="Q95" s="160"/>
      <c r="R95" s="159"/>
    </row>
    <row r="96" spans="1:23" s="136" customFormat="1" ht="15.75" customHeight="1" x14ac:dyDescent="0.2">
      <c r="A96" s="182" t="s">
        <v>86</v>
      </c>
      <c r="B96" s="813" t="str">
        <f>IF($A96="","",VLOOKUP($A96,Listes!$A$3:$C$193,2,FALSE))</f>
        <v>Currency Adjustment Factor</v>
      </c>
      <c r="C96" s="813"/>
      <c r="D96" s="813"/>
      <c r="E96" s="814" t="s">
        <v>53</v>
      </c>
      <c r="F96" s="814"/>
      <c r="G96" s="814"/>
      <c r="H96" s="653"/>
      <c r="I96" s="531"/>
      <c r="J96" s="531"/>
      <c r="K96" s="531"/>
      <c r="L96" s="531"/>
      <c r="M96" s="532"/>
      <c r="N96" s="160"/>
      <c r="O96" s="160"/>
      <c r="P96" s="160"/>
      <c r="Q96" s="160"/>
      <c r="R96" s="159"/>
    </row>
    <row r="97" spans="1:18" s="136" customFormat="1" ht="15.75" customHeight="1" x14ac:dyDescent="0.2">
      <c r="A97" s="182" t="s">
        <v>1335</v>
      </c>
      <c r="B97" s="813" t="str">
        <f>IF($A97="","",VLOOKUP($A97,Listes!$A$3:$C$193,2,FALSE))</f>
        <v>Container Cleaning Surcharge Destination</v>
      </c>
      <c r="C97" s="813"/>
      <c r="D97" s="813"/>
      <c r="E97" s="814" t="s">
        <v>51</v>
      </c>
      <c r="F97" s="814"/>
      <c r="G97" s="814"/>
      <c r="H97" s="653"/>
      <c r="I97" s="531"/>
      <c r="J97" s="531"/>
      <c r="K97" s="531"/>
      <c r="L97" s="531"/>
      <c r="M97" s="532"/>
      <c r="N97" s="160"/>
      <c r="O97" s="160"/>
      <c r="P97" s="160"/>
      <c r="Q97" s="160"/>
      <c r="R97" s="159"/>
    </row>
    <row r="98" spans="1:18" s="136" customFormat="1" ht="15.75" customHeight="1" x14ac:dyDescent="0.2">
      <c r="A98" s="182" t="s">
        <v>1103</v>
      </c>
      <c r="B98" s="813" t="str">
        <f>IF($A98="","",VLOOKUP($A98,Listes!$A$3:$C$193,2,FALSE))</f>
        <v>Chassis Administration Fee Pre-Carriage</v>
      </c>
      <c r="C98" s="813"/>
      <c r="D98" s="813"/>
      <c r="E98" s="814" t="s">
        <v>51</v>
      </c>
      <c r="F98" s="814"/>
      <c r="G98" s="814"/>
      <c r="H98" s="653"/>
      <c r="I98" s="531"/>
      <c r="J98" s="531"/>
      <c r="K98" s="531"/>
      <c r="L98" s="531"/>
      <c r="M98" s="532"/>
      <c r="N98" s="160"/>
      <c r="O98" s="160"/>
      <c r="P98" s="160"/>
      <c r="Q98" s="160"/>
      <c r="R98" s="159"/>
    </row>
    <row r="99" spans="1:18" s="136" customFormat="1" ht="15.75" customHeight="1" x14ac:dyDescent="0.2">
      <c r="A99" s="182" t="s">
        <v>551</v>
      </c>
      <c r="B99" s="813" t="str">
        <f>IF($A99="","",VLOOKUP($A99,Listes!$A$3:$C$193,2,FALSE))</f>
        <v>Chassis Provision Charge</v>
      </c>
      <c r="C99" s="813"/>
      <c r="D99" s="813"/>
      <c r="E99" s="814" t="s">
        <v>51</v>
      </c>
      <c r="F99" s="814"/>
      <c r="G99" s="814"/>
      <c r="H99" s="653"/>
      <c r="I99" s="531"/>
      <c r="J99" s="531"/>
      <c r="K99" s="531"/>
      <c r="L99" s="531"/>
      <c r="M99" s="532"/>
      <c r="N99" s="160"/>
      <c r="O99" s="160"/>
      <c r="P99" s="160"/>
      <c r="Q99" s="160"/>
      <c r="R99" s="159"/>
    </row>
    <row r="100" spans="1:18" s="136" customFormat="1" ht="15.75" customHeight="1" x14ac:dyDescent="0.2">
      <c r="A100" s="182" t="s">
        <v>263</v>
      </c>
      <c r="B100" s="813" t="str">
        <f>IF($A100="","",VLOOKUP($A100,Listes!$A$3:$C$193,2,FALSE))</f>
        <v>Carrier Security Charge</v>
      </c>
      <c r="C100" s="813"/>
      <c r="D100" s="813"/>
      <c r="E100" s="814" t="s">
        <v>51</v>
      </c>
      <c r="F100" s="814"/>
      <c r="G100" s="814"/>
      <c r="H100" s="653"/>
      <c r="I100" s="531"/>
      <c r="J100" s="531"/>
      <c r="K100" s="531"/>
      <c r="L100" s="531"/>
      <c r="M100" s="532"/>
      <c r="N100" s="160"/>
      <c r="O100" s="160"/>
      <c r="P100" s="160"/>
      <c r="Q100" s="160"/>
      <c r="R100" s="159"/>
    </row>
    <row r="101" spans="1:18" s="136" customFormat="1" ht="15.75" customHeight="1" x14ac:dyDescent="0.2">
      <c r="A101" s="182" t="s">
        <v>1262</v>
      </c>
      <c r="B101" s="813" t="str">
        <f>IF($A101="","",VLOOKUP($A101,Listes!$A$3:$C$193,2,FALSE))</f>
        <v>Container Maintenance Charge Destination</v>
      </c>
      <c r="C101" s="813"/>
      <c r="D101" s="813"/>
      <c r="E101" s="814" t="s">
        <v>51</v>
      </c>
      <c r="F101" s="814"/>
      <c r="G101" s="814"/>
      <c r="H101" s="653"/>
      <c r="I101" s="531"/>
      <c r="J101" s="531"/>
      <c r="K101" s="531"/>
      <c r="L101" s="531"/>
      <c r="M101" s="532"/>
      <c r="N101" s="160"/>
      <c r="O101" s="160"/>
      <c r="P101" s="160"/>
      <c r="Q101" s="160"/>
      <c r="R101" s="159"/>
    </row>
    <row r="102" spans="1:18" s="136" customFormat="1" ht="15.75" customHeight="1" x14ac:dyDescent="0.2">
      <c r="A102" s="182" t="s">
        <v>213</v>
      </c>
      <c r="B102" s="813" t="str">
        <f>IF($A102="","",VLOOKUP($A102,Listes!$A$3:$C$193,2,FALSE))</f>
        <v>Delivery Order Fee - Special Requirement, Carrier</v>
      </c>
      <c r="C102" s="813"/>
      <c r="D102" s="813"/>
      <c r="E102" s="814" t="s">
        <v>51</v>
      </c>
      <c r="F102" s="814"/>
      <c r="G102" s="814"/>
      <c r="H102" s="653"/>
      <c r="I102" s="531"/>
      <c r="J102" s="531"/>
      <c r="K102" s="531"/>
      <c r="L102" s="531"/>
      <c r="M102" s="532"/>
      <c r="N102" s="160"/>
      <c r="O102" s="160"/>
      <c r="P102" s="160"/>
      <c r="Q102" s="160"/>
      <c r="R102" s="159"/>
    </row>
    <row r="103" spans="1:18" s="136" customFormat="1" ht="15.75" customHeight="1" x14ac:dyDescent="0.2">
      <c r="A103" s="182" t="s">
        <v>230</v>
      </c>
      <c r="B103" s="813" t="str">
        <f>IF($A103="","",VLOOKUP($A103,Listes!$A$3:$C$193,2,FALSE))</f>
        <v>Destination THC / Destination Receiving Charge</v>
      </c>
      <c r="C103" s="813"/>
      <c r="D103" s="813"/>
      <c r="E103" s="814" t="s">
        <v>51</v>
      </c>
      <c r="F103" s="814"/>
      <c r="G103" s="814"/>
      <c r="H103" s="653"/>
      <c r="I103" s="531"/>
      <c r="J103" s="531"/>
      <c r="K103" s="531"/>
      <c r="L103" s="531"/>
      <c r="M103" s="532"/>
      <c r="N103" s="160"/>
      <c r="O103" s="160"/>
      <c r="P103" s="160"/>
      <c r="Q103" s="160"/>
      <c r="R103" s="159"/>
    </row>
    <row r="104" spans="1:18" s="136" customFormat="1" ht="15.75" customHeight="1" x14ac:dyDescent="0.2">
      <c r="A104" s="182" t="s">
        <v>1081</v>
      </c>
      <c r="B104" s="813" t="str">
        <f>IF($A104="","",VLOOKUP($A104,Listes!$A$3:$C$193,2,FALSE))</f>
        <v>Equipment Imbalance Surcharge at Origin</v>
      </c>
      <c r="C104" s="813"/>
      <c r="D104" s="813"/>
      <c r="E104" s="814" t="s">
        <v>51</v>
      </c>
      <c r="F104" s="814"/>
      <c r="G104" s="814"/>
      <c r="H104" s="653"/>
      <c r="I104" s="531"/>
      <c r="J104" s="531"/>
      <c r="K104" s="531"/>
      <c r="L104" s="531"/>
      <c r="M104" s="532"/>
      <c r="N104" s="160"/>
      <c r="O104" s="160"/>
      <c r="P104" s="160"/>
      <c r="Q104" s="160"/>
      <c r="R104" s="159"/>
    </row>
    <row r="105" spans="1:18" s="136" customFormat="1" ht="15.75" customHeight="1" x14ac:dyDescent="0.2">
      <c r="A105" s="182" t="s">
        <v>1082</v>
      </c>
      <c r="B105" s="813" t="str">
        <f>IF($A105="","",VLOOKUP($A105,Listes!$A$3:$C$193,2,FALSE))</f>
        <v>Equipment Imbalance Surcharge at Destination</v>
      </c>
      <c r="C105" s="813"/>
      <c r="D105" s="813"/>
      <c r="E105" s="814" t="s">
        <v>51</v>
      </c>
      <c r="F105" s="814"/>
      <c r="G105" s="814"/>
      <c r="H105" s="653"/>
      <c r="I105" s="531"/>
      <c r="J105" s="531"/>
      <c r="K105" s="531"/>
      <c r="L105" s="531"/>
      <c r="M105" s="532"/>
      <c r="N105" s="160"/>
      <c r="O105" s="160"/>
      <c r="P105" s="160"/>
      <c r="Q105" s="160"/>
      <c r="R105" s="159"/>
    </row>
    <row r="106" spans="1:18" s="136" customFormat="1" ht="15.75" customHeight="1" x14ac:dyDescent="0.2">
      <c r="A106" s="182" t="s">
        <v>874</v>
      </c>
      <c r="B106" s="813" t="str">
        <f>IF($A106="","",VLOOKUP($A106,Listes!$A$3:$C$193,2,FALSE))</f>
        <v>Export Documentation Fees - Carrier</v>
      </c>
      <c r="C106" s="813"/>
      <c r="D106" s="813"/>
      <c r="E106" s="814" t="s">
        <v>51</v>
      </c>
      <c r="F106" s="814"/>
      <c r="G106" s="814"/>
      <c r="H106" s="653"/>
      <c r="I106" s="531"/>
      <c r="J106" s="531"/>
      <c r="K106" s="531"/>
      <c r="L106" s="531"/>
      <c r="M106" s="532"/>
      <c r="N106" s="160"/>
      <c r="O106" s="160"/>
      <c r="P106" s="160"/>
      <c r="Q106" s="160"/>
      <c r="R106" s="159"/>
    </row>
    <row r="107" spans="1:18" s="136" customFormat="1" ht="15.75" customHeight="1" x14ac:dyDescent="0.2">
      <c r="A107" s="182" t="s">
        <v>1114</v>
      </c>
      <c r="B107" s="813" t="str">
        <f>IF($A107="","",VLOOKUP($A107,Listes!$A$3:$C$193,2,FALSE))</f>
        <v>Extra Risk Surcharge (Destination)</v>
      </c>
      <c r="C107" s="813"/>
      <c r="D107" s="813"/>
      <c r="E107" s="814" t="s">
        <v>51</v>
      </c>
      <c r="F107" s="814"/>
      <c r="G107" s="814"/>
      <c r="H107" s="653"/>
      <c r="I107" s="531"/>
      <c r="J107" s="531"/>
      <c r="K107" s="531"/>
      <c r="L107" s="531"/>
      <c r="M107" s="532"/>
      <c r="N107" s="160"/>
      <c r="O107" s="160"/>
      <c r="P107" s="160"/>
      <c r="Q107" s="160"/>
      <c r="R107" s="159"/>
    </row>
    <row r="108" spans="1:18" s="136" customFormat="1" ht="15.75" customHeight="1" x14ac:dyDescent="0.2">
      <c r="A108" s="182" t="s">
        <v>82</v>
      </c>
      <c r="B108" s="813" t="str">
        <f>IF($A108="","",VLOOKUP($A108,Listes!$A$3:$C$193,2,FALSE))</f>
        <v>General Rate Increase</v>
      </c>
      <c r="C108" s="813"/>
      <c r="D108" s="813"/>
      <c r="E108" s="814" t="s">
        <v>51</v>
      </c>
      <c r="F108" s="814"/>
      <c r="G108" s="814"/>
      <c r="H108" s="653"/>
      <c r="I108" s="531"/>
      <c r="J108" s="531"/>
      <c r="K108" s="531"/>
      <c r="L108" s="531"/>
      <c r="M108" s="532"/>
      <c r="N108" s="160"/>
      <c r="O108" s="160"/>
      <c r="P108" s="160"/>
      <c r="Q108" s="160"/>
      <c r="R108" s="159"/>
    </row>
    <row r="109" spans="1:18" s="136" customFormat="1" ht="15.75" customHeight="1" x14ac:dyDescent="0.2">
      <c r="A109" s="182" t="s">
        <v>260</v>
      </c>
      <c r="B109" s="813" t="str">
        <f>IF($A109="","",VLOOKUP($A109,Listes!$A$3:$C$193,2,FALSE))</f>
        <v>Hazardous Fees (Ocean)</v>
      </c>
      <c r="C109" s="813"/>
      <c r="D109" s="813"/>
      <c r="E109" s="814" t="s">
        <v>51</v>
      </c>
      <c r="F109" s="814"/>
      <c r="G109" s="814"/>
      <c r="H109" s="653"/>
      <c r="I109" s="531"/>
      <c r="J109" s="531"/>
      <c r="K109" s="531"/>
      <c r="L109" s="531"/>
      <c r="M109" s="532"/>
      <c r="N109" s="160"/>
      <c r="O109" s="160"/>
      <c r="P109" s="160"/>
      <c r="Q109" s="160"/>
      <c r="R109" s="159"/>
    </row>
    <row r="110" spans="1:18" s="136" customFormat="1" ht="15.75" customHeight="1" x14ac:dyDescent="0.2">
      <c r="A110" s="182" t="s">
        <v>897</v>
      </c>
      <c r="B110" s="813" t="str">
        <f>IF($A110="","",VLOOKUP($A110,Listes!$A$3:$C$193,2,FALSE))</f>
        <v xml:space="preserve">Intermodal Door Precarriage Additional for </v>
      </c>
      <c r="C110" s="813"/>
      <c r="D110" s="813"/>
      <c r="E110" s="814" t="s">
        <v>51</v>
      </c>
      <c r="F110" s="814"/>
      <c r="G110" s="814"/>
      <c r="H110" s="653"/>
      <c r="I110" s="531"/>
      <c r="J110" s="531"/>
      <c r="K110" s="531"/>
      <c r="L110" s="531"/>
      <c r="M110" s="532"/>
      <c r="N110" s="160"/>
      <c r="O110" s="160"/>
      <c r="P110" s="160"/>
      <c r="Q110" s="160"/>
      <c r="R110" s="159"/>
    </row>
    <row r="111" spans="1:18" s="136" customFormat="1" ht="15.75" customHeight="1" x14ac:dyDescent="0.2">
      <c r="A111" s="182" t="s">
        <v>877</v>
      </c>
      <c r="B111" s="813" t="str">
        <f>IF($A111="","",VLOOKUP($A111,Listes!$A$3:$C$193,2,FALSE))</f>
        <v>Import Documentation / BL fee - Carrier</v>
      </c>
      <c r="C111" s="813"/>
      <c r="D111" s="813"/>
      <c r="E111" s="814" t="s">
        <v>51</v>
      </c>
      <c r="F111" s="814"/>
      <c r="G111" s="814"/>
      <c r="H111" s="653"/>
      <c r="I111" s="531"/>
      <c r="J111" s="531"/>
      <c r="K111" s="531"/>
      <c r="L111" s="531"/>
      <c r="M111" s="532"/>
      <c r="N111" s="160"/>
      <c r="O111" s="160"/>
      <c r="P111" s="160"/>
      <c r="Q111" s="160"/>
      <c r="R111" s="159"/>
    </row>
    <row r="112" spans="1:18" s="136" customFormat="1" ht="15.75" customHeight="1" x14ac:dyDescent="0.2">
      <c r="A112" s="182" t="s">
        <v>96</v>
      </c>
      <c r="B112" s="813" t="str">
        <f>IF($A112="","",VLOOKUP($A112,Listes!$A$3:$C$193,2,FALSE))</f>
        <v xml:space="preserve">Precarriage Inland Fuel Charge </v>
      </c>
      <c r="C112" s="813"/>
      <c r="D112" s="813"/>
      <c r="E112" s="814" t="s">
        <v>51</v>
      </c>
      <c r="F112" s="814"/>
      <c r="G112" s="814"/>
      <c r="H112" s="653"/>
      <c r="I112" s="531"/>
      <c r="J112" s="531"/>
      <c r="K112" s="531"/>
      <c r="L112" s="531"/>
      <c r="M112" s="532"/>
      <c r="N112" s="160"/>
      <c r="O112" s="160"/>
      <c r="P112" s="160"/>
      <c r="Q112" s="160"/>
      <c r="R112" s="159"/>
    </row>
    <row r="113" spans="1:18" s="136" customFormat="1" ht="15.75" customHeight="1" x14ac:dyDescent="0.2">
      <c r="A113" s="182" t="s">
        <v>1290</v>
      </c>
      <c r="B113" s="813" t="str">
        <f>IF($A113="","",VLOOKUP($A113,Listes!$A$3:$C$193,2,FALSE))</f>
        <v>Local Port Charge Destination Sanitary Fee</v>
      </c>
      <c r="C113" s="813"/>
      <c r="D113" s="813"/>
      <c r="E113" s="814" t="s">
        <v>51</v>
      </c>
      <c r="F113" s="814"/>
      <c r="G113" s="814"/>
      <c r="H113" s="675"/>
      <c r="I113" s="531"/>
      <c r="J113" s="531"/>
      <c r="K113" s="531"/>
      <c r="L113" s="531"/>
      <c r="M113" s="532"/>
      <c r="N113" s="160"/>
      <c r="O113" s="160"/>
      <c r="P113" s="160"/>
      <c r="Q113" s="160"/>
      <c r="R113" s="159"/>
    </row>
    <row r="114" spans="1:18" s="136" customFormat="1" ht="15.75" customHeight="1" x14ac:dyDescent="0.2">
      <c r="A114" s="182" t="s">
        <v>1292</v>
      </c>
      <c r="B114" s="813" t="str">
        <f>IF($A114="","",VLOOKUP($A114,Listes!$A$3:$C$193,2,FALSE))</f>
        <v>Local Port Charge Origin Sanitary Fee</v>
      </c>
      <c r="C114" s="813"/>
      <c r="D114" s="813"/>
      <c r="E114" s="814" t="s">
        <v>51</v>
      </c>
      <c r="F114" s="814"/>
      <c r="G114" s="814"/>
      <c r="H114" s="675"/>
      <c r="I114" s="531"/>
      <c r="J114" s="531"/>
      <c r="K114" s="531"/>
      <c r="L114" s="531"/>
      <c r="M114" s="532"/>
      <c r="N114" s="160"/>
      <c r="O114" s="160"/>
      <c r="P114" s="160"/>
      <c r="Q114" s="160"/>
      <c r="R114" s="159"/>
    </row>
    <row r="115" spans="1:18" s="136" customFormat="1" ht="15.75" customHeight="1" x14ac:dyDescent="0.2">
      <c r="A115" s="182" t="s">
        <v>199</v>
      </c>
      <c r="B115" s="813" t="str">
        <f>IF($A115="","",VLOOKUP($A115,Listes!$A$3:$C$193,2,FALSE))</f>
        <v>Low Sulfur Surcharge</v>
      </c>
      <c r="C115" s="813"/>
      <c r="D115" s="813"/>
      <c r="E115" s="814" t="s">
        <v>53</v>
      </c>
      <c r="F115" s="814"/>
      <c r="G115" s="814"/>
      <c r="H115" s="653"/>
      <c r="I115" s="531"/>
      <c r="J115" s="531"/>
      <c r="K115" s="531"/>
      <c r="L115" s="531"/>
      <c r="M115" s="532"/>
      <c r="N115" s="160"/>
      <c r="O115" s="160"/>
      <c r="P115" s="160"/>
      <c r="Q115" s="160"/>
      <c r="R115" s="159"/>
    </row>
    <row r="116" spans="1:18" s="136" customFormat="1" ht="15.75" customHeight="1" x14ac:dyDescent="0.2">
      <c r="A116" s="182" t="s">
        <v>1124</v>
      </c>
      <c r="B116" s="813" t="str">
        <f>IF($A116="","",VLOOKUP($A116,Listes!$A$3:$C$193,2,FALSE))</f>
        <v>Low Sulfur Surcharge IMO2020</v>
      </c>
      <c r="C116" s="813"/>
      <c r="D116" s="813"/>
      <c r="E116" s="814" t="s">
        <v>53</v>
      </c>
      <c r="F116" s="814"/>
      <c r="G116" s="814"/>
      <c r="H116" s="667"/>
      <c r="I116" s="531"/>
      <c r="J116" s="531"/>
      <c r="K116" s="531"/>
      <c r="L116" s="531"/>
      <c r="M116" s="532"/>
      <c r="N116" s="160"/>
      <c r="O116" s="160"/>
      <c r="P116" s="160"/>
      <c r="Q116" s="160"/>
      <c r="R116" s="159"/>
    </row>
    <row r="117" spans="1:18" s="136" customFormat="1" ht="15.75" customHeight="1" x14ac:dyDescent="0.2">
      <c r="A117" s="182" t="s">
        <v>497</v>
      </c>
      <c r="B117" s="813" t="str">
        <f>IF($A117="","",VLOOKUP($A117,Listes!$A$3:$C$193,2,FALSE))</f>
        <v>Inland Hazardous Charge Oncarriage</v>
      </c>
      <c r="C117" s="813"/>
      <c r="D117" s="813"/>
      <c r="E117" s="814" t="s">
        <v>51</v>
      </c>
      <c r="F117" s="814"/>
      <c r="G117" s="814"/>
      <c r="H117" s="653"/>
      <c r="I117" s="531"/>
      <c r="J117" s="531"/>
      <c r="K117" s="531"/>
      <c r="L117" s="531"/>
      <c r="M117" s="532"/>
      <c r="N117" s="160"/>
      <c r="O117" s="160"/>
      <c r="P117" s="160"/>
      <c r="Q117" s="160"/>
      <c r="R117" s="159"/>
    </row>
    <row r="118" spans="1:18" s="136" customFormat="1" ht="15.75" customHeight="1" x14ac:dyDescent="0.2">
      <c r="A118" s="182" t="s">
        <v>89</v>
      </c>
      <c r="B118" s="813" t="str">
        <f>IF($A118="","",VLOOKUP($A118,Listes!$A$3:$C$193,2,FALSE))</f>
        <v>Origin THC / Origin Receiving Charge</v>
      </c>
      <c r="C118" s="813"/>
      <c r="D118" s="813"/>
      <c r="E118" s="814" t="s">
        <v>53</v>
      </c>
      <c r="F118" s="814"/>
      <c r="G118" s="814"/>
      <c r="H118" s="653"/>
      <c r="I118" s="531"/>
      <c r="J118" s="531"/>
      <c r="K118" s="531"/>
      <c r="L118" s="531"/>
      <c r="M118" s="532"/>
      <c r="N118" s="160"/>
      <c r="O118" s="160"/>
      <c r="P118" s="160"/>
      <c r="Q118" s="160"/>
      <c r="R118" s="159"/>
    </row>
    <row r="119" spans="1:18" s="136" customFormat="1" ht="15.75" customHeight="1" x14ac:dyDescent="0.2">
      <c r="A119" s="182" t="s">
        <v>832</v>
      </c>
      <c r="B119" s="813" t="str">
        <f>IF($A119="","",VLOOKUP($A119,Listes!$A$3:$C$193,2,FALSE))</f>
        <v>Port Congestion Surcharge Destination</v>
      </c>
      <c r="C119" s="813"/>
      <c r="D119" s="813"/>
      <c r="E119" s="814" t="s">
        <v>51</v>
      </c>
      <c r="F119" s="814"/>
      <c r="G119" s="814"/>
      <c r="H119" s="653"/>
      <c r="I119" s="531"/>
      <c r="J119" s="531"/>
      <c r="K119" s="531"/>
      <c r="L119" s="531"/>
      <c r="M119" s="532"/>
      <c r="N119" s="160"/>
      <c r="O119" s="160"/>
      <c r="P119" s="160"/>
      <c r="Q119" s="160"/>
      <c r="R119" s="159"/>
    </row>
    <row r="120" spans="1:18" s="136" customFormat="1" ht="15.75" customHeight="1" x14ac:dyDescent="0.2">
      <c r="A120" s="182" t="s">
        <v>829</v>
      </c>
      <c r="B120" s="813" t="str">
        <f>IF($A120="","",VLOOKUP($A120,Listes!$A$3:$C$193,2,FALSE))</f>
        <v>Port Congestion Surcharge Origin</v>
      </c>
      <c r="C120" s="813"/>
      <c r="D120" s="813"/>
      <c r="E120" s="814" t="s">
        <v>51</v>
      </c>
      <c r="F120" s="814"/>
      <c r="G120" s="814"/>
      <c r="H120" s="653"/>
      <c r="I120" s="531"/>
      <c r="J120" s="531"/>
      <c r="K120" s="531"/>
      <c r="L120" s="531"/>
      <c r="M120" s="532"/>
      <c r="N120" s="160"/>
      <c r="O120" s="160"/>
      <c r="P120" s="160"/>
      <c r="Q120" s="160"/>
      <c r="R120" s="159"/>
    </row>
    <row r="121" spans="1:18" s="136" customFormat="1" x14ac:dyDescent="0.2">
      <c r="A121" s="182" t="s">
        <v>1060</v>
      </c>
      <c r="B121" s="813" t="str">
        <f>IF($A121="","",VLOOKUP($A121,Listes!$A$3:$C$193,2,FALSE))</f>
        <v>Pre-Carriage Emergency Inland Fuel Surcharge</v>
      </c>
      <c r="C121" s="813"/>
      <c r="D121" s="813"/>
      <c r="E121" s="814" t="s">
        <v>51</v>
      </c>
      <c r="F121" s="814"/>
      <c r="G121" s="814"/>
      <c r="H121" s="653"/>
      <c r="I121" s="531"/>
      <c r="J121" s="531"/>
      <c r="K121" s="531"/>
      <c r="L121" s="531"/>
      <c r="M121" s="532"/>
      <c r="N121" s="160"/>
      <c r="O121" s="160"/>
      <c r="P121" s="160"/>
      <c r="Q121" s="160"/>
      <c r="R121" s="159"/>
    </row>
    <row r="122" spans="1:18" s="136" customFormat="1" ht="31.5" x14ac:dyDescent="0.2">
      <c r="A122" s="182" t="s">
        <v>1046</v>
      </c>
      <c r="B122" s="813" t="str">
        <f>IF($A122="","",VLOOKUP($A122,Listes!$A$3:$C$193,2,FALSE))</f>
        <v>Pre-Carriage Emergency Intermodal Surcharge</v>
      </c>
      <c r="C122" s="813"/>
      <c r="D122" s="813"/>
      <c r="E122" s="814" t="s">
        <v>51</v>
      </c>
      <c r="F122" s="814"/>
      <c r="G122" s="814"/>
      <c r="H122" s="653"/>
      <c r="I122" s="531"/>
      <c r="J122" s="531"/>
      <c r="K122" s="531"/>
      <c r="L122" s="531"/>
      <c r="M122" s="532"/>
      <c r="N122" s="160"/>
      <c r="O122" s="160"/>
      <c r="P122" s="160"/>
      <c r="Q122" s="160"/>
      <c r="R122" s="159"/>
    </row>
    <row r="123" spans="1:18" s="136" customFormat="1" ht="15.75" customHeight="1" x14ac:dyDescent="0.2">
      <c r="A123" s="182" t="s">
        <v>500</v>
      </c>
      <c r="B123" s="813" t="str">
        <f>IF($A123="","",VLOOKUP($A123,Listes!$A$3:$C$193,2,FALSE))</f>
        <v>Inland Hazardous Charge Precarriage</v>
      </c>
      <c r="C123" s="813"/>
      <c r="D123" s="813"/>
      <c r="E123" s="814" t="s">
        <v>51</v>
      </c>
      <c r="F123" s="814"/>
      <c r="G123" s="814"/>
      <c r="H123" s="653"/>
      <c r="I123" s="531"/>
      <c r="J123" s="531"/>
      <c r="K123" s="531"/>
      <c r="L123" s="531"/>
      <c r="M123" s="532"/>
      <c r="N123" s="160"/>
      <c r="O123" s="160"/>
      <c r="P123" s="160"/>
      <c r="Q123" s="160"/>
      <c r="R123" s="159"/>
    </row>
    <row r="124" spans="1:18" s="136" customFormat="1" ht="15.75" customHeight="1" x14ac:dyDescent="0.2">
      <c r="A124" s="182" t="s">
        <v>489</v>
      </c>
      <c r="B124" s="813" t="str">
        <f>IF($A124="","",VLOOKUP($A124,Listes!$A$3:$C$193,2,FALSE))</f>
        <v>Shipper Owned Container Surcharge</v>
      </c>
      <c r="C124" s="813"/>
      <c r="D124" s="813"/>
      <c r="E124" s="814" t="s">
        <v>51</v>
      </c>
      <c r="F124" s="814"/>
      <c r="G124" s="814"/>
      <c r="H124" s="653"/>
      <c r="I124" s="531"/>
      <c r="J124" s="531"/>
      <c r="K124" s="531"/>
      <c r="L124" s="531"/>
      <c r="M124" s="532"/>
      <c r="N124" s="160"/>
      <c r="O124" s="160"/>
      <c r="P124" s="160"/>
      <c r="Q124" s="160"/>
      <c r="R124" s="159"/>
    </row>
    <row r="125" spans="1:18" s="136" customFormat="1" ht="15.75" customHeight="1" x14ac:dyDescent="0.2">
      <c r="A125" s="182" t="s">
        <v>281</v>
      </c>
      <c r="B125" s="813" t="str">
        <f>IF($A125="","",VLOOKUP($A125,Listes!$A$3:$C$193,2,FALSE))</f>
        <v>Tank</v>
      </c>
      <c r="C125" s="813"/>
      <c r="D125" s="813"/>
      <c r="E125" s="814" t="s">
        <v>51</v>
      </c>
      <c r="F125" s="814"/>
      <c r="G125" s="814"/>
      <c r="H125" s="653"/>
      <c r="I125" s="531"/>
      <c r="J125" s="531"/>
      <c r="K125" s="531"/>
      <c r="L125" s="531"/>
      <c r="M125" s="532"/>
      <c r="N125" s="160"/>
      <c r="O125" s="160"/>
      <c r="P125" s="160"/>
      <c r="Q125" s="160"/>
      <c r="R125" s="159"/>
    </row>
    <row r="126" spans="1:18" s="136" customFormat="1" ht="31.5" x14ac:dyDescent="0.2">
      <c r="A126" s="182" t="s">
        <v>368</v>
      </c>
      <c r="B126" s="813" t="str">
        <f>IF($A126="","",VLOOKUP($A126,Listes!$A$3:$C$193,2,FALSE))</f>
        <v>Tri-Axle / Super Chassis Precarriage Surcharge</v>
      </c>
      <c r="C126" s="813"/>
      <c r="D126" s="813"/>
      <c r="E126" s="814" t="s">
        <v>51</v>
      </c>
      <c r="F126" s="814"/>
      <c r="G126" s="814"/>
      <c r="H126" s="653"/>
      <c r="I126" s="531"/>
      <c r="J126" s="531"/>
      <c r="K126" s="531"/>
      <c r="L126" s="531"/>
      <c r="M126" s="532"/>
      <c r="N126" s="160"/>
      <c r="O126" s="160"/>
      <c r="P126" s="160"/>
      <c r="Q126" s="160"/>
      <c r="R126" s="159"/>
    </row>
    <row r="127" spans="1:18" s="136" customFormat="1" ht="15.75" customHeight="1" thickBot="1" x14ac:dyDescent="0.25">
      <c r="A127" s="185" t="s">
        <v>742</v>
      </c>
      <c r="B127" s="812" t="str">
        <f>IF($A127="","",VLOOKUP($A127,Listes!$A$3:$C$193,2,FALSE))</f>
        <v>Wharfage (Destination)</v>
      </c>
      <c r="C127" s="812"/>
      <c r="D127" s="812"/>
      <c r="E127" s="815" t="s">
        <v>51</v>
      </c>
      <c r="F127" s="815"/>
      <c r="G127" s="815"/>
      <c r="H127" s="655"/>
      <c r="I127" s="533"/>
      <c r="J127" s="533"/>
      <c r="K127" s="533"/>
      <c r="L127" s="533"/>
      <c r="M127" s="534"/>
      <c r="N127" s="160"/>
      <c r="O127" s="160"/>
      <c r="P127" s="160"/>
      <c r="Q127" s="160"/>
      <c r="R127" s="159"/>
    </row>
    <row r="128" spans="1:18" s="73" customFormat="1" ht="16.5" thickBot="1" x14ac:dyDescent="0.25">
      <c r="A128" s="850" t="s">
        <v>216</v>
      </c>
      <c r="B128" s="851"/>
      <c r="C128" s="851"/>
      <c r="D128" s="851"/>
      <c r="E128" s="852"/>
      <c r="F128" s="852"/>
      <c r="G128" s="852"/>
      <c r="H128" s="852"/>
      <c r="I128" s="853"/>
      <c r="J128" s="169"/>
      <c r="K128" s="118"/>
      <c r="L128" s="134"/>
      <c r="M128" s="134"/>
      <c r="N128" s="134"/>
      <c r="O128" s="134"/>
      <c r="P128" s="134"/>
      <c r="Q128" s="118"/>
    </row>
    <row r="129" spans="1:23" s="73" customFormat="1" ht="16.5" thickBot="1" x14ac:dyDescent="0.25">
      <c r="A129" s="849" t="s">
        <v>597</v>
      </c>
      <c r="B129" s="833"/>
      <c r="C129" s="833"/>
      <c r="D129" s="833"/>
      <c r="E129" s="833"/>
      <c r="F129" s="833"/>
      <c r="G129" s="833"/>
      <c r="H129" s="833"/>
      <c r="I129" s="834"/>
      <c r="J129" s="169"/>
      <c r="K129" s="134"/>
      <c r="L129" s="134"/>
      <c r="M129" s="134"/>
      <c r="N129" s="134"/>
      <c r="O129" s="118"/>
    </row>
    <row r="130" spans="1:23" s="73" customFormat="1" ht="16.5" thickBot="1" x14ac:dyDescent="0.25">
      <c r="A130" s="187"/>
      <c r="B130" s="187"/>
      <c r="C130" s="188"/>
      <c r="D130" s="189"/>
      <c r="E130" s="170"/>
      <c r="F130" s="170"/>
      <c r="G130" s="170"/>
      <c r="H130" s="170"/>
      <c r="I130" s="170"/>
      <c r="J130" s="189"/>
      <c r="K130" s="169"/>
      <c r="L130" s="118"/>
      <c r="M130" s="134"/>
      <c r="N130" s="134"/>
      <c r="O130" s="134"/>
      <c r="P130" s="134"/>
      <c r="Q130" s="134"/>
      <c r="R130" s="118"/>
    </row>
    <row r="131" spans="1:23" s="73" customFormat="1" ht="15.6" customHeight="1" x14ac:dyDescent="0.2">
      <c r="A131" s="830" t="s">
        <v>523</v>
      </c>
      <c r="B131" s="831"/>
      <c r="C131" s="831"/>
      <c r="D131" s="831"/>
      <c r="E131" s="842" t="s">
        <v>288</v>
      </c>
      <c r="F131" s="842">
        <v>20</v>
      </c>
      <c r="G131" s="842">
        <v>40</v>
      </c>
      <c r="H131" s="842" t="s">
        <v>19</v>
      </c>
      <c r="I131" s="842" t="s">
        <v>20</v>
      </c>
      <c r="J131" s="848" t="s">
        <v>297</v>
      </c>
      <c r="K131" s="848" t="s">
        <v>33</v>
      </c>
      <c r="L131" s="846" t="s">
        <v>217</v>
      </c>
      <c r="M131" s="189"/>
      <c r="N131" s="134"/>
      <c r="O131" s="134"/>
      <c r="P131" s="134"/>
      <c r="Q131" s="134"/>
      <c r="R131" s="134"/>
      <c r="S131" s="134"/>
      <c r="T131" s="134"/>
      <c r="U131" s="134"/>
    </row>
    <row r="132" spans="1:23" s="73" customFormat="1" x14ac:dyDescent="0.2">
      <c r="A132" s="537" t="s">
        <v>218</v>
      </c>
      <c r="B132" s="538" t="s">
        <v>11</v>
      </c>
      <c r="C132" s="538" t="s">
        <v>12</v>
      </c>
      <c r="D132" s="538" t="s">
        <v>219</v>
      </c>
      <c r="E132" s="843"/>
      <c r="F132" s="843"/>
      <c r="G132" s="843"/>
      <c r="H132" s="843"/>
      <c r="I132" s="843"/>
      <c r="J132" s="843"/>
      <c r="K132" s="843"/>
      <c r="L132" s="847"/>
      <c r="M132" s="189"/>
      <c r="N132" s="134"/>
      <c r="O132" s="134"/>
      <c r="P132" s="134"/>
      <c r="Q132" s="134"/>
      <c r="R132" s="134"/>
      <c r="S132" s="134"/>
      <c r="T132" s="134"/>
      <c r="U132" s="134"/>
    </row>
    <row r="133" spans="1:23" s="136" customFormat="1" x14ac:dyDescent="0.2">
      <c r="A133" s="539"/>
      <c r="B133" s="540"/>
      <c r="C133" s="540"/>
      <c r="D133" s="540"/>
      <c r="E133" s="540"/>
      <c r="F133" s="255"/>
      <c r="G133" s="255"/>
      <c r="H133" s="255"/>
      <c r="I133" s="255"/>
      <c r="J133" s="540"/>
      <c r="K133" s="21"/>
      <c r="L133" s="541"/>
      <c r="M133" s="190"/>
      <c r="N133" s="160"/>
      <c r="O133" s="160"/>
      <c r="P133" s="160"/>
      <c r="Q133" s="160"/>
      <c r="R133" s="160"/>
      <c r="S133" s="160"/>
      <c r="T133" s="160"/>
      <c r="U133" s="160"/>
    </row>
    <row r="134" spans="1:23" s="136" customFormat="1" x14ac:dyDescent="0.2">
      <c r="A134" s="542"/>
      <c r="B134" s="540"/>
      <c r="C134" s="540"/>
      <c r="D134" s="540"/>
      <c r="E134" s="540"/>
      <c r="F134" s="255"/>
      <c r="G134" s="255"/>
      <c r="H134" s="255"/>
      <c r="I134" s="255"/>
      <c r="J134" s="24"/>
      <c r="K134" s="21"/>
      <c r="L134" s="25"/>
      <c r="M134" s="191"/>
      <c r="N134" s="160"/>
      <c r="O134" s="160"/>
      <c r="P134" s="160"/>
      <c r="Q134" s="160"/>
      <c r="R134" s="160"/>
      <c r="S134" s="160"/>
      <c r="T134" s="160"/>
      <c r="U134" s="160"/>
    </row>
    <row r="135" spans="1:23" s="136" customFormat="1" x14ac:dyDescent="0.2">
      <c r="A135" s="542"/>
      <c r="B135" s="540"/>
      <c r="C135" s="540"/>
      <c r="D135" s="540"/>
      <c r="E135" s="540"/>
      <c r="F135" s="255"/>
      <c r="G135" s="255"/>
      <c r="H135" s="255"/>
      <c r="I135" s="255"/>
      <c r="J135" s="24"/>
      <c r="K135" s="21"/>
      <c r="L135" s="25"/>
      <c r="M135" s="191"/>
      <c r="N135" s="160"/>
      <c r="O135" s="160"/>
      <c r="P135" s="160"/>
      <c r="Q135" s="160"/>
      <c r="R135" s="160"/>
      <c r="S135" s="160"/>
      <c r="T135" s="160"/>
      <c r="U135" s="160"/>
    </row>
    <row r="136" spans="1:23" s="136" customFormat="1" ht="16.5" thickBot="1" x14ac:dyDescent="0.25">
      <c r="A136" s="543"/>
      <c r="B136" s="544"/>
      <c r="C136" s="544"/>
      <c r="D136" s="544"/>
      <c r="E136" s="544"/>
      <c r="F136" s="256"/>
      <c r="G136" s="256"/>
      <c r="H136" s="256"/>
      <c r="I136" s="256"/>
      <c r="J136" s="28"/>
      <c r="K136" s="29"/>
      <c r="L136" s="30"/>
      <c r="M136" s="191"/>
      <c r="N136" s="160"/>
      <c r="O136" s="160"/>
      <c r="P136" s="160"/>
      <c r="Q136" s="160"/>
      <c r="R136" s="160"/>
      <c r="S136" s="160"/>
      <c r="T136" s="160"/>
      <c r="U136" s="160"/>
    </row>
    <row r="137" spans="1:23" s="136" customFormat="1" x14ac:dyDescent="0.2">
      <c r="A137" s="173"/>
      <c r="B137" s="545"/>
      <c r="C137" s="545"/>
      <c r="D137" s="545"/>
      <c r="E137" s="545"/>
      <c r="F137" s="545"/>
      <c r="G137" s="545"/>
      <c r="H137" s="545"/>
      <c r="I137" s="545"/>
      <c r="J137" s="33"/>
      <c r="K137" s="33"/>
      <c r="L137" s="34"/>
      <c r="M137" s="191"/>
      <c r="N137" s="160"/>
      <c r="O137" s="160"/>
      <c r="P137" s="160"/>
      <c r="Q137" s="160"/>
      <c r="R137" s="160"/>
      <c r="S137" s="160"/>
      <c r="T137" s="160"/>
      <c r="U137" s="160"/>
    </row>
    <row r="138" spans="1:23" s="73" customFormat="1" ht="15.6" customHeight="1" x14ac:dyDescent="0.2">
      <c r="A138" s="841" t="s">
        <v>596</v>
      </c>
      <c r="B138" s="840"/>
      <c r="C138" s="840"/>
      <c r="D138" s="840"/>
      <c r="E138" s="840" t="s">
        <v>288</v>
      </c>
      <c r="F138" s="840">
        <v>20</v>
      </c>
      <c r="G138" s="840">
        <v>40</v>
      </c>
      <c r="H138" s="840" t="s">
        <v>19</v>
      </c>
      <c r="I138" s="840" t="s">
        <v>20</v>
      </c>
      <c r="J138" s="845" t="s">
        <v>297</v>
      </c>
      <c r="K138" s="845" t="s">
        <v>33</v>
      </c>
      <c r="L138" s="844" t="s">
        <v>217</v>
      </c>
      <c r="M138" s="844" t="s">
        <v>23</v>
      </c>
      <c r="N138" s="169"/>
      <c r="O138" s="118"/>
      <c r="P138" s="134"/>
      <c r="Q138" s="134"/>
      <c r="R138" s="134"/>
      <c r="S138" s="134"/>
      <c r="T138" s="134"/>
      <c r="U138" s="134"/>
      <c r="V138" s="134"/>
      <c r="W138" s="134"/>
    </row>
    <row r="139" spans="1:23" s="73" customFormat="1" x14ac:dyDescent="0.2">
      <c r="A139" s="546" t="s">
        <v>218</v>
      </c>
      <c r="B139" s="546" t="s">
        <v>11</v>
      </c>
      <c r="C139" s="546" t="s">
        <v>12</v>
      </c>
      <c r="D139" s="546" t="s">
        <v>219</v>
      </c>
      <c r="E139" s="840"/>
      <c r="F139" s="840"/>
      <c r="G139" s="840"/>
      <c r="H139" s="840"/>
      <c r="I139" s="840"/>
      <c r="J139" s="840"/>
      <c r="K139" s="840"/>
      <c r="L139" s="844"/>
      <c r="M139" s="844"/>
      <c r="N139" s="169"/>
      <c r="O139" s="118"/>
      <c r="P139" s="134"/>
      <c r="Q139" s="134"/>
      <c r="R139" s="134"/>
      <c r="S139" s="134"/>
      <c r="T139" s="134"/>
      <c r="U139" s="134"/>
      <c r="V139" s="134"/>
      <c r="W139" s="134"/>
    </row>
    <row r="140" spans="1:23" s="136" customFormat="1" x14ac:dyDescent="0.2">
      <c r="A140" s="372"/>
      <c r="B140" s="547"/>
      <c r="C140" s="547"/>
      <c r="D140" s="547"/>
      <c r="E140" s="547"/>
      <c r="F140" s="368"/>
      <c r="G140" s="368"/>
      <c r="H140" s="368"/>
      <c r="I140" s="368"/>
      <c r="J140" s="369"/>
      <c r="K140" s="370"/>
      <c r="L140" s="548"/>
      <c r="M140" s="548"/>
      <c r="N140" s="192"/>
      <c r="O140" s="159"/>
      <c r="P140" s="160"/>
      <c r="Q140" s="160"/>
      <c r="R140" s="160"/>
      <c r="S140" s="160"/>
      <c r="T140" s="160"/>
      <c r="U140" s="160"/>
      <c r="V140" s="160"/>
      <c r="W140" s="160"/>
    </row>
    <row r="141" spans="1:23" s="136" customFormat="1" x14ac:dyDescent="0.2">
      <c r="A141" s="372"/>
      <c r="B141" s="547"/>
      <c r="C141" s="547"/>
      <c r="D141" s="547"/>
      <c r="E141" s="547"/>
      <c r="F141" s="368"/>
      <c r="G141" s="368"/>
      <c r="H141" s="368"/>
      <c r="I141" s="368"/>
      <c r="J141" s="369"/>
      <c r="K141" s="370"/>
      <c r="L141" s="548"/>
      <c r="M141" s="548"/>
      <c r="N141" s="192"/>
      <c r="O141" s="159"/>
      <c r="P141" s="160"/>
      <c r="Q141" s="160"/>
      <c r="R141" s="160"/>
      <c r="S141" s="160"/>
      <c r="T141" s="160"/>
      <c r="U141" s="160"/>
      <c r="V141" s="160"/>
      <c r="W141" s="160"/>
    </row>
    <row r="142" spans="1:23" s="136" customFormat="1" x14ac:dyDescent="0.2">
      <c r="A142" s="372"/>
      <c r="B142" s="547"/>
      <c r="C142" s="547"/>
      <c r="D142" s="547"/>
      <c r="E142" s="547"/>
      <c r="F142" s="368"/>
      <c r="G142" s="368"/>
      <c r="H142" s="368"/>
      <c r="I142" s="368"/>
      <c r="J142" s="369"/>
      <c r="K142" s="370"/>
      <c r="L142" s="548"/>
      <c r="M142" s="548"/>
      <c r="N142" s="192"/>
      <c r="O142" s="159"/>
      <c r="P142" s="160"/>
      <c r="Q142" s="160"/>
      <c r="R142" s="160"/>
      <c r="S142" s="160"/>
      <c r="T142" s="160"/>
      <c r="U142" s="160"/>
      <c r="V142" s="160"/>
      <c r="W142" s="160"/>
    </row>
    <row r="143" spans="1:23" s="136" customFormat="1" x14ac:dyDescent="0.2">
      <c r="A143" s="372"/>
      <c r="B143" s="547"/>
      <c r="C143" s="547"/>
      <c r="D143" s="547"/>
      <c r="E143" s="547"/>
      <c r="F143" s="368"/>
      <c r="G143" s="368"/>
      <c r="H143" s="368"/>
      <c r="I143" s="368"/>
      <c r="J143" s="369"/>
      <c r="K143" s="370"/>
      <c r="L143" s="373"/>
      <c r="M143" s="373"/>
      <c r="N143" s="191"/>
      <c r="O143" s="159"/>
      <c r="P143" s="160"/>
      <c r="Q143" s="160"/>
      <c r="R143" s="160"/>
      <c r="S143" s="160"/>
      <c r="T143" s="160"/>
      <c r="U143" s="160"/>
      <c r="V143" s="160"/>
      <c r="W143" s="160"/>
    </row>
    <row r="144" spans="1:23" s="73" customFormat="1" x14ac:dyDescent="0.2">
      <c r="A144" s="456"/>
      <c r="B144" s="549"/>
      <c r="C144" s="549"/>
      <c r="D144" s="549"/>
      <c r="E144" s="549"/>
      <c r="F144" s="194"/>
      <c r="G144" s="522"/>
      <c r="H144" s="195"/>
      <c r="I144" s="195"/>
      <c r="J144" s="176"/>
      <c r="K144" s="118"/>
      <c r="L144" s="134"/>
      <c r="M144" s="134"/>
      <c r="N144" s="134"/>
      <c r="O144" s="134"/>
      <c r="P144" s="134"/>
      <c r="Q144" s="134"/>
    </row>
    <row r="145" spans="1:21" s="456" customFormat="1" ht="16.5" thickBot="1" x14ac:dyDescent="0.25">
      <c r="A145" s="196"/>
      <c r="B145" s="197"/>
      <c r="C145" s="198"/>
      <c r="D145" s="198"/>
      <c r="E145" s="169"/>
      <c r="F145" s="176"/>
      <c r="G145" s="176"/>
      <c r="H145" s="176"/>
      <c r="I145" s="176"/>
      <c r="J145" s="170"/>
      <c r="K145" s="118"/>
      <c r="L145" s="134"/>
      <c r="M145" s="134"/>
      <c r="N145" s="134"/>
      <c r="O145" s="134"/>
      <c r="P145" s="134"/>
      <c r="Q145" s="134"/>
      <c r="R145" s="134"/>
      <c r="S145" s="118"/>
      <c r="T145" s="118"/>
      <c r="U145" s="118"/>
    </row>
    <row r="146" spans="1:21" s="456" customFormat="1" ht="16.5" thickBot="1" x14ac:dyDescent="0.25">
      <c r="A146" s="822" t="s">
        <v>220</v>
      </c>
      <c r="B146" s="823"/>
      <c r="C146" s="823"/>
      <c r="D146" s="823"/>
      <c r="E146" s="824"/>
      <c r="F146" s="176"/>
      <c r="G146" s="176"/>
      <c r="H146" s="176"/>
      <c r="I146" s="176"/>
      <c r="J146" s="170"/>
      <c r="K146" s="118"/>
      <c r="L146" s="134"/>
      <c r="M146" s="134"/>
      <c r="N146" s="134"/>
      <c r="O146" s="134"/>
      <c r="P146" s="134"/>
      <c r="Q146" s="134"/>
      <c r="R146" s="134"/>
      <c r="S146" s="118"/>
      <c r="T146" s="118"/>
      <c r="U146" s="118"/>
    </row>
    <row r="147" spans="1:21" s="73" customFormat="1" ht="16.5" thickBot="1" x14ac:dyDescent="0.25">
      <c r="A147" s="550"/>
      <c r="B147" s="456"/>
      <c r="C147" s="456"/>
      <c r="D147" s="456"/>
      <c r="E147" s="456"/>
      <c r="F147" s="194"/>
      <c r="G147" s="456"/>
      <c r="H147" s="200"/>
      <c r="I147" s="194"/>
      <c r="J147" s="194"/>
      <c r="K147" s="118"/>
      <c r="L147" s="134"/>
      <c r="M147" s="134"/>
      <c r="N147" s="134"/>
      <c r="O147" s="134"/>
      <c r="P147" s="134"/>
      <c r="Q147" s="134"/>
      <c r="R147" s="134"/>
      <c r="S147" s="118"/>
      <c r="T147" s="118"/>
      <c r="U147" s="118"/>
    </row>
    <row r="148" spans="1:21" s="73" customFormat="1" ht="16.5" thickBot="1" x14ac:dyDescent="0.25">
      <c r="A148" s="825" t="s">
        <v>221</v>
      </c>
      <c r="B148" s="838"/>
      <c r="C148" s="838"/>
      <c r="D148" s="838"/>
      <c r="E148" s="838"/>
      <c r="F148" s="839"/>
      <c r="G148" s="456"/>
      <c r="H148" s="200"/>
      <c r="I148" s="194"/>
      <c r="J148" s="194"/>
      <c r="K148" s="118"/>
      <c r="L148" s="134"/>
      <c r="M148" s="134"/>
      <c r="N148" s="134"/>
      <c r="O148" s="134"/>
      <c r="P148" s="134"/>
      <c r="Q148" s="134"/>
      <c r="R148" s="134"/>
      <c r="S148" s="118"/>
      <c r="T148" s="118"/>
      <c r="U148" s="118"/>
    </row>
    <row r="149" spans="1:21" s="73" customFormat="1" ht="16.5" customHeight="1" x14ac:dyDescent="0.2">
      <c r="A149" s="835" t="s">
        <v>222</v>
      </c>
      <c r="B149" s="836"/>
      <c r="C149" s="836"/>
      <c r="D149" s="836"/>
      <c r="E149" s="836"/>
      <c r="F149" s="837"/>
      <c r="G149" s="456"/>
      <c r="H149" s="201"/>
      <c r="I149" s="170"/>
      <c r="J149" s="170"/>
      <c r="K149" s="118"/>
      <c r="L149" s="134"/>
      <c r="M149" s="134"/>
      <c r="N149" s="134"/>
      <c r="O149" s="134"/>
      <c r="P149" s="134"/>
      <c r="Q149" s="134"/>
      <c r="R149" s="134"/>
      <c r="S149" s="118"/>
      <c r="T149" s="118"/>
      <c r="U149" s="118"/>
    </row>
    <row r="150" spans="1:21" ht="16.5" thickBot="1" x14ac:dyDescent="0.25">
      <c r="A150" s="832" t="s">
        <v>223</v>
      </c>
      <c r="B150" s="833"/>
      <c r="C150" s="833"/>
      <c r="D150" s="833"/>
      <c r="E150" s="833"/>
      <c r="F150" s="834"/>
      <c r="G150" s="176"/>
      <c r="H150" s="176"/>
      <c r="I150" s="176"/>
      <c r="J150" s="169"/>
      <c r="K150" s="169"/>
      <c r="L150" s="169"/>
      <c r="M150" s="169"/>
      <c r="N150" s="169"/>
      <c r="O150" s="169"/>
      <c r="P150" s="169"/>
      <c r="Q150" s="169"/>
      <c r="R150" s="169"/>
      <c r="S150" s="169"/>
      <c r="T150" s="169"/>
      <c r="U150" s="169"/>
    </row>
    <row r="151" spans="1:21" x14ac:dyDescent="0.2">
      <c r="A151" s="551" t="s">
        <v>224</v>
      </c>
      <c r="B151" s="450" t="s">
        <v>225</v>
      </c>
      <c r="C151" s="552" t="s">
        <v>226</v>
      </c>
      <c r="D151" s="553" t="s">
        <v>227</v>
      </c>
      <c r="E151" s="176"/>
      <c r="F151" s="176"/>
      <c r="G151" s="176"/>
      <c r="H151" s="169"/>
      <c r="I151" s="169"/>
      <c r="J151" s="169"/>
      <c r="K151" s="169"/>
      <c r="L151" s="169"/>
      <c r="M151" s="169"/>
      <c r="N151" s="169"/>
      <c r="O151" s="169"/>
      <c r="P151" s="169"/>
      <c r="Q151" s="169"/>
      <c r="R151" s="169"/>
    </row>
    <row r="152" spans="1:21" s="192" customFormat="1" x14ac:dyDescent="0.2">
      <c r="A152" s="203"/>
      <c r="B152" s="204"/>
      <c r="C152" s="205"/>
      <c r="D152" s="206"/>
      <c r="E152" s="191"/>
      <c r="F152" s="191"/>
      <c r="G152" s="191"/>
    </row>
    <row r="153" spans="1:21" s="192" customFormat="1" x14ac:dyDescent="0.2">
      <c r="A153" s="203"/>
      <c r="B153" s="204"/>
      <c r="C153" s="205"/>
      <c r="D153" s="206"/>
      <c r="E153" s="191"/>
      <c r="F153" s="191"/>
      <c r="G153" s="191"/>
    </row>
    <row r="154" spans="1:21" s="192" customFormat="1" ht="16.5" thickBot="1" x14ac:dyDescent="0.25">
      <c r="A154" s="207"/>
      <c r="B154" s="208"/>
      <c r="C154" s="209"/>
      <c r="D154" s="210"/>
      <c r="E154" s="191"/>
      <c r="F154" s="191"/>
      <c r="G154" s="191"/>
    </row>
    <row r="155" spans="1:21" ht="16.5" thickBot="1" x14ac:dyDescent="0.25"/>
    <row r="156" spans="1:21" s="73" customFormat="1" ht="16.5" thickBot="1" x14ac:dyDescent="0.25">
      <c r="A156" s="822" t="s">
        <v>228</v>
      </c>
      <c r="B156" s="823"/>
      <c r="C156" s="823"/>
      <c r="D156" s="823"/>
      <c r="E156" s="823"/>
      <c r="F156" s="823"/>
      <c r="G156" s="823"/>
      <c r="H156" s="823"/>
      <c r="I156" s="824"/>
      <c r="J156" s="169"/>
      <c r="K156" s="118"/>
      <c r="L156" s="134"/>
      <c r="M156" s="134"/>
      <c r="N156" s="134"/>
      <c r="O156" s="134"/>
      <c r="P156" s="134"/>
      <c r="Q156" s="134"/>
      <c r="R156" s="134"/>
      <c r="S156" s="118"/>
      <c r="T156" s="118"/>
      <c r="U156" s="118"/>
    </row>
    <row r="157" spans="1:21" s="73" customFormat="1" ht="16.5" thickBot="1" x14ac:dyDescent="0.25">
      <c r="A157" s="554" t="s">
        <v>229</v>
      </c>
      <c r="B157" s="213"/>
      <c r="C157" s="214"/>
      <c r="D157" s="214"/>
      <c r="E157" s="214"/>
      <c r="F157" s="214"/>
      <c r="G157" s="215"/>
      <c r="H157" s="216"/>
      <c r="I157" s="217"/>
      <c r="J157" s="170"/>
      <c r="K157" s="118"/>
      <c r="L157" s="134"/>
      <c r="M157" s="134"/>
      <c r="N157" s="134"/>
      <c r="O157" s="134"/>
      <c r="P157" s="134"/>
      <c r="Q157" s="134"/>
      <c r="R157" s="134"/>
      <c r="S157" s="118"/>
      <c r="T157" s="118"/>
      <c r="U157" s="118"/>
    </row>
    <row r="158" spans="1:21" s="308" customFormat="1" ht="180" customHeight="1" x14ac:dyDescent="0.2">
      <c r="A158" s="228" t="s">
        <v>504</v>
      </c>
      <c r="B158" s="827" t="s">
        <v>1063</v>
      </c>
      <c r="C158" s="828"/>
      <c r="D158" s="828"/>
      <c r="E158" s="828"/>
      <c r="F158" s="828"/>
      <c r="G158" s="828"/>
      <c r="H158" s="828"/>
      <c r="I158" s="829"/>
      <c r="J158" s="171"/>
      <c r="K158" s="172"/>
      <c r="L158" s="173"/>
      <c r="M158" s="173"/>
      <c r="N158" s="173"/>
      <c r="O158" s="173"/>
      <c r="P158" s="173"/>
      <c r="Q158" s="173"/>
      <c r="R158" s="173"/>
      <c r="S158" s="172"/>
      <c r="T158" s="172"/>
      <c r="U158" s="172"/>
    </row>
    <row r="159" spans="1:21" s="218" customFormat="1" x14ac:dyDescent="0.2">
      <c r="A159" s="281"/>
      <c r="B159" s="816"/>
      <c r="C159" s="817"/>
      <c r="D159" s="817"/>
      <c r="E159" s="817"/>
      <c r="F159" s="817"/>
      <c r="G159" s="817"/>
      <c r="H159" s="817"/>
      <c r="I159" s="818"/>
    </row>
    <row r="160" spans="1:21" s="218" customFormat="1" x14ac:dyDescent="0.2">
      <c r="A160" s="281"/>
      <c r="B160" s="816"/>
      <c r="C160" s="817"/>
      <c r="D160" s="817"/>
      <c r="E160" s="817"/>
      <c r="F160" s="817"/>
      <c r="G160" s="817"/>
      <c r="H160" s="817"/>
      <c r="I160" s="818"/>
    </row>
    <row r="161" spans="1:9" s="218" customFormat="1" x14ac:dyDescent="0.2">
      <c r="A161" s="281"/>
      <c r="B161" s="816"/>
      <c r="C161" s="817"/>
      <c r="D161" s="817"/>
      <c r="E161" s="817"/>
      <c r="F161" s="817"/>
      <c r="G161" s="817"/>
      <c r="H161" s="817"/>
      <c r="I161" s="818"/>
    </row>
    <row r="162" spans="1:9" s="218" customFormat="1" x14ac:dyDescent="0.2">
      <c r="A162" s="281"/>
      <c r="B162" s="816"/>
      <c r="C162" s="817"/>
      <c r="D162" s="817"/>
      <c r="E162" s="817"/>
      <c r="F162" s="817"/>
      <c r="G162" s="817"/>
      <c r="H162" s="817"/>
      <c r="I162" s="818"/>
    </row>
    <row r="163" spans="1:9" s="218" customFormat="1" x14ac:dyDescent="0.2">
      <c r="A163" s="281"/>
      <c r="B163" s="816"/>
      <c r="C163" s="817"/>
      <c r="D163" s="817"/>
      <c r="E163" s="817"/>
      <c r="F163" s="817"/>
      <c r="G163" s="817"/>
      <c r="H163" s="817"/>
      <c r="I163" s="818"/>
    </row>
    <row r="164" spans="1:9" s="218" customFormat="1" x14ac:dyDescent="0.2">
      <c r="A164" s="281"/>
      <c r="B164" s="816"/>
      <c r="C164" s="817"/>
      <c r="D164" s="817"/>
      <c r="E164" s="817"/>
      <c r="F164" s="817"/>
      <c r="G164" s="817"/>
      <c r="H164" s="817"/>
      <c r="I164" s="818"/>
    </row>
    <row r="165" spans="1:9" s="218" customFormat="1" x14ac:dyDescent="0.2">
      <c r="A165" s="281"/>
      <c r="B165" s="816"/>
      <c r="C165" s="817"/>
      <c r="D165" s="817"/>
      <c r="E165" s="817"/>
      <c r="F165" s="817"/>
      <c r="G165" s="817"/>
      <c r="H165" s="817"/>
      <c r="I165" s="818"/>
    </row>
    <row r="166" spans="1:9" s="218" customFormat="1" x14ac:dyDescent="0.2">
      <c r="A166" s="281"/>
      <c r="B166" s="816"/>
      <c r="C166" s="817"/>
      <c r="D166" s="817"/>
      <c r="E166" s="817"/>
      <c r="F166" s="817"/>
      <c r="G166" s="817"/>
      <c r="H166" s="817"/>
      <c r="I166" s="818"/>
    </row>
    <row r="167" spans="1:9" s="218" customFormat="1" x14ac:dyDescent="0.2">
      <c r="A167" s="281"/>
      <c r="B167" s="816"/>
      <c r="C167" s="817"/>
      <c r="D167" s="817"/>
      <c r="E167" s="817"/>
      <c r="F167" s="817"/>
      <c r="G167" s="817"/>
      <c r="H167" s="817"/>
      <c r="I167" s="818"/>
    </row>
    <row r="168" spans="1:9" s="218" customFormat="1" x14ac:dyDescent="0.2">
      <c r="A168" s="281"/>
      <c r="B168" s="816"/>
      <c r="C168" s="817"/>
      <c r="D168" s="817"/>
      <c r="E168" s="817"/>
      <c r="F168" s="817"/>
      <c r="G168" s="817"/>
      <c r="H168" s="817"/>
      <c r="I168" s="818"/>
    </row>
    <row r="169" spans="1:9" s="218" customFormat="1" x14ac:dyDescent="0.2">
      <c r="A169" s="281"/>
      <c r="B169" s="816"/>
      <c r="C169" s="817"/>
      <c r="D169" s="817"/>
      <c r="E169" s="817"/>
      <c r="F169" s="817"/>
      <c r="G169" s="817"/>
      <c r="H169" s="817"/>
      <c r="I169" s="818"/>
    </row>
    <row r="170" spans="1:9" s="218" customFormat="1" x14ac:dyDescent="0.2">
      <c r="A170" s="281"/>
      <c r="B170" s="816"/>
      <c r="C170" s="817"/>
      <c r="D170" s="817"/>
      <c r="E170" s="817"/>
      <c r="F170" s="817"/>
      <c r="G170" s="817"/>
      <c r="H170" s="817"/>
      <c r="I170" s="818"/>
    </row>
    <row r="171" spans="1:9" s="218" customFormat="1" x14ac:dyDescent="0.2">
      <c r="A171" s="281"/>
      <c r="B171" s="816"/>
      <c r="C171" s="817"/>
      <c r="D171" s="817"/>
      <c r="E171" s="817"/>
      <c r="F171" s="817"/>
      <c r="G171" s="817"/>
      <c r="H171" s="817"/>
      <c r="I171" s="818"/>
    </row>
    <row r="172" spans="1:9" s="218" customFormat="1" ht="16.5" thickBot="1" x14ac:dyDescent="0.25">
      <c r="A172" s="282"/>
      <c r="B172" s="819"/>
      <c r="C172" s="820"/>
      <c r="D172" s="820"/>
      <c r="E172" s="820"/>
      <c r="F172" s="820"/>
      <c r="G172" s="820"/>
      <c r="H172" s="820"/>
      <c r="I172" s="821"/>
    </row>
    <row r="174" spans="1:9" s="218" customFormat="1" x14ac:dyDescent="0.2">
      <c r="F174" s="337"/>
      <c r="G174" s="337"/>
      <c r="H174" s="337"/>
      <c r="I174" s="337"/>
    </row>
    <row r="175" spans="1:9" s="218" customFormat="1" ht="16.5" thickBot="1" x14ac:dyDescent="0.25">
      <c r="F175" s="337"/>
      <c r="G175" s="337"/>
      <c r="H175" s="337"/>
      <c r="I175" s="337"/>
    </row>
    <row r="176" spans="1:9" s="218" customFormat="1" ht="16.5" thickBot="1" x14ac:dyDescent="0.25">
      <c r="A176" s="825" t="s">
        <v>3</v>
      </c>
      <c r="B176" s="826"/>
      <c r="F176" s="337"/>
      <c r="G176" s="337"/>
      <c r="H176" s="337"/>
      <c r="I176" s="337"/>
    </row>
    <row r="177" spans="1:14" s="347" customFormat="1" ht="16.5" thickBot="1" x14ac:dyDescent="0.25">
      <c r="A177" s="338"/>
      <c r="B177" s="338"/>
      <c r="F177" s="348"/>
      <c r="G177" s="348"/>
      <c r="H177" s="348"/>
      <c r="I177" s="348"/>
    </row>
    <row r="178" spans="1:14" s="218" customFormat="1" ht="15.75" customHeight="1" thickBot="1" x14ac:dyDescent="0.25">
      <c r="A178" s="800" t="s">
        <v>2</v>
      </c>
      <c r="B178" s="801"/>
      <c r="C178" s="801"/>
      <c r="D178" s="801"/>
      <c r="E178" s="801"/>
      <c r="F178" s="801"/>
      <c r="G178" s="802"/>
      <c r="H178" s="337"/>
      <c r="I178" s="337"/>
    </row>
    <row r="179" spans="1:14" s="347" customFormat="1" ht="15.75" customHeight="1" thickBot="1" x14ac:dyDescent="0.25">
      <c r="A179" s="338"/>
      <c r="B179" s="338"/>
      <c r="C179" s="338"/>
      <c r="D179" s="338"/>
      <c r="E179" s="338"/>
      <c r="F179" s="338"/>
      <c r="G179" s="338"/>
      <c r="H179" s="348"/>
      <c r="I179" s="348"/>
    </row>
    <row r="180" spans="1:14" s="218" customFormat="1" ht="15.75" customHeight="1" thickBot="1" x14ac:dyDescent="0.25">
      <c r="A180" s="807" t="s">
        <v>1</v>
      </c>
      <c r="B180" s="808"/>
      <c r="C180" s="808"/>
      <c r="D180" s="808"/>
      <c r="E180" s="809"/>
      <c r="F180" s="339"/>
      <c r="G180" s="339"/>
      <c r="H180" s="337"/>
      <c r="I180" s="337"/>
    </row>
    <row r="181" spans="1:14" s="218" customFormat="1" x14ac:dyDescent="0.2">
      <c r="A181" s="803" t="s">
        <v>627</v>
      </c>
      <c r="B181" s="805" t="s">
        <v>888</v>
      </c>
      <c r="C181" s="786" t="s">
        <v>0</v>
      </c>
      <c r="D181" s="786" t="s">
        <v>609</v>
      </c>
      <c r="E181" s="805" t="s">
        <v>889</v>
      </c>
      <c r="F181" s="786" t="s">
        <v>436</v>
      </c>
      <c r="G181" s="786" t="s">
        <v>421</v>
      </c>
      <c r="H181" s="786" t="s">
        <v>628</v>
      </c>
      <c r="I181" s="786" t="s">
        <v>11</v>
      </c>
      <c r="J181" s="786" t="s">
        <v>12</v>
      </c>
      <c r="K181" s="786" t="s">
        <v>13</v>
      </c>
      <c r="L181" s="786" t="s">
        <v>449</v>
      </c>
      <c r="M181" s="786" t="s">
        <v>610</v>
      </c>
      <c r="N181" s="788"/>
    </row>
    <row r="182" spans="1:14" s="218" customFormat="1" ht="32.25" customHeight="1" thickBot="1" x14ac:dyDescent="0.25">
      <c r="A182" s="804"/>
      <c r="B182" s="806"/>
      <c r="C182" s="787"/>
      <c r="D182" s="787"/>
      <c r="E182" s="806"/>
      <c r="F182" s="787"/>
      <c r="G182" s="787"/>
      <c r="H182" s="787"/>
      <c r="I182" s="787"/>
      <c r="J182" s="787"/>
      <c r="K182" s="787"/>
      <c r="L182" s="787"/>
      <c r="M182" s="787"/>
      <c r="N182" s="789"/>
    </row>
    <row r="183" spans="1:14" s="218" customFormat="1" x14ac:dyDescent="0.2">
      <c r="A183" s="344"/>
      <c r="B183" s="340"/>
      <c r="C183" s="394"/>
      <c r="D183" s="340"/>
      <c r="E183" s="340"/>
      <c r="F183" s="340"/>
      <c r="G183" s="340"/>
      <c r="H183" s="340"/>
      <c r="I183" s="340"/>
      <c r="J183" s="340"/>
      <c r="K183" s="340"/>
      <c r="L183" s="661"/>
      <c r="M183" s="810"/>
      <c r="N183" s="811"/>
    </row>
    <row r="184" spans="1:14" s="218" customFormat="1" x14ac:dyDescent="0.2">
      <c r="A184" s="345"/>
      <c r="B184" s="341"/>
      <c r="C184" s="392"/>
      <c r="D184" s="341"/>
      <c r="E184" s="341"/>
      <c r="F184" s="341"/>
      <c r="G184" s="341"/>
      <c r="H184" s="341"/>
      <c r="I184" s="341"/>
      <c r="J184" s="341"/>
      <c r="K184" s="341"/>
      <c r="L184" s="662"/>
      <c r="M184" s="790"/>
      <c r="N184" s="791"/>
    </row>
    <row r="185" spans="1:14" s="218" customFormat="1" x14ac:dyDescent="0.2">
      <c r="A185" s="345"/>
      <c r="B185" s="341"/>
      <c r="C185" s="392"/>
      <c r="D185" s="341"/>
      <c r="E185" s="341"/>
      <c r="F185" s="341"/>
      <c r="G185" s="341"/>
      <c r="H185" s="341"/>
      <c r="I185" s="341"/>
      <c r="J185" s="341"/>
      <c r="K185" s="341"/>
      <c r="L185" s="662"/>
      <c r="M185" s="790"/>
      <c r="N185" s="791"/>
    </row>
    <row r="186" spans="1:14" s="218" customFormat="1" x14ac:dyDescent="0.2">
      <c r="A186" s="345"/>
      <c r="B186" s="341"/>
      <c r="C186" s="392"/>
      <c r="D186" s="341"/>
      <c r="E186" s="341"/>
      <c r="F186" s="341"/>
      <c r="G186" s="341"/>
      <c r="H186" s="341"/>
      <c r="I186" s="341"/>
      <c r="J186" s="341"/>
      <c r="K186" s="341"/>
      <c r="L186" s="662"/>
      <c r="M186" s="790"/>
      <c r="N186" s="791"/>
    </row>
    <row r="187" spans="1:14" s="218" customFormat="1" x14ac:dyDescent="0.2">
      <c r="A187" s="345"/>
      <c r="B187" s="341"/>
      <c r="C187" s="392"/>
      <c r="D187" s="341"/>
      <c r="E187" s="341"/>
      <c r="F187" s="341"/>
      <c r="G187" s="341"/>
      <c r="H187" s="341"/>
      <c r="I187" s="341"/>
      <c r="J187" s="341"/>
      <c r="K187" s="341"/>
      <c r="L187" s="662"/>
      <c r="M187" s="790"/>
      <c r="N187" s="791"/>
    </row>
    <row r="188" spans="1:14" s="218" customFormat="1" ht="16.5" thickBot="1" x14ac:dyDescent="0.25">
      <c r="A188" s="346"/>
      <c r="B188" s="342"/>
      <c r="C188" s="336"/>
      <c r="D188" s="342"/>
      <c r="E188" s="342"/>
      <c r="F188" s="342"/>
      <c r="G188" s="342"/>
      <c r="H188" s="342"/>
      <c r="I188" s="342"/>
      <c r="J188" s="342"/>
      <c r="K188" s="342"/>
      <c r="L188" s="663"/>
      <c r="M188" s="794"/>
      <c r="N188" s="795"/>
    </row>
    <row r="189" spans="1:14" s="218" customFormat="1" x14ac:dyDescent="0.2">
      <c r="F189" s="337"/>
      <c r="G189" s="337"/>
      <c r="H189" s="337"/>
      <c r="I189" s="337"/>
    </row>
    <row r="190" spans="1:14" s="218" customFormat="1" ht="16.5" thickBot="1" x14ac:dyDescent="0.25">
      <c r="F190" s="337"/>
      <c r="G190" s="337"/>
      <c r="H190" s="337"/>
      <c r="I190" s="337"/>
    </row>
    <row r="191" spans="1:14" s="218" customFormat="1" ht="16.5" thickBot="1" x14ac:dyDescent="0.25">
      <c r="A191" s="800" t="s">
        <v>790</v>
      </c>
      <c r="B191" s="801"/>
      <c r="C191" s="801"/>
      <c r="D191" s="801"/>
      <c r="E191" s="801"/>
      <c r="F191" s="801"/>
      <c r="G191" s="802"/>
      <c r="H191" s="337"/>
      <c r="I191" s="337"/>
    </row>
    <row r="192" spans="1:14" s="192" customFormat="1" ht="16.5" thickBot="1" x14ac:dyDescent="0.25">
      <c r="F192" s="191"/>
      <c r="G192" s="191"/>
      <c r="H192" s="191"/>
      <c r="I192" s="191"/>
    </row>
    <row r="193" spans="1:31" s="218" customFormat="1" ht="16.5" thickBot="1" x14ac:dyDescent="0.25">
      <c r="A193" s="807" t="s">
        <v>1</v>
      </c>
      <c r="B193" s="808"/>
      <c r="C193" s="808"/>
      <c r="D193" s="808"/>
      <c r="E193" s="808"/>
      <c r="F193" s="808"/>
      <c r="G193" s="808"/>
      <c r="H193" s="809"/>
      <c r="I193" s="337"/>
    </row>
    <row r="194" spans="1:31" s="1169" customFormat="1" ht="36.75" customHeight="1" thickBot="1" x14ac:dyDescent="0.25">
      <c r="A194" s="803" t="s">
        <v>627</v>
      </c>
      <c r="B194" s="805" t="s">
        <v>888</v>
      </c>
      <c r="C194" s="786" t="s">
        <v>0</v>
      </c>
      <c r="D194" s="786" t="s">
        <v>609</v>
      </c>
      <c r="E194" s="805" t="s">
        <v>889</v>
      </c>
      <c r="F194" s="971" t="s">
        <v>42</v>
      </c>
      <c r="G194" s="1165" t="s">
        <v>789</v>
      </c>
      <c r="H194" s="1163"/>
      <c r="I194" s="1163"/>
      <c r="J194" s="1163"/>
      <c r="K194" s="1163"/>
      <c r="L194" s="1163"/>
      <c r="M194" s="1163"/>
      <c r="N194" s="1163"/>
      <c r="O194" s="1163"/>
      <c r="P194" s="1163"/>
      <c r="Q194" s="1163"/>
      <c r="R194" s="1163"/>
      <c r="S194" s="1163"/>
      <c r="T194" s="1163"/>
      <c r="U194" s="1163"/>
      <c r="V194" s="1164"/>
      <c r="W194" s="930" t="s">
        <v>436</v>
      </c>
      <c r="X194" s="786" t="s">
        <v>421</v>
      </c>
      <c r="Y194" s="786" t="s">
        <v>628</v>
      </c>
      <c r="Z194" s="786" t="s">
        <v>11</v>
      </c>
      <c r="AA194" s="786" t="s">
        <v>12</v>
      </c>
      <c r="AB194" s="786" t="s">
        <v>13</v>
      </c>
      <c r="AC194" s="786" t="s">
        <v>449</v>
      </c>
      <c r="AD194" s="971" t="s">
        <v>610</v>
      </c>
      <c r="AE194" s="1161"/>
    </row>
    <row r="195" spans="1:31" s="1169" customFormat="1" ht="45.75" customHeight="1" thickBot="1" x14ac:dyDescent="0.25">
      <c r="A195" s="804"/>
      <c r="B195" s="806"/>
      <c r="C195" s="787"/>
      <c r="D195" s="787"/>
      <c r="E195" s="806"/>
      <c r="F195" s="787"/>
      <c r="G195" s="1186" t="s">
        <v>432</v>
      </c>
      <c r="H195" s="1186" t="s">
        <v>1380</v>
      </c>
      <c r="I195" s="1186" t="s">
        <v>1381</v>
      </c>
      <c r="J195" s="1186" t="s">
        <v>1382</v>
      </c>
      <c r="K195" s="1186" t="s">
        <v>433</v>
      </c>
      <c r="L195" s="1186" t="s">
        <v>1383</v>
      </c>
      <c r="M195" s="1182" t="s">
        <v>1386</v>
      </c>
      <c r="N195" s="1182" t="s">
        <v>1387</v>
      </c>
      <c r="O195" s="1186" t="s">
        <v>434</v>
      </c>
      <c r="P195" s="1186" t="s">
        <v>1384</v>
      </c>
      <c r="Q195" s="1182" t="s">
        <v>1388</v>
      </c>
      <c r="R195" s="1182" t="s">
        <v>1389</v>
      </c>
      <c r="S195" s="1186" t="s">
        <v>435</v>
      </c>
      <c r="T195" s="1186" t="s">
        <v>1385</v>
      </c>
      <c r="U195" s="1182" t="s">
        <v>1390</v>
      </c>
      <c r="V195" s="1182" t="s">
        <v>1391</v>
      </c>
      <c r="W195" s="959"/>
      <c r="X195" s="787"/>
      <c r="Y195" s="787"/>
      <c r="Z195" s="787"/>
      <c r="AA195" s="787"/>
      <c r="AB195" s="787"/>
      <c r="AC195" s="787"/>
      <c r="AD195" s="972"/>
      <c r="AE195" s="1162"/>
    </row>
    <row r="196" spans="1:31" s="1169" customFormat="1" x14ac:dyDescent="0.2">
      <c r="A196" s="1176"/>
      <c r="B196" s="1173"/>
      <c r="C196" s="1171"/>
      <c r="D196" s="1173"/>
      <c r="E196" s="1173"/>
      <c r="F196" s="1179"/>
      <c r="G196" s="1173"/>
      <c r="H196" s="1173"/>
      <c r="I196" s="1173"/>
      <c r="J196" s="1173"/>
      <c r="K196" s="1173"/>
      <c r="L196" s="1173"/>
      <c r="M196" s="1173"/>
      <c r="N196" s="1173"/>
      <c r="O196" s="1173"/>
      <c r="P196" s="1173"/>
      <c r="Q196" s="1173"/>
      <c r="R196" s="1173"/>
      <c r="S196" s="1173"/>
      <c r="T196" s="1173"/>
      <c r="U196" s="1173"/>
      <c r="V196" s="1173"/>
      <c r="W196" s="1173"/>
      <c r="X196" s="1173"/>
      <c r="Y196" s="1173"/>
      <c r="Z196" s="1173"/>
      <c r="AA196" s="1173"/>
      <c r="AB196" s="1173"/>
      <c r="AC196" s="1183"/>
      <c r="AD196" s="796"/>
      <c r="AE196" s="797"/>
    </row>
    <row r="197" spans="1:31" s="1169" customFormat="1" x14ac:dyDescent="0.2">
      <c r="A197" s="1177"/>
      <c r="B197" s="1174"/>
      <c r="C197" s="1170"/>
      <c r="D197" s="1174"/>
      <c r="E197" s="1174"/>
      <c r="F197" s="1180"/>
      <c r="G197" s="1174"/>
      <c r="H197" s="1174"/>
      <c r="I197" s="1174"/>
      <c r="J197" s="1174"/>
      <c r="K197" s="1174"/>
      <c r="L197" s="1174"/>
      <c r="M197" s="1174"/>
      <c r="N197" s="1174"/>
      <c r="O197" s="1174"/>
      <c r="P197" s="1174"/>
      <c r="Q197" s="1174"/>
      <c r="R197" s="1174"/>
      <c r="S197" s="1174"/>
      <c r="T197" s="1174"/>
      <c r="U197" s="1174"/>
      <c r="V197" s="1174"/>
      <c r="W197" s="1174"/>
      <c r="X197" s="1174"/>
      <c r="Y197" s="1174"/>
      <c r="Z197" s="1174"/>
      <c r="AA197" s="1174"/>
      <c r="AB197" s="1174"/>
      <c r="AC197" s="1184"/>
      <c r="AD197" s="798"/>
      <c r="AE197" s="799"/>
    </row>
    <row r="198" spans="1:31" s="1169" customFormat="1" x14ac:dyDescent="0.2">
      <c r="A198" s="1177"/>
      <c r="B198" s="1174"/>
      <c r="C198" s="1170"/>
      <c r="D198" s="1174"/>
      <c r="E198" s="1174"/>
      <c r="F198" s="1180"/>
      <c r="G198" s="1174"/>
      <c r="H198" s="1174"/>
      <c r="I198" s="1174"/>
      <c r="J198" s="1174"/>
      <c r="K198" s="1174"/>
      <c r="L198" s="1174"/>
      <c r="M198" s="1174"/>
      <c r="N198" s="1174"/>
      <c r="O198" s="1174"/>
      <c r="P198" s="1174"/>
      <c r="Q198" s="1174"/>
      <c r="R198" s="1174"/>
      <c r="S198" s="1174"/>
      <c r="T198" s="1174"/>
      <c r="U198" s="1174"/>
      <c r="V198" s="1174"/>
      <c r="W198" s="1174"/>
      <c r="X198" s="1174"/>
      <c r="Y198" s="1174"/>
      <c r="Z198" s="1174"/>
      <c r="AA198" s="1174"/>
      <c r="AB198" s="1174"/>
      <c r="AC198" s="1184"/>
      <c r="AD198" s="798"/>
      <c r="AE198" s="799"/>
    </row>
    <row r="199" spans="1:31" s="1169" customFormat="1" x14ac:dyDescent="0.2">
      <c r="A199" s="1177"/>
      <c r="B199" s="1174"/>
      <c r="C199" s="1170"/>
      <c r="D199" s="1174"/>
      <c r="E199" s="1174"/>
      <c r="F199" s="1180"/>
      <c r="G199" s="1174"/>
      <c r="H199" s="1174"/>
      <c r="I199" s="1174"/>
      <c r="J199" s="1174"/>
      <c r="K199" s="1174"/>
      <c r="L199" s="1174"/>
      <c r="M199" s="1174"/>
      <c r="N199" s="1174"/>
      <c r="O199" s="1174"/>
      <c r="P199" s="1174"/>
      <c r="Q199" s="1174"/>
      <c r="R199" s="1174"/>
      <c r="S199" s="1174"/>
      <c r="T199" s="1174"/>
      <c r="U199" s="1174"/>
      <c r="V199" s="1174"/>
      <c r="W199" s="1174"/>
      <c r="X199" s="1174"/>
      <c r="Y199" s="1174"/>
      <c r="Z199" s="1174"/>
      <c r="AA199" s="1174"/>
      <c r="AB199" s="1174"/>
      <c r="AC199" s="1184"/>
      <c r="AD199" s="798"/>
      <c r="AE199" s="799"/>
    </row>
    <row r="200" spans="1:31" s="1169" customFormat="1" x14ac:dyDescent="0.2">
      <c r="A200" s="1177"/>
      <c r="B200" s="1174"/>
      <c r="C200" s="1170"/>
      <c r="D200" s="1174"/>
      <c r="E200" s="1174"/>
      <c r="F200" s="1180"/>
      <c r="G200" s="1174"/>
      <c r="H200" s="1174"/>
      <c r="I200" s="1174"/>
      <c r="J200" s="1174"/>
      <c r="K200" s="1174"/>
      <c r="L200" s="1174"/>
      <c r="M200" s="1174"/>
      <c r="N200" s="1174"/>
      <c r="O200" s="1174"/>
      <c r="P200" s="1174"/>
      <c r="Q200" s="1174"/>
      <c r="R200" s="1174"/>
      <c r="S200" s="1174"/>
      <c r="T200" s="1174"/>
      <c r="U200" s="1174"/>
      <c r="V200" s="1174"/>
      <c r="W200" s="1174"/>
      <c r="X200" s="1174"/>
      <c r="Y200" s="1174"/>
      <c r="Z200" s="1174"/>
      <c r="AA200" s="1174"/>
      <c r="AB200" s="1174"/>
      <c r="AC200" s="1184"/>
      <c r="AD200" s="798"/>
      <c r="AE200" s="799"/>
    </row>
    <row r="201" spans="1:31" s="1169" customFormat="1" ht="16.5" thickBot="1" x14ac:dyDescent="0.25">
      <c r="A201" s="1178"/>
      <c r="B201" s="1175"/>
      <c r="C201" s="1172"/>
      <c r="D201" s="1175"/>
      <c r="E201" s="1175"/>
      <c r="F201" s="1181"/>
      <c r="G201" s="1175"/>
      <c r="H201" s="1175"/>
      <c r="I201" s="1175"/>
      <c r="J201" s="1175"/>
      <c r="K201" s="1175"/>
      <c r="L201" s="1175"/>
      <c r="M201" s="1175"/>
      <c r="N201" s="1175"/>
      <c r="O201" s="1175"/>
      <c r="P201" s="1175"/>
      <c r="Q201" s="1175"/>
      <c r="R201" s="1175"/>
      <c r="S201" s="1175"/>
      <c r="T201" s="1175"/>
      <c r="U201" s="1175"/>
      <c r="V201" s="1175"/>
      <c r="W201" s="1175"/>
      <c r="X201" s="1175"/>
      <c r="Y201" s="1175"/>
      <c r="Z201" s="1175"/>
      <c r="AA201" s="1175"/>
      <c r="AB201" s="1175"/>
      <c r="AC201" s="1185"/>
      <c r="AD201" s="792"/>
      <c r="AE201" s="793"/>
    </row>
    <row r="202" spans="1:31" s="218" customFormat="1" x14ac:dyDescent="0.2">
      <c r="F202" s="337"/>
      <c r="G202" s="337"/>
      <c r="H202" s="337"/>
      <c r="I202" s="337"/>
    </row>
    <row r="203" spans="1:31" s="218" customFormat="1" x14ac:dyDescent="0.2">
      <c r="F203" s="337"/>
      <c r="G203" s="337"/>
      <c r="H203" s="337"/>
      <c r="I203" s="337"/>
    </row>
    <row r="204" spans="1:31" s="218" customFormat="1" ht="16.5" thickBot="1" x14ac:dyDescent="0.25">
      <c r="F204" s="337"/>
      <c r="G204" s="337"/>
      <c r="H204" s="337"/>
      <c r="I204" s="337"/>
    </row>
    <row r="205" spans="1:31" ht="16.5" thickBot="1" x14ac:dyDescent="0.25">
      <c r="A205" s="555" t="s">
        <v>454</v>
      </c>
      <c r="B205" s="556" t="s">
        <v>455</v>
      </c>
    </row>
    <row r="206" spans="1:31" x14ac:dyDescent="0.2">
      <c r="A206" s="450" t="s">
        <v>456</v>
      </c>
      <c r="B206" s="557" t="s">
        <v>51</v>
      </c>
    </row>
    <row r="207" spans="1:31" x14ac:dyDescent="0.2">
      <c r="A207" s="558" t="s">
        <v>65</v>
      </c>
      <c r="B207" s="559" t="s">
        <v>51</v>
      </c>
    </row>
    <row r="208" spans="1:31" x14ac:dyDescent="0.2">
      <c r="A208" s="558" t="s">
        <v>257</v>
      </c>
      <c r="B208" s="559" t="s">
        <v>51</v>
      </c>
    </row>
    <row r="209" spans="1:9" x14ac:dyDescent="0.2">
      <c r="A209" s="558" t="s">
        <v>258</v>
      </c>
      <c r="B209" s="559" t="s">
        <v>51</v>
      </c>
    </row>
    <row r="210" spans="1:9" x14ac:dyDescent="0.2">
      <c r="A210" s="558" t="s">
        <v>259</v>
      </c>
      <c r="B210" s="559" t="s">
        <v>53</v>
      </c>
      <c r="F210" s="69"/>
      <c r="G210" s="69"/>
      <c r="H210" s="69"/>
      <c r="I210" s="69"/>
    </row>
    <row r="211" spans="1:9" x14ac:dyDescent="0.2">
      <c r="A211" s="558" t="s">
        <v>281</v>
      </c>
      <c r="B211" s="559" t="s">
        <v>53</v>
      </c>
      <c r="F211" s="69"/>
      <c r="G211" s="69"/>
      <c r="H211" s="69"/>
      <c r="I211" s="69"/>
    </row>
    <row r="212" spans="1:9" x14ac:dyDescent="0.2">
      <c r="A212" s="560" t="s">
        <v>279</v>
      </c>
      <c r="B212" s="559" t="s">
        <v>53</v>
      </c>
      <c r="F212" s="69"/>
      <c r="G212" s="69"/>
      <c r="H212" s="69"/>
      <c r="I212" s="69"/>
    </row>
    <row r="213" spans="1:9" x14ac:dyDescent="0.2">
      <c r="A213" s="560" t="s">
        <v>457</v>
      </c>
      <c r="B213" s="559" t="s">
        <v>53</v>
      </c>
      <c r="F213" s="69"/>
      <c r="G213" s="69"/>
      <c r="H213" s="69"/>
      <c r="I213" s="69"/>
    </row>
    <row r="214" spans="1:9" ht="16.5" thickBot="1" x14ac:dyDescent="0.25">
      <c r="A214" s="561" t="s">
        <v>460</v>
      </c>
      <c r="B214" s="562" t="s">
        <v>51</v>
      </c>
      <c r="F214" s="69"/>
      <c r="G214" s="69"/>
      <c r="H214" s="69"/>
      <c r="I214" s="69"/>
    </row>
  </sheetData>
  <sheetProtection formatCells="0" formatColumns="0" formatRows="0" insertColumns="0" insertRows="0" deleteColumns="0" deleteRows="0" sort="0" autoFilter="0"/>
  <autoFilter ref="A30:AB30" xr:uid="{00000000-0009-0000-0000-00000F000000}"/>
  <sortState xmlns:xlrd2="http://schemas.microsoft.com/office/spreadsheetml/2017/richdata2" ref="A90:A124">
    <sortCondition ref="A89"/>
  </sortState>
  <dataConsolidate>
    <dataRefs count="2">
      <dataRef ref="B9" sheet="APPENDIX B-1  (FE - USWC)"/>
      <dataRef ref="A14:A18" sheet="APPENDIX B-1  (FE - USWC)"/>
    </dataRefs>
  </dataConsolidate>
  <mergeCells count="268">
    <mergeCell ref="AD198:AE198"/>
    <mergeCell ref="AD199:AE199"/>
    <mergeCell ref="AD200:AE200"/>
    <mergeCell ref="AD201:AE201"/>
    <mergeCell ref="X194:X195"/>
    <mergeCell ref="Y194:Y195"/>
    <mergeCell ref="Z194:Z195"/>
    <mergeCell ref="AA194:AA195"/>
    <mergeCell ref="AB194:AB195"/>
    <mergeCell ref="AC194:AC195"/>
    <mergeCell ref="AD194:AE195"/>
    <mergeCell ref="AD196:AE196"/>
    <mergeCell ref="AD197:AE197"/>
    <mergeCell ref="B113:D113"/>
    <mergeCell ref="E113:G113"/>
    <mergeCell ref="B114:D114"/>
    <mergeCell ref="E114:G114"/>
    <mergeCell ref="L138:L139"/>
    <mergeCell ref="B166:I166"/>
    <mergeCell ref="L131:L132"/>
    <mergeCell ref="K131:K132"/>
    <mergeCell ref="A131:D131"/>
    <mergeCell ref="I131:I132"/>
    <mergeCell ref="J138:J139"/>
    <mergeCell ref="J131:J132"/>
    <mergeCell ref="H131:H132"/>
    <mergeCell ref="B161:I161"/>
    <mergeCell ref="I138:I139"/>
    <mergeCell ref="E138:E139"/>
    <mergeCell ref="E131:E132"/>
    <mergeCell ref="B164:I164"/>
    <mergeCell ref="B162:I162"/>
    <mergeCell ref="B163:I163"/>
    <mergeCell ref="A146:E146"/>
    <mergeCell ref="A149:F149"/>
    <mergeCell ref="B165:I165"/>
    <mergeCell ref="B123:D123"/>
    <mergeCell ref="G194:V194"/>
    <mergeCell ref="W194:W195"/>
    <mergeCell ref="M184:N184"/>
    <mergeCell ref="K138:K139"/>
    <mergeCell ref="A180:E180"/>
    <mergeCell ref="M181:N182"/>
    <mergeCell ref="M138:M139"/>
    <mergeCell ref="F194:F195"/>
    <mergeCell ref="M185:N185"/>
    <mergeCell ref="M186:N186"/>
    <mergeCell ref="M188:N188"/>
    <mergeCell ref="M187:N187"/>
    <mergeCell ref="B158:I158"/>
    <mergeCell ref="A150:F150"/>
    <mergeCell ref="A148:F148"/>
    <mergeCell ref="B160:I160"/>
    <mergeCell ref="A156:I156"/>
    <mergeCell ref="B159:I159"/>
    <mergeCell ref="J181:J182"/>
    <mergeCell ref="K181:K182"/>
    <mergeCell ref="A181:A182"/>
    <mergeCell ref="B181:B182"/>
    <mergeCell ref="A176:B176"/>
    <mergeCell ref="B172:I172"/>
    <mergeCell ref="B167:I167"/>
    <mergeCell ref="B168:I168"/>
    <mergeCell ref="B169:I169"/>
    <mergeCell ref="M183:N183"/>
    <mergeCell ref="E194:E195"/>
    <mergeCell ref="A194:A195"/>
    <mergeCell ref="B194:B195"/>
    <mergeCell ref="C194:C195"/>
    <mergeCell ref="D194:D195"/>
    <mergeCell ref="C181:C182"/>
    <mergeCell ref="A178:G178"/>
    <mergeCell ref="D181:D182"/>
    <mergeCell ref="E181:E182"/>
    <mergeCell ref="H181:H182"/>
    <mergeCell ref="I181:I182"/>
    <mergeCell ref="G181:G182"/>
    <mergeCell ref="F181:F182"/>
    <mergeCell ref="A191:G191"/>
    <mergeCell ref="L181:L182"/>
    <mergeCell ref="A193:H193"/>
    <mergeCell ref="B171:I171"/>
    <mergeCell ref="B170:I170"/>
    <mergeCell ref="E111:G111"/>
    <mergeCell ref="B108:D108"/>
    <mergeCell ref="B115:D115"/>
    <mergeCell ref="E115:G115"/>
    <mergeCell ref="B112:D112"/>
    <mergeCell ref="E101:G101"/>
    <mergeCell ref="B111:D111"/>
    <mergeCell ref="B110:D110"/>
    <mergeCell ref="E121:G121"/>
    <mergeCell ref="B120:D120"/>
    <mergeCell ref="E120:G120"/>
    <mergeCell ref="E117:G117"/>
    <mergeCell ref="B117:D117"/>
    <mergeCell ref="E119:G119"/>
    <mergeCell ref="E110:G110"/>
    <mergeCell ref="B106:D106"/>
    <mergeCell ref="E106:G106"/>
    <mergeCell ref="B103:D103"/>
    <mergeCell ref="E103:G103"/>
    <mergeCell ref="B104:D104"/>
    <mergeCell ref="E104:G104"/>
    <mergeCell ref="E108:G108"/>
    <mergeCell ref="B116:D116"/>
    <mergeCell ref="E116:G116"/>
    <mergeCell ref="B119:D119"/>
    <mergeCell ref="B118:D118"/>
    <mergeCell ref="E118:G118"/>
    <mergeCell ref="E123:G123"/>
    <mergeCell ref="A138:D138"/>
    <mergeCell ref="B121:D121"/>
    <mergeCell ref="A129:I129"/>
    <mergeCell ref="B122:D122"/>
    <mergeCell ref="E122:G122"/>
    <mergeCell ref="G131:G132"/>
    <mergeCell ref="B124:D124"/>
    <mergeCell ref="H138:H139"/>
    <mergeCell ref="E124:G124"/>
    <mergeCell ref="B127:D127"/>
    <mergeCell ref="E127:G127"/>
    <mergeCell ref="F131:F132"/>
    <mergeCell ref="F138:F139"/>
    <mergeCell ref="G138:G139"/>
    <mergeCell ref="B125:D125"/>
    <mergeCell ref="E125:G125"/>
    <mergeCell ref="B126:D126"/>
    <mergeCell ref="E126:G126"/>
    <mergeCell ref="A128:I128"/>
    <mergeCell ref="B107:D107"/>
    <mergeCell ref="E109:G109"/>
    <mergeCell ref="E112:G112"/>
    <mergeCell ref="B105:D105"/>
    <mergeCell ref="E105:G105"/>
    <mergeCell ref="E107:G107"/>
    <mergeCell ref="B24:H24"/>
    <mergeCell ref="B23:H23"/>
    <mergeCell ref="J30:J31"/>
    <mergeCell ref="I30:I31"/>
    <mergeCell ref="H30:H31"/>
    <mergeCell ref="E94:G94"/>
    <mergeCell ref="B68:D68"/>
    <mergeCell ref="A73:C73"/>
    <mergeCell ref="B102:D102"/>
    <mergeCell ref="A90:G90"/>
    <mergeCell ref="B83:D83"/>
    <mergeCell ref="J39:J40"/>
    <mergeCell ref="E30:E31"/>
    <mergeCell ref="B30:B31"/>
    <mergeCell ref="C30:C31"/>
    <mergeCell ref="A72:C72"/>
    <mergeCell ref="B81:D81"/>
    <mergeCell ref="E102:G102"/>
    <mergeCell ref="A3:B3"/>
    <mergeCell ref="A6:B6"/>
    <mergeCell ref="C6:F6"/>
    <mergeCell ref="C3:F3"/>
    <mergeCell ref="A4:B4"/>
    <mergeCell ref="A1:B1"/>
    <mergeCell ref="C1:F1"/>
    <mergeCell ref="A2:B2"/>
    <mergeCell ref="C2:F2"/>
    <mergeCell ref="A5:B5"/>
    <mergeCell ref="C4:F4"/>
    <mergeCell ref="C5:F5"/>
    <mergeCell ref="AA30:AA31"/>
    <mergeCell ref="AA39:AA40"/>
    <mergeCell ref="B93:D93"/>
    <mergeCell ref="A86:I86"/>
    <mergeCell ref="B94:D94"/>
    <mergeCell ref="L13:M13"/>
    <mergeCell ref="A7:B7"/>
    <mergeCell ref="C7:F7"/>
    <mergeCell ref="A8:B8"/>
    <mergeCell ref="C8:F8"/>
    <mergeCell ref="B22:H22"/>
    <mergeCell ref="A12:J12"/>
    <mergeCell ref="B13:I13"/>
    <mergeCell ref="J13:K13"/>
    <mergeCell ref="J15:K15"/>
    <mergeCell ref="L17:M17"/>
    <mergeCell ref="B21:H21"/>
    <mergeCell ref="B20:H20"/>
    <mergeCell ref="B17:I17"/>
    <mergeCell ref="B16:I16"/>
    <mergeCell ref="J14:K14"/>
    <mergeCell ref="L14:M14"/>
    <mergeCell ref="B15:I15"/>
    <mergeCell ref="B88:I88"/>
    <mergeCell ref="AC48:AC49"/>
    <mergeCell ref="AA48:AA49"/>
    <mergeCell ref="B80:D80"/>
    <mergeCell ref="B109:D109"/>
    <mergeCell ref="AB48:AB49"/>
    <mergeCell ref="M90:M92"/>
    <mergeCell ref="G48:G49"/>
    <mergeCell ref="F48:F49"/>
    <mergeCell ref="K48:K49"/>
    <mergeCell ref="I48:I49"/>
    <mergeCell ref="B67:D67"/>
    <mergeCell ref="M48:M49"/>
    <mergeCell ref="B65:D65"/>
    <mergeCell ref="B66:D66"/>
    <mergeCell ref="B48:B49"/>
    <mergeCell ref="H48:H49"/>
    <mergeCell ref="J48:J49"/>
    <mergeCell ref="Z48:Z49"/>
    <mergeCell ref="L48:L49"/>
    <mergeCell ref="B101:D101"/>
    <mergeCell ref="H90:H92"/>
    <mergeCell ref="I90:I92"/>
    <mergeCell ref="A91:G91"/>
    <mergeCell ref="A92:G92"/>
    <mergeCell ref="Y30:Y31"/>
    <mergeCell ref="K30:K31"/>
    <mergeCell ref="Z30:Z31"/>
    <mergeCell ref="Y39:Y40"/>
    <mergeCell ref="X39:X40"/>
    <mergeCell ref="Z39:Z40"/>
    <mergeCell ref="B14:I14"/>
    <mergeCell ref="J17:K17"/>
    <mergeCell ref="J16:K16"/>
    <mergeCell ref="L15:M15"/>
    <mergeCell ref="L16:M16"/>
    <mergeCell ref="F39:F40"/>
    <mergeCell ref="B39:B40"/>
    <mergeCell ref="C39:C40"/>
    <mergeCell ref="I39:I40"/>
    <mergeCell ref="H39:H40"/>
    <mergeCell ref="D39:D40"/>
    <mergeCell ref="E39:E40"/>
    <mergeCell ref="G39:G40"/>
    <mergeCell ref="D30:D31"/>
    <mergeCell ref="A48:A49"/>
    <mergeCell ref="A58:C58"/>
    <mergeCell ref="E48:E49"/>
    <mergeCell ref="B69:D69"/>
    <mergeCell ref="A47:D47"/>
    <mergeCell ref="D48:D49"/>
    <mergeCell ref="L90:L92"/>
    <mergeCell ref="J90:J92"/>
    <mergeCell ref="X30:X31"/>
    <mergeCell ref="K39:K40"/>
    <mergeCell ref="E93:G93"/>
    <mergeCell ref="K90:K92"/>
    <mergeCell ref="E97:G97"/>
    <mergeCell ref="F30:F31"/>
    <mergeCell ref="G30:G31"/>
    <mergeCell ref="L30:L31"/>
    <mergeCell ref="B100:D100"/>
    <mergeCell ref="E100:G100"/>
    <mergeCell ref="B95:D95"/>
    <mergeCell ref="E95:G95"/>
    <mergeCell ref="B99:D99"/>
    <mergeCell ref="E99:G99"/>
    <mergeCell ref="B96:D96"/>
    <mergeCell ref="B98:D98"/>
    <mergeCell ref="E98:G98"/>
    <mergeCell ref="B97:D97"/>
    <mergeCell ref="A87:I87"/>
    <mergeCell ref="E96:G96"/>
    <mergeCell ref="A30:A31"/>
    <mergeCell ref="A39:A40"/>
    <mergeCell ref="A57:C57"/>
    <mergeCell ref="C48:C49"/>
    <mergeCell ref="B84:D84"/>
    <mergeCell ref="B82:D82"/>
  </mergeCells>
  <phoneticPr fontId="11" type="noConversion"/>
  <dataValidations count="33">
    <dataValidation type="list" allowBlank="1" showInputMessage="1" showErrorMessage="1" sqref="B206:B214" xr:uid="{00000000-0002-0000-0F00-000000000000}">
      <formula1>Autom</formula1>
    </dataValidation>
    <dataValidation type="list" showInputMessage="1" showErrorMessage="1" sqref="C183:C188 C196:C201" xr:uid="{00000000-0002-0000-0F00-000001000000}">
      <formula1>IF($B183="I",DDTARIFF,DDTARIFFUSE)</formula1>
    </dataValidation>
    <dataValidation type="list" allowBlank="1" showInputMessage="1" showErrorMessage="1" sqref="B183:B188 B196:B201" xr:uid="{00000000-0002-0000-0F00-000002000000}">
      <formula1>EXPIMP</formula1>
    </dataValidation>
    <dataValidation type="list" allowBlank="1" showInputMessage="1" showErrorMessage="1" sqref="F183:F188 W196:W201" xr:uid="{00000000-0002-0000-0F00-000003000000}">
      <formula1>EQTYPE</formula1>
    </dataValidation>
    <dataValidation type="list" allowBlank="1" showInputMessage="1" showErrorMessage="1" sqref="G183:G188 X196:X201" xr:uid="{00000000-0002-0000-0F00-000004000000}">
      <formula1>OPREEFER</formula1>
    </dataValidation>
    <dataValidation type="list" allowBlank="1" showInputMessage="1" showErrorMessage="1" sqref="F196:F201" xr:uid="{993DBF29-5AB4-47D8-B8FD-4965C8136F36}">
      <formula1>CURRENCY</formula1>
    </dataValidation>
    <dataValidation type="whole" allowBlank="1" showInputMessage="1" showErrorMessage="1" error="Only whole numbers can be entered into this field" sqref="D183:D188 D196:D201" xr:uid="{00000000-0002-0000-0F00-000006000000}">
      <formula1>1</formula1>
      <formula2>99</formula2>
    </dataValidation>
    <dataValidation type="list" showInputMessage="1" showErrorMessage="1" sqref="E183:E188 E196:E201" xr:uid="{00000000-0002-0000-0F00-000007000000}">
      <formula1>DAYS</formula1>
    </dataValidation>
    <dataValidation type="whole" allowBlank="1" showInputMessage="1" showErrorMessage="1" error="Only whole numbers may be entered into this field_x000a_" sqref="G196:G201 S196:S201 O196:O201 K196:K201" xr:uid="{78F47895-D8D3-4991-93E4-814FF7BBA770}">
      <formula1>1</formula1>
      <formula2>99</formula2>
    </dataValidation>
    <dataValidation type="decimal" allowBlank="1" showInputMessage="1" showErrorMessage="1" error="Only numbers may be entered into this field" sqref="H196:J201 L196:N201 P196:R201 T196:V201" xr:uid="{70AE5A87-4B99-4450-99EE-7E46C9824043}">
      <formula1>1</formula1>
      <formula2>1000000000</formula2>
    </dataValidation>
    <dataValidation type="list" showInputMessage="1" showErrorMessage="1" sqref="K133:K136 K140:K143 N81:N84 A32:A35 A50:A53 A41:A44 N66:N69" xr:uid="{00000000-0002-0000-0F00-00000A000000}">
      <formula1>$A$14:$A$18</formula1>
    </dataValidation>
    <dataValidation type="list" allowBlank="1" showInputMessage="1" showErrorMessage="1" sqref="J133:J136 J140:J143" xr:uid="{00000000-0002-0000-0F00-00000B000000}">
      <formula1>GRIPSS</formula1>
    </dataValidation>
    <dataValidation type="decimal" allowBlank="1" showInputMessage="1" showErrorMessage="1" sqref="F140:I143 F133:I136 I50:L53 J81:M84 I41:K44 I32:L35" xr:uid="{00000000-0002-0000-0F00-00000C000000}">
      <formula1>0</formula1>
      <formula2>999999999999999</formula2>
    </dataValidation>
    <dataValidation type="list" allowBlank="1" showInputMessage="1" showErrorMessage="1" sqref="E133:E136 E140:E143" xr:uid="{00000000-0002-0000-0F00-00000D000000}">
      <formula1>GRIPSS_EQ</formula1>
    </dataValidation>
    <dataValidation type="list" showInputMessage="1" showErrorMessage="1" sqref="A183:A188 A196:A201" xr:uid="{00000000-0002-0000-0F00-00000E000000}">
      <formula1>BULLET</formula1>
    </dataValidation>
    <dataValidation type="date" allowBlank="1" showInputMessage="1" showErrorMessage="1" sqref="X32:Y35 J93:K127" xr:uid="{00000000-0002-0000-0F00-00000F000000}">
      <formula1>10101</formula1>
      <formula2>311299</formula2>
    </dataValidation>
    <dataValidation type="list" showDropDown="1" showErrorMessage="1" sqref="O65:P65 O80:P80" xr:uid="{00000000-0002-0000-0F00-000010000000}">
      <formula1>Charges</formula1>
    </dataValidation>
    <dataValidation type="list" allowBlank="1" showInputMessage="1" showErrorMessage="1" sqref="O66:P69 O81:P84" xr:uid="{00000000-0002-0000-0F00-000011000000}">
      <formula1 xml:space="preserve"> droppull</formula1>
    </dataValidation>
    <dataValidation type="list" allowBlank="1" showInputMessage="1" showErrorMessage="1" sqref="L41:L44 G81:G84 N41:N44 P50:P53 G66:G69" xr:uid="{00000000-0002-0000-0F00-000012000000}">
      <formula1>YesNo</formula1>
    </dataValidation>
    <dataValidation type="list" allowBlank="1" showInputMessage="1" showErrorMessage="1" sqref="M50:M53" xr:uid="{00000000-0002-0000-0F00-000013000000}">
      <formula1>Equip</formula1>
    </dataValidation>
    <dataValidation type="list" allowBlank="1" showInputMessage="1" showErrorMessage="1" sqref="F66:F69 F81:F84" xr:uid="{00000000-0002-0000-0F00-000014000000}">
      <formula1>ArbMode</formula1>
    </dataValidation>
    <dataValidation type="list" allowBlank="1" showInputMessage="1" showErrorMessage="1" sqref="G41:G44 G32:G35 G50:G53" xr:uid="{00000000-0002-0000-0F00-000015000000}">
      <formula1>SDD</formula1>
    </dataValidation>
    <dataValidation type="list" allowBlank="1" showInputMessage="1" showErrorMessage="1" sqref="M31:W31 Q49:Y49" xr:uid="{00000000-0002-0000-0F00-000016000000}">
      <formula1>Container</formula1>
    </dataValidation>
    <dataValidation type="list" allowBlank="1" showInputMessage="1" showErrorMessage="1" sqref="O40:W40" xr:uid="{00000000-0002-0000-0F00-000017000000}">
      <formula1>Reefer</formula1>
    </dataValidation>
    <dataValidation type="list" allowBlank="1" showInputMessage="1" showErrorMessage="1" sqref="F32:F35 F41:F44 F50:F53" xr:uid="{00000000-0002-0000-0F00-000018000000}">
      <formula1>Mode</formula1>
    </dataValidation>
    <dataValidation type="list" allowBlank="1" showInputMessage="1" showErrorMessage="1" sqref="M41:M44 O50:O53" xr:uid="{00000000-0002-0000-0F00-000019000000}">
      <formula1>ShipperOwn</formula1>
    </dataValidation>
    <dataValidation type="list" allowBlank="1" showInputMessage="1" showErrorMessage="1" sqref="N50:N53" xr:uid="{00000000-0002-0000-0F00-00001A000000}">
      <formula1>OOG</formula1>
    </dataValidation>
    <dataValidation type="list" allowBlank="1" showErrorMessage="1" sqref="M30:W30 O39:W39 Q48:Y48" xr:uid="{00000000-0002-0000-0F00-00001B000000}">
      <formula1>Exceptions</formula1>
    </dataValidation>
    <dataValidation type="list" allowBlank="1" showInputMessage="1" showErrorMessage="1" sqref="AA32:AA35 AA41:AA44 AC50:AC53" xr:uid="{00000000-0002-0000-0F00-00001C000000}">
      <formula1>CST</formula1>
    </dataValidation>
    <dataValidation type="list" allowBlank="1" showInputMessage="1" showErrorMessage="1" sqref="I93:I127" xr:uid="{00000000-0002-0000-0F00-00001D000000}">
      <formula1>$A$14:$A$18</formula1>
    </dataValidation>
    <dataValidation type="list" allowBlank="1" showErrorMessage="1" sqref="A93:A127" xr:uid="{00000000-0002-0000-0F00-00001E000000}">
      <formula1>Charges</formula1>
    </dataValidation>
    <dataValidation allowBlank="1" showInputMessage="1" showErrorMessage="1" promptTitle="Acceptable Values:" prompt="- Applicable _x000a_- Not applicable _x000a_- Included_x000a_- Amount and OSPF for cases of fixed per D40 OSPF_x000a_    (example-  &quot;375 OSPF&quot;)" sqref="E93:G127" xr:uid="{00000000-0002-0000-0F00-00001F000000}"/>
    <dataValidation type="list" allowBlank="1" showInputMessage="1" showErrorMessage="1" errorTitle="Pick up the list" promptTitle="Blank = ALL" sqref="H93:H127" xr:uid="{00000000-0002-0000-0F00-000020000000}">
      <formula1>Type_note2</formula1>
    </dataValidation>
  </dataValidations>
  <pageMargins left="0.25" right="0.25" top="0.25" bottom="0.25" header="0.5" footer="0"/>
  <pageSetup scale="28" fitToHeight="0" orientation="landscape" r:id="rId1"/>
  <headerFooter alignWithMargins="0"/>
  <rowBreaks count="1" manualBreakCount="1">
    <brk id="88" max="16383" man="1"/>
  </rowBreaks>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57">
    <tabColor indexed="46"/>
    <pageSetUpPr fitToPage="1"/>
  </sheetPr>
  <dimension ref="A1:BB216"/>
  <sheetViews>
    <sheetView showGridLines="0" topLeftCell="A175" zoomScale="75" zoomScaleNormal="75" zoomScaleSheetLayoutView="75" workbookViewId="0">
      <selection activeCell="G196" sqref="A196:XFD203"/>
    </sheetView>
  </sheetViews>
  <sheetFormatPr defaultColWidth="9.140625" defaultRowHeight="15.75" x14ac:dyDescent="0.2"/>
  <cols>
    <col min="1" max="1" width="25.140625" style="69" customWidth="1"/>
    <col min="2" max="2" width="18.5703125" style="69" customWidth="1"/>
    <col min="3" max="3" width="18.28515625" style="69" customWidth="1"/>
    <col min="4" max="4" width="17.42578125" style="69" customWidth="1"/>
    <col min="5" max="5" width="19.28515625" style="69" customWidth="1"/>
    <col min="6" max="6" width="12.140625" style="211" customWidth="1"/>
    <col min="7" max="8" width="17.42578125" style="211" customWidth="1"/>
    <col min="9" max="9" width="17.7109375" style="211" customWidth="1"/>
    <col min="10" max="10" width="17.85546875" style="69" customWidth="1"/>
    <col min="11" max="11" width="16.5703125" style="69" customWidth="1"/>
    <col min="12" max="12" width="18.5703125" style="69" customWidth="1"/>
    <col min="13" max="13" width="17.28515625" style="69" customWidth="1"/>
    <col min="14" max="14" width="17.7109375" style="69" customWidth="1"/>
    <col min="15" max="16" width="16.5703125" style="69" customWidth="1"/>
    <col min="17" max="17" width="17.5703125" style="69" customWidth="1"/>
    <col min="18" max="18" width="15.85546875" style="69" customWidth="1"/>
    <col min="19" max="19" width="16.7109375" style="69" customWidth="1"/>
    <col min="20" max="20" width="16.5703125" style="69" customWidth="1"/>
    <col min="21" max="21" width="16.7109375" style="69" customWidth="1"/>
    <col min="22" max="22" width="17.5703125" style="69" customWidth="1"/>
    <col min="23" max="23" width="18" style="69" customWidth="1"/>
    <col min="24" max="24" width="12.7109375" style="69" customWidth="1"/>
    <col min="25" max="25" width="16.85546875" style="69" customWidth="1"/>
    <col min="26" max="26" width="9.7109375" style="69" customWidth="1"/>
    <col min="27" max="27" width="14.140625" style="69" customWidth="1"/>
    <col min="28" max="28" width="9.7109375" style="69" customWidth="1"/>
    <col min="29" max="29" width="14.140625" style="69" customWidth="1"/>
    <col min="30" max="16384" width="9.140625" style="69"/>
  </cols>
  <sheetData>
    <row r="1" spans="1:54" x14ac:dyDescent="0.2">
      <c r="A1" s="835" t="s">
        <v>511</v>
      </c>
      <c r="B1" s="837"/>
      <c r="C1" s="902" t="str">
        <f>Cover!B1</f>
        <v>22-XXXX</v>
      </c>
      <c r="D1" s="903"/>
      <c r="E1" s="903"/>
      <c r="F1" s="904"/>
      <c r="G1" s="69"/>
      <c r="H1" s="69"/>
      <c r="I1" s="69"/>
    </row>
    <row r="2" spans="1:54" x14ac:dyDescent="0.2">
      <c r="A2" s="885" t="s">
        <v>1236</v>
      </c>
      <c r="B2" s="886"/>
      <c r="C2" s="887"/>
      <c r="D2" s="888"/>
      <c r="E2" s="888"/>
      <c r="F2" s="889"/>
      <c r="G2" s="69"/>
      <c r="H2" s="69"/>
      <c r="I2" s="69"/>
    </row>
    <row r="3" spans="1:54" x14ac:dyDescent="0.2">
      <c r="A3" s="885" t="s">
        <v>522</v>
      </c>
      <c r="B3" s="886"/>
      <c r="C3" s="905">
        <f>Cover!B2</f>
        <v>0</v>
      </c>
      <c r="D3" s="906"/>
      <c r="E3" s="906"/>
      <c r="F3" s="907"/>
      <c r="G3" s="69"/>
      <c r="H3" s="69"/>
      <c r="I3" s="69"/>
    </row>
    <row r="4" spans="1:54" x14ac:dyDescent="0.2">
      <c r="A4" s="885" t="s">
        <v>1229</v>
      </c>
      <c r="B4" s="886"/>
      <c r="C4" s="884">
        <f>Cover!B7</f>
        <v>0</v>
      </c>
      <c r="D4" s="817"/>
      <c r="E4" s="817"/>
      <c r="F4" s="818"/>
      <c r="G4" s="69"/>
      <c r="H4" s="69"/>
      <c r="I4" s="69"/>
    </row>
    <row r="5" spans="1:54" x14ac:dyDescent="0.2">
      <c r="A5" s="885" t="s">
        <v>528</v>
      </c>
      <c r="B5" s="886"/>
      <c r="C5" s="887" t="s">
        <v>567</v>
      </c>
      <c r="D5" s="888"/>
      <c r="E5" s="888"/>
      <c r="F5" s="889"/>
      <c r="G5" s="69"/>
      <c r="H5" s="69"/>
      <c r="I5" s="69"/>
    </row>
    <row r="6" spans="1:54" ht="15.75" customHeight="1" x14ac:dyDescent="0.2">
      <c r="A6" s="885" t="s">
        <v>512</v>
      </c>
      <c r="B6" s="886"/>
      <c r="C6" s="887" t="s">
        <v>565</v>
      </c>
      <c r="D6" s="888"/>
      <c r="E6" s="888"/>
      <c r="F6" s="889"/>
      <c r="G6" s="69"/>
      <c r="H6" s="69"/>
      <c r="I6" s="69"/>
    </row>
    <row r="7" spans="1:54" ht="15.75" customHeight="1" x14ac:dyDescent="0.2">
      <c r="A7" s="885" t="s">
        <v>612</v>
      </c>
      <c r="B7" s="886"/>
      <c r="C7" s="887" t="s">
        <v>186</v>
      </c>
      <c r="D7" s="888"/>
      <c r="E7" s="888"/>
      <c r="F7" s="889"/>
      <c r="G7" s="69"/>
      <c r="H7" s="69"/>
      <c r="I7" s="69"/>
    </row>
    <row r="8" spans="1:54" ht="2.25" customHeight="1" thickBot="1" x14ac:dyDescent="0.25">
      <c r="A8" s="900"/>
      <c r="B8" s="901"/>
      <c r="C8" s="894"/>
      <c r="D8" s="895"/>
      <c r="E8" s="895"/>
      <c r="F8" s="896"/>
      <c r="G8" s="69"/>
      <c r="H8" s="69"/>
      <c r="I8" s="69"/>
    </row>
    <row r="9" spans="1:54" s="73" customFormat="1" x14ac:dyDescent="0.2">
      <c r="A9" s="442">
        <v>39</v>
      </c>
      <c r="B9" s="443" t="s">
        <v>614</v>
      </c>
      <c r="D9" s="444"/>
      <c r="E9" s="444"/>
      <c r="F9" s="445"/>
    </row>
    <row r="10" spans="1:54" s="73" customFormat="1" ht="16.5" thickBot="1" x14ac:dyDescent="0.25">
      <c r="A10" s="446"/>
      <c r="D10" s="444"/>
      <c r="E10" s="444"/>
      <c r="F10" s="445"/>
      <c r="G10" s="447"/>
      <c r="H10" s="444"/>
      <c r="I10" s="444"/>
      <c r="J10" s="444"/>
    </row>
    <row r="11" spans="1:54" ht="19.5" thickBot="1" x14ac:dyDescent="0.25">
      <c r="A11" s="448" t="s">
        <v>613</v>
      </c>
      <c r="B11" s="449"/>
      <c r="C11" s="73"/>
      <c r="D11" s="444"/>
      <c r="E11" s="444"/>
      <c r="F11" s="445"/>
      <c r="G11" s="447"/>
      <c r="H11" s="444"/>
      <c r="I11" s="444"/>
      <c r="J11" s="444"/>
    </row>
    <row r="12" spans="1:54" s="78" customFormat="1" ht="16.5" thickBot="1" x14ac:dyDescent="0.25">
      <c r="A12" s="897" t="s">
        <v>616</v>
      </c>
      <c r="B12" s="898"/>
      <c r="C12" s="898"/>
      <c r="D12" s="898"/>
      <c r="E12" s="898"/>
      <c r="F12" s="898"/>
      <c r="G12" s="898"/>
      <c r="H12" s="898"/>
      <c r="I12" s="898"/>
      <c r="J12" s="899"/>
    </row>
    <row r="13" spans="1:54" ht="17.25" customHeight="1" x14ac:dyDescent="0.2">
      <c r="A13" s="450" t="s">
        <v>617</v>
      </c>
      <c r="B13" s="881" t="s">
        <v>618</v>
      </c>
      <c r="C13" s="881"/>
      <c r="D13" s="881"/>
      <c r="E13" s="881"/>
      <c r="F13" s="881"/>
      <c r="G13" s="881"/>
      <c r="H13" s="881"/>
      <c r="I13" s="881"/>
      <c r="J13" s="882" t="s">
        <v>622</v>
      </c>
      <c r="K13" s="883"/>
      <c r="L13" s="890" t="s">
        <v>623</v>
      </c>
      <c r="M13" s="891"/>
      <c r="N13" s="350" t="s">
        <v>4</v>
      </c>
    </row>
    <row r="14" spans="1:54" s="81" customFormat="1" x14ac:dyDescent="0.2">
      <c r="A14" s="451"/>
      <c r="B14" s="862"/>
      <c r="C14" s="892"/>
      <c r="D14" s="892"/>
      <c r="E14" s="892"/>
      <c r="F14" s="892"/>
      <c r="G14" s="892"/>
      <c r="H14" s="892"/>
      <c r="I14" s="892"/>
      <c r="J14" s="870"/>
      <c r="K14" s="855"/>
      <c r="L14" s="893"/>
      <c r="M14" s="871"/>
      <c r="N14" s="349" t="str">
        <f>IF($A14&gt;0,$A14,"")</f>
        <v/>
      </c>
    </row>
    <row r="15" spans="1:54" s="453" customFormat="1" x14ac:dyDescent="0.2">
      <c r="A15" s="452"/>
      <c r="B15" s="879"/>
      <c r="C15" s="880"/>
      <c r="D15" s="880"/>
      <c r="E15" s="880"/>
      <c r="F15" s="880"/>
      <c r="G15" s="880"/>
      <c r="H15" s="880"/>
      <c r="I15" s="880"/>
      <c r="J15" s="870"/>
      <c r="K15" s="855"/>
      <c r="L15" s="870"/>
      <c r="M15" s="871"/>
      <c r="N15" s="349" t="str">
        <f>IF($A15&gt;0,$A15,"")</f>
        <v/>
      </c>
      <c r="BB15" s="81"/>
    </row>
    <row r="16" spans="1:54" s="453" customFormat="1" x14ac:dyDescent="0.2">
      <c r="A16" s="452"/>
      <c r="B16" s="879"/>
      <c r="C16" s="880"/>
      <c r="D16" s="880"/>
      <c r="E16" s="880"/>
      <c r="F16" s="880"/>
      <c r="G16" s="880"/>
      <c r="H16" s="880"/>
      <c r="I16" s="880"/>
      <c r="J16" s="870"/>
      <c r="K16" s="855"/>
      <c r="L16" s="870"/>
      <c r="M16" s="871"/>
      <c r="N16" s="349" t="str">
        <f>IF($A16&gt;0,$A16,"")</f>
        <v/>
      </c>
      <c r="BB16" s="81"/>
    </row>
    <row r="17" spans="1:54" s="453" customFormat="1" ht="16.5" thickBot="1" x14ac:dyDescent="0.25">
      <c r="A17" s="454"/>
      <c r="B17" s="864"/>
      <c r="C17" s="865"/>
      <c r="D17" s="865"/>
      <c r="E17" s="865"/>
      <c r="F17" s="865"/>
      <c r="G17" s="865"/>
      <c r="H17" s="865"/>
      <c r="I17" s="865"/>
      <c r="J17" s="866"/>
      <c r="K17" s="867"/>
      <c r="L17" s="857"/>
      <c r="M17" s="858"/>
      <c r="N17" s="349" t="str">
        <f>IF($A17&gt;0,$A17,"")</f>
        <v/>
      </c>
      <c r="BB17" s="81"/>
    </row>
    <row r="18" spans="1:54" s="462" customFormat="1" ht="16.5" thickBot="1" x14ac:dyDescent="0.25">
      <c r="A18" s="455"/>
      <c r="B18" s="456"/>
      <c r="C18" s="457"/>
      <c r="D18" s="458"/>
      <c r="E18" s="458"/>
      <c r="F18" s="459"/>
      <c r="G18" s="459"/>
      <c r="H18" s="460"/>
      <c r="I18" s="461"/>
      <c r="J18" s="461"/>
      <c r="K18" s="457"/>
      <c r="L18" s="457"/>
      <c r="M18" s="457"/>
      <c r="N18" s="349" t="str">
        <f>IF($A18&gt;0,$A18,"")</f>
        <v/>
      </c>
      <c r="O18" s="457"/>
      <c r="P18" s="457"/>
      <c r="Q18" s="457"/>
      <c r="BB18" s="81"/>
    </row>
    <row r="19" spans="1:54" s="462" customFormat="1" ht="19.5" thickBot="1" x14ac:dyDescent="0.25">
      <c r="A19" s="448" t="s">
        <v>419</v>
      </c>
      <c r="B19" s="463"/>
      <c r="I19" s="461"/>
      <c r="J19" s="461"/>
      <c r="K19" s="457"/>
      <c r="L19" s="457"/>
      <c r="M19" s="457"/>
      <c r="N19" s="457"/>
      <c r="O19" s="457"/>
      <c r="P19" s="457"/>
      <c r="Q19" s="457"/>
    </row>
    <row r="20" spans="1:54" s="462" customFormat="1" x14ac:dyDescent="0.2">
      <c r="A20" s="464" t="s">
        <v>419</v>
      </c>
      <c r="B20" s="859" t="s">
        <v>618</v>
      </c>
      <c r="C20" s="860"/>
      <c r="D20" s="860"/>
      <c r="E20" s="860"/>
      <c r="F20" s="860"/>
      <c r="G20" s="860"/>
      <c r="H20" s="861"/>
      <c r="I20" s="461"/>
      <c r="J20" s="461"/>
      <c r="K20" s="457"/>
      <c r="L20" s="457"/>
      <c r="M20" s="457"/>
      <c r="N20" s="457"/>
      <c r="O20" s="457"/>
      <c r="P20" s="457"/>
      <c r="Q20" s="457"/>
    </row>
    <row r="21" spans="1:54" s="467" customFormat="1" ht="15.75" customHeight="1" x14ac:dyDescent="0.2">
      <c r="A21" s="451" t="s">
        <v>631</v>
      </c>
      <c r="B21" s="862" t="s">
        <v>550</v>
      </c>
      <c r="C21" s="862"/>
      <c r="D21" s="862"/>
      <c r="E21" s="862"/>
      <c r="F21" s="862"/>
      <c r="G21" s="862"/>
      <c r="H21" s="863"/>
      <c r="I21" s="220"/>
      <c r="J21" s="465"/>
      <c r="K21" s="466"/>
      <c r="L21" s="466"/>
      <c r="M21" s="466"/>
      <c r="N21" s="466"/>
      <c r="O21" s="466"/>
      <c r="P21" s="466"/>
      <c r="Q21" s="466"/>
    </row>
    <row r="22" spans="1:54" s="467" customFormat="1" x14ac:dyDescent="0.2">
      <c r="A22" s="468" t="s">
        <v>328</v>
      </c>
      <c r="B22" s="862" t="s">
        <v>478</v>
      </c>
      <c r="C22" s="862"/>
      <c r="D22" s="862"/>
      <c r="E22" s="862"/>
      <c r="F22" s="862"/>
      <c r="G22" s="862"/>
      <c r="H22" s="863"/>
      <c r="I22" s="465"/>
      <c r="J22" s="465"/>
      <c r="K22" s="466"/>
      <c r="L22" s="466"/>
      <c r="M22" s="466"/>
      <c r="N22" s="466"/>
      <c r="O22" s="466"/>
      <c r="P22" s="466"/>
      <c r="Q22" s="466"/>
    </row>
    <row r="23" spans="1:54" s="467" customFormat="1" x14ac:dyDescent="0.2">
      <c r="A23" s="468" t="s">
        <v>632</v>
      </c>
      <c r="B23" s="854" t="s">
        <v>633</v>
      </c>
      <c r="C23" s="855"/>
      <c r="D23" s="855"/>
      <c r="E23" s="855"/>
      <c r="F23" s="855"/>
      <c r="G23" s="855"/>
      <c r="H23" s="856"/>
      <c r="I23" s="465"/>
      <c r="J23" s="465"/>
      <c r="K23" s="466"/>
      <c r="L23" s="466"/>
      <c r="M23" s="466"/>
      <c r="N23" s="466"/>
      <c r="O23" s="466"/>
      <c r="P23" s="466"/>
      <c r="Q23" s="466"/>
    </row>
    <row r="24" spans="1:54" s="467" customFormat="1" ht="16.5" thickBot="1" x14ac:dyDescent="0.25">
      <c r="A24" s="469"/>
      <c r="B24" s="877"/>
      <c r="C24" s="867"/>
      <c r="D24" s="867"/>
      <c r="E24" s="867"/>
      <c r="F24" s="867"/>
      <c r="G24" s="867"/>
      <c r="H24" s="878"/>
      <c r="I24" s="465"/>
      <c r="J24" s="465"/>
      <c r="K24" s="466"/>
      <c r="L24" s="466"/>
      <c r="M24" s="466"/>
      <c r="N24" s="466"/>
      <c r="O24" s="466"/>
      <c r="P24" s="466"/>
      <c r="Q24" s="466"/>
    </row>
    <row r="25" spans="1:54" s="462" customFormat="1" ht="16.5" thickBot="1" x14ac:dyDescent="0.25">
      <c r="A25" s="456"/>
      <c r="B25" s="95"/>
      <c r="C25" s="95"/>
      <c r="D25" s="95"/>
      <c r="E25" s="95"/>
      <c r="F25" s="95"/>
      <c r="G25" s="95"/>
      <c r="H25" s="95"/>
      <c r="I25" s="461"/>
      <c r="J25" s="461"/>
      <c r="K25" s="457"/>
      <c r="L25" s="457"/>
      <c r="M25" s="457"/>
      <c r="N25" s="457"/>
      <c r="O25" s="457"/>
      <c r="P25" s="457"/>
      <c r="Q25" s="457"/>
      <c r="R25" s="457"/>
      <c r="S25" s="457"/>
      <c r="T25" s="457"/>
      <c r="U25" s="457"/>
    </row>
    <row r="26" spans="1:54" s="462" customFormat="1" ht="19.5" thickBot="1" x14ac:dyDescent="0.25">
      <c r="A26" s="448" t="s">
        <v>624</v>
      </c>
      <c r="B26" s="449"/>
      <c r="I26" s="461"/>
      <c r="J26" s="461"/>
      <c r="K26" s="457"/>
      <c r="L26" s="457"/>
      <c r="M26" s="457"/>
      <c r="N26" s="457"/>
      <c r="O26" s="457"/>
      <c r="P26" s="457"/>
      <c r="Q26" s="457"/>
      <c r="R26" s="457"/>
      <c r="S26" s="457"/>
      <c r="T26" s="457"/>
      <c r="U26" s="457"/>
    </row>
    <row r="27" spans="1:54" s="462" customFormat="1" x14ac:dyDescent="0.2">
      <c r="A27" s="223" t="s">
        <v>886</v>
      </c>
      <c r="B27" s="470"/>
      <c r="C27" s="471"/>
      <c r="D27" s="472"/>
      <c r="E27" s="472"/>
      <c r="F27" s="473"/>
      <c r="G27" s="473"/>
      <c r="H27" s="473"/>
      <c r="I27" s="474"/>
      <c r="J27" s="475"/>
      <c r="K27" s="476"/>
      <c r="L27" s="457"/>
      <c r="M27" s="457"/>
      <c r="N27" s="457"/>
      <c r="O27" s="457"/>
      <c r="P27" s="457"/>
      <c r="Q27" s="457"/>
      <c r="R27" s="457"/>
      <c r="S27" s="457"/>
      <c r="T27" s="457"/>
      <c r="U27" s="457"/>
      <c r="V27" s="457"/>
    </row>
    <row r="28" spans="1:54" s="462" customFormat="1" x14ac:dyDescent="0.2">
      <c r="A28" s="96" t="s">
        <v>626</v>
      </c>
      <c r="B28" s="214"/>
      <c r="C28" s="477"/>
      <c r="D28" s="478"/>
      <c r="E28" s="478"/>
      <c r="F28" s="479"/>
      <c r="G28" s="479"/>
      <c r="H28" s="479"/>
      <c r="I28" s="480"/>
      <c r="J28" s="481"/>
      <c r="K28" s="482"/>
      <c r="L28" s="457"/>
      <c r="M28" s="457"/>
      <c r="N28" s="457"/>
      <c r="O28" s="457"/>
      <c r="P28" s="457"/>
      <c r="Q28" s="457"/>
      <c r="R28" s="457"/>
    </row>
    <row r="29" spans="1:54" s="462" customFormat="1" ht="16.5" thickBot="1" x14ac:dyDescent="0.25">
      <c r="A29" s="110" t="s">
        <v>172</v>
      </c>
      <c r="B29" s="483"/>
      <c r="C29" s="484"/>
      <c r="D29" s="485"/>
      <c r="E29" s="485"/>
      <c r="F29" s="486"/>
      <c r="G29" s="486"/>
      <c r="H29" s="486"/>
      <c r="I29" s="487"/>
      <c r="J29" s="488"/>
      <c r="K29" s="489"/>
      <c r="L29" s="457"/>
      <c r="M29" s="457"/>
      <c r="N29" s="457"/>
      <c r="O29" s="457"/>
      <c r="P29" s="457"/>
      <c r="Q29" s="457"/>
      <c r="R29" s="457"/>
      <c r="S29" s="118"/>
      <c r="T29" s="118"/>
      <c r="U29" s="118"/>
      <c r="V29" s="457"/>
      <c r="W29" s="457"/>
      <c r="X29" s="457"/>
    </row>
    <row r="30" spans="1:54" s="491" customFormat="1" ht="32.25" customHeight="1" x14ac:dyDescent="0.2">
      <c r="A30" s="875" t="s">
        <v>627</v>
      </c>
      <c r="B30" s="868" t="s">
        <v>628</v>
      </c>
      <c r="C30" s="868" t="s">
        <v>11</v>
      </c>
      <c r="D30" s="868" t="s">
        <v>12</v>
      </c>
      <c r="E30" s="868" t="s">
        <v>13</v>
      </c>
      <c r="F30" s="868" t="s">
        <v>14</v>
      </c>
      <c r="G30" s="868" t="s">
        <v>15</v>
      </c>
      <c r="H30" s="868" t="s">
        <v>16</v>
      </c>
      <c r="I30" s="868" t="s">
        <v>17</v>
      </c>
      <c r="J30" s="868" t="s">
        <v>18</v>
      </c>
      <c r="K30" s="868" t="s">
        <v>19</v>
      </c>
      <c r="L30" s="868" t="s">
        <v>20</v>
      </c>
      <c r="M30" s="490"/>
      <c r="N30" s="490"/>
      <c r="O30" s="490"/>
      <c r="P30" s="490"/>
      <c r="Q30" s="490"/>
      <c r="R30" s="490"/>
      <c r="S30" s="490"/>
      <c r="T30" s="490"/>
      <c r="U30" s="490"/>
      <c r="V30" s="490"/>
      <c r="W30" s="490"/>
      <c r="X30" s="868" t="s">
        <v>22</v>
      </c>
      <c r="Y30" s="868" t="s">
        <v>23</v>
      </c>
      <c r="Z30" s="868" t="s">
        <v>24</v>
      </c>
      <c r="AA30" s="922" t="s">
        <v>352</v>
      </c>
    </row>
    <row r="31" spans="1:54" s="491" customFormat="1" ht="16.5" thickBot="1" x14ac:dyDescent="0.25">
      <c r="A31" s="876"/>
      <c r="B31" s="869"/>
      <c r="C31" s="869"/>
      <c r="D31" s="869"/>
      <c r="E31" s="869"/>
      <c r="F31" s="869"/>
      <c r="G31" s="872"/>
      <c r="H31" s="869"/>
      <c r="I31" s="869"/>
      <c r="J31" s="869"/>
      <c r="K31" s="869"/>
      <c r="L31" s="869"/>
      <c r="M31" s="492"/>
      <c r="N31" s="492"/>
      <c r="O31" s="492"/>
      <c r="P31" s="492"/>
      <c r="Q31" s="492"/>
      <c r="R31" s="492"/>
      <c r="S31" s="492"/>
      <c r="T31" s="492"/>
      <c r="U31" s="492"/>
      <c r="V31" s="492"/>
      <c r="W31" s="492"/>
      <c r="X31" s="869"/>
      <c r="Y31" s="869"/>
      <c r="Z31" s="869"/>
      <c r="AA31" s="923"/>
    </row>
    <row r="32" spans="1:54" s="136" customFormat="1" x14ac:dyDescent="0.2">
      <c r="A32" s="493"/>
      <c r="B32" s="49"/>
      <c r="C32" s="225"/>
      <c r="D32" s="225"/>
      <c r="E32" s="225"/>
      <c r="F32" s="225"/>
      <c r="G32" s="120"/>
      <c r="H32" s="225"/>
      <c r="I32" s="263"/>
      <c r="J32" s="263"/>
      <c r="K32" s="263"/>
      <c r="L32" s="263"/>
      <c r="M32" s="120"/>
      <c r="N32" s="120"/>
      <c r="O32" s="120"/>
      <c r="P32" s="226"/>
      <c r="Q32" s="226"/>
      <c r="R32" s="226"/>
      <c r="S32" s="120"/>
      <c r="T32" s="120"/>
      <c r="U32" s="120"/>
      <c r="V32" s="120"/>
      <c r="W32" s="120"/>
      <c r="X32" s="227"/>
      <c r="Y32" s="227"/>
      <c r="Z32" s="120"/>
      <c r="AA32" s="121"/>
    </row>
    <row r="33" spans="1:29" s="136" customFormat="1" x14ac:dyDescent="0.2">
      <c r="A33" s="494"/>
      <c r="B33" s="123"/>
      <c r="C33" s="123"/>
      <c r="D33" s="123"/>
      <c r="E33" s="123"/>
      <c r="F33" s="123"/>
      <c r="G33" s="124"/>
      <c r="H33" s="123"/>
      <c r="I33" s="255"/>
      <c r="J33" s="255"/>
      <c r="K33" s="255"/>
      <c r="L33" s="255"/>
      <c r="M33" s="125"/>
      <c r="N33" s="124"/>
      <c r="O33" s="124"/>
      <c r="P33" s="125"/>
      <c r="Q33" s="125"/>
      <c r="R33" s="125"/>
      <c r="S33" s="124"/>
      <c r="T33" s="124"/>
      <c r="U33" s="124"/>
      <c r="V33" s="124"/>
      <c r="W33" s="124"/>
      <c r="X33" s="126"/>
      <c r="Y33" s="126"/>
      <c r="Z33" s="124"/>
      <c r="AA33" s="127"/>
    </row>
    <row r="34" spans="1:29" s="136" customFormat="1" x14ac:dyDescent="0.2">
      <c r="A34" s="494"/>
      <c r="B34" s="123"/>
      <c r="C34" s="123"/>
      <c r="D34" s="123"/>
      <c r="E34" s="123"/>
      <c r="F34" s="123"/>
      <c r="G34" s="124"/>
      <c r="H34" s="123"/>
      <c r="I34" s="255"/>
      <c r="J34" s="255"/>
      <c r="K34" s="255"/>
      <c r="L34" s="255"/>
      <c r="M34" s="125"/>
      <c r="N34" s="124"/>
      <c r="O34" s="124"/>
      <c r="P34" s="125"/>
      <c r="Q34" s="125"/>
      <c r="R34" s="125"/>
      <c r="S34" s="124"/>
      <c r="T34" s="124"/>
      <c r="U34" s="124"/>
      <c r="V34" s="124"/>
      <c r="W34" s="124"/>
      <c r="X34" s="126"/>
      <c r="Y34" s="126"/>
      <c r="Z34" s="124"/>
      <c r="AA34" s="127"/>
    </row>
    <row r="35" spans="1:29" s="136" customFormat="1" ht="16.5" thickBot="1" x14ac:dyDescent="0.25">
      <c r="A35" s="495"/>
      <c r="B35" s="128"/>
      <c r="C35" s="128"/>
      <c r="D35" s="128"/>
      <c r="E35" s="128"/>
      <c r="F35" s="128"/>
      <c r="G35" s="129"/>
      <c r="H35" s="128"/>
      <c r="I35" s="256"/>
      <c r="J35" s="256"/>
      <c r="K35" s="256"/>
      <c r="L35" s="256"/>
      <c r="M35" s="129"/>
      <c r="N35" s="129"/>
      <c r="O35" s="129"/>
      <c r="P35" s="130"/>
      <c r="Q35" s="130"/>
      <c r="R35" s="130"/>
      <c r="S35" s="129"/>
      <c r="T35" s="129"/>
      <c r="U35" s="129"/>
      <c r="V35" s="129"/>
      <c r="W35" s="129"/>
      <c r="X35" s="131"/>
      <c r="Y35" s="131"/>
      <c r="Z35" s="129"/>
      <c r="AA35" s="132"/>
    </row>
    <row r="36" spans="1:29" s="73" customFormat="1" x14ac:dyDescent="0.2">
      <c r="A36" s="133"/>
      <c r="B36" s="133"/>
      <c r="C36" s="133"/>
      <c r="D36" s="133"/>
      <c r="E36" s="133"/>
      <c r="F36" s="133"/>
      <c r="G36" s="118"/>
      <c r="H36" s="118"/>
      <c r="I36" s="118"/>
      <c r="J36" s="118"/>
      <c r="K36" s="118"/>
      <c r="L36" s="118"/>
      <c r="M36" s="134"/>
      <c r="N36" s="118"/>
      <c r="O36" s="159"/>
      <c r="P36" s="159"/>
      <c r="Q36" s="159"/>
      <c r="R36" s="159"/>
      <c r="S36" s="159"/>
      <c r="T36" s="159"/>
      <c r="U36" s="159"/>
      <c r="V36" s="159"/>
      <c r="W36" s="466"/>
    </row>
    <row r="37" spans="1:29" s="73" customFormat="1" ht="16.5" thickBot="1" x14ac:dyDescent="0.25">
      <c r="A37" s="133"/>
      <c r="B37" s="133"/>
      <c r="C37" s="133"/>
      <c r="D37" s="133"/>
      <c r="E37" s="133"/>
      <c r="F37" s="133"/>
      <c r="G37" s="118"/>
      <c r="H37" s="118"/>
      <c r="I37" s="118"/>
      <c r="J37" s="118"/>
      <c r="K37" s="118"/>
      <c r="N37" s="118"/>
      <c r="O37" s="159"/>
      <c r="P37" s="159"/>
      <c r="Q37" s="159"/>
      <c r="R37" s="159"/>
      <c r="S37" s="159"/>
      <c r="T37" s="159"/>
      <c r="U37" s="159"/>
      <c r="V37" s="159"/>
      <c r="W37" s="467"/>
    </row>
    <row r="38" spans="1:29" s="73" customFormat="1" ht="16.5" thickBot="1" x14ac:dyDescent="0.25">
      <c r="A38" s="496" t="s">
        <v>25</v>
      </c>
      <c r="B38" s="133"/>
      <c r="C38" s="133"/>
      <c r="D38" s="133"/>
      <c r="E38" s="133"/>
      <c r="F38" s="133"/>
      <c r="G38" s="118"/>
      <c r="H38" s="118"/>
      <c r="I38" s="118"/>
      <c r="J38" s="118"/>
      <c r="K38" s="118"/>
      <c r="M38" s="118"/>
      <c r="N38" s="118"/>
      <c r="O38" s="159"/>
      <c r="P38" s="136"/>
      <c r="Q38" s="136"/>
      <c r="R38" s="136"/>
      <c r="S38" s="466"/>
      <c r="T38" s="466"/>
      <c r="U38" s="466"/>
      <c r="V38" s="466"/>
      <c r="W38" s="159"/>
    </row>
    <row r="39" spans="1:29" s="73" customFormat="1" ht="15.75" customHeight="1" x14ac:dyDescent="0.2">
      <c r="A39" s="875" t="s">
        <v>627</v>
      </c>
      <c r="B39" s="868" t="s">
        <v>628</v>
      </c>
      <c r="C39" s="868" t="s">
        <v>11</v>
      </c>
      <c r="D39" s="868" t="s">
        <v>12</v>
      </c>
      <c r="E39" s="868" t="s">
        <v>13</v>
      </c>
      <c r="F39" s="868" t="s">
        <v>14</v>
      </c>
      <c r="G39" s="868" t="s">
        <v>15</v>
      </c>
      <c r="H39" s="868" t="s">
        <v>16</v>
      </c>
      <c r="I39" s="868" t="s">
        <v>26</v>
      </c>
      <c r="J39" s="868" t="s">
        <v>27</v>
      </c>
      <c r="K39" s="945" t="s">
        <v>295</v>
      </c>
      <c r="L39" s="497" t="s">
        <v>63</v>
      </c>
      <c r="M39" s="498" t="s">
        <v>64</v>
      </c>
      <c r="N39" s="499" t="s">
        <v>65</v>
      </c>
      <c r="O39" s="490"/>
      <c r="P39" s="490"/>
      <c r="Q39" s="490"/>
      <c r="R39" s="490"/>
      <c r="S39" s="490"/>
      <c r="T39" s="490"/>
      <c r="U39" s="490"/>
      <c r="V39" s="490"/>
      <c r="W39" s="490"/>
      <c r="X39" s="868" t="s">
        <v>22</v>
      </c>
      <c r="Y39" s="868" t="s">
        <v>23</v>
      </c>
      <c r="Z39" s="868" t="s">
        <v>24</v>
      </c>
      <c r="AA39" s="922" t="s">
        <v>352</v>
      </c>
    </row>
    <row r="40" spans="1:29" s="73" customFormat="1" ht="31.7" customHeight="1" thickBot="1" x14ac:dyDescent="0.25">
      <c r="A40" s="876"/>
      <c r="B40" s="869"/>
      <c r="C40" s="869"/>
      <c r="D40" s="869"/>
      <c r="E40" s="869"/>
      <c r="F40" s="869"/>
      <c r="G40" s="872"/>
      <c r="H40" s="869"/>
      <c r="I40" s="869"/>
      <c r="J40" s="869"/>
      <c r="K40" s="946"/>
      <c r="L40" s="500" t="s">
        <v>66</v>
      </c>
      <c r="M40" s="501" t="s">
        <v>67</v>
      </c>
      <c r="N40" s="502" t="s">
        <v>68</v>
      </c>
      <c r="O40" s="503"/>
      <c r="P40" s="492"/>
      <c r="Q40" s="492"/>
      <c r="R40" s="492"/>
      <c r="S40" s="492"/>
      <c r="T40" s="492"/>
      <c r="U40" s="492"/>
      <c r="V40" s="492"/>
      <c r="W40" s="492"/>
      <c r="X40" s="869"/>
      <c r="Y40" s="869"/>
      <c r="Z40" s="869"/>
      <c r="AA40" s="923"/>
    </row>
    <row r="41" spans="1:29" s="136" customFormat="1" x14ac:dyDescent="0.2">
      <c r="A41" s="493"/>
      <c r="B41" s="225"/>
      <c r="C41" s="225"/>
      <c r="D41" s="225"/>
      <c r="E41" s="225"/>
      <c r="F41" s="225"/>
      <c r="G41" s="120"/>
      <c r="H41" s="225"/>
      <c r="I41" s="263"/>
      <c r="J41" s="263"/>
      <c r="K41" s="265"/>
      <c r="L41" s="268"/>
      <c r="M41" s="120"/>
      <c r="N41" s="121"/>
      <c r="O41" s="269"/>
      <c r="P41" s="226"/>
      <c r="Q41" s="226"/>
      <c r="R41" s="226"/>
      <c r="S41" s="120"/>
      <c r="T41" s="120"/>
      <c r="U41" s="120"/>
      <c r="V41" s="120"/>
      <c r="W41" s="120"/>
      <c r="X41" s="227"/>
      <c r="Y41" s="227"/>
      <c r="Z41" s="120"/>
      <c r="AA41" s="121"/>
    </row>
    <row r="42" spans="1:29" s="136" customFormat="1" x14ac:dyDescent="0.2">
      <c r="A42" s="494"/>
      <c r="B42" s="123"/>
      <c r="C42" s="123"/>
      <c r="D42" s="123"/>
      <c r="E42" s="123"/>
      <c r="F42" s="123"/>
      <c r="G42" s="124"/>
      <c r="H42" s="123"/>
      <c r="I42" s="255"/>
      <c r="J42" s="255"/>
      <c r="K42" s="266"/>
      <c r="L42" s="259"/>
      <c r="M42" s="124"/>
      <c r="N42" s="127"/>
      <c r="O42" s="248"/>
      <c r="P42" s="125"/>
      <c r="Q42" s="125"/>
      <c r="R42" s="125"/>
      <c r="S42" s="124"/>
      <c r="T42" s="124"/>
      <c r="U42" s="124"/>
      <c r="V42" s="124"/>
      <c r="W42" s="124"/>
      <c r="X42" s="126"/>
      <c r="Y42" s="126"/>
      <c r="Z42" s="124"/>
      <c r="AA42" s="127"/>
    </row>
    <row r="43" spans="1:29" s="136" customFormat="1" x14ac:dyDescent="0.2">
      <c r="A43" s="494"/>
      <c r="B43" s="123"/>
      <c r="C43" s="123"/>
      <c r="D43" s="123"/>
      <c r="E43" s="123"/>
      <c r="F43" s="123"/>
      <c r="G43" s="124"/>
      <c r="H43" s="123"/>
      <c r="I43" s="255"/>
      <c r="J43" s="255"/>
      <c r="K43" s="266"/>
      <c r="L43" s="259"/>
      <c r="M43" s="124"/>
      <c r="N43" s="127"/>
      <c r="O43" s="248"/>
      <c r="P43" s="125"/>
      <c r="Q43" s="125"/>
      <c r="R43" s="125"/>
      <c r="S43" s="124"/>
      <c r="T43" s="124"/>
      <c r="U43" s="124"/>
      <c r="V43" s="124"/>
      <c r="W43" s="124"/>
      <c r="X43" s="126"/>
      <c r="Y43" s="126"/>
      <c r="Z43" s="124"/>
      <c r="AA43" s="127"/>
    </row>
    <row r="44" spans="1:29" s="136" customFormat="1" ht="16.5" thickBot="1" x14ac:dyDescent="0.25">
      <c r="A44" s="495"/>
      <c r="B44" s="128"/>
      <c r="C44" s="128"/>
      <c r="D44" s="128"/>
      <c r="E44" s="128"/>
      <c r="F44" s="128"/>
      <c r="G44" s="129"/>
      <c r="H44" s="128"/>
      <c r="I44" s="256"/>
      <c r="J44" s="256"/>
      <c r="K44" s="267"/>
      <c r="L44" s="137"/>
      <c r="M44" s="129"/>
      <c r="N44" s="132"/>
      <c r="O44" s="137"/>
      <c r="P44" s="129"/>
      <c r="Q44" s="129"/>
      <c r="R44" s="129"/>
      <c r="S44" s="129"/>
      <c r="T44" s="129"/>
      <c r="U44" s="129"/>
      <c r="V44" s="129"/>
      <c r="W44" s="129"/>
      <c r="X44" s="131"/>
      <c r="Y44" s="131"/>
      <c r="Z44" s="129"/>
      <c r="AA44" s="132"/>
    </row>
    <row r="45" spans="1:29" s="73" customFormat="1" x14ac:dyDescent="0.2">
      <c r="A45" s="133"/>
      <c r="B45" s="133"/>
      <c r="C45" s="133"/>
      <c r="D45" s="133"/>
      <c r="E45" s="133"/>
      <c r="F45" s="133"/>
      <c r="G45" s="118"/>
      <c r="H45" s="118"/>
      <c r="I45" s="118"/>
      <c r="J45" s="118"/>
      <c r="K45" s="118"/>
      <c r="L45" s="118"/>
      <c r="M45" s="118"/>
      <c r="N45" s="118"/>
      <c r="O45" s="160"/>
      <c r="P45" s="159"/>
      <c r="Q45" s="159"/>
      <c r="R45" s="159"/>
      <c r="S45" s="136"/>
      <c r="T45" s="136"/>
      <c r="U45" s="136"/>
      <c r="V45" s="136"/>
      <c r="W45" s="136"/>
      <c r="X45" s="118"/>
    </row>
    <row r="46" spans="1:29" s="73" customFormat="1" ht="16.5" thickBot="1" x14ac:dyDescent="0.25">
      <c r="A46" s="133"/>
      <c r="B46" s="133"/>
      <c r="C46" s="133"/>
      <c r="D46" s="133"/>
      <c r="E46" s="133"/>
      <c r="F46" s="133"/>
      <c r="G46" s="118"/>
      <c r="H46" s="118"/>
      <c r="I46" s="118"/>
      <c r="J46" s="118"/>
      <c r="K46" s="118"/>
      <c r="L46" s="118"/>
      <c r="M46" s="118"/>
      <c r="N46" s="118"/>
      <c r="O46" s="160"/>
      <c r="P46" s="159"/>
      <c r="Q46" s="159"/>
      <c r="R46" s="159"/>
      <c r="S46" s="136"/>
      <c r="T46" s="136"/>
      <c r="U46" s="136"/>
      <c r="V46" s="136"/>
      <c r="W46" s="136"/>
      <c r="X46" s="118"/>
    </row>
    <row r="47" spans="1:29" s="73" customFormat="1" ht="16.5" thickBot="1" x14ac:dyDescent="0.25">
      <c r="A47" s="822" t="s">
        <v>307</v>
      </c>
      <c r="B47" s="873"/>
      <c r="C47" s="873"/>
      <c r="D47" s="874"/>
      <c r="E47" s="133"/>
      <c r="F47" s="133"/>
      <c r="G47" s="118"/>
      <c r="H47" s="118"/>
      <c r="I47" s="118"/>
      <c r="J47" s="118"/>
      <c r="K47" s="118"/>
      <c r="L47" s="118"/>
      <c r="M47" s="118"/>
      <c r="N47" s="118"/>
      <c r="O47" s="136"/>
      <c r="P47" s="159"/>
      <c r="Q47" s="159"/>
      <c r="R47" s="159"/>
      <c r="S47" s="466"/>
      <c r="T47" s="466"/>
      <c r="U47" s="466"/>
      <c r="V47" s="466"/>
      <c r="W47" s="159"/>
      <c r="X47" s="118"/>
      <c r="Y47" s="118"/>
    </row>
    <row r="48" spans="1:29" s="73" customFormat="1" ht="15.75" customHeight="1" x14ac:dyDescent="0.2">
      <c r="A48" s="875" t="s">
        <v>627</v>
      </c>
      <c r="B48" s="868" t="s">
        <v>628</v>
      </c>
      <c r="C48" s="868" t="s">
        <v>11</v>
      </c>
      <c r="D48" s="868" t="s">
        <v>12</v>
      </c>
      <c r="E48" s="868" t="s">
        <v>13</v>
      </c>
      <c r="F48" s="868" t="s">
        <v>14</v>
      </c>
      <c r="G48" s="868" t="s">
        <v>15</v>
      </c>
      <c r="H48" s="868" t="s">
        <v>16</v>
      </c>
      <c r="I48" s="868">
        <v>20</v>
      </c>
      <c r="J48" s="868">
        <v>40</v>
      </c>
      <c r="K48" s="868" t="s">
        <v>19</v>
      </c>
      <c r="L48" s="922" t="s">
        <v>20</v>
      </c>
      <c r="M48" s="943" t="s">
        <v>28</v>
      </c>
      <c r="N48" s="504" t="s">
        <v>69</v>
      </c>
      <c r="O48" s="498" t="s">
        <v>64</v>
      </c>
      <c r="P48" s="499" t="s">
        <v>65</v>
      </c>
      <c r="Q48" s="490" t="s">
        <v>147</v>
      </c>
      <c r="R48" s="490" t="s">
        <v>71</v>
      </c>
      <c r="S48" s="490"/>
      <c r="T48" s="490"/>
      <c r="U48" s="490"/>
      <c r="V48" s="490"/>
      <c r="W48" s="490"/>
      <c r="X48" s="490"/>
      <c r="Y48" s="490"/>
      <c r="Z48" s="868" t="s">
        <v>22</v>
      </c>
      <c r="AA48" s="868" t="s">
        <v>23</v>
      </c>
      <c r="AB48" s="868" t="s">
        <v>24</v>
      </c>
      <c r="AC48" s="922" t="s">
        <v>352</v>
      </c>
    </row>
    <row r="49" spans="1:29" s="73" customFormat="1" ht="48" thickBot="1" x14ac:dyDescent="0.25">
      <c r="A49" s="876"/>
      <c r="B49" s="869"/>
      <c r="C49" s="869"/>
      <c r="D49" s="869"/>
      <c r="E49" s="869"/>
      <c r="F49" s="869"/>
      <c r="G49" s="872"/>
      <c r="H49" s="869"/>
      <c r="I49" s="869"/>
      <c r="J49" s="869"/>
      <c r="K49" s="869"/>
      <c r="L49" s="923"/>
      <c r="M49" s="944"/>
      <c r="N49" s="505" t="s">
        <v>70</v>
      </c>
      <c r="O49" s="501" t="s">
        <v>67</v>
      </c>
      <c r="P49" s="502" t="s">
        <v>68</v>
      </c>
      <c r="Q49" s="503" t="s">
        <v>84</v>
      </c>
      <c r="R49" s="492" t="s">
        <v>84</v>
      </c>
      <c r="S49" s="492"/>
      <c r="T49" s="492"/>
      <c r="U49" s="492"/>
      <c r="V49" s="492"/>
      <c r="W49" s="492"/>
      <c r="X49" s="492"/>
      <c r="Y49" s="492"/>
      <c r="Z49" s="924"/>
      <c r="AA49" s="924"/>
      <c r="AB49" s="924"/>
      <c r="AC49" s="923"/>
    </row>
    <row r="50" spans="1:29" s="136" customFormat="1" x14ac:dyDescent="0.2">
      <c r="A50" s="493"/>
      <c r="B50" s="225"/>
      <c r="C50" s="225"/>
      <c r="D50" s="225"/>
      <c r="E50" s="225"/>
      <c r="F50" s="225"/>
      <c r="G50" s="120"/>
      <c r="H50" s="225"/>
      <c r="I50" s="263"/>
      <c r="J50" s="263"/>
      <c r="K50" s="263"/>
      <c r="L50" s="265"/>
      <c r="M50" s="270"/>
      <c r="N50" s="268"/>
      <c r="O50" s="120"/>
      <c r="P50" s="121"/>
      <c r="Q50" s="269"/>
      <c r="R50" s="226"/>
      <c r="S50" s="226"/>
      <c r="T50" s="226"/>
      <c r="U50" s="226"/>
      <c r="V50" s="226"/>
      <c r="W50" s="120"/>
      <c r="X50" s="120"/>
      <c r="Y50" s="120"/>
      <c r="Z50" s="227"/>
      <c r="AA50" s="227"/>
      <c r="AB50" s="120"/>
      <c r="AC50" s="121"/>
    </row>
    <row r="51" spans="1:29" s="136" customFormat="1" x14ac:dyDescent="0.2">
      <c r="A51" s="494"/>
      <c r="B51" s="123"/>
      <c r="C51" s="123"/>
      <c r="D51" s="123"/>
      <c r="E51" s="123"/>
      <c r="F51" s="123"/>
      <c r="G51" s="124"/>
      <c r="H51" s="123"/>
      <c r="I51" s="255"/>
      <c r="J51" s="255"/>
      <c r="K51" s="255"/>
      <c r="L51" s="266"/>
      <c r="M51" s="271"/>
      <c r="N51" s="259"/>
      <c r="O51" s="124"/>
      <c r="P51" s="127"/>
      <c r="Q51" s="248"/>
      <c r="R51" s="125"/>
      <c r="S51" s="125"/>
      <c r="T51" s="125"/>
      <c r="U51" s="125"/>
      <c r="V51" s="125"/>
      <c r="W51" s="124"/>
      <c r="X51" s="124"/>
      <c r="Y51" s="124"/>
      <c r="Z51" s="126"/>
      <c r="AA51" s="126"/>
      <c r="AB51" s="124"/>
      <c r="AC51" s="127"/>
    </row>
    <row r="52" spans="1:29" s="136" customFormat="1" x14ac:dyDescent="0.2">
      <c r="A52" s="494"/>
      <c r="B52" s="123"/>
      <c r="C52" s="123"/>
      <c r="D52" s="123"/>
      <c r="E52" s="123"/>
      <c r="F52" s="123"/>
      <c r="G52" s="124"/>
      <c r="H52" s="123"/>
      <c r="I52" s="255"/>
      <c r="J52" s="255"/>
      <c r="K52" s="255"/>
      <c r="L52" s="266"/>
      <c r="M52" s="271"/>
      <c r="N52" s="259"/>
      <c r="O52" s="124"/>
      <c r="P52" s="127"/>
      <c r="Q52" s="248"/>
      <c r="R52" s="125"/>
      <c r="S52" s="125"/>
      <c r="T52" s="125"/>
      <c r="U52" s="125"/>
      <c r="V52" s="125"/>
      <c r="W52" s="124"/>
      <c r="X52" s="124"/>
      <c r="Y52" s="124"/>
      <c r="Z52" s="126"/>
      <c r="AA52" s="126"/>
      <c r="AB52" s="124"/>
      <c r="AC52" s="127"/>
    </row>
    <row r="53" spans="1:29" s="136" customFormat="1" ht="16.5" thickBot="1" x14ac:dyDescent="0.25">
      <c r="A53" s="495"/>
      <c r="B53" s="128"/>
      <c r="C53" s="128"/>
      <c r="D53" s="128"/>
      <c r="E53" s="128"/>
      <c r="F53" s="128"/>
      <c r="G53" s="129"/>
      <c r="H53" s="128"/>
      <c r="I53" s="256"/>
      <c r="J53" s="256"/>
      <c r="K53" s="256"/>
      <c r="L53" s="267"/>
      <c r="M53" s="161"/>
      <c r="N53" s="137"/>
      <c r="O53" s="129"/>
      <c r="P53" s="132"/>
      <c r="Q53" s="137"/>
      <c r="R53" s="129"/>
      <c r="S53" s="129"/>
      <c r="T53" s="129"/>
      <c r="U53" s="129"/>
      <c r="V53" s="129"/>
      <c r="W53" s="129"/>
      <c r="X53" s="129"/>
      <c r="Y53" s="129"/>
      <c r="Z53" s="131"/>
      <c r="AA53" s="131"/>
      <c r="AB53" s="129"/>
      <c r="AC53" s="132"/>
    </row>
    <row r="54" spans="1:29" s="73" customFormat="1" x14ac:dyDescent="0.2">
      <c r="A54" s="133"/>
      <c r="B54" s="133"/>
      <c r="C54" s="133"/>
      <c r="D54" s="133"/>
      <c r="E54" s="133"/>
      <c r="F54" s="133"/>
      <c r="G54" s="118"/>
      <c r="H54" s="118"/>
      <c r="I54" s="118"/>
      <c r="J54" s="118"/>
      <c r="K54" s="118"/>
      <c r="M54" s="118"/>
      <c r="V54" s="118"/>
      <c r="W54" s="118"/>
    </row>
    <row r="55" spans="1:29" s="73" customFormat="1" x14ac:dyDescent="0.2">
      <c r="A55" s="133"/>
      <c r="B55" s="133"/>
      <c r="C55" s="133"/>
      <c r="D55" s="133"/>
      <c r="E55" s="133"/>
      <c r="F55" s="118"/>
      <c r="G55" s="118"/>
      <c r="H55" s="118"/>
      <c r="I55" s="118"/>
      <c r="J55" s="118"/>
      <c r="K55" s="134"/>
      <c r="L55" s="118"/>
      <c r="M55" s="118"/>
      <c r="N55" s="118"/>
      <c r="S55" s="118"/>
      <c r="T55" s="118"/>
      <c r="U55" s="118"/>
    </row>
    <row r="56" spans="1:29" s="456" customFormat="1" ht="16.5" thickBot="1" x14ac:dyDescent="0.25">
      <c r="A56" s="133"/>
      <c r="B56" s="133"/>
      <c r="C56" s="133"/>
      <c r="D56" s="133"/>
      <c r="E56" s="118"/>
      <c r="F56" s="118"/>
      <c r="G56" s="118"/>
      <c r="H56" s="118"/>
      <c r="I56" s="118"/>
      <c r="J56" s="134"/>
      <c r="K56" s="134"/>
      <c r="L56" s="134"/>
      <c r="M56" s="134"/>
      <c r="R56" s="134"/>
    </row>
    <row r="57" spans="1:29" s="456" customFormat="1" ht="19.5" thickBot="1" x14ac:dyDescent="0.25">
      <c r="A57" s="938" t="s">
        <v>29</v>
      </c>
      <c r="B57" s="939"/>
      <c r="C57" s="940"/>
      <c r="D57" s="133"/>
      <c r="E57" s="133"/>
      <c r="F57" s="118"/>
      <c r="G57" s="118"/>
      <c r="H57" s="118"/>
      <c r="I57" s="118"/>
      <c r="J57" s="118"/>
      <c r="K57" s="134"/>
      <c r="L57" s="134"/>
      <c r="M57" s="134"/>
      <c r="N57" s="134"/>
      <c r="S57" s="134"/>
      <c r="T57" s="134"/>
      <c r="U57" s="134"/>
    </row>
    <row r="58" spans="1:29" s="456" customFormat="1" ht="16.5" thickBot="1" x14ac:dyDescent="0.25">
      <c r="A58" s="800" t="s">
        <v>625</v>
      </c>
      <c r="B58" s="801"/>
      <c r="C58" s="802"/>
      <c r="D58" s="133"/>
      <c r="E58" s="133"/>
      <c r="F58" s="133"/>
      <c r="G58" s="118"/>
      <c r="H58" s="118"/>
      <c r="I58" s="118"/>
      <c r="J58" s="118"/>
      <c r="K58" s="118"/>
      <c r="L58" s="134"/>
      <c r="N58" s="134"/>
      <c r="O58" s="134"/>
      <c r="V58" s="134"/>
    </row>
    <row r="59" spans="1:29" s="456" customFormat="1" x14ac:dyDescent="0.2">
      <c r="A59" s="506" t="s">
        <v>30</v>
      </c>
      <c r="B59" s="507"/>
      <c r="C59" s="508" t="s">
        <v>155</v>
      </c>
      <c r="D59" s="509"/>
      <c r="E59" s="509"/>
      <c r="F59" s="510"/>
      <c r="G59" s="510"/>
      <c r="H59" s="509"/>
      <c r="I59" s="510"/>
      <c r="J59" s="509"/>
      <c r="K59" s="143"/>
      <c r="L59" s="144"/>
      <c r="N59" s="134"/>
      <c r="O59" s="134"/>
      <c r="P59" s="134"/>
    </row>
    <row r="60" spans="1:29" s="456" customFormat="1" x14ac:dyDescent="0.2">
      <c r="A60" s="96" t="s">
        <v>626</v>
      </c>
      <c r="B60" s="511"/>
      <c r="C60" s="511"/>
      <c r="D60" s="512"/>
      <c r="E60" s="512"/>
      <c r="F60" s="215"/>
      <c r="G60" s="215"/>
      <c r="H60" s="512"/>
      <c r="I60" s="215"/>
      <c r="J60" s="512"/>
      <c r="K60" s="149"/>
      <c r="L60" s="150"/>
      <c r="N60" s="134"/>
      <c r="O60" s="134"/>
      <c r="P60" s="134"/>
    </row>
    <row r="61" spans="1:29" s="456" customFormat="1" x14ac:dyDescent="0.2">
      <c r="A61" s="96" t="s">
        <v>173</v>
      </c>
      <c r="B61" s="511"/>
      <c r="C61" s="511"/>
      <c r="D61" s="512"/>
      <c r="E61" s="512"/>
      <c r="F61" s="215"/>
      <c r="G61" s="215"/>
      <c r="H61" s="512"/>
      <c r="I61" s="215"/>
      <c r="J61" s="512"/>
      <c r="K61" s="149"/>
      <c r="L61" s="150"/>
      <c r="N61" s="134"/>
      <c r="O61" s="134"/>
      <c r="P61" s="134"/>
    </row>
    <row r="62" spans="1:29" s="456" customFormat="1" x14ac:dyDescent="0.2">
      <c r="A62" s="96" t="s">
        <v>987</v>
      </c>
      <c r="B62" s="511"/>
      <c r="C62" s="511"/>
      <c r="D62" s="512"/>
      <c r="E62" s="512"/>
      <c r="F62" s="215"/>
      <c r="G62" s="215"/>
      <c r="H62" s="512"/>
      <c r="I62" s="215"/>
      <c r="J62" s="512"/>
      <c r="K62" s="149"/>
      <c r="L62" s="150"/>
      <c r="N62" s="134"/>
      <c r="O62" s="134"/>
      <c r="P62" s="134"/>
    </row>
    <row r="63" spans="1:29" s="456" customFormat="1" ht="16.5" thickBot="1" x14ac:dyDescent="0.25">
      <c r="A63" s="110" t="s">
        <v>988</v>
      </c>
      <c r="B63" s="513"/>
      <c r="C63" s="513"/>
      <c r="D63" s="514"/>
      <c r="E63" s="514"/>
      <c r="F63" s="515"/>
      <c r="G63" s="515"/>
      <c r="H63" s="514"/>
      <c r="I63" s="515"/>
      <c r="J63" s="514"/>
      <c r="K63" s="154"/>
      <c r="L63" s="155"/>
      <c r="N63" s="134"/>
      <c r="O63" s="134"/>
      <c r="P63" s="134"/>
    </row>
    <row r="64" spans="1:29" s="456" customFormat="1" ht="16.5" thickBot="1" x14ac:dyDescent="0.25">
      <c r="A64" s="516"/>
      <c r="B64" s="517"/>
      <c r="C64" s="134"/>
      <c r="D64" s="133"/>
      <c r="E64" s="133"/>
      <c r="F64" s="133"/>
      <c r="G64" s="133"/>
      <c r="H64" s="118"/>
      <c r="I64" s="118"/>
      <c r="J64" s="118"/>
      <c r="K64" s="118"/>
      <c r="L64" s="118"/>
      <c r="M64" s="134"/>
      <c r="O64" s="134"/>
      <c r="P64" s="134"/>
      <c r="Q64" s="118"/>
    </row>
    <row r="65" spans="1:24" s="14" customFormat="1" ht="48" thickBot="1" x14ac:dyDescent="0.25">
      <c r="A65" s="518" t="s">
        <v>31</v>
      </c>
      <c r="B65" s="932" t="s">
        <v>628</v>
      </c>
      <c r="C65" s="933"/>
      <c r="D65" s="934"/>
      <c r="E65" s="519" t="s">
        <v>11</v>
      </c>
      <c r="F65" s="519" t="s">
        <v>14</v>
      </c>
      <c r="G65" s="519" t="s">
        <v>287</v>
      </c>
      <c r="H65" s="519" t="s">
        <v>32</v>
      </c>
      <c r="I65" s="519" t="s">
        <v>16</v>
      </c>
      <c r="J65" s="519" t="s">
        <v>17</v>
      </c>
      <c r="K65" s="519" t="s">
        <v>18</v>
      </c>
      <c r="L65" s="519" t="s">
        <v>19</v>
      </c>
      <c r="M65" s="519" t="s">
        <v>20</v>
      </c>
      <c r="N65" s="520" t="s">
        <v>123</v>
      </c>
      <c r="O65" s="519" t="s">
        <v>96</v>
      </c>
      <c r="P65" s="521" t="s">
        <v>809</v>
      </c>
    </row>
    <row r="66" spans="1:24" s="303" customFormat="1" x14ac:dyDescent="0.2">
      <c r="A66" s="269"/>
      <c r="B66" s="925"/>
      <c r="C66" s="926"/>
      <c r="D66" s="926"/>
      <c r="E66" s="226"/>
      <c r="F66" s="226"/>
      <c r="G66" s="226"/>
      <c r="H66" s="226"/>
      <c r="I66" s="226"/>
      <c r="J66" s="273"/>
      <c r="K66" s="263"/>
      <c r="L66" s="263"/>
      <c r="M66" s="306"/>
      <c r="N66" s="49"/>
      <c r="O66" s="226"/>
      <c r="P66" s="274"/>
      <c r="Q66" s="159"/>
      <c r="R66" s="159"/>
      <c r="S66" s="159"/>
      <c r="T66" s="159"/>
      <c r="U66" s="159"/>
      <c r="V66" s="160"/>
      <c r="W66" s="160"/>
      <c r="X66" s="160"/>
    </row>
    <row r="67" spans="1:24" s="303" customFormat="1" x14ac:dyDescent="0.2">
      <c r="A67" s="248"/>
      <c r="B67" s="927"/>
      <c r="C67" s="928"/>
      <c r="D67" s="928"/>
      <c r="E67" s="125"/>
      <c r="F67" s="125"/>
      <c r="G67" s="125"/>
      <c r="H67" s="125"/>
      <c r="I67" s="125"/>
      <c r="J67" s="275"/>
      <c r="K67" s="255"/>
      <c r="L67" s="255"/>
      <c r="M67" s="307"/>
      <c r="N67" s="21"/>
      <c r="O67" s="125"/>
      <c r="P67" s="276"/>
      <c r="Q67" s="159"/>
      <c r="R67" s="159"/>
      <c r="S67" s="159"/>
      <c r="T67" s="159"/>
      <c r="U67" s="159"/>
      <c r="V67" s="160"/>
      <c r="W67" s="160"/>
      <c r="X67" s="160"/>
    </row>
    <row r="68" spans="1:24" s="303" customFormat="1" x14ac:dyDescent="0.2">
      <c r="A68" s="248"/>
      <c r="B68" s="927"/>
      <c r="C68" s="928"/>
      <c r="D68" s="928"/>
      <c r="E68" s="125"/>
      <c r="F68" s="125"/>
      <c r="G68" s="125"/>
      <c r="H68" s="125"/>
      <c r="I68" s="125"/>
      <c r="J68" s="275"/>
      <c r="K68" s="255"/>
      <c r="L68" s="255"/>
      <c r="M68" s="307"/>
      <c r="N68" s="21"/>
      <c r="O68" s="125"/>
      <c r="P68" s="276"/>
      <c r="Q68" s="159"/>
      <c r="R68" s="159"/>
      <c r="S68" s="159"/>
      <c r="T68" s="159"/>
      <c r="U68" s="159"/>
      <c r="V68" s="160"/>
      <c r="W68" s="160"/>
      <c r="X68" s="160"/>
    </row>
    <row r="69" spans="1:24" s="303" customFormat="1" ht="16.5" thickBot="1" x14ac:dyDescent="0.25">
      <c r="A69" s="304"/>
      <c r="B69" s="912"/>
      <c r="C69" s="913"/>
      <c r="D69" s="913"/>
      <c r="E69" s="130"/>
      <c r="F69" s="130"/>
      <c r="G69" s="130"/>
      <c r="H69" s="130"/>
      <c r="I69" s="130"/>
      <c r="J69" s="258"/>
      <c r="K69" s="256"/>
      <c r="L69" s="256"/>
      <c r="M69" s="305"/>
      <c r="N69" s="29"/>
      <c r="O69" s="129"/>
      <c r="P69" s="132"/>
      <c r="Q69" s="159"/>
      <c r="R69" s="159"/>
      <c r="S69" s="159"/>
      <c r="T69" s="159"/>
      <c r="U69" s="159"/>
      <c r="V69" s="160"/>
      <c r="W69" s="160"/>
      <c r="X69" s="160"/>
    </row>
    <row r="70" spans="1:24" s="456" customFormat="1" x14ac:dyDescent="0.2">
      <c r="A70" s="134"/>
      <c r="B70" s="134"/>
      <c r="C70" s="522"/>
      <c r="D70" s="522"/>
      <c r="E70" s="134"/>
      <c r="F70" s="134"/>
      <c r="G70" s="134"/>
      <c r="H70" s="134"/>
      <c r="I70" s="134"/>
      <c r="J70" s="134"/>
      <c r="K70" s="134"/>
      <c r="L70" s="134"/>
      <c r="M70" s="134"/>
      <c r="O70" s="118"/>
      <c r="P70" s="118"/>
      <c r="Q70" s="118"/>
      <c r="R70" s="118"/>
      <c r="S70" s="118"/>
      <c r="T70" s="118"/>
      <c r="U70" s="118"/>
      <c r="V70" s="134"/>
      <c r="W70" s="134"/>
      <c r="X70" s="134"/>
    </row>
    <row r="71" spans="1:24" s="456" customFormat="1" ht="16.5" thickBot="1" x14ac:dyDescent="0.25">
      <c r="A71" s="133"/>
      <c r="B71" s="133"/>
      <c r="C71" s="133"/>
      <c r="D71" s="133"/>
      <c r="E71" s="133"/>
      <c r="F71" s="133"/>
      <c r="G71" s="133"/>
      <c r="H71" s="133"/>
      <c r="I71" s="118"/>
      <c r="J71" s="118"/>
      <c r="K71" s="118"/>
      <c r="L71" s="118"/>
      <c r="M71" s="118"/>
      <c r="N71" s="134"/>
      <c r="O71" s="134"/>
      <c r="P71" s="134"/>
      <c r="Q71" s="134"/>
      <c r="R71" s="134"/>
      <c r="S71" s="134"/>
      <c r="T71" s="134"/>
      <c r="U71" s="134"/>
      <c r="V71" s="134"/>
      <c r="W71" s="118"/>
    </row>
    <row r="72" spans="1:24" s="456" customFormat="1" ht="19.5" thickBot="1" x14ac:dyDescent="0.25">
      <c r="A72" s="938" t="s">
        <v>34</v>
      </c>
      <c r="B72" s="939"/>
      <c r="C72" s="940"/>
      <c r="D72" s="523"/>
      <c r="E72" s="133"/>
      <c r="F72" s="133"/>
      <c r="G72" s="133"/>
      <c r="H72" s="133"/>
      <c r="I72" s="118"/>
      <c r="J72" s="118"/>
      <c r="K72" s="118"/>
      <c r="L72" s="118"/>
      <c r="M72" s="118"/>
      <c r="N72" s="134"/>
      <c r="O72" s="134"/>
      <c r="P72" s="134"/>
      <c r="Q72" s="134"/>
      <c r="R72" s="134"/>
      <c r="S72" s="134"/>
      <c r="T72" s="134"/>
      <c r="U72" s="134"/>
      <c r="V72" s="134"/>
      <c r="W72" s="118"/>
    </row>
    <row r="73" spans="1:24" s="456" customFormat="1" ht="16.5" thickBot="1" x14ac:dyDescent="0.25">
      <c r="A73" s="800" t="s">
        <v>625</v>
      </c>
      <c r="B73" s="801"/>
      <c r="C73" s="802"/>
      <c r="D73" s="200"/>
      <c r="E73" s="200"/>
      <c r="F73" s="200"/>
      <c r="G73" s="200"/>
      <c r="H73" s="194"/>
      <c r="I73" s="194"/>
      <c r="J73" s="200"/>
      <c r="K73" s="194"/>
      <c r="L73" s="200"/>
      <c r="M73" s="118"/>
      <c r="N73" s="134"/>
      <c r="O73" s="134"/>
      <c r="P73" s="134"/>
      <c r="Q73" s="134"/>
      <c r="R73" s="134"/>
      <c r="S73" s="134"/>
      <c r="T73" s="134"/>
      <c r="U73" s="134"/>
      <c r="V73" s="134"/>
      <c r="W73" s="118"/>
    </row>
    <row r="74" spans="1:24" s="456" customFormat="1" x14ac:dyDescent="0.2">
      <c r="A74" s="506" t="s">
        <v>30</v>
      </c>
      <c r="B74" s="470"/>
      <c r="C74" s="508" t="s">
        <v>155</v>
      </c>
      <c r="D74" s="508"/>
      <c r="E74" s="509"/>
      <c r="F74" s="509"/>
      <c r="G74" s="509"/>
      <c r="H74" s="510"/>
      <c r="I74" s="510"/>
      <c r="J74" s="509"/>
      <c r="K74" s="510"/>
      <c r="L74" s="524"/>
      <c r="M74" s="118"/>
      <c r="N74" s="134"/>
      <c r="O74" s="134"/>
      <c r="P74" s="134"/>
      <c r="Q74" s="134"/>
      <c r="R74" s="134"/>
      <c r="S74" s="134"/>
      <c r="T74" s="134"/>
      <c r="U74" s="134"/>
      <c r="V74" s="134"/>
      <c r="W74" s="118"/>
    </row>
    <row r="75" spans="1:24" s="456" customFormat="1" x14ac:dyDescent="0.2">
      <c r="A75" s="96" t="s">
        <v>35</v>
      </c>
      <c r="B75" s="512"/>
      <c r="C75" s="512"/>
      <c r="D75" s="512"/>
      <c r="E75" s="512"/>
      <c r="F75" s="512"/>
      <c r="G75" s="512"/>
      <c r="H75" s="215"/>
      <c r="I75" s="215"/>
      <c r="J75" s="512"/>
      <c r="K75" s="215"/>
      <c r="L75" s="525"/>
      <c r="M75" s="118"/>
      <c r="N75" s="134"/>
      <c r="O75" s="134"/>
      <c r="P75" s="134"/>
      <c r="Q75" s="134"/>
      <c r="R75" s="134"/>
      <c r="S75" s="134"/>
      <c r="T75" s="134"/>
      <c r="U75" s="134"/>
      <c r="V75" s="134"/>
      <c r="W75" s="118"/>
    </row>
    <row r="76" spans="1:24" s="456" customFormat="1" x14ac:dyDescent="0.2">
      <c r="A76" s="96" t="s">
        <v>174</v>
      </c>
      <c r="B76" s="512"/>
      <c r="C76" s="512"/>
      <c r="D76" s="512"/>
      <c r="E76" s="512"/>
      <c r="F76" s="512"/>
      <c r="G76" s="512"/>
      <c r="H76" s="215"/>
      <c r="I76" s="215"/>
      <c r="J76" s="512"/>
      <c r="K76" s="215"/>
      <c r="L76" s="525"/>
      <c r="M76" s="118"/>
      <c r="N76" s="134"/>
      <c r="O76" s="134"/>
      <c r="P76" s="134"/>
      <c r="Q76" s="134"/>
      <c r="R76" s="134"/>
      <c r="S76" s="134"/>
      <c r="T76" s="134"/>
      <c r="U76" s="134"/>
      <c r="V76" s="134"/>
      <c r="W76" s="118"/>
    </row>
    <row r="77" spans="1:24" s="456" customFormat="1" x14ac:dyDescent="0.2">
      <c r="A77" s="96" t="s">
        <v>987</v>
      </c>
      <c r="B77" s="512"/>
      <c r="C77" s="512"/>
      <c r="D77" s="512"/>
      <c r="E77" s="512"/>
      <c r="F77" s="512"/>
      <c r="G77" s="512"/>
      <c r="H77" s="215"/>
      <c r="I77" s="215"/>
      <c r="J77" s="512"/>
      <c r="K77" s="215"/>
      <c r="L77" s="525"/>
      <c r="M77" s="118"/>
      <c r="N77" s="134"/>
      <c r="O77" s="134"/>
      <c r="P77" s="134"/>
      <c r="Q77" s="134"/>
      <c r="R77" s="134"/>
      <c r="S77" s="134"/>
      <c r="T77" s="134"/>
      <c r="U77" s="134"/>
      <c r="V77" s="134"/>
      <c r="W77" s="118"/>
    </row>
    <row r="78" spans="1:24" s="456" customFormat="1" ht="16.5" thickBot="1" x14ac:dyDescent="0.25">
      <c r="A78" s="110" t="s">
        <v>988</v>
      </c>
      <c r="B78" s="514"/>
      <c r="C78" s="514"/>
      <c r="D78" s="514"/>
      <c r="E78" s="514"/>
      <c r="F78" s="514"/>
      <c r="G78" s="514"/>
      <c r="H78" s="515"/>
      <c r="I78" s="515"/>
      <c r="J78" s="514"/>
      <c r="K78" s="515"/>
      <c r="L78" s="526"/>
      <c r="M78" s="118"/>
      <c r="N78" s="134"/>
      <c r="O78" s="134"/>
      <c r="P78" s="134"/>
      <c r="Q78" s="134"/>
      <c r="R78" s="134"/>
      <c r="S78" s="134"/>
      <c r="T78" s="134"/>
      <c r="U78" s="134"/>
      <c r="V78" s="134"/>
      <c r="W78" s="118"/>
    </row>
    <row r="79" spans="1:24" s="456" customFormat="1" ht="16.5" thickBot="1" x14ac:dyDescent="0.25">
      <c r="A79" s="527"/>
      <c r="E79" s="200"/>
      <c r="F79" s="200"/>
      <c r="G79" s="200"/>
      <c r="H79" s="194"/>
      <c r="I79" s="517"/>
      <c r="J79" s="200"/>
      <c r="K79" s="194"/>
      <c r="L79" s="200"/>
      <c r="M79" s="118"/>
      <c r="N79" s="134"/>
      <c r="O79" s="134"/>
      <c r="P79" s="134"/>
      <c r="Q79" s="134"/>
      <c r="R79" s="118"/>
      <c r="V79" s="528"/>
      <c r="W79" s="528"/>
    </row>
    <row r="80" spans="1:24" s="14" customFormat="1" ht="32.25" thickBot="1" x14ac:dyDescent="0.25">
      <c r="A80" s="518" t="s">
        <v>31</v>
      </c>
      <c r="B80" s="932" t="s">
        <v>13</v>
      </c>
      <c r="C80" s="933"/>
      <c r="D80" s="934"/>
      <c r="E80" s="519" t="s">
        <v>12</v>
      </c>
      <c r="F80" s="519" t="s">
        <v>14</v>
      </c>
      <c r="G80" s="519" t="s">
        <v>276</v>
      </c>
      <c r="H80" s="519" t="s">
        <v>32</v>
      </c>
      <c r="I80" s="519" t="s">
        <v>16</v>
      </c>
      <c r="J80" s="519" t="s">
        <v>17</v>
      </c>
      <c r="K80" s="519" t="s">
        <v>18</v>
      </c>
      <c r="L80" s="519" t="s">
        <v>19</v>
      </c>
      <c r="M80" s="519" t="s">
        <v>20</v>
      </c>
      <c r="N80" s="520" t="s">
        <v>123</v>
      </c>
      <c r="O80" s="519" t="s">
        <v>94</v>
      </c>
      <c r="P80" s="521" t="s">
        <v>807</v>
      </c>
      <c r="W80" s="13"/>
    </row>
    <row r="81" spans="1:23" s="303" customFormat="1" x14ac:dyDescent="0.2">
      <c r="A81" s="269"/>
      <c r="B81" s="925"/>
      <c r="C81" s="926"/>
      <c r="D81" s="926"/>
      <c r="E81" s="226"/>
      <c r="F81" s="226"/>
      <c r="G81" s="226"/>
      <c r="H81" s="226"/>
      <c r="I81" s="226"/>
      <c r="J81" s="263"/>
      <c r="K81" s="263"/>
      <c r="L81" s="263"/>
      <c r="M81" s="263"/>
      <c r="N81" s="49"/>
      <c r="O81" s="226"/>
      <c r="P81" s="274"/>
      <c r="Q81" s="160"/>
      <c r="R81" s="160"/>
      <c r="S81" s="160"/>
      <c r="T81" s="160"/>
      <c r="U81" s="160"/>
      <c r="V81" s="160"/>
      <c r="W81" s="159"/>
    </row>
    <row r="82" spans="1:23" s="303" customFormat="1" x14ac:dyDescent="0.2">
      <c r="A82" s="248"/>
      <c r="B82" s="927"/>
      <c r="C82" s="928"/>
      <c r="D82" s="928"/>
      <c r="E82" s="125"/>
      <c r="F82" s="125"/>
      <c r="G82" s="125"/>
      <c r="H82" s="125"/>
      <c r="I82" s="125"/>
      <c r="J82" s="255"/>
      <c r="K82" s="255"/>
      <c r="L82" s="255"/>
      <c r="M82" s="255"/>
      <c r="N82" s="21"/>
      <c r="O82" s="125"/>
      <c r="P82" s="276"/>
      <c r="Q82" s="160"/>
      <c r="R82" s="160"/>
      <c r="S82" s="160"/>
      <c r="T82" s="160"/>
      <c r="U82" s="160"/>
      <c r="V82" s="160"/>
      <c r="W82" s="159"/>
    </row>
    <row r="83" spans="1:23" s="303" customFormat="1" x14ac:dyDescent="0.2">
      <c r="A83" s="248"/>
      <c r="B83" s="927"/>
      <c r="C83" s="928"/>
      <c r="D83" s="928"/>
      <c r="E83" s="125"/>
      <c r="F83" s="125"/>
      <c r="G83" s="125"/>
      <c r="H83" s="125"/>
      <c r="I83" s="125"/>
      <c r="J83" s="255"/>
      <c r="K83" s="255"/>
      <c r="L83" s="255"/>
      <c r="M83" s="255"/>
      <c r="N83" s="21"/>
      <c r="O83" s="125"/>
      <c r="P83" s="276"/>
      <c r="Q83" s="160"/>
      <c r="R83" s="160"/>
      <c r="S83" s="160"/>
      <c r="T83" s="160"/>
      <c r="U83" s="160"/>
      <c r="V83" s="160"/>
      <c r="W83" s="159"/>
    </row>
    <row r="84" spans="1:23" s="303" customFormat="1" ht="16.5" thickBot="1" x14ac:dyDescent="0.25">
      <c r="A84" s="304"/>
      <c r="B84" s="912"/>
      <c r="C84" s="913"/>
      <c r="D84" s="913"/>
      <c r="E84" s="130"/>
      <c r="F84" s="130"/>
      <c r="G84" s="130"/>
      <c r="H84" s="130"/>
      <c r="I84" s="130"/>
      <c r="J84" s="256"/>
      <c r="K84" s="256"/>
      <c r="L84" s="256"/>
      <c r="M84" s="256"/>
      <c r="N84" s="29"/>
      <c r="O84" s="129"/>
      <c r="P84" s="132"/>
      <c r="Q84" s="160"/>
      <c r="R84" s="160"/>
      <c r="S84" s="160"/>
      <c r="T84" s="160"/>
      <c r="U84" s="160"/>
      <c r="V84" s="160"/>
      <c r="W84" s="159"/>
    </row>
    <row r="85" spans="1:23" s="456" customFormat="1" ht="16.5" thickBot="1" x14ac:dyDescent="0.25">
      <c r="A85" s="133"/>
      <c r="B85" s="133"/>
      <c r="C85" s="133"/>
      <c r="D85" s="133"/>
      <c r="E85" s="133"/>
      <c r="F85" s="133"/>
      <c r="G85" s="133"/>
      <c r="H85" s="118"/>
      <c r="I85" s="118"/>
      <c r="J85" s="118"/>
      <c r="K85" s="118"/>
      <c r="L85" s="118"/>
      <c r="M85" s="134"/>
      <c r="N85" s="134"/>
      <c r="O85" s="134"/>
      <c r="P85" s="134"/>
      <c r="Q85" s="134"/>
      <c r="R85" s="134"/>
      <c r="S85" s="134"/>
      <c r="T85" s="134"/>
      <c r="U85" s="134"/>
      <c r="V85" s="118"/>
    </row>
    <row r="86" spans="1:23" s="73" customFormat="1" ht="16.5" thickBot="1" x14ac:dyDescent="0.25">
      <c r="A86" s="822" t="s">
        <v>36</v>
      </c>
      <c r="B86" s="823"/>
      <c r="C86" s="823"/>
      <c r="D86" s="823"/>
      <c r="E86" s="823"/>
      <c r="F86" s="823"/>
      <c r="G86" s="823"/>
      <c r="H86" s="823"/>
      <c r="I86" s="824"/>
      <c r="J86" s="169"/>
      <c r="K86" s="118"/>
      <c r="L86" s="134"/>
      <c r="M86" s="134"/>
      <c r="N86" s="134"/>
      <c r="O86" s="134"/>
      <c r="P86" s="134"/>
      <c r="Q86" s="134"/>
      <c r="R86" s="134"/>
      <c r="S86" s="118"/>
      <c r="T86" s="118"/>
      <c r="U86" s="118"/>
    </row>
    <row r="87" spans="1:23" s="73" customFormat="1" ht="16.5" thickBot="1" x14ac:dyDescent="0.25">
      <c r="A87" s="935" t="s">
        <v>37</v>
      </c>
      <c r="B87" s="936"/>
      <c r="C87" s="936"/>
      <c r="D87" s="936"/>
      <c r="E87" s="936"/>
      <c r="F87" s="936"/>
      <c r="G87" s="936"/>
      <c r="H87" s="936"/>
      <c r="I87" s="937"/>
      <c r="J87" s="170"/>
      <c r="K87" s="118"/>
      <c r="L87" s="134"/>
      <c r="M87" s="134"/>
      <c r="N87" s="134"/>
      <c r="O87" s="134"/>
      <c r="P87" s="134"/>
      <c r="Q87" s="134"/>
      <c r="R87" s="134"/>
      <c r="S87" s="118"/>
      <c r="T87" s="118"/>
      <c r="U87" s="118"/>
    </row>
    <row r="88" spans="1:23" s="308" customFormat="1" ht="15.75" customHeight="1" thickBot="1" x14ac:dyDescent="0.25">
      <c r="A88" s="665" t="s">
        <v>296</v>
      </c>
      <c r="B88" s="909" t="s">
        <v>1129</v>
      </c>
      <c r="C88" s="910"/>
      <c r="D88" s="910"/>
      <c r="E88" s="910"/>
      <c r="F88" s="910"/>
      <c r="G88" s="910"/>
      <c r="H88" s="910"/>
      <c r="I88" s="911"/>
      <c r="J88" s="171"/>
      <c r="K88" s="172"/>
      <c r="L88" s="173"/>
      <c r="M88" s="173"/>
      <c r="N88" s="173"/>
      <c r="O88" s="173"/>
      <c r="P88" s="173"/>
      <c r="Q88" s="173"/>
      <c r="R88" s="173"/>
      <c r="S88" s="172"/>
      <c r="T88" s="172"/>
      <c r="U88" s="172"/>
    </row>
    <row r="89" spans="1:23" s="73" customFormat="1" ht="16.5" thickBot="1" x14ac:dyDescent="0.25">
      <c r="A89" s="196"/>
      <c r="B89" s="169"/>
      <c r="C89" s="169"/>
      <c r="D89" s="169"/>
      <c r="E89" s="169"/>
      <c r="F89" s="176"/>
      <c r="G89" s="176"/>
      <c r="H89" s="176"/>
      <c r="I89" s="176"/>
      <c r="J89" s="176"/>
      <c r="K89" s="118"/>
      <c r="L89" s="134"/>
      <c r="M89" s="134"/>
      <c r="N89" s="134"/>
      <c r="O89" s="134"/>
      <c r="P89" s="134"/>
      <c r="Q89" s="118"/>
    </row>
    <row r="90" spans="1:23" s="73" customFormat="1" ht="16.5" customHeight="1" thickBot="1" x14ac:dyDescent="0.25">
      <c r="A90" s="917" t="s">
        <v>214</v>
      </c>
      <c r="B90" s="918"/>
      <c r="C90" s="918"/>
      <c r="D90" s="918"/>
      <c r="E90" s="918"/>
      <c r="F90" s="918"/>
      <c r="G90" s="918"/>
      <c r="H90" s="930" t="s">
        <v>226</v>
      </c>
      <c r="I90" s="786" t="s">
        <v>627</v>
      </c>
      <c r="J90" s="786" t="s">
        <v>215</v>
      </c>
      <c r="K90" s="786" t="s">
        <v>23</v>
      </c>
      <c r="L90" s="786" t="s">
        <v>302</v>
      </c>
      <c r="M90" s="788" t="s">
        <v>83</v>
      </c>
      <c r="N90" s="134"/>
      <c r="O90" s="118"/>
      <c r="P90" s="456"/>
      <c r="Q90" s="528"/>
      <c r="R90" s="528"/>
    </row>
    <row r="91" spans="1:23" s="446" customFormat="1" ht="16.5" thickBot="1" x14ac:dyDescent="0.25">
      <c r="A91" s="919" t="s">
        <v>887</v>
      </c>
      <c r="B91" s="920"/>
      <c r="C91" s="920"/>
      <c r="D91" s="920"/>
      <c r="E91" s="920"/>
      <c r="F91" s="920"/>
      <c r="G91" s="921"/>
      <c r="H91" s="931"/>
      <c r="I91" s="908"/>
      <c r="J91" s="908"/>
      <c r="K91" s="908"/>
      <c r="L91" s="908"/>
      <c r="M91" s="929"/>
      <c r="N91" s="177"/>
      <c r="O91" s="177"/>
      <c r="P91" s="177"/>
      <c r="Q91" s="177"/>
      <c r="R91" s="177"/>
    </row>
    <row r="92" spans="1:23" s="446" customFormat="1" ht="15.75" customHeight="1" thickBot="1" x14ac:dyDescent="0.25">
      <c r="A92" s="914" t="s">
        <v>353</v>
      </c>
      <c r="B92" s="915"/>
      <c r="C92" s="915"/>
      <c r="D92" s="915"/>
      <c r="E92" s="915"/>
      <c r="F92" s="915"/>
      <c r="G92" s="916"/>
      <c r="H92" s="931"/>
      <c r="I92" s="908"/>
      <c r="J92" s="908"/>
      <c r="K92" s="908"/>
      <c r="L92" s="908"/>
      <c r="M92" s="929"/>
      <c r="N92" s="177"/>
      <c r="O92" s="177"/>
      <c r="P92" s="177"/>
      <c r="Q92" s="177"/>
      <c r="R92" s="177"/>
    </row>
    <row r="93" spans="1:23" s="136" customFormat="1" ht="15.75" customHeight="1" x14ac:dyDescent="0.2">
      <c r="A93" s="178" t="s">
        <v>346</v>
      </c>
      <c r="B93" s="942" t="str">
        <f>IF($A93="","",VLOOKUP($A93,Listes!$A$3:$C$193,2,FALSE))</f>
        <v>Aden Gulf Surcharge</v>
      </c>
      <c r="C93" s="942"/>
      <c r="D93" s="942"/>
      <c r="E93" s="941" t="s">
        <v>53</v>
      </c>
      <c r="F93" s="941"/>
      <c r="G93" s="941"/>
      <c r="H93" s="654"/>
      <c r="I93" s="529"/>
      <c r="J93" s="529"/>
      <c r="K93" s="529"/>
      <c r="L93" s="529"/>
      <c r="M93" s="530"/>
      <c r="N93" s="160"/>
      <c r="O93" s="160"/>
      <c r="P93" s="160"/>
      <c r="Q93" s="160"/>
      <c r="R93" s="159"/>
    </row>
    <row r="94" spans="1:23" s="136" customFormat="1" ht="15.75" customHeight="1" x14ac:dyDescent="0.2">
      <c r="A94" s="182" t="s">
        <v>234</v>
      </c>
      <c r="B94" s="813" t="str">
        <f>IF($A94="","",VLOOKUP($A94,Listes!$A$3:$C$193,2,FALSE))</f>
        <v>Bunker Adjustment Factor</v>
      </c>
      <c r="C94" s="813"/>
      <c r="D94" s="813"/>
      <c r="E94" s="814" t="s">
        <v>51</v>
      </c>
      <c r="F94" s="814"/>
      <c r="G94" s="814"/>
      <c r="H94" s="653"/>
      <c r="I94" s="531"/>
      <c r="J94" s="531"/>
      <c r="K94" s="531"/>
      <c r="L94" s="531"/>
      <c r="M94" s="532"/>
      <c r="N94" s="160"/>
      <c r="O94" s="160"/>
      <c r="P94" s="160"/>
      <c r="Q94" s="160"/>
      <c r="R94" s="159"/>
    </row>
    <row r="95" spans="1:23" s="136" customFormat="1" ht="15.75" customHeight="1" x14ac:dyDescent="0.2">
      <c r="A95" s="182" t="s">
        <v>557</v>
      </c>
      <c r="B95" s="813" t="str">
        <f>IF($A95="","",VLOOKUP($A95,Listes!$A$3:$C$193,2,FALSE))</f>
        <v>Cargo Facility Charge</v>
      </c>
      <c r="C95" s="813"/>
      <c r="D95" s="813"/>
      <c r="E95" s="814" t="s">
        <v>51</v>
      </c>
      <c r="F95" s="814"/>
      <c r="G95" s="814"/>
      <c r="H95" s="653"/>
      <c r="I95" s="531"/>
      <c r="J95" s="531"/>
      <c r="K95" s="531"/>
      <c r="L95" s="531"/>
      <c r="M95" s="532"/>
      <c r="N95" s="160"/>
      <c r="O95" s="160"/>
      <c r="P95" s="160"/>
      <c r="Q95" s="160"/>
      <c r="R95" s="159"/>
    </row>
    <row r="96" spans="1:23" s="136" customFormat="1" ht="15.75" customHeight="1" x14ac:dyDescent="0.2">
      <c r="A96" s="182" t="s">
        <v>1105</v>
      </c>
      <c r="B96" s="813" t="str">
        <f>IF($A96="","",VLOOKUP($A96,Listes!$A$3:$C$193,2,FALSE))</f>
        <v>Chassis Administration Fee On-Carriage</v>
      </c>
      <c r="C96" s="813"/>
      <c r="D96" s="813"/>
      <c r="E96" s="814" t="s">
        <v>51</v>
      </c>
      <c r="F96" s="814"/>
      <c r="G96" s="814"/>
      <c r="H96" s="653"/>
      <c r="I96" s="531"/>
      <c r="J96" s="531"/>
      <c r="K96" s="531"/>
      <c r="L96" s="531"/>
      <c r="M96" s="532"/>
      <c r="N96" s="160"/>
      <c r="O96" s="160"/>
      <c r="P96" s="160"/>
      <c r="Q96" s="160"/>
      <c r="R96" s="159"/>
    </row>
    <row r="97" spans="1:18" s="136" customFormat="1" ht="15.75" customHeight="1" x14ac:dyDescent="0.2">
      <c r="A97" s="182" t="s">
        <v>551</v>
      </c>
      <c r="B97" s="813" t="str">
        <f>IF($A97="","",VLOOKUP($A97,Listes!$A$3:$C$193,2,FALSE))</f>
        <v>Chassis Provision Charge</v>
      </c>
      <c r="C97" s="813"/>
      <c r="D97" s="813"/>
      <c r="E97" s="814" t="s">
        <v>51</v>
      </c>
      <c r="F97" s="814"/>
      <c r="G97" s="814"/>
      <c r="H97" s="653"/>
      <c r="I97" s="531"/>
      <c r="J97" s="531"/>
      <c r="K97" s="531"/>
      <c r="L97" s="531"/>
      <c r="M97" s="532"/>
      <c r="N97" s="160"/>
      <c r="O97" s="160"/>
      <c r="P97" s="160"/>
      <c r="Q97" s="160"/>
      <c r="R97" s="159"/>
    </row>
    <row r="98" spans="1:18" s="136" customFormat="1" ht="15.75" customHeight="1" x14ac:dyDescent="0.2">
      <c r="A98" s="182" t="s">
        <v>263</v>
      </c>
      <c r="B98" s="813" t="str">
        <f>IF($A98="","",VLOOKUP($A98,Listes!$A$3:$C$193,2,FALSE))</f>
        <v>Carrier Security Charge</v>
      </c>
      <c r="C98" s="813"/>
      <c r="D98" s="813"/>
      <c r="E98" s="814" t="s">
        <v>51</v>
      </c>
      <c r="F98" s="814"/>
      <c r="G98" s="814"/>
      <c r="H98" s="653"/>
      <c r="I98" s="531"/>
      <c r="J98" s="531"/>
      <c r="K98" s="531"/>
      <c r="L98" s="531"/>
      <c r="M98" s="532"/>
      <c r="N98" s="160"/>
      <c r="O98" s="160"/>
      <c r="P98" s="160"/>
      <c r="Q98" s="160"/>
      <c r="R98" s="159"/>
    </row>
    <row r="99" spans="1:18" s="136" customFormat="1" ht="15.75" customHeight="1" x14ac:dyDescent="0.2">
      <c r="A99" s="182" t="s">
        <v>1262</v>
      </c>
      <c r="B99" s="813" t="str">
        <f>IF($A99="","",VLOOKUP($A99,Listes!$A$3:$C$193,2,FALSE))</f>
        <v>Container Maintenance Charge Destination</v>
      </c>
      <c r="C99" s="813"/>
      <c r="D99" s="813"/>
      <c r="E99" s="814" t="s">
        <v>51</v>
      </c>
      <c r="F99" s="814"/>
      <c r="G99" s="814"/>
      <c r="H99" s="653"/>
      <c r="I99" s="531"/>
      <c r="J99" s="531"/>
      <c r="K99" s="531"/>
      <c r="L99" s="531"/>
      <c r="M99" s="532"/>
      <c r="N99" s="160"/>
      <c r="O99" s="160"/>
      <c r="P99" s="160"/>
      <c r="Q99" s="160"/>
      <c r="R99" s="159"/>
    </row>
    <row r="100" spans="1:18" s="136" customFormat="1" ht="15.75" customHeight="1" x14ac:dyDescent="0.2">
      <c r="A100" s="182" t="s">
        <v>230</v>
      </c>
      <c r="B100" s="813" t="str">
        <f>IF($A100="","",VLOOKUP($A100,Listes!$A$3:$C$193,2,FALSE))</f>
        <v>Destination THC / Destination Receiving Charge</v>
      </c>
      <c r="C100" s="813"/>
      <c r="D100" s="813"/>
      <c r="E100" s="814" t="s">
        <v>53</v>
      </c>
      <c r="F100" s="814"/>
      <c r="G100" s="814"/>
      <c r="H100" s="653"/>
      <c r="I100" s="531"/>
      <c r="J100" s="531"/>
      <c r="K100" s="531"/>
      <c r="L100" s="531"/>
      <c r="M100" s="532"/>
      <c r="N100" s="160"/>
      <c r="O100" s="160"/>
      <c r="P100" s="160"/>
      <c r="Q100" s="160"/>
      <c r="R100" s="159"/>
    </row>
    <row r="101" spans="1:18" s="136" customFormat="1" ht="15.75" customHeight="1" x14ac:dyDescent="0.2">
      <c r="A101" s="182" t="s">
        <v>854</v>
      </c>
      <c r="B101" s="813" t="str">
        <f>IF($A101="","",VLOOKUP($A101,Listes!$A$3:$C$193,2,FALSE))</f>
        <v>Export Declaration Surcharge</v>
      </c>
      <c r="C101" s="813"/>
      <c r="D101" s="813"/>
      <c r="E101" s="814" t="s">
        <v>51</v>
      </c>
      <c r="F101" s="814"/>
      <c r="G101" s="814"/>
      <c r="H101" s="653"/>
      <c r="I101" s="531"/>
      <c r="J101" s="531"/>
      <c r="K101" s="531"/>
      <c r="L101" s="531"/>
      <c r="M101" s="532"/>
      <c r="N101" s="160"/>
      <c r="O101" s="160"/>
      <c r="P101" s="160"/>
      <c r="Q101" s="160"/>
      <c r="R101" s="159"/>
    </row>
    <row r="102" spans="1:18" s="136" customFormat="1" ht="15.75" customHeight="1" x14ac:dyDescent="0.2">
      <c r="A102" s="182" t="s">
        <v>874</v>
      </c>
      <c r="B102" s="813" t="str">
        <f>IF($A102="","",VLOOKUP($A102,Listes!$A$3:$C$193,2,FALSE))</f>
        <v>Export Documentation Fees - Carrier</v>
      </c>
      <c r="C102" s="813"/>
      <c r="D102" s="813"/>
      <c r="E102" s="814" t="s">
        <v>51</v>
      </c>
      <c r="F102" s="814"/>
      <c r="G102" s="814"/>
      <c r="H102" s="653"/>
      <c r="I102" s="531"/>
      <c r="J102" s="531"/>
      <c r="K102" s="531"/>
      <c r="L102" s="531"/>
      <c r="M102" s="532"/>
      <c r="N102" s="160"/>
      <c r="O102" s="160"/>
      <c r="P102" s="160"/>
      <c r="Q102" s="160"/>
      <c r="R102" s="159"/>
    </row>
    <row r="103" spans="1:18" s="136" customFormat="1" ht="15.75" customHeight="1" x14ac:dyDescent="0.2">
      <c r="A103" s="182" t="s">
        <v>1320</v>
      </c>
      <c r="B103" s="813" t="str">
        <f>IF($A103="","",VLOOKUP($A103,Listes!$A$3:$C$193,2,FALSE))</f>
        <v>Export Seal Fee</v>
      </c>
      <c r="C103" s="813"/>
      <c r="D103" s="813"/>
      <c r="E103" s="814" t="s">
        <v>51</v>
      </c>
      <c r="F103" s="814"/>
      <c r="G103" s="814"/>
      <c r="H103" s="686"/>
      <c r="I103" s="531"/>
      <c r="J103" s="531"/>
      <c r="K103" s="531"/>
      <c r="L103" s="531"/>
      <c r="M103" s="532"/>
      <c r="N103" s="160"/>
      <c r="O103" s="160"/>
      <c r="P103" s="160"/>
      <c r="Q103" s="160"/>
      <c r="R103" s="159"/>
    </row>
    <row r="104" spans="1:18" s="136" customFormat="1" ht="15.75" customHeight="1" x14ac:dyDescent="0.2">
      <c r="A104" s="182" t="s">
        <v>1115</v>
      </c>
      <c r="B104" s="813" t="str">
        <f>IF($A104="","",VLOOKUP($A104,Listes!$A$3:$C$193,2,FALSE))</f>
        <v>Extra Risk Surcharge (Origin)</v>
      </c>
      <c r="C104" s="813"/>
      <c r="D104" s="813"/>
      <c r="E104" s="814" t="s">
        <v>51</v>
      </c>
      <c r="F104" s="814"/>
      <c r="G104" s="814"/>
      <c r="H104" s="653"/>
      <c r="I104" s="531"/>
      <c r="J104" s="531"/>
      <c r="K104" s="531"/>
      <c r="L104" s="531"/>
      <c r="M104" s="532"/>
      <c r="N104" s="160"/>
      <c r="O104" s="160"/>
      <c r="P104" s="160"/>
      <c r="Q104" s="160"/>
      <c r="R104" s="159"/>
    </row>
    <row r="105" spans="1:18" s="136" customFormat="1" ht="15.75" customHeight="1" x14ac:dyDescent="0.2">
      <c r="A105" s="182" t="s">
        <v>93</v>
      </c>
      <c r="B105" s="813" t="str">
        <f>IF($A105="","",VLOOKUP($A105,Listes!$A$3:$C$193,2,FALSE))</f>
        <v>Garments on Hanger Additional</v>
      </c>
      <c r="C105" s="813"/>
      <c r="D105" s="813"/>
      <c r="E105" s="814" t="s">
        <v>51</v>
      </c>
      <c r="F105" s="814"/>
      <c r="G105" s="814"/>
      <c r="H105" s="653"/>
      <c r="I105" s="531"/>
      <c r="J105" s="531"/>
      <c r="K105" s="531"/>
      <c r="L105" s="531"/>
      <c r="M105" s="532"/>
      <c r="N105" s="160"/>
      <c r="O105" s="160"/>
      <c r="P105" s="160"/>
      <c r="Q105" s="160"/>
      <c r="R105" s="159"/>
    </row>
    <row r="106" spans="1:18" s="136" customFormat="1" ht="15.75" customHeight="1" x14ac:dyDescent="0.2">
      <c r="A106" s="182" t="s">
        <v>82</v>
      </c>
      <c r="B106" s="813" t="str">
        <f>IF($A106="","",VLOOKUP($A106,Listes!$A$3:$C$193,2,FALSE))</f>
        <v>General Rate Increase</v>
      </c>
      <c r="C106" s="813"/>
      <c r="D106" s="813"/>
      <c r="E106" s="814" t="s">
        <v>51</v>
      </c>
      <c r="F106" s="814"/>
      <c r="G106" s="814"/>
      <c r="H106" s="653"/>
      <c r="I106" s="531"/>
      <c r="J106" s="531"/>
      <c r="K106" s="531"/>
      <c r="L106" s="531"/>
      <c r="M106" s="532"/>
      <c r="N106" s="160"/>
      <c r="O106" s="160"/>
      <c r="P106" s="160"/>
      <c r="Q106" s="160"/>
      <c r="R106" s="159"/>
    </row>
    <row r="107" spans="1:18" s="136" customFormat="1" ht="15.75" customHeight="1" x14ac:dyDescent="0.2">
      <c r="A107" s="182" t="s">
        <v>260</v>
      </c>
      <c r="B107" s="813" t="str">
        <f>IF($A107="","",VLOOKUP($A107,Listes!$A$3:$C$193,2,FALSE))</f>
        <v>Hazardous Fees (Ocean)</v>
      </c>
      <c r="C107" s="813"/>
      <c r="D107" s="813"/>
      <c r="E107" s="814" t="s">
        <v>51</v>
      </c>
      <c r="F107" s="814"/>
      <c r="G107" s="814"/>
      <c r="H107" s="653"/>
      <c r="I107" s="531"/>
      <c r="J107" s="531"/>
      <c r="K107" s="531"/>
      <c r="L107" s="531"/>
      <c r="M107" s="532"/>
      <c r="N107" s="160"/>
      <c r="O107" s="160"/>
      <c r="P107" s="160"/>
      <c r="Q107" s="160"/>
      <c r="R107" s="159"/>
    </row>
    <row r="108" spans="1:18" s="136" customFormat="1" ht="15.75" customHeight="1" x14ac:dyDescent="0.2">
      <c r="A108" s="182" t="s">
        <v>310</v>
      </c>
      <c r="B108" s="813" t="str">
        <f>IF($A108="","",VLOOKUP($A108,Listes!$A$3:$C$193,2,FALSE))</f>
        <v>Precarriage from Inland Container Depot TO POL</v>
      </c>
      <c r="C108" s="813"/>
      <c r="D108" s="813"/>
      <c r="E108" s="814" t="s">
        <v>51</v>
      </c>
      <c r="F108" s="814"/>
      <c r="G108" s="814"/>
      <c r="H108" s="653"/>
      <c r="I108" s="531"/>
      <c r="J108" s="531"/>
      <c r="K108" s="531"/>
      <c r="L108" s="531"/>
      <c r="M108" s="532"/>
      <c r="N108" s="160"/>
      <c r="O108" s="160"/>
      <c r="P108" s="160"/>
      <c r="Q108" s="160"/>
      <c r="R108" s="159"/>
    </row>
    <row r="109" spans="1:18" s="136" customFormat="1" ht="15.75" customHeight="1" x14ac:dyDescent="0.2">
      <c r="A109" s="182" t="s">
        <v>898</v>
      </c>
      <c r="B109" s="813" t="str">
        <f>IF($A109="","",VLOOKUP($A109,Listes!$A$3:$C$193,2,FALSE))</f>
        <v>Oncarriage Additional Intermodal Door Delivery Surcharge</v>
      </c>
      <c r="C109" s="813"/>
      <c r="D109" s="813"/>
      <c r="E109" s="814" t="s">
        <v>51</v>
      </c>
      <c r="F109" s="814"/>
      <c r="G109" s="814"/>
      <c r="H109" s="653"/>
      <c r="I109" s="531"/>
      <c r="J109" s="531"/>
      <c r="K109" s="531"/>
      <c r="L109" s="531"/>
      <c r="M109" s="532"/>
      <c r="N109" s="160"/>
      <c r="O109" s="160"/>
      <c r="P109" s="160"/>
      <c r="Q109" s="160"/>
      <c r="R109" s="159"/>
    </row>
    <row r="110" spans="1:18" s="136" customFormat="1" ht="15.75" customHeight="1" x14ac:dyDescent="0.2">
      <c r="A110" s="182" t="s">
        <v>1290</v>
      </c>
      <c r="B110" s="813" t="str">
        <f>IF($A110="","",VLOOKUP($A110,Listes!$A$3:$C$193,2,FALSE))</f>
        <v>Local Port Charge Destination Sanitary Fee</v>
      </c>
      <c r="C110" s="813"/>
      <c r="D110" s="813"/>
      <c r="E110" s="814" t="s">
        <v>51</v>
      </c>
      <c r="F110" s="814"/>
      <c r="G110" s="814"/>
      <c r="H110" s="675"/>
      <c r="I110" s="531"/>
      <c r="J110" s="531"/>
      <c r="K110" s="531"/>
      <c r="L110" s="531"/>
      <c r="M110" s="532"/>
      <c r="N110" s="160"/>
      <c r="O110" s="160"/>
      <c r="P110" s="160"/>
      <c r="Q110" s="160"/>
      <c r="R110" s="159"/>
    </row>
    <row r="111" spans="1:18" s="136" customFormat="1" ht="15.75" customHeight="1" x14ac:dyDescent="0.2">
      <c r="A111" s="182" t="s">
        <v>1292</v>
      </c>
      <c r="B111" s="813" t="str">
        <f>IF($A111="","",VLOOKUP($A111,Listes!$A$3:$C$193,2,FALSE))</f>
        <v>Local Port Charge Origin Sanitary Fee</v>
      </c>
      <c r="C111" s="813"/>
      <c r="D111" s="813"/>
      <c r="E111" s="814" t="s">
        <v>51</v>
      </c>
      <c r="F111" s="814"/>
      <c r="G111" s="814"/>
      <c r="H111" s="675"/>
      <c r="I111" s="531"/>
      <c r="J111" s="531"/>
      <c r="K111" s="531"/>
      <c r="L111" s="531"/>
      <c r="M111" s="532"/>
      <c r="N111" s="160"/>
      <c r="O111" s="160"/>
      <c r="P111" s="160"/>
      <c r="Q111" s="160"/>
      <c r="R111" s="159"/>
    </row>
    <row r="112" spans="1:18" s="136" customFormat="1" ht="15.75" customHeight="1" x14ac:dyDescent="0.2">
      <c r="A112" s="182" t="s">
        <v>199</v>
      </c>
      <c r="B112" s="813" t="str">
        <f>IF($A112="","",VLOOKUP($A112,Listes!$A$3:$C$193,2,FALSE))</f>
        <v>Low Sulfur Surcharge</v>
      </c>
      <c r="C112" s="813"/>
      <c r="D112" s="813"/>
      <c r="E112" s="814" t="s">
        <v>53</v>
      </c>
      <c r="F112" s="814"/>
      <c r="G112" s="814"/>
      <c r="H112" s="653"/>
      <c r="I112" s="531"/>
      <c r="J112" s="531"/>
      <c r="K112" s="531"/>
      <c r="L112" s="531"/>
      <c r="M112" s="532"/>
      <c r="N112" s="160"/>
      <c r="O112" s="160"/>
      <c r="P112" s="160"/>
      <c r="Q112" s="160"/>
      <c r="R112" s="159"/>
    </row>
    <row r="113" spans="1:18" s="136" customFormat="1" ht="15.75" customHeight="1" x14ac:dyDescent="0.2">
      <c r="A113" s="182" t="s">
        <v>1124</v>
      </c>
      <c r="B113" s="813" t="str">
        <f>IF($A113="","",VLOOKUP($A113,Listes!$A$3:$C$193,2,FALSE))</f>
        <v>Low Sulfur Surcharge IMO2020</v>
      </c>
      <c r="C113" s="813"/>
      <c r="D113" s="813"/>
      <c r="E113" s="814" t="s">
        <v>53</v>
      </c>
      <c r="F113" s="814"/>
      <c r="G113" s="814"/>
      <c r="H113" s="666"/>
      <c r="I113" s="531"/>
      <c r="J113" s="531"/>
      <c r="K113" s="531"/>
      <c r="L113" s="531"/>
      <c r="M113" s="532"/>
      <c r="N113" s="160"/>
      <c r="O113" s="160"/>
      <c r="P113" s="160"/>
      <c r="Q113" s="160"/>
      <c r="R113" s="159"/>
    </row>
    <row r="114" spans="1:18" s="136" customFormat="1" x14ac:dyDescent="0.2">
      <c r="A114" s="182" t="s">
        <v>1059</v>
      </c>
      <c r="B114" s="813" t="str">
        <f>IF($A114="","",VLOOKUP($A114,Listes!$A$3:$C$193,2,FALSE))</f>
        <v>On-Carriage Emergency Inland Fuel Surcharge</v>
      </c>
      <c r="C114" s="813"/>
      <c r="D114" s="813"/>
      <c r="E114" s="814" t="s">
        <v>51</v>
      </c>
      <c r="F114" s="814"/>
      <c r="G114" s="814"/>
      <c r="H114" s="653"/>
      <c r="I114" s="531"/>
      <c r="J114" s="531"/>
      <c r="K114" s="531"/>
      <c r="L114" s="531"/>
      <c r="M114" s="532"/>
      <c r="N114" s="160"/>
      <c r="O114" s="160"/>
      <c r="P114" s="160"/>
      <c r="Q114" s="160"/>
      <c r="R114" s="159"/>
    </row>
    <row r="115" spans="1:18" s="136" customFormat="1" ht="31.5" x14ac:dyDescent="0.2">
      <c r="A115" s="182" t="s">
        <v>1088</v>
      </c>
      <c r="B115" s="813" t="str">
        <f>IF($A115="","",VLOOKUP($A115,Listes!$A$3:$C$193,2,FALSE))</f>
        <v>On-Carriage Emergency Intermodal Surcharge</v>
      </c>
      <c r="C115" s="813"/>
      <c r="D115" s="813"/>
      <c r="E115" s="814" t="s">
        <v>51</v>
      </c>
      <c r="F115" s="814"/>
      <c r="G115" s="814"/>
      <c r="H115" s="653"/>
      <c r="I115" s="531"/>
      <c r="J115" s="531"/>
      <c r="K115" s="531"/>
      <c r="L115" s="531"/>
      <c r="M115" s="532"/>
      <c r="N115" s="160"/>
      <c r="O115" s="160"/>
      <c r="P115" s="160"/>
      <c r="Q115" s="160"/>
      <c r="R115" s="159"/>
    </row>
    <row r="116" spans="1:18" s="136" customFormat="1" ht="15.75" customHeight="1" x14ac:dyDescent="0.2">
      <c r="A116" s="182" t="s">
        <v>497</v>
      </c>
      <c r="B116" s="813" t="str">
        <f>IF($A116="","",VLOOKUP($A116,Listes!$A$3:$C$193,2,FALSE))</f>
        <v>Inland Hazardous Charge Oncarriage</v>
      </c>
      <c r="C116" s="813"/>
      <c r="D116" s="813"/>
      <c r="E116" s="814" t="s">
        <v>51</v>
      </c>
      <c r="F116" s="814"/>
      <c r="G116" s="814"/>
      <c r="H116" s="653"/>
      <c r="I116" s="531"/>
      <c r="J116" s="531"/>
      <c r="K116" s="531"/>
      <c r="L116" s="531"/>
      <c r="M116" s="532"/>
      <c r="N116" s="160"/>
      <c r="O116" s="160"/>
      <c r="P116" s="160"/>
      <c r="Q116" s="160"/>
      <c r="R116" s="159"/>
    </row>
    <row r="117" spans="1:18" s="136" customFormat="1" x14ac:dyDescent="0.2">
      <c r="A117" s="182" t="s">
        <v>89</v>
      </c>
      <c r="B117" s="813" t="str">
        <f>IF($A117="","",VLOOKUP($A117,Listes!$A$3:$C$193,2,FALSE))</f>
        <v>Origin THC / Origin Receiving Charge</v>
      </c>
      <c r="C117" s="813"/>
      <c r="D117" s="813"/>
      <c r="E117" s="814" t="s">
        <v>51</v>
      </c>
      <c r="F117" s="814"/>
      <c r="G117" s="814"/>
      <c r="H117" s="653"/>
      <c r="I117" s="531"/>
      <c r="J117" s="531"/>
      <c r="K117" s="531"/>
      <c r="L117" s="531"/>
      <c r="M117" s="532"/>
      <c r="N117" s="160"/>
      <c r="O117" s="160"/>
      <c r="P117" s="160"/>
      <c r="Q117" s="160"/>
      <c r="R117" s="159"/>
    </row>
    <row r="118" spans="1:18" s="136" customFormat="1" ht="15.75" customHeight="1" x14ac:dyDescent="0.2">
      <c r="A118" s="182" t="s">
        <v>87</v>
      </c>
      <c r="B118" s="813" t="str">
        <f>IF($A118="","",VLOOKUP($A118,Listes!$A$3:$C$193,2,FALSE))</f>
        <v>Peak Season</v>
      </c>
      <c r="C118" s="813"/>
      <c r="D118" s="813"/>
      <c r="E118" s="814" t="s">
        <v>51</v>
      </c>
      <c r="F118" s="814"/>
      <c r="G118" s="814"/>
      <c r="H118" s="653"/>
      <c r="I118" s="531"/>
      <c r="J118" s="531"/>
      <c r="K118" s="531"/>
      <c r="L118" s="531"/>
      <c r="M118" s="532"/>
      <c r="N118" s="160"/>
      <c r="O118" s="160"/>
      <c r="P118" s="160"/>
      <c r="Q118" s="160"/>
      <c r="R118" s="159"/>
    </row>
    <row r="119" spans="1:18" s="136" customFormat="1" ht="15.75" customHeight="1" x14ac:dyDescent="0.2">
      <c r="A119" s="182" t="s">
        <v>738</v>
      </c>
      <c r="B119" s="813" t="str">
        <f>IF($A119="","",VLOOKUP($A119,Listes!$A$3:$C$193,2,FALSE))</f>
        <v>Rate Restoration Initiative</v>
      </c>
      <c r="C119" s="813"/>
      <c r="D119" s="813"/>
      <c r="E119" s="814" t="s">
        <v>51</v>
      </c>
      <c r="F119" s="814"/>
      <c r="G119" s="814"/>
      <c r="H119" s="653"/>
      <c r="I119" s="531"/>
      <c r="J119" s="531"/>
      <c r="K119" s="531"/>
      <c r="L119" s="531"/>
      <c r="M119" s="532"/>
      <c r="N119" s="160"/>
      <c r="O119" s="160"/>
      <c r="P119" s="160"/>
      <c r="Q119" s="160"/>
      <c r="R119" s="159"/>
    </row>
    <row r="120" spans="1:18" s="136" customFormat="1" ht="15.75" customHeight="1" x14ac:dyDescent="0.2">
      <c r="A120" s="182" t="s">
        <v>801</v>
      </c>
      <c r="B120" s="813" t="str">
        <f>IF($A120="","",VLOOKUP($A120,Listes!$A$3:$C$193,2,FALSE))</f>
        <v>Rate Restoration Initiative 2</v>
      </c>
      <c r="C120" s="813"/>
      <c r="D120" s="813"/>
      <c r="E120" s="814" t="s">
        <v>51</v>
      </c>
      <c r="F120" s="814"/>
      <c r="G120" s="814"/>
      <c r="H120" s="653"/>
      <c r="I120" s="531"/>
      <c r="J120" s="531"/>
      <c r="K120" s="531"/>
      <c r="L120" s="531"/>
      <c r="M120" s="532"/>
      <c r="N120" s="160"/>
      <c r="O120" s="160"/>
      <c r="P120" s="160"/>
      <c r="Q120" s="160"/>
      <c r="R120" s="159"/>
    </row>
    <row r="121" spans="1:18" s="136" customFormat="1" ht="15.75" customHeight="1" x14ac:dyDescent="0.2">
      <c r="A121" s="182" t="s">
        <v>803</v>
      </c>
      <c r="B121" s="813" t="str">
        <f>IF($A121="","",VLOOKUP($A121,Listes!$A$3:$C$193,2,FALSE))</f>
        <v>Rate Restoration Initiative 3</v>
      </c>
      <c r="C121" s="813"/>
      <c r="D121" s="813"/>
      <c r="E121" s="814" t="s">
        <v>51</v>
      </c>
      <c r="F121" s="814"/>
      <c r="G121" s="814"/>
      <c r="H121" s="653"/>
      <c r="I121" s="531"/>
      <c r="J121" s="531"/>
      <c r="K121" s="531"/>
      <c r="L121" s="531"/>
      <c r="M121" s="532"/>
      <c r="N121" s="160"/>
      <c r="O121" s="160"/>
      <c r="P121" s="160"/>
      <c r="Q121" s="160"/>
      <c r="R121" s="159"/>
    </row>
    <row r="122" spans="1:18" s="136" customFormat="1" ht="15.75" customHeight="1" x14ac:dyDescent="0.2">
      <c r="A122" s="182" t="s">
        <v>861</v>
      </c>
      <c r="B122" s="813" t="str">
        <f>IF($A122="","",VLOOKUP($A122,Listes!$A$3:$C$193,2,FALSE))</f>
        <v>Rate Restoration Initiative 4</v>
      </c>
      <c r="C122" s="813"/>
      <c r="D122" s="813"/>
      <c r="E122" s="814" t="s">
        <v>51</v>
      </c>
      <c r="F122" s="814"/>
      <c r="G122" s="814"/>
      <c r="H122" s="653"/>
      <c r="I122" s="531"/>
      <c r="J122" s="531"/>
      <c r="K122" s="531"/>
      <c r="L122" s="531"/>
      <c r="M122" s="532"/>
      <c r="N122" s="160"/>
      <c r="O122" s="160"/>
      <c r="P122" s="160"/>
      <c r="Q122" s="160"/>
      <c r="R122" s="159"/>
    </row>
    <row r="123" spans="1:18" s="136" customFormat="1" ht="15.75" customHeight="1" x14ac:dyDescent="0.2">
      <c r="A123" s="182" t="s">
        <v>864</v>
      </c>
      <c r="B123" s="813" t="str">
        <f>IF($A123="","",VLOOKUP($A123,Listes!$A$3:$C$193,2,FALSE))</f>
        <v>Rate Restoration Initiative 5</v>
      </c>
      <c r="C123" s="813"/>
      <c r="D123" s="813"/>
      <c r="E123" s="814" t="s">
        <v>51</v>
      </c>
      <c r="F123" s="814"/>
      <c r="G123" s="814"/>
      <c r="H123" s="653"/>
      <c r="I123" s="531"/>
      <c r="J123" s="531"/>
      <c r="K123" s="531"/>
      <c r="L123" s="531"/>
      <c r="M123" s="532"/>
      <c r="N123" s="160"/>
      <c r="O123" s="160"/>
      <c r="P123" s="160"/>
      <c r="Q123" s="160"/>
      <c r="R123" s="159"/>
    </row>
    <row r="124" spans="1:18" s="136" customFormat="1" ht="15.75" customHeight="1" x14ac:dyDescent="0.2">
      <c r="A124" s="182" t="s">
        <v>879</v>
      </c>
      <c r="B124" s="813" t="str">
        <f>IF($A124="","",VLOOKUP($A124,Listes!$A$3:$C$193,2,FALSE))</f>
        <v>Rate Restoration Initiative 6</v>
      </c>
      <c r="C124" s="813"/>
      <c r="D124" s="813"/>
      <c r="E124" s="814" t="s">
        <v>51</v>
      </c>
      <c r="F124" s="814"/>
      <c r="G124" s="814"/>
      <c r="H124" s="653"/>
      <c r="I124" s="531"/>
      <c r="J124" s="531"/>
      <c r="K124" s="531"/>
      <c r="L124" s="531"/>
      <c r="M124" s="532"/>
      <c r="N124" s="160"/>
      <c r="O124" s="160"/>
      <c r="P124" s="160"/>
      <c r="Q124" s="160"/>
      <c r="R124" s="159"/>
    </row>
    <row r="125" spans="1:18" s="136" customFormat="1" ht="15.75" customHeight="1" x14ac:dyDescent="0.2">
      <c r="A125" s="182" t="s">
        <v>278</v>
      </c>
      <c r="B125" s="813" t="str">
        <f>IF($A125="","",VLOOKUP($A125,Listes!$A$3:$C$193,2,FALSE))</f>
        <v>Destination Terminal Security Charge</v>
      </c>
      <c r="C125" s="813"/>
      <c r="D125" s="813"/>
      <c r="E125" s="814" t="s">
        <v>51</v>
      </c>
      <c r="F125" s="814"/>
      <c r="G125" s="814"/>
      <c r="H125" s="653"/>
      <c r="I125" s="531"/>
      <c r="J125" s="531"/>
      <c r="K125" s="531"/>
      <c r="L125" s="531"/>
      <c r="M125" s="532"/>
      <c r="N125" s="160"/>
      <c r="O125" s="160"/>
      <c r="P125" s="160"/>
      <c r="Q125" s="160"/>
      <c r="R125" s="159"/>
    </row>
    <row r="126" spans="1:18" s="136" customFormat="1" ht="15.75" customHeight="1" x14ac:dyDescent="0.2">
      <c r="A126" s="182" t="s">
        <v>361</v>
      </c>
      <c r="B126" s="813" t="str">
        <f>IF($A126="","",VLOOKUP($A126,Listes!$A$3:$C$193,2,FALSE))</f>
        <v>Suez Canal Surcharge</v>
      </c>
      <c r="C126" s="813"/>
      <c r="D126" s="813"/>
      <c r="E126" s="814" t="s">
        <v>630</v>
      </c>
      <c r="F126" s="814"/>
      <c r="G126" s="814"/>
      <c r="H126" s="653"/>
      <c r="I126" s="531"/>
      <c r="J126" s="531"/>
      <c r="K126" s="531"/>
      <c r="L126" s="531"/>
      <c r="M126" s="532"/>
      <c r="N126" s="160"/>
      <c r="O126" s="160"/>
      <c r="P126" s="160"/>
      <c r="Q126" s="160"/>
      <c r="R126" s="159"/>
    </row>
    <row r="127" spans="1:18" s="136" customFormat="1" ht="31.5" x14ac:dyDescent="0.2">
      <c r="A127" s="182" t="s">
        <v>367</v>
      </c>
      <c r="B127" s="813" t="str">
        <f>IF($A127="","",VLOOKUP($A127,Listes!$A$3:$C$193,2,FALSE))</f>
        <v>Tri-Axle / Super Chassis Oncarriage Surcharge</v>
      </c>
      <c r="C127" s="813"/>
      <c r="D127" s="813"/>
      <c r="E127" s="814" t="s">
        <v>51</v>
      </c>
      <c r="F127" s="814"/>
      <c r="G127" s="814"/>
      <c r="H127" s="653"/>
      <c r="I127" s="531"/>
      <c r="J127" s="531"/>
      <c r="K127" s="531"/>
      <c r="L127" s="531"/>
      <c r="M127" s="532"/>
      <c r="N127" s="160"/>
      <c r="O127" s="160"/>
      <c r="P127" s="160"/>
      <c r="Q127" s="160"/>
      <c r="R127" s="159"/>
    </row>
    <row r="128" spans="1:18" s="136" customFormat="1" ht="15.75" customHeight="1" x14ac:dyDescent="0.2">
      <c r="A128" s="182" t="s">
        <v>742</v>
      </c>
      <c r="B128" s="813" t="str">
        <f>IF($A128="","",VLOOKUP($A128,Listes!$A$3:$C$193,2,FALSE))</f>
        <v>Wharfage (Destination)</v>
      </c>
      <c r="C128" s="813"/>
      <c r="D128" s="813"/>
      <c r="E128" s="814" t="s">
        <v>51</v>
      </c>
      <c r="F128" s="814"/>
      <c r="G128" s="814"/>
      <c r="H128" s="653"/>
      <c r="I128" s="531"/>
      <c r="J128" s="531"/>
      <c r="K128" s="531"/>
      <c r="L128" s="531"/>
      <c r="M128" s="532"/>
      <c r="N128" s="160"/>
      <c r="O128" s="160"/>
      <c r="P128" s="160"/>
      <c r="Q128" s="160"/>
      <c r="R128" s="159"/>
    </row>
    <row r="129" spans="1:23" s="136" customFormat="1" ht="15.75" customHeight="1" thickBot="1" x14ac:dyDescent="0.25">
      <c r="A129" s="185" t="s">
        <v>833</v>
      </c>
      <c r="B129" s="812" t="str">
        <f>IF($A129="","",VLOOKUP($A129,Listes!$A$3:$C$193,2,FALSE))</f>
        <v>Wharfage (Origin)</v>
      </c>
      <c r="C129" s="812"/>
      <c r="D129" s="812"/>
      <c r="E129" s="815" t="s">
        <v>51</v>
      </c>
      <c r="F129" s="815"/>
      <c r="G129" s="815"/>
      <c r="H129" s="655"/>
      <c r="I129" s="533"/>
      <c r="J129" s="533"/>
      <c r="K129" s="533"/>
      <c r="L129" s="533"/>
      <c r="M129" s="534"/>
      <c r="N129" s="160"/>
      <c r="O129" s="160"/>
      <c r="P129" s="160"/>
      <c r="Q129" s="160"/>
      <c r="R129" s="159"/>
    </row>
    <row r="130" spans="1:23" s="73" customFormat="1" ht="16.5" thickBot="1" x14ac:dyDescent="0.25">
      <c r="A130" s="850" t="s">
        <v>216</v>
      </c>
      <c r="B130" s="851"/>
      <c r="C130" s="851"/>
      <c r="D130" s="851"/>
      <c r="E130" s="852"/>
      <c r="F130" s="852"/>
      <c r="G130" s="852"/>
      <c r="H130" s="852"/>
      <c r="I130" s="853"/>
      <c r="J130" s="169"/>
      <c r="K130" s="118"/>
      <c r="L130" s="134"/>
      <c r="M130" s="134"/>
      <c r="N130" s="134"/>
      <c r="O130" s="134"/>
      <c r="P130" s="134"/>
      <c r="Q130" s="118"/>
    </row>
    <row r="131" spans="1:23" s="73" customFormat="1" ht="16.5" thickBot="1" x14ac:dyDescent="0.25">
      <c r="A131" s="849" t="s">
        <v>597</v>
      </c>
      <c r="B131" s="833"/>
      <c r="C131" s="833"/>
      <c r="D131" s="833"/>
      <c r="E131" s="833"/>
      <c r="F131" s="833"/>
      <c r="G131" s="833"/>
      <c r="H131" s="833"/>
      <c r="I131" s="834"/>
      <c r="J131" s="169"/>
      <c r="K131" s="134"/>
      <c r="L131" s="134"/>
      <c r="M131" s="134"/>
      <c r="N131" s="134"/>
      <c r="O131" s="118"/>
    </row>
    <row r="132" spans="1:23" s="73" customFormat="1" ht="16.5" thickBot="1" x14ac:dyDescent="0.25">
      <c r="A132" s="187"/>
      <c r="B132" s="187"/>
      <c r="C132" s="188"/>
      <c r="D132" s="189"/>
      <c r="E132" s="170"/>
      <c r="F132" s="170"/>
      <c r="G132" s="170"/>
      <c r="H132" s="170"/>
      <c r="I132" s="170"/>
      <c r="J132" s="189"/>
      <c r="K132" s="169"/>
      <c r="L132" s="118"/>
      <c r="M132" s="134"/>
      <c r="N132" s="134"/>
      <c r="O132" s="134"/>
      <c r="P132" s="134"/>
      <c r="Q132" s="134"/>
      <c r="R132" s="118"/>
    </row>
    <row r="133" spans="1:23" s="73" customFormat="1" ht="15.6" customHeight="1" x14ac:dyDescent="0.2">
      <c r="A133" s="830" t="s">
        <v>523</v>
      </c>
      <c r="B133" s="831"/>
      <c r="C133" s="831"/>
      <c r="D133" s="831"/>
      <c r="E133" s="842" t="s">
        <v>288</v>
      </c>
      <c r="F133" s="842">
        <v>20</v>
      </c>
      <c r="G133" s="842">
        <v>40</v>
      </c>
      <c r="H133" s="842" t="s">
        <v>19</v>
      </c>
      <c r="I133" s="842" t="s">
        <v>20</v>
      </c>
      <c r="J133" s="848" t="s">
        <v>297</v>
      </c>
      <c r="K133" s="848" t="s">
        <v>33</v>
      </c>
      <c r="L133" s="846" t="s">
        <v>217</v>
      </c>
      <c r="M133" s="189"/>
      <c r="N133" s="134"/>
      <c r="O133" s="134"/>
      <c r="P133" s="134"/>
      <c r="Q133" s="134"/>
      <c r="R133" s="134"/>
      <c r="S133" s="134"/>
      <c r="T133" s="134"/>
      <c r="U133" s="134"/>
    </row>
    <row r="134" spans="1:23" s="73" customFormat="1" x14ac:dyDescent="0.2">
      <c r="A134" s="537" t="s">
        <v>218</v>
      </c>
      <c r="B134" s="538" t="s">
        <v>11</v>
      </c>
      <c r="C134" s="538" t="s">
        <v>12</v>
      </c>
      <c r="D134" s="538" t="s">
        <v>219</v>
      </c>
      <c r="E134" s="843"/>
      <c r="F134" s="843"/>
      <c r="G134" s="843"/>
      <c r="H134" s="843"/>
      <c r="I134" s="843"/>
      <c r="J134" s="843"/>
      <c r="K134" s="843"/>
      <c r="L134" s="847"/>
      <c r="M134" s="189"/>
      <c r="N134" s="134"/>
      <c r="O134" s="134"/>
      <c r="P134" s="134"/>
      <c r="Q134" s="134"/>
      <c r="R134" s="134"/>
      <c r="S134" s="134"/>
      <c r="T134" s="134"/>
      <c r="U134" s="134"/>
    </row>
    <row r="135" spans="1:23" s="136" customFormat="1" x14ac:dyDescent="0.2">
      <c r="A135" s="539"/>
      <c r="B135" s="540"/>
      <c r="C135" s="540"/>
      <c r="D135" s="540"/>
      <c r="E135" s="540"/>
      <c r="F135" s="255"/>
      <c r="G135" s="255"/>
      <c r="H135" s="255"/>
      <c r="I135" s="255"/>
      <c r="J135" s="540"/>
      <c r="K135" s="21"/>
      <c r="L135" s="541"/>
      <c r="M135" s="190"/>
      <c r="N135" s="160"/>
      <c r="O135" s="160"/>
      <c r="P135" s="160"/>
      <c r="Q135" s="160"/>
      <c r="R135" s="160"/>
      <c r="S135" s="160"/>
      <c r="T135" s="160"/>
      <c r="U135" s="160"/>
    </row>
    <row r="136" spans="1:23" s="136" customFormat="1" x14ac:dyDescent="0.2">
      <c r="A136" s="542"/>
      <c r="B136" s="540"/>
      <c r="C136" s="540"/>
      <c r="D136" s="540"/>
      <c r="E136" s="540"/>
      <c r="F136" s="255"/>
      <c r="G136" s="255"/>
      <c r="H136" s="255"/>
      <c r="I136" s="255"/>
      <c r="J136" s="24"/>
      <c r="K136" s="21"/>
      <c r="L136" s="25"/>
      <c r="M136" s="191"/>
      <c r="N136" s="160"/>
      <c r="O136" s="160"/>
      <c r="P136" s="160"/>
      <c r="Q136" s="160"/>
      <c r="R136" s="160"/>
      <c r="S136" s="160"/>
      <c r="T136" s="160"/>
      <c r="U136" s="160"/>
    </row>
    <row r="137" spans="1:23" s="136" customFormat="1" x14ac:dyDescent="0.2">
      <c r="A137" s="542"/>
      <c r="B137" s="540"/>
      <c r="C137" s="540"/>
      <c r="D137" s="540"/>
      <c r="E137" s="540"/>
      <c r="F137" s="255"/>
      <c r="G137" s="255"/>
      <c r="H137" s="255"/>
      <c r="I137" s="255"/>
      <c r="J137" s="24"/>
      <c r="K137" s="21"/>
      <c r="L137" s="25"/>
      <c r="M137" s="191"/>
      <c r="N137" s="160"/>
      <c r="O137" s="160"/>
      <c r="P137" s="160"/>
      <c r="Q137" s="160"/>
      <c r="R137" s="160"/>
      <c r="S137" s="160"/>
      <c r="T137" s="160"/>
      <c r="U137" s="160"/>
    </row>
    <row r="138" spans="1:23" s="136" customFormat="1" ht="16.5" thickBot="1" x14ac:dyDescent="0.25">
      <c r="A138" s="543"/>
      <c r="B138" s="544"/>
      <c r="C138" s="544"/>
      <c r="D138" s="544"/>
      <c r="E138" s="544"/>
      <c r="F138" s="256"/>
      <c r="G138" s="256"/>
      <c r="H138" s="256"/>
      <c r="I138" s="256"/>
      <c r="J138" s="28"/>
      <c r="K138" s="29"/>
      <c r="L138" s="30"/>
      <c r="M138" s="191"/>
      <c r="N138" s="160"/>
      <c r="O138" s="160"/>
      <c r="P138" s="160"/>
      <c r="Q138" s="160"/>
      <c r="R138" s="160"/>
      <c r="S138" s="160"/>
      <c r="T138" s="160"/>
      <c r="U138" s="160"/>
    </row>
    <row r="139" spans="1:23" s="136" customFormat="1" x14ac:dyDescent="0.2">
      <c r="A139" s="173"/>
      <c r="B139" s="545"/>
      <c r="C139" s="545"/>
      <c r="D139" s="545"/>
      <c r="E139" s="545"/>
      <c r="F139" s="545"/>
      <c r="G139" s="545"/>
      <c r="H139" s="545"/>
      <c r="I139" s="545"/>
      <c r="J139" s="33"/>
      <c r="K139" s="33"/>
      <c r="L139" s="34"/>
      <c r="M139" s="191"/>
      <c r="N139" s="160"/>
      <c r="O139" s="160"/>
      <c r="P139" s="160"/>
      <c r="Q139" s="160"/>
      <c r="R139" s="160"/>
      <c r="S139" s="160"/>
      <c r="T139" s="160"/>
      <c r="U139" s="160"/>
    </row>
    <row r="140" spans="1:23" s="73" customFormat="1" ht="15.6" customHeight="1" x14ac:dyDescent="0.2">
      <c r="A140" s="841" t="s">
        <v>596</v>
      </c>
      <c r="B140" s="840"/>
      <c r="C140" s="840"/>
      <c r="D140" s="840"/>
      <c r="E140" s="840" t="s">
        <v>288</v>
      </c>
      <c r="F140" s="840">
        <v>20</v>
      </c>
      <c r="G140" s="840">
        <v>40</v>
      </c>
      <c r="H140" s="840" t="s">
        <v>19</v>
      </c>
      <c r="I140" s="840" t="s">
        <v>20</v>
      </c>
      <c r="J140" s="845" t="s">
        <v>297</v>
      </c>
      <c r="K140" s="845" t="s">
        <v>33</v>
      </c>
      <c r="L140" s="844" t="s">
        <v>217</v>
      </c>
      <c r="M140" s="844" t="s">
        <v>23</v>
      </c>
      <c r="N140" s="169"/>
      <c r="O140" s="118"/>
      <c r="P140" s="134"/>
      <c r="Q140" s="134"/>
      <c r="R140" s="134"/>
      <c r="S140" s="134"/>
      <c r="T140" s="134"/>
      <c r="U140" s="134"/>
      <c r="V140" s="134"/>
      <c r="W140" s="134"/>
    </row>
    <row r="141" spans="1:23" s="73" customFormat="1" x14ac:dyDescent="0.2">
      <c r="A141" s="546" t="s">
        <v>218</v>
      </c>
      <c r="B141" s="546" t="s">
        <v>11</v>
      </c>
      <c r="C141" s="546" t="s">
        <v>12</v>
      </c>
      <c r="D141" s="546" t="s">
        <v>219</v>
      </c>
      <c r="E141" s="840"/>
      <c r="F141" s="840"/>
      <c r="G141" s="840"/>
      <c r="H141" s="840"/>
      <c r="I141" s="840"/>
      <c r="J141" s="840"/>
      <c r="K141" s="840"/>
      <c r="L141" s="844"/>
      <c r="M141" s="844"/>
      <c r="N141" s="169"/>
      <c r="O141" s="118"/>
      <c r="P141" s="134"/>
      <c r="Q141" s="134"/>
      <c r="R141" s="134"/>
      <c r="S141" s="134"/>
      <c r="T141" s="134"/>
      <c r="U141" s="134"/>
      <c r="V141" s="134"/>
      <c r="W141" s="134"/>
    </row>
    <row r="142" spans="1:23" s="136" customFormat="1" x14ac:dyDescent="0.2">
      <c r="A142" s="372"/>
      <c r="B142" s="547"/>
      <c r="C142" s="547"/>
      <c r="D142" s="547"/>
      <c r="E142" s="547"/>
      <c r="F142" s="368"/>
      <c r="G142" s="368"/>
      <c r="H142" s="368"/>
      <c r="I142" s="368"/>
      <c r="J142" s="369"/>
      <c r="K142" s="370"/>
      <c r="L142" s="548"/>
      <c r="M142" s="548"/>
      <c r="N142" s="192"/>
      <c r="O142" s="159"/>
      <c r="P142" s="160"/>
      <c r="Q142" s="160"/>
      <c r="R142" s="160"/>
      <c r="S142" s="160"/>
      <c r="T142" s="160"/>
      <c r="U142" s="160"/>
      <c r="V142" s="160"/>
      <c r="W142" s="160"/>
    </row>
    <row r="143" spans="1:23" s="136" customFormat="1" x14ac:dyDescent="0.2">
      <c r="A143" s="372"/>
      <c r="B143" s="547"/>
      <c r="C143" s="547"/>
      <c r="D143" s="547"/>
      <c r="E143" s="547"/>
      <c r="F143" s="368"/>
      <c r="G143" s="368"/>
      <c r="H143" s="368"/>
      <c r="I143" s="368"/>
      <c r="J143" s="369"/>
      <c r="K143" s="370"/>
      <c r="L143" s="548"/>
      <c r="M143" s="548"/>
      <c r="N143" s="192"/>
      <c r="O143" s="159"/>
      <c r="P143" s="160"/>
      <c r="Q143" s="160"/>
      <c r="R143" s="160"/>
      <c r="S143" s="160"/>
      <c r="T143" s="160"/>
      <c r="U143" s="160"/>
      <c r="V143" s="160"/>
      <c r="W143" s="160"/>
    </row>
    <row r="144" spans="1:23" s="136" customFormat="1" x14ac:dyDescent="0.2">
      <c r="A144" s="372"/>
      <c r="B144" s="547"/>
      <c r="C144" s="547"/>
      <c r="D144" s="547"/>
      <c r="E144" s="547"/>
      <c r="F144" s="368"/>
      <c r="G144" s="368"/>
      <c r="H144" s="368"/>
      <c r="I144" s="368"/>
      <c r="J144" s="369"/>
      <c r="K144" s="370"/>
      <c r="L144" s="548"/>
      <c r="M144" s="548"/>
      <c r="N144" s="192"/>
      <c r="O144" s="159"/>
      <c r="P144" s="160"/>
      <c r="Q144" s="160"/>
      <c r="R144" s="160"/>
      <c r="S144" s="160"/>
      <c r="T144" s="160"/>
      <c r="U144" s="160"/>
      <c r="V144" s="160"/>
      <c r="W144" s="160"/>
    </row>
    <row r="145" spans="1:23" s="136" customFormat="1" x14ac:dyDescent="0.2">
      <c r="A145" s="372"/>
      <c r="B145" s="547"/>
      <c r="C145" s="547"/>
      <c r="D145" s="547"/>
      <c r="E145" s="547"/>
      <c r="F145" s="368"/>
      <c r="G145" s="368"/>
      <c r="H145" s="368"/>
      <c r="I145" s="368"/>
      <c r="J145" s="369"/>
      <c r="K145" s="370"/>
      <c r="L145" s="373"/>
      <c r="M145" s="373"/>
      <c r="N145" s="191"/>
      <c r="O145" s="159"/>
      <c r="P145" s="160"/>
      <c r="Q145" s="160"/>
      <c r="R145" s="160"/>
      <c r="S145" s="160"/>
      <c r="T145" s="160"/>
      <c r="U145" s="160"/>
      <c r="V145" s="160"/>
      <c r="W145" s="160"/>
    </row>
    <row r="146" spans="1:23" s="73" customFormat="1" x14ac:dyDescent="0.2">
      <c r="A146" s="456"/>
      <c r="B146" s="549"/>
      <c r="C146" s="549"/>
      <c r="D146" s="549"/>
      <c r="E146" s="549"/>
      <c r="F146" s="194"/>
      <c r="G146" s="522"/>
      <c r="H146" s="195"/>
      <c r="I146" s="195"/>
      <c r="J146" s="176"/>
      <c r="K146" s="118"/>
      <c r="L146" s="134"/>
      <c r="M146" s="134"/>
      <c r="N146" s="134"/>
      <c r="O146" s="134"/>
      <c r="P146" s="134"/>
      <c r="Q146" s="134"/>
    </row>
    <row r="147" spans="1:23" s="456" customFormat="1" ht="16.5" thickBot="1" x14ac:dyDescent="0.25">
      <c r="A147" s="196"/>
      <c r="B147" s="197"/>
      <c r="C147" s="198"/>
      <c r="D147" s="198"/>
      <c r="E147" s="169"/>
      <c r="F147" s="176"/>
      <c r="G147" s="176"/>
      <c r="H147" s="176"/>
      <c r="I147" s="176"/>
      <c r="J147" s="170"/>
      <c r="K147" s="118"/>
      <c r="L147" s="134"/>
      <c r="M147" s="134"/>
      <c r="N147" s="134"/>
      <c r="O147" s="134"/>
      <c r="P147" s="134"/>
      <c r="Q147" s="134"/>
      <c r="R147" s="134"/>
      <c r="S147" s="118"/>
      <c r="T147" s="118"/>
      <c r="U147" s="118"/>
    </row>
    <row r="148" spans="1:23" s="456" customFormat="1" ht="16.5" thickBot="1" x14ac:dyDescent="0.25">
      <c r="A148" s="822" t="s">
        <v>220</v>
      </c>
      <c r="B148" s="823"/>
      <c r="C148" s="823"/>
      <c r="D148" s="823"/>
      <c r="E148" s="824"/>
      <c r="F148" s="176"/>
      <c r="G148" s="176"/>
      <c r="H148" s="176"/>
      <c r="I148" s="176"/>
      <c r="J148" s="170"/>
      <c r="K148" s="118"/>
      <c r="L148" s="134"/>
      <c r="M148" s="134"/>
      <c r="N148" s="134"/>
      <c r="O148" s="134"/>
      <c r="P148" s="134"/>
      <c r="Q148" s="134"/>
      <c r="R148" s="134"/>
      <c r="S148" s="118"/>
      <c r="T148" s="118"/>
      <c r="U148" s="118"/>
    </row>
    <row r="149" spans="1:23" s="73" customFormat="1" ht="16.5" thickBot="1" x14ac:dyDescent="0.25">
      <c r="A149" s="550"/>
      <c r="B149" s="456"/>
      <c r="C149" s="456"/>
      <c r="D149" s="456"/>
      <c r="E149" s="456"/>
      <c r="F149" s="194"/>
      <c r="G149" s="456"/>
      <c r="H149" s="200"/>
      <c r="I149" s="194"/>
      <c r="J149" s="194"/>
      <c r="K149" s="118"/>
      <c r="L149" s="134"/>
      <c r="M149" s="134"/>
      <c r="N149" s="134"/>
      <c r="O149" s="134"/>
      <c r="P149" s="134"/>
      <c r="Q149" s="134"/>
      <c r="R149" s="134"/>
      <c r="S149" s="118"/>
      <c r="T149" s="118"/>
      <c r="U149" s="118"/>
    </row>
    <row r="150" spans="1:23" s="73" customFormat="1" ht="16.5" thickBot="1" x14ac:dyDescent="0.25">
      <c r="A150" s="825" t="s">
        <v>221</v>
      </c>
      <c r="B150" s="838"/>
      <c r="C150" s="838"/>
      <c r="D150" s="838"/>
      <c r="E150" s="838"/>
      <c r="F150" s="839"/>
      <c r="G150" s="456"/>
      <c r="H150" s="200"/>
      <c r="I150" s="194"/>
      <c r="J150" s="194"/>
      <c r="K150" s="118"/>
      <c r="L150" s="134"/>
      <c r="M150" s="134"/>
      <c r="N150" s="134"/>
      <c r="O150" s="134"/>
      <c r="P150" s="134"/>
      <c r="Q150" s="134"/>
      <c r="R150" s="134"/>
      <c r="S150" s="118"/>
      <c r="T150" s="118"/>
      <c r="U150" s="118"/>
    </row>
    <row r="151" spans="1:23" s="73" customFormat="1" ht="16.5" customHeight="1" x14ac:dyDescent="0.2">
      <c r="A151" s="835" t="s">
        <v>222</v>
      </c>
      <c r="B151" s="836"/>
      <c r="C151" s="836"/>
      <c r="D151" s="836"/>
      <c r="E151" s="836"/>
      <c r="F151" s="837"/>
      <c r="G151" s="456"/>
      <c r="H151" s="201"/>
      <c r="I151" s="170"/>
      <c r="J151" s="170"/>
      <c r="K151" s="118"/>
      <c r="L151" s="134"/>
      <c r="M151" s="134"/>
      <c r="N151" s="134"/>
      <c r="O151" s="134"/>
      <c r="P151" s="134"/>
      <c r="Q151" s="134"/>
      <c r="R151" s="134"/>
      <c r="S151" s="118"/>
      <c r="T151" s="118"/>
      <c r="U151" s="118"/>
    </row>
    <row r="152" spans="1:23" ht="16.5" thickBot="1" x14ac:dyDescent="0.25">
      <c r="A152" s="832" t="s">
        <v>223</v>
      </c>
      <c r="B152" s="833"/>
      <c r="C152" s="833"/>
      <c r="D152" s="833"/>
      <c r="E152" s="833"/>
      <c r="F152" s="834"/>
      <c r="G152" s="176"/>
      <c r="H152" s="176"/>
      <c r="I152" s="176"/>
      <c r="J152" s="169"/>
      <c r="K152" s="169"/>
      <c r="L152" s="169"/>
      <c r="M152" s="169"/>
      <c r="N152" s="169"/>
      <c r="O152" s="169"/>
      <c r="P152" s="169"/>
      <c r="Q152" s="169"/>
      <c r="R152" s="169"/>
      <c r="S152" s="169"/>
      <c r="T152" s="169"/>
      <c r="U152" s="169"/>
    </row>
    <row r="153" spans="1:23" x14ac:dyDescent="0.2">
      <c r="A153" s="551" t="s">
        <v>224</v>
      </c>
      <c r="B153" s="450" t="s">
        <v>225</v>
      </c>
      <c r="C153" s="552" t="s">
        <v>226</v>
      </c>
      <c r="D153" s="553" t="s">
        <v>227</v>
      </c>
      <c r="E153" s="176"/>
      <c r="F153" s="176"/>
      <c r="G153" s="176"/>
      <c r="H153" s="169"/>
      <c r="I153" s="169"/>
      <c r="J153" s="169"/>
      <c r="K153" s="169"/>
      <c r="L153" s="169"/>
      <c r="M153" s="169"/>
      <c r="N153" s="169"/>
      <c r="O153" s="169"/>
      <c r="P153" s="169"/>
      <c r="Q153" s="169"/>
      <c r="R153" s="169"/>
    </row>
    <row r="154" spans="1:23" s="192" customFormat="1" x14ac:dyDescent="0.2">
      <c r="A154" s="203"/>
      <c r="B154" s="204" t="s">
        <v>344</v>
      </c>
      <c r="C154" s="205" t="s">
        <v>62</v>
      </c>
      <c r="D154" s="206">
        <v>0.9</v>
      </c>
      <c r="E154" s="191"/>
      <c r="F154" s="191"/>
      <c r="G154" s="191"/>
    </row>
    <row r="155" spans="1:23" s="192" customFormat="1" x14ac:dyDescent="0.2">
      <c r="A155" s="203"/>
      <c r="B155" s="204" t="s">
        <v>344</v>
      </c>
      <c r="C155" s="205" t="s">
        <v>417</v>
      </c>
      <c r="D155" s="206">
        <v>1</v>
      </c>
      <c r="E155" s="191"/>
      <c r="F155" s="191"/>
      <c r="G155" s="191"/>
    </row>
    <row r="156" spans="1:23" s="192" customFormat="1" ht="16.5" thickBot="1" x14ac:dyDescent="0.25">
      <c r="A156" s="207"/>
      <c r="B156" s="208" t="s">
        <v>344</v>
      </c>
      <c r="C156" s="209" t="s">
        <v>418</v>
      </c>
      <c r="D156" s="210">
        <v>1.266</v>
      </c>
      <c r="E156" s="191"/>
      <c r="F156" s="191"/>
      <c r="G156" s="191"/>
    </row>
    <row r="157" spans="1:23" ht="16.5" thickBot="1" x14ac:dyDescent="0.25"/>
    <row r="158" spans="1:23" s="73" customFormat="1" ht="16.5" thickBot="1" x14ac:dyDescent="0.25">
      <c r="A158" s="822" t="s">
        <v>228</v>
      </c>
      <c r="B158" s="823"/>
      <c r="C158" s="823"/>
      <c r="D158" s="823"/>
      <c r="E158" s="823"/>
      <c r="F158" s="823"/>
      <c r="G158" s="823"/>
      <c r="H158" s="823"/>
      <c r="I158" s="824"/>
      <c r="J158" s="169"/>
      <c r="K158" s="118"/>
      <c r="L158" s="134"/>
      <c r="M158" s="134"/>
      <c r="N158" s="134"/>
      <c r="O158" s="134"/>
      <c r="P158" s="134"/>
      <c r="Q158" s="134"/>
      <c r="R158" s="134"/>
      <c r="S158" s="118"/>
      <c r="T158" s="118"/>
      <c r="U158" s="118"/>
    </row>
    <row r="159" spans="1:23" s="73" customFormat="1" ht="16.5" thickBot="1" x14ac:dyDescent="0.25">
      <c r="A159" s="554" t="s">
        <v>229</v>
      </c>
      <c r="B159" s="213"/>
      <c r="C159" s="214"/>
      <c r="D159" s="214"/>
      <c r="E159" s="214"/>
      <c r="F159" s="214"/>
      <c r="G159" s="215"/>
      <c r="H159" s="216"/>
      <c r="I159" s="217"/>
      <c r="J159" s="170"/>
      <c r="K159" s="118"/>
      <c r="L159" s="134"/>
      <c r="M159" s="134"/>
      <c r="N159" s="134"/>
      <c r="O159" s="134"/>
      <c r="P159" s="134"/>
      <c r="Q159" s="134"/>
      <c r="R159" s="134"/>
      <c r="S159" s="118"/>
      <c r="T159" s="118"/>
      <c r="U159" s="118"/>
    </row>
    <row r="160" spans="1:23" s="308" customFormat="1" x14ac:dyDescent="0.2">
      <c r="A160" s="395" t="s">
        <v>473</v>
      </c>
      <c r="B160" s="989" t="s">
        <v>891</v>
      </c>
      <c r="C160" s="990"/>
      <c r="D160" s="990"/>
      <c r="E160" s="990"/>
      <c r="F160" s="990"/>
      <c r="G160" s="990"/>
      <c r="H160" s="990"/>
      <c r="I160" s="991"/>
      <c r="J160" s="171"/>
      <c r="K160" s="172"/>
      <c r="L160" s="173"/>
      <c r="M160" s="173"/>
      <c r="N160" s="173"/>
      <c r="O160" s="173"/>
      <c r="P160" s="173"/>
      <c r="Q160" s="173"/>
      <c r="R160" s="173"/>
      <c r="S160" s="172"/>
    </row>
    <row r="161" spans="1:9" s="218" customFormat="1" x14ac:dyDescent="0.2">
      <c r="A161" s="281"/>
      <c r="B161" s="816"/>
      <c r="C161" s="817"/>
      <c r="D161" s="817"/>
      <c r="E161" s="817"/>
      <c r="F161" s="817"/>
      <c r="G161" s="817"/>
      <c r="H161" s="817"/>
      <c r="I161" s="818"/>
    </row>
    <row r="162" spans="1:9" s="218" customFormat="1" x14ac:dyDescent="0.2">
      <c r="A162" s="281"/>
      <c r="B162" s="816"/>
      <c r="C162" s="817"/>
      <c r="D162" s="817"/>
      <c r="E162" s="817"/>
      <c r="F162" s="817"/>
      <c r="G162" s="817"/>
      <c r="H162" s="817"/>
      <c r="I162" s="818"/>
    </row>
    <row r="163" spans="1:9" s="218" customFormat="1" x14ac:dyDescent="0.2">
      <c r="A163" s="281"/>
      <c r="B163" s="816"/>
      <c r="C163" s="817"/>
      <c r="D163" s="817"/>
      <c r="E163" s="817"/>
      <c r="F163" s="817"/>
      <c r="G163" s="817"/>
      <c r="H163" s="817"/>
      <c r="I163" s="818"/>
    </row>
    <row r="164" spans="1:9" s="218" customFormat="1" x14ac:dyDescent="0.2">
      <c r="A164" s="281"/>
      <c r="B164" s="816"/>
      <c r="C164" s="817"/>
      <c r="D164" s="817"/>
      <c r="E164" s="817"/>
      <c r="F164" s="817"/>
      <c r="G164" s="817"/>
      <c r="H164" s="817"/>
      <c r="I164" s="818"/>
    </row>
    <row r="165" spans="1:9" s="218" customFormat="1" x14ac:dyDescent="0.2">
      <c r="A165" s="281"/>
      <c r="B165" s="816"/>
      <c r="C165" s="817"/>
      <c r="D165" s="817"/>
      <c r="E165" s="817"/>
      <c r="F165" s="817"/>
      <c r="G165" s="817"/>
      <c r="H165" s="817"/>
      <c r="I165" s="818"/>
    </row>
    <row r="166" spans="1:9" s="218" customFormat="1" x14ac:dyDescent="0.2">
      <c r="A166" s="281"/>
      <c r="B166" s="816"/>
      <c r="C166" s="817"/>
      <c r="D166" s="817"/>
      <c r="E166" s="817"/>
      <c r="F166" s="817"/>
      <c r="G166" s="817"/>
      <c r="H166" s="817"/>
      <c r="I166" s="818"/>
    </row>
    <row r="167" spans="1:9" s="218" customFormat="1" x14ac:dyDescent="0.2">
      <c r="A167" s="281"/>
      <c r="B167" s="816"/>
      <c r="C167" s="817"/>
      <c r="D167" s="817"/>
      <c r="E167" s="817"/>
      <c r="F167" s="817"/>
      <c r="G167" s="817"/>
      <c r="H167" s="817"/>
      <c r="I167" s="818"/>
    </row>
    <row r="168" spans="1:9" s="218" customFormat="1" x14ac:dyDescent="0.2">
      <c r="A168" s="281"/>
      <c r="B168" s="816"/>
      <c r="C168" s="817"/>
      <c r="D168" s="817"/>
      <c r="E168" s="817"/>
      <c r="F168" s="817"/>
      <c r="G168" s="817"/>
      <c r="H168" s="817"/>
      <c r="I168" s="818"/>
    </row>
    <row r="169" spans="1:9" s="218" customFormat="1" x14ac:dyDescent="0.2">
      <c r="A169" s="281"/>
      <c r="B169" s="816"/>
      <c r="C169" s="817"/>
      <c r="D169" s="817"/>
      <c r="E169" s="817"/>
      <c r="F169" s="817"/>
      <c r="G169" s="817"/>
      <c r="H169" s="817"/>
      <c r="I169" s="818"/>
    </row>
    <row r="170" spans="1:9" s="218" customFormat="1" x14ac:dyDescent="0.2">
      <c r="A170" s="281"/>
      <c r="B170" s="816"/>
      <c r="C170" s="817"/>
      <c r="D170" s="817"/>
      <c r="E170" s="817"/>
      <c r="F170" s="817"/>
      <c r="G170" s="817"/>
      <c r="H170" s="817"/>
      <c r="I170" s="818"/>
    </row>
    <row r="171" spans="1:9" s="218" customFormat="1" x14ac:dyDescent="0.2">
      <c r="A171" s="281"/>
      <c r="B171" s="816"/>
      <c r="C171" s="817"/>
      <c r="D171" s="817"/>
      <c r="E171" s="817"/>
      <c r="F171" s="817"/>
      <c r="G171" s="817"/>
      <c r="H171" s="817"/>
      <c r="I171" s="818"/>
    </row>
    <row r="172" spans="1:9" s="218" customFormat="1" x14ac:dyDescent="0.2">
      <c r="A172" s="281"/>
      <c r="B172" s="816"/>
      <c r="C172" s="817"/>
      <c r="D172" s="817"/>
      <c r="E172" s="817"/>
      <c r="F172" s="817"/>
      <c r="G172" s="817"/>
      <c r="H172" s="817"/>
      <c r="I172" s="818"/>
    </row>
    <row r="173" spans="1:9" s="218" customFormat="1" x14ac:dyDescent="0.2">
      <c r="A173" s="281"/>
      <c r="B173" s="816"/>
      <c r="C173" s="817"/>
      <c r="D173" s="817"/>
      <c r="E173" s="817"/>
      <c r="F173" s="817"/>
      <c r="G173" s="817"/>
      <c r="H173" s="817"/>
      <c r="I173" s="818"/>
    </row>
    <row r="174" spans="1:9" s="218" customFormat="1" ht="16.5" thickBot="1" x14ac:dyDescent="0.25">
      <c r="A174" s="282"/>
      <c r="B174" s="819"/>
      <c r="C174" s="820"/>
      <c r="D174" s="820"/>
      <c r="E174" s="820"/>
      <c r="F174" s="820"/>
      <c r="G174" s="820"/>
      <c r="H174" s="820"/>
      <c r="I174" s="821"/>
    </row>
    <row r="176" spans="1:9" s="218" customFormat="1" x14ac:dyDescent="0.2">
      <c r="F176" s="337"/>
      <c r="G176" s="337"/>
      <c r="H176" s="337"/>
      <c r="I176" s="337"/>
    </row>
    <row r="177" spans="1:14" s="218" customFormat="1" ht="16.5" thickBot="1" x14ac:dyDescent="0.25">
      <c r="F177" s="337"/>
      <c r="G177" s="337"/>
      <c r="H177" s="337"/>
      <c r="I177" s="337"/>
    </row>
    <row r="178" spans="1:14" s="218" customFormat="1" ht="16.5" thickBot="1" x14ac:dyDescent="0.25">
      <c r="A178" s="825" t="s">
        <v>3</v>
      </c>
      <c r="B178" s="826"/>
      <c r="F178" s="337"/>
      <c r="G178" s="337"/>
      <c r="H178" s="337"/>
      <c r="I178" s="337"/>
    </row>
    <row r="179" spans="1:14" s="347" customFormat="1" ht="16.5" thickBot="1" x14ac:dyDescent="0.25">
      <c r="A179" s="338"/>
      <c r="B179" s="338"/>
      <c r="F179" s="348"/>
      <c r="G179" s="348"/>
      <c r="H179" s="348"/>
      <c r="I179" s="348"/>
    </row>
    <row r="180" spans="1:14" s="218" customFormat="1" ht="15.75" customHeight="1" thickBot="1" x14ac:dyDescent="0.25">
      <c r="A180" s="800" t="s">
        <v>2</v>
      </c>
      <c r="B180" s="801"/>
      <c r="C180" s="801"/>
      <c r="D180" s="801"/>
      <c r="E180" s="801"/>
      <c r="F180" s="801"/>
      <c r="G180" s="802"/>
      <c r="H180" s="337"/>
      <c r="I180" s="337"/>
    </row>
    <row r="181" spans="1:14" s="347" customFormat="1" ht="15.75" customHeight="1" thickBot="1" x14ac:dyDescent="0.25">
      <c r="A181" s="338"/>
      <c r="B181" s="338"/>
      <c r="C181" s="338"/>
      <c r="D181" s="338"/>
      <c r="E181" s="338"/>
      <c r="F181" s="338"/>
      <c r="G181" s="338"/>
      <c r="H181" s="348"/>
      <c r="I181" s="348"/>
    </row>
    <row r="182" spans="1:14" s="218" customFormat="1" ht="15.75" customHeight="1" thickBot="1" x14ac:dyDescent="0.25">
      <c r="A182" s="807" t="s">
        <v>1</v>
      </c>
      <c r="B182" s="808"/>
      <c r="C182" s="808"/>
      <c r="D182" s="808"/>
      <c r="E182" s="809"/>
      <c r="F182" s="339"/>
      <c r="G182" s="339"/>
      <c r="H182" s="337"/>
      <c r="I182" s="337"/>
    </row>
    <row r="183" spans="1:14" s="218" customFormat="1" x14ac:dyDescent="0.2">
      <c r="A183" s="803" t="s">
        <v>627</v>
      </c>
      <c r="B183" s="805" t="s">
        <v>888</v>
      </c>
      <c r="C183" s="786" t="s">
        <v>0</v>
      </c>
      <c r="D183" s="786" t="s">
        <v>609</v>
      </c>
      <c r="E183" s="805" t="s">
        <v>889</v>
      </c>
      <c r="F183" s="786" t="s">
        <v>436</v>
      </c>
      <c r="G183" s="786" t="s">
        <v>421</v>
      </c>
      <c r="H183" s="786" t="s">
        <v>628</v>
      </c>
      <c r="I183" s="786" t="s">
        <v>11</v>
      </c>
      <c r="J183" s="786" t="s">
        <v>12</v>
      </c>
      <c r="K183" s="786" t="s">
        <v>13</v>
      </c>
      <c r="L183" s="786" t="s">
        <v>449</v>
      </c>
      <c r="M183" s="786" t="s">
        <v>610</v>
      </c>
      <c r="N183" s="788"/>
    </row>
    <row r="184" spans="1:14" s="218" customFormat="1" ht="32.25" customHeight="1" thickBot="1" x14ac:dyDescent="0.25">
      <c r="A184" s="804"/>
      <c r="B184" s="806"/>
      <c r="C184" s="787"/>
      <c r="D184" s="787"/>
      <c r="E184" s="806"/>
      <c r="F184" s="787"/>
      <c r="G184" s="787"/>
      <c r="H184" s="787"/>
      <c r="I184" s="787"/>
      <c r="J184" s="787"/>
      <c r="K184" s="787"/>
      <c r="L184" s="787"/>
      <c r="M184" s="787"/>
      <c r="N184" s="789"/>
    </row>
    <row r="185" spans="1:14" s="218" customFormat="1" x14ac:dyDescent="0.2">
      <c r="A185" s="344"/>
      <c r="B185" s="340"/>
      <c r="C185" s="394"/>
      <c r="D185" s="340"/>
      <c r="E185" s="340"/>
      <c r="F185" s="340"/>
      <c r="G185" s="340"/>
      <c r="H185" s="340"/>
      <c r="I185" s="340"/>
      <c r="J185" s="340"/>
      <c r="K185" s="340"/>
      <c r="L185" s="661"/>
      <c r="M185" s="810"/>
      <c r="N185" s="811"/>
    </row>
    <row r="186" spans="1:14" s="218" customFormat="1" x14ac:dyDescent="0.2">
      <c r="A186" s="345"/>
      <c r="B186" s="341"/>
      <c r="C186" s="392"/>
      <c r="D186" s="341"/>
      <c r="E186" s="341"/>
      <c r="F186" s="341"/>
      <c r="G186" s="341"/>
      <c r="H186" s="341"/>
      <c r="I186" s="341"/>
      <c r="J186" s="341"/>
      <c r="K186" s="341"/>
      <c r="L186" s="662"/>
      <c r="M186" s="790"/>
      <c r="N186" s="791"/>
    </row>
    <row r="187" spans="1:14" s="218" customFormat="1" x14ac:dyDescent="0.2">
      <c r="A187" s="345"/>
      <c r="B187" s="341"/>
      <c r="C187" s="392"/>
      <c r="D187" s="341"/>
      <c r="E187" s="341"/>
      <c r="F187" s="341"/>
      <c r="G187" s="341"/>
      <c r="H187" s="341"/>
      <c r="I187" s="341"/>
      <c r="J187" s="341"/>
      <c r="K187" s="341"/>
      <c r="L187" s="662"/>
      <c r="M187" s="790"/>
      <c r="N187" s="791"/>
    </row>
    <row r="188" spans="1:14" s="218" customFormat="1" x14ac:dyDescent="0.2">
      <c r="A188" s="345"/>
      <c r="B188" s="341"/>
      <c r="C188" s="392"/>
      <c r="D188" s="341"/>
      <c r="E188" s="341"/>
      <c r="F188" s="341"/>
      <c r="G188" s="341"/>
      <c r="H188" s="341"/>
      <c r="I188" s="341"/>
      <c r="J188" s="341"/>
      <c r="K188" s="341"/>
      <c r="L188" s="662"/>
      <c r="M188" s="790"/>
      <c r="N188" s="791"/>
    </row>
    <row r="189" spans="1:14" s="218" customFormat="1" x14ac:dyDescent="0.2">
      <c r="A189" s="345"/>
      <c r="B189" s="341"/>
      <c r="C189" s="392"/>
      <c r="D189" s="341"/>
      <c r="E189" s="341"/>
      <c r="F189" s="341"/>
      <c r="G189" s="341"/>
      <c r="H189" s="341"/>
      <c r="I189" s="341"/>
      <c r="J189" s="341"/>
      <c r="K189" s="341"/>
      <c r="L189" s="662"/>
      <c r="M189" s="790"/>
      <c r="N189" s="791"/>
    </row>
    <row r="190" spans="1:14" s="218" customFormat="1" ht="16.5" thickBot="1" x14ac:dyDescent="0.25">
      <c r="A190" s="346"/>
      <c r="B190" s="342"/>
      <c r="C190" s="336"/>
      <c r="D190" s="342"/>
      <c r="E190" s="342"/>
      <c r="F190" s="342"/>
      <c r="G190" s="342"/>
      <c r="H190" s="342"/>
      <c r="I190" s="342"/>
      <c r="J190" s="342"/>
      <c r="K190" s="342"/>
      <c r="L190" s="663"/>
      <c r="M190" s="794"/>
      <c r="N190" s="795"/>
    </row>
    <row r="191" spans="1:14" s="218" customFormat="1" x14ac:dyDescent="0.2">
      <c r="F191" s="337"/>
      <c r="G191" s="337"/>
      <c r="H191" s="337"/>
      <c r="I191" s="337"/>
    </row>
    <row r="192" spans="1:14" s="218" customFormat="1" ht="16.5" thickBot="1" x14ac:dyDescent="0.25">
      <c r="F192" s="337"/>
      <c r="G192" s="337"/>
      <c r="H192" s="337"/>
      <c r="I192" s="337"/>
    </row>
    <row r="193" spans="1:31" s="218" customFormat="1" ht="16.5" thickBot="1" x14ac:dyDescent="0.25">
      <c r="A193" s="800" t="s">
        <v>790</v>
      </c>
      <c r="B193" s="801"/>
      <c r="C193" s="801"/>
      <c r="D193" s="801"/>
      <c r="E193" s="801"/>
      <c r="F193" s="801"/>
      <c r="G193" s="802"/>
      <c r="H193" s="337"/>
      <c r="I193" s="337"/>
    </row>
    <row r="194" spans="1:31" s="192" customFormat="1" ht="16.5" thickBot="1" x14ac:dyDescent="0.25">
      <c r="F194" s="191"/>
      <c r="G194" s="191"/>
      <c r="H194" s="191"/>
      <c r="I194" s="191"/>
    </row>
    <row r="195" spans="1:31" s="218" customFormat="1" ht="16.5" thickBot="1" x14ac:dyDescent="0.25">
      <c r="A195" s="807" t="s">
        <v>1</v>
      </c>
      <c r="B195" s="808"/>
      <c r="C195" s="808"/>
      <c r="D195" s="808"/>
      <c r="E195" s="808"/>
      <c r="F195" s="808"/>
      <c r="G195" s="808"/>
      <c r="H195" s="809"/>
      <c r="I195" s="337"/>
    </row>
    <row r="196" spans="1:31" s="1187" customFormat="1" ht="16.5" customHeight="1" thickBot="1" x14ac:dyDescent="0.25">
      <c r="A196" s="803" t="s">
        <v>627</v>
      </c>
      <c r="B196" s="805" t="s">
        <v>888</v>
      </c>
      <c r="C196" s="786" t="s">
        <v>0</v>
      </c>
      <c r="D196" s="786" t="s">
        <v>609</v>
      </c>
      <c r="E196" s="805" t="s">
        <v>889</v>
      </c>
      <c r="F196" s="971" t="s">
        <v>42</v>
      </c>
      <c r="G196" s="1165" t="s">
        <v>789</v>
      </c>
      <c r="H196" s="1163"/>
      <c r="I196" s="1163"/>
      <c r="J196" s="1163"/>
      <c r="K196" s="1163"/>
      <c r="L196" s="1163"/>
      <c r="M196" s="1163"/>
      <c r="N196" s="1163"/>
      <c r="O196" s="1163"/>
      <c r="P196" s="1163"/>
      <c r="Q196" s="1163"/>
      <c r="R196" s="1163"/>
      <c r="S196" s="1163"/>
      <c r="T196" s="1163"/>
      <c r="U196" s="1163"/>
      <c r="V196" s="1164"/>
      <c r="W196" s="930" t="s">
        <v>436</v>
      </c>
      <c r="X196" s="786" t="s">
        <v>421</v>
      </c>
      <c r="Y196" s="786" t="s">
        <v>628</v>
      </c>
      <c r="Z196" s="786" t="s">
        <v>11</v>
      </c>
      <c r="AA196" s="786" t="s">
        <v>12</v>
      </c>
      <c r="AB196" s="786" t="s">
        <v>13</v>
      </c>
      <c r="AC196" s="786" t="s">
        <v>449</v>
      </c>
      <c r="AD196" s="971" t="s">
        <v>610</v>
      </c>
      <c r="AE196" s="1161"/>
    </row>
    <row r="197" spans="1:31" s="1187" customFormat="1" ht="47.25" customHeight="1" thickBot="1" x14ac:dyDescent="0.25">
      <c r="A197" s="804"/>
      <c r="B197" s="806"/>
      <c r="C197" s="787"/>
      <c r="D197" s="787"/>
      <c r="E197" s="806"/>
      <c r="F197" s="787"/>
      <c r="G197" s="1204" t="s">
        <v>432</v>
      </c>
      <c r="H197" s="1204" t="s">
        <v>1380</v>
      </c>
      <c r="I197" s="1200" t="s">
        <v>1381</v>
      </c>
      <c r="J197" s="1200" t="s">
        <v>1382</v>
      </c>
      <c r="K197" s="1200" t="s">
        <v>433</v>
      </c>
      <c r="L197" s="1200" t="s">
        <v>1383</v>
      </c>
      <c r="M197" s="1200" t="s">
        <v>1386</v>
      </c>
      <c r="N197" s="1200" t="s">
        <v>1387</v>
      </c>
      <c r="O197" s="1200" t="s">
        <v>434</v>
      </c>
      <c r="P197" s="1200" t="s">
        <v>1384</v>
      </c>
      <c r="Q197" s="1200" t="s">
        <v>1388</v>
      </c>
      <c r="R197" s="1200" t="s">
        <v>1389</v>
      </c>
      <c r="S197" s="1200" t="s">
        <v>435</v>
      </c>
      <c r="T197" s="1200" t="s">
        <v>1385</v>
      </c>
      <c r="U197" s="1200" t="s">
        <v>1390</v>
      </c>
      <c r="V197" s="1200" t="s">
        <v>1391</v>
      </c>
      <c r="W197" s="787"/>
      <c r="X197" s="787"/>
      <c r="Y197" s="787"/>
      <c r="Z197" s="787"/>
      <c r="AA197" s="787"/>
      <c r="AB197" s="787"/>
      <c r="AC197" s="787"/>
      <c r="AD197" s="972"/>
      <c r="AE197" s="1162"/>
    </row>
    <row r="198" spans="1:31" s="1187" customFormat="1" x14ac:dyDescent="0.2">
      <c r="A198" s="1194"/>
      <c r="B198" s="1191"/>
      <c r="C198" s="1189"/>
      <c r="D198" s="1191"/>
      <c r="E198" s="1191"/>
      <c r="F198" s="1197"/>
      <c r="G198" s="1191"/>
      <c r="H198" s="1191"/>
      <c r="I198" s="1191"/>
      <c r="J198" s="1191"/>
      <c r="K198" s="1191"/>
      <c r="L198" s="1191"/>
      <c r="M198" s="1191"/>
      <c r="N198" s="1191"/>
      <c r="O198" s="1191"/>
      <c r="P198" s="1191"/>
      <c r="Q198" s="1191"/>
      <c r="R198" s="1191"/>
      <c r="S198" s="1191"/>
      <c r="T198" s="1191"/>
      <c r="U198" s="1191"/>
      <c r="V198" s="1191"/>
      <c r="W198" s="1191"/>
      <c r="X198" s="1191"/>
      <c r="Y198" s="1191"/>
      <c r="Z198" s="1191"/>
      <c r="AA198" s="1191"/>
      <c r="AB198" s="1191"/>
      <c r="AC198" s="1201"/>
      <c r="AD198" s="796"/>
      <c r="AE198" s="797"/>
    </row>
    <row r="199" spans="1:31" s="1187" customFormat="1" x14ac:dyDescent="0.2">
      <c r="A199" s="1195"/>
      <c r="B199" s="1192"/>
      <c r="C199" s="1188"/>
      <c r="D199" s="1192"/>
      <c r="E199" s="1192"/>
      <c r="F199" s="1198"/>
      <c r="G199" s="1192"/>
      <c r="H199" s="1192"/>
      <c r="I199" s="1192"/>
      <c r="J199" s="1192"/>
      <c r="K199" s="1192"/>
      <c r="L199" s="1192"/>
      <c r="M199" s="1192"/>
      <c r="N199" s="1192"/>
      <c r="O199" s="1192"/>
      <c r="P199" s="1192"/>
      <c r="Q199" s="1192"/>
      <c r="R199" s="1192"/>
      <c r="S199" s="1192"/>
      <c r="T199" s="1192"/>
      <c r="U199" s="1192"/>
      <c r="V199" s="1192"/>
      <c r="W199" s="1192"/>
      <c r="X199" s="1192"/>
      <c r="Y199" s="1192"/>
      <c r="Z199" s="1192"/>
      <c r="AA199" s="1192"/>
      <c r="AB199" s="1192"/>
      <c r="AC199" s="1202"/>
      <c r="AD199" s="798"/>
      <c r="AE199" s="799"/>
    </row>
    <row r="200" spans="1:31" s="1187" customFormat="1" x14ac:dyDescent="0.2">
      <c r="A200" s="1195"/>
      <c r="B200" s="1192"/>
      <c r="C200" s="1188"/>
      <c r="D200" s="1192"/>
      <c r="E200" s="1192"/>
      <c r="F200" s="1198"/>
      <c r="G200" s="1192"/>
      <c r="H200" s="1192"/>
      <c r="I200" s="1192"/>
      <c r="J200" s="1192"/>
      <c r="K200" s="1192"/>
      <c r="L200" s="1192"/>
      <c r="M200" s="1192"/>
      <c r="N200" s="1192"/>
      <c r="O200" s="1192"/>
      <c r="P200" s="1192"/>
      <c r="Q200" s="1192"/>
      <c r="R200" s="1192"/>
      <c r="S200" s="1192"/>
      <c r="T200" s="1192"/>
      <c r="U200" s="1192"/>
      <c r="V200" s="1192"/>
      <c r="W200" s="1192"/>
      <c r="X200" s="1192"/>
      <c r="Y200" s="1192"/>
      <c r="Z200" s="1192"/>
      <c r="AA200" s="1192"/>
      <c r="AB200" s="1192"/>
      <c r="AC200" s="1202"/>
      <c r="AD200" s="798"/>
      <c r="AE200" s="799"/>
    </row>
    <row r="201" spans="1:31" s="1187" customFormat="1" x14ac:dyDescent="0.2">
      <c r="A201" s="1195"/>
      <c r="B201" s="1192"/>
      <c r="C201" s="1188"/>
      <c r="D201" s="1192"/>
      <c r="E201" s="1192"/>
      <c r="F201" s="1198"/>
      <c r="G201" s="1192"/>
      <c r="H201" s="1192"/>
      <c r="I201" s="1192"/>
      <c r="J201" s="1192"/>
      <c r="K201" s="1192"/>
      <c r="L201" s="1192"/>
      <c r="M201" s="1192"/>
      <c r="N201" s="1192"/>
      <c r="O201" s="1192"/>
      <c r="P201" s="1192"/>
      <c r="Q201" s="1192"/>
      <c r="R201" s="1192"/>
      <c r="S201" s="1192"/>
      <c r="T201" s="1192"/>
      <c r="U201" s="1192"/>
      <c r="V201" s="1192"/>
      <c r="W201" s="1192"/>
      <c r="X201" s="1192"/>
      <c r="Y201" s="1192"/>
      <c r="Z201" s="1192"/>
      <c r="AA201" s="1192"/>
      <c r="AB201" s="1192"/>
      <c r="AC201" s="1202"/>
      <c r="AD201" s="798"/>
      <c r="AE201" s="799"/>
    </row>
    <row r="202" spans="1:31" s="1187" customFormat="1" x14ac:dyDescent="0.2">
      <c r="A202" s="1195"/>
      <c r="B202" s="1192"/>
      <c r="C202" s="1188"/>
      <c r="D202" s="1192"/>
      <c r="E202" s="1192"/>
      <c r="F202" s="1198"/>
      <c r="G202" s="1192"/>
      <c r="H202" s="1192"/>
      <c r="I202" s="1192"/>
      <c r="J202" s="1192"/>
      <c r="K202" s="1192"/>
      <c r="L202" s="1192"/>
      <c r="M202" s="1192"/>
      <c r="N202" s="1192"/>
      <c r="O202" s="1192"/>
      <c r="P202" s="1192"/>
      <c r="Q202" s="1192"/>
      <c r="R202" s="1192"/>
      <c r="S202" s="1192"/>
      <c r="T202" s="1192"/>
      <c r="U202" s="1192"/>
      <c r="V202" s="1192"/>
      <c r="W202" s="1192"/>
      <c r="X202" s="1192"/>
      <c r="Y202" s="1192"/>
      <c r="Z202" s="1192"/>
      <c r="AA202" s="1192"/>
      <c r="AB202" s="1192"/>
      <c r="AC202" s="1202"/>
      <c r="AD202" s="798"/>
      <c r="AE202" s="799"/>
    </row>
    <row r="203" spans="1:31" s="1187" customFormat="1" ht="16.5" thickBot="1" x14ac:dyDescent="0.25">
      <c r="A203" s="1196"/>
      <c r="B203" s="1193"/>
      <c r="C203" s="1190"/>
      <c r="D203" s="1193"/>
      <c r="E203" s="1193"/>
      <c r="F203" s="1199"/>
      <c r="G203" s="1193"/>
      <c r="H203" s="1193"/>
      <c r="I203" s="1193"/>
      <c r="J203" s="1193"/>
      <c r="K203" s="1193"/>
      <c r="L203" s="1193"/>
      <c r="M203" s="1193"/>
      <c r="N203" s="1193"/>
      <c r="O203" s="1193"/>
      <c r="P203" s="1193"/>
      <c r="Q203" s="1193"/>
      <c r="R203" s="1193"/>
      <c r="S203" s="1193"/>
      <c r="T203" s="1193"/>
      <c r="U203" s="1193"/>
      <c r="V203" s="1193"/>
      <c r="W203" s="1193"/>
      <c r="X203" s="1193"/>
      <c r="Y203" s="1193"/>
      <c r="Z203" s="1193"/>
      <c r="AA203" s="1193"/>
      <c r="AB203" s="1193"/>
      <c r="AC203" s="1203"/>
      <c r="AD203" s="792"/>
      <c r="AE203" s="793"/>
    </row>
    <row r="204" spans="1:31" s="218" customFormat="1" x14ac:dyDescent="0.2">
      <c r="F204" s="337"/>
      <c r="G204" s="337"/>
      <c r="H204" s="337"/>
      <c r="I204" s="337"/>
    </row>
    <row r="205" spans="1:31" s="218" customFormat="1" x14ac:dyDescent="0.2">
      <c r="F205" s="337"/>
      <c r="G205" s="337"/>
      <c r="H205" s="337"/>
      <c r="I205" s="337"/>
    </row>
    <row r="206" spans="1:31" s="218" customFormat="1" ht="16.5" thickBot="1" x14ac:dyDescent="0.25">
      <c r="F206" s="337"/>
      <c r="G206" s="337"/>
      <c r="H206" s="337"/>
      <c r="I206" s="337"/>
    </row>
    <row r="207" spans="1:31" ht="16.5" thickBot="1" x14ac:dyDescent="0.25">
      <c r="A207" s="555" t="s">
        <v>454</v>
      </c>
      <c r="B207" s="556" t="s">
        <v>455</v>
      </c>
    </row>
    <row r="208" spans="1:31" x14ac:dyDescent="0.2">
      <c r="A208" s="450" t="s">
        <v>456</v>
      </c>
      <c r="B208" s="557" t="s">
        <v>51</v>
      </c>
    </row>
    <row r="209" spans="1:9" x14ac:dyDescent="0.2">
      <c r="A209" s="558" t="s">
        <v>65</v>
      </c>
      <c r="B209" s="559" t="s">
        <v>51</v>
      </c>
    </row>
    <row r="210" spans="1:9" x14ac:dyDescent="0.2">
      <c r="A210" s="558" t="s">
        <v>257</v>
      </c>
      <c r="B210" s="559" t="s">
        <v>51</v>
      </c>
      <c r="F210" s="69"/>
      <c r="G210" s="69"/>
      <c r="H210" s="69"/>
      <c r="I210" s="69"/>
    </row>
    <row r="211" spans="1:9" x14ac:dyDescent="0.2">
      <c r="A211" s="558" t="s">
        <v>258</v>
      </c>
      <c r="B211" s="559" t="s">
        <v>51</v>
      </c>
      <c r="F211" s="69"/>
      <c r="G211" s="69"/>
      <c r="H211" s="69"/>
      <c r="I211" s="69"/>
    </row>
    <row r="212" spans="1:9" x14ac:dyDescent="0.2">
      <c r="A212" s="558" t="s">
        <v>259</v>
      </c>
      <c r="B212" s="559" t="s">
        <v>53</v>
      </c>
      <c r="F212" s="69"/>
      <c r="G212" s="69"/>
      <c r="H212" s="69"/>
      <c r="I212" s="69"/>
    </row>
    <row r="213" spans="1:9" x14ac:dyDescent="0.2">
      <c r="A213" s="558" t="s">
        <v>281</v>
      </c>
      <c r="B213" s="559" t="s">
        <v>53</v>
      </c>
      <c r="F213" s="69"/>
      <c r="G213" s="69"/>
      <c r="H213" s="69"/>
      <c r="I213" s="69"/>
    </row>
    <row r="214" spans="1:9" x14ac:dyDescent="0.2">
      <c r="A214" s="560" t="s">
        <v>279</v>
      </c>
      <c r="B214" s="559" t="s">
        <v>53</v>
      </c>
      <c r="F214" s="69"/>
      <c r="G214" s="69"/>
      <c r="H214" s="69"/>
      <c r="I214" s="69"/>
    </row>
    <row r="215" spans="1:9" x14ac:dyDescent="0.2">
      <c r="A215" s="560" t="s">
        <v>457</v>
      </c>
      <c r="B215" s="559" t="s">
        <v>53</v>
      </c>
      <c r="F215" s="69"/>
      <c r="G215" s="69"/>
      <c r="H215" s="69"/>
      <c r="I215" s="69"/>
    </row>
    <row r="216" spans="1:9" ht="16.5" thickBot="1" x14ac:dyDescent="0.25">
      <c r="A216" s="561" t="s">
        <v>460</v>
      </c>
      <c r="B216" s="562" t="s">
        <v>51</v>
      </c>
      <c r="F216" s="69"/>
      <c r="G216" s="69"/>
      <c r="H216" s="69"/>
      <c r="I216" s="69"/>
    </row>
  </sheetData>
  <sheetProtection formatCells="0" formatColumns="0" formatRows="0" insertColumns="0" insertRows="0" deleteColumns="0" deleteRows="0" sort="0" autoFilter="0"/>
  <autoFilter ref="A30:AB30" xr:uid="{00000000-0009-0000-0000-000010000000}"/>
  <sortState xmlns:xlrd2="http://schemas.microsoft.com/office/spreadsheetml/2017/richdata2" ref="A90:A120">
    <sortCondition ref="A89"/>
  </sortState>
  <dataConsolidate>
    <dataRefs count="2">
      <dataRef ref="B9" sheet="APPENDIX B-1  (FE - USWC)"/>
      <dataRef ref="A14:A18" sheet="APPENDIX B-1  (FE - USWC)"/>
    </dataRefs>
  </dataConsolidate>
  <mergeCells count="272">
    <mergeCell ref="AD200:AE200"/>
    <mergeCell ref="AD201:AE201"/>
    <mergeCell ref="AD202:AE202"/>
    <mergeCell ref="AD203:AE203"/>
    <mergeCell ref="X196:X197"/>
    <mergeCell ref="Y196:Y197"/>
    <mergeCell ref="Z196:Z197"/>
    <mergeCell ref="AA196:AA197"/>
    <mergeCell ref="AB196:AB197"/>
    <mergeCell ref="AC196:AC197"/>
    <mergeCell ref="AD196:AE197"/>
    <mergeCell ref="AD198:AE198"/>
    <mergeCell ref="AD199:AE199"/>
    <mergeCell ref="E110:G110"/>
    <mergeCell ref="B111:D111"/>
    <mergeCell ref="E111:G111"/>
    <mergeCell ref="E124:G124"/>
    <mergeCell ref="B115:D115"/>
    <mergeCell ref="E115:G115"/>
    <mergeCell ref="B99:D99"/>
    <mergeCell ref="E99:G99"/>
    <mergeCell ref="B102:D102"/>
    <mergeCell ref="E102:G102"/>
    <mergeCell ref="E118:G118"/>
    <mergeCell ref="B108:D108"/>
    <mergeCell ref="B119:D119"/>
    <mergeCell ref="E119:G119"/>
    <mergeCell ref="B120:D120"/>
    <mergeCell ref="E120:G120"/>
    <mergeCell ref="B101:D101"/>
    <mergeCell ref="E101:G101"/>
    <mergeCell ref="E108:G108"/>
    <mergeCell ref="B106:D106"/>
    <mergeCell ref="E106:G106"/>
    <mergeCell ref="B114:D114"/>
    <mergeCell ref="E105:G105"/>
    <mergeCell ref="B113:D113"/>
    <mergeCell ref="E113:G113"/>
    <mergeCell ref="AC48:AC49"/>
    <mergeCell ref="AA48:AA49"/>
    <mergeCell ref="B94:D94"/>
    <mergeCell ref="E94:G94"/>
    <mergeCell ref="B97:D97"/>
    <mergeCell ref="E98:G98"/>
    <mergeCell ref="A86:I86"/>
    <mergeCell ref="A87:I87"/>
    <mergeCell ref="A72:C72"/>
    <mergeCell ref="AB48:AB49"/>
    <mergeCell ref="A57:C57"/>
    <mergeCell ref="F48:F49"/>
    <mergeCell ref="D48:D49"/>
    <mergeCell ref="M48:M49"/>
    <mergeCell ref="H48:H49"/>
    <mergeCell ref="B48:B49"/>
    <mergeCell ref="C48:C49"/>
    <mergeCell ref="L48:L49"/>
    <mergeCell ref="Z48:Z49"/>
    <mergeCell ref="B103:D103"/>
    <mergeCell ref="E103:G103"/>
    <mergeCell ref="B105:D105"/>
    <mergeCell ref="B69:D69"/>
    <mergeCell ref="AA30:AA31"/>
    <mergeCell ref="AA39:AA40"/>
    <mergeCell ref="X39:X40"/>
    <mergeCell ref="J39:J40"/>
    <mergeCell ref="Z30:Z31"/>
    <mergeCell ref="L30:L31"/>
    <mergeCell ref="Y39:Y40"/>
    <mergeCell ref="Z39:Z40"/>
    <mergeCell ref="J30:J31"/>
    <mergeCell ref="X30:X31"/>
    <mergeCell ref="K39:K40"/>
    <mergeCell ref="Y30:Y31"/>
    <mergeCell ref="K30:K31"/>
    <mergeCell ref="A92:G92"/>
    <mergeCell ref="A91:G91"/>
    <mergeCell ref="B81:D81"/>
    <mergeCell ref="B68:D68"/>
    <mergeCell ref="B30:B31"/>
    <mergeCell ref="A30:A31"/>
    <mergeCell ref="J48:J49"/>
    <mergeCell ref="K90:K92"/>
    <mergeCell ref="E104:G104"/>
    <mergeCell ref="H90:H92"/>
    <mergeCell ref="I90:I92"/>
    <mergeCell ref="A90:G90"/>
    <mergeCell ref="B83:D83"/>
    <mergeCell ref="A1:B1"/>
    <mergeCell ref="C1:F1"/>
    <mergeCell ref="A2:B2"/>
    <mergeCell ref="C2:F2"/>
    <mergeCell ref="A3:B3"/>
    <mergeCell ref="C3:F3"/>
    <mergeCell ref="C30:C31"/>
    <mergeCell ref="A7:B7"/>
    <mergeCell ref="B17:I17"/>
    <mergeCell ref="B22:H22"/>
    <mergeCell ref="I30:I31"/>
    <mergeCell ref="B24:H24"/>
    <mergeCell ref="H30:H31"/>
    <mergeCell ref="F30:F31"/>
    <mergeCell ref="G30:G31"/>
    <mergeCell ref="C7:F7"/>
    <mergeCell ref="A4:B4"/>
    <mergeCell ref="A8:B8"/>
    <mergeCell ref="C8:F8"/>
    <mergeCell ref="C4:F4"/>
    <mergeCell ref="A5:B5"/>
    <mergeCell ref="C5:F5"/>
    <mergeCell ref="A6:B6"/>
    <mergeCell ref="C6:F6"/>
    <mergeCell ref="L13:M13"/>
    <mergeCell ref="L17:M17"/>
    <mergeCell ref="B20:H20"/>
    <mergeCell ref="D30:D31"/>
    <mergeCell ref="A12:J12"/>
    <mergeCell ref="B13:I13"/>
    <mergeCell ref="J13:K13"/>
    <mergeCell ref="B104:D104"/>
    <mergeCell ref="E95:G95"/>
    <mergeCell ref="B96:D96"/>
    <mergeCell ref="E96:G96"/>
    <mergeCell ref="B88:I88"/>
    <mergeCell ref="A48:A49"/>
    <mergeCell ref="B98:D98"/>
    <mergeCell ref="A73:C73"/>
    <mergeCell ref="B93:D93"/>
    <mergeCell ref="E93:G93"/>
    <mergeCell ref="B84:D84"/>
    <mergeCell ref="E97:G97"/>
    <mergeCell ref="A58:C58"/>
    <mergeCell ref="B66:D66"/>
    <mergeCell ref="E48:E49"/>
    <mergeCell ref="M90:M92"/>
    <mergeCell ref="J90:J92"/>
    <mergeCell ref="J15:K15"/>
    <mergeCell ref="J17:K17"/>
    <mergeCell ref="J16:K16"/>
    <mergeCell ref="A47:D47"/>
    <mergeCell ref="B82:D82"/>
    <mergeCell ref="I48:I49"/>
    <mergeCell ref="G48:G49"/>
    <mergeCell ref="A39:A40"/>
    <mergeCell ref="B39:B40"/>
    <mergeCell ref="F39:F40"/>
    <mergeCell ref="G39:G40"/>
    <mergeCell ref="E39:E40"/>
    <mergeCell ref="C39:C40"/>
    <mergeCell ref="D39:D40"/>
    <mergeCell ref="H39:H40"/>
    <mergeCell ref="I39:I40"/>
    <mergeCell ref="B80:D80"/>
    <mergeCell ref="B65:D65"/>
    <mergeCell ref="L133:L134"/>
    <mergeCell ref="J133:J134"/>
    <mergeCell ref="I133:I134"/>
    <mergeCell ref="L15:M15"/>
    <mergeCell ref="B14:I14"/>
    <mergeCell ref="B16:I16"/>
    <mergeCell ref="E30:E31"/>
    <mergeCell ref="L16:M16"/>
    <mergeCell ref="B23:H23"/>
    <mergeCell ref="J14:K14"/>
    <mergeCell ref="B15:I15"/>
    <mergeCell ref="L14:M14"/>
    <mergeCell ref="B21:H21"/>
    <mergeCell ref="L90:L92"/>
    <mergeCell ref="B95:D95"/>
    <mergeCell ref="K48:K49"/>
    <mergeCell ref="B67:D67"/>
    <mergeCell ref="B100:D100"/>
    <mergeCell ref="E100:G100"/>
    <mergeCell ref="B117:D117"/>
    <mergeCell ref="E133:E134"/>
    <mergeCell ref="E117:G117"/>
    <mergeCell ref="B107:D107"/>
    <mergeCell ref="E107:G107"/>
    <mergeCell ref="A180:G180"/>
    <mergeCell ref="A130:I130"/>
    <mergeCell ref="B127:D127"/>
    <mergeCell ref="E127:G127"/>
    <mergeCell ref="K133:K134"/>
    <mergeCell ref="K140:K141"/>
    <mergeCell ref="A133:D133"/>
    <mergeCell ref="H133:H134"/>
    <mergeCell ref="B128:D128"/>
    <mergeCell ref="E128:G128"/>
    <mergeCell ref="F133:F134"/>
    <mergeCell ref="H140:H141"/>
    <mergeCell ref="I140:I141"/>
    <mergeCell ref="G140:G141"/>
    <mergeCell ref="G133:G134"/>
    <mergeCell ref="E140:E141"/>
    <mergeCell ref="F140:F141"/>
    <mergeCell ref="B166:I166"/>
    <mergeCell ref="B167:I167"/>
    <mergeCell ref="B173:I173"/>
    <mergeCell ref="B168:I168"/>
    <mergeCell ref="B165:I165"/>
    <mergeCell ref="B162:I162"/>
    <mergeCell ref="A148:E148"/>
    <mergeCell ref="E183:E184"/>
    <mergeCell ref="A131:I131"/>
    <mergeCell ref="A183:A184"/>
    <mergeCell ref="B160:I160"/>
    <mergeCell ref="A178:B178"/>
    <mergeCell ref="A150:F150"/>
    <mergeCell ref="M140:M141"/>
    <mergeCell ref="C183:C184"/>
    <mergeCell ref="J140:J141"/>
    <mergeCell ref="L140:L141"/>
    <mergeCell ref="A152:F152"/>
    <mergeCell ref="A151:F151"/>
    <mergeCell ref="B161:I161"/>
    <mergeCell ref="B169:I169"/>
    <mergeCell ref="B170:I170"/>
    <mergeCell ref="B164:I164"/>
    <mergeCell ref="B183:B184"/>
    <mergeCell ref="J183:J184"/>
    <mergeCell ref="K183:K184"/>
    <mergeCell ref="D183:D184"/>
    <mergeCell ref="B174:I174"/>
    <mergeCell ref="B163:I163"/>
    <mergeCell ref="B171:I171"/>
    <mergeCell ref="B172:I172"/>
    <mergeCell ref="H183:H184"/>
    <mergeCell ref="G183:G184"/>
    <mergeCell ref="F183:F184"/>
    <mergeCell ref="M188:N188"/>
    <mergeCell ref="M183:N184"/>
    <mergeCell ref="I183:I184"/>
    <mergeCell ref="G196:V196"/>
    <mergeCell ref="W196:W197"/>
    <mergeCell ref="A182:E182"/>
    <mergeCell ref="E196:E197"/>
    <mergeCell ref="M187:N187"/>
    <mergeCell ref="M185:N185"/>
    <mergeCell ref="L183:L184"/>
    <mergeCell ref="A193:G193"/>
    <mergeCell ref="A195:H195"/>
    <mergeCell ref="B196:B197"/>
    <mergeCell ref="C196:C197"/>
    <mergeCell ref="D196:D197"/>
    <mergeCell ref="A196:A197"/>
    <mergeCell ref="F196:F197"/>
    <mergeCell ref="M186:N186"/>
    <mergeCell ref="M190:N190"/>
    <mergeCell ref="M189:N189"/>
    <mergeCell ref="B112:D112"/>
    <mergeCell ref="B116:D116"/>
    <mergeCell ref="B118:D118"/>
    <mergeCell ref="E116:G116"/>
    <mergeCell ref="E112:G112"/>
    <mergeCell ref="B109:D109"/>
    <mergeCell ref="E109:G109"/>
    <mergeCell ref="A158:I158"/>
    <mergeCell ref="E125:G125"/>
    <mergeCell ref="A140:D140"/>
    <mergeCell ref="B125:D125"/>
    <mergeCell ref="B126:D126"/>
    <mergeCell ref="B129:D129"/>
    <mergeCell ref="E129:G129"/>
    <mergeCell ref="E126:G126"/>
    <mergeCell ref="B121:D121"/>
    <mergeCell ref="E121:G121"/>
    <mergeCell ref="B122:D122"/>
    <mergeCell ref="E122:G122"/>
    <mergeCell ref="B123:D123"/>
    <mergeCell ref="E123:G123"/>
    <mergeCell ref="B124:D124"/>
    <mergeCell ref="B110:D110"/>
    <mergeCell ref="E114:G114"/>
  </mergeCells>
  <phoneticPr fontId="11" type="noConversion"/>
  <dataValidations xWindow="831" yWindow="424" count="33">
    <dataValidation type="list" allowBlank="1" showInputMessage="1" showErrorMessage="1" sqref="B208:B216" xr:uid="{00000000-0002-0000-1000-000000000000}">
      <formula1>Autom</formula1>
    </dataValidation>
    <dataValidation type="list" showInputMessage="1" showErrorMessage="1" sqref="C185:C190 C198:C203" xr:uid="{00000000-0002-0000-1000-000001000000}">
      <formula1>IF($B185="I",DDTARIFFUS,DDTARIFF)</formula1>
    </dataValidation>
    <dataValidation type="list" allowBlank="1" showInputMessage="1" showErrorMessage="1" sqref="B185:B190 B198:B203" xr:uid="{00000000-0002-0000-1000-000002000000}">
      <formula1>EXPIMP</formula1>
    </dataValidation>
    <dataValidation type="list" allowBlank="1" showInputMessage="1" showErrorMessage="1" sqref="F185:F190 W198:W203" xr:uid="{00000000-0002-0000-1000-000003000000}">
      <formula1>EQTYPE</formula1>
    </dataValidation>
    <dataValidation type="list" allowBlank="1" showInputMessage="1" showErrorMessage="1" sqref="G185:G190 X198:X203" xr:uid="{00000000-0002-0000-1000-000004000000}">
      <formula1>OPREEFER</formula1>
    </dataValidation>
    <dataValidation type="list" allowBlank="1" showInputMessage="1" showErrorMessage="1" sqref="F198:F203" xr:uid="{714967EE-1EDF-46BA-A347-80F51CB4266D}">
      <formula1>CURRENCY</formula1>
    </dataValidation>
    <dataValidation type="whole" allowBlank="1" showInputMessage="1" showErrorMessage="1" error="Only whole numbers can be entered into this field" sqref="D185:D190 D198:D203" xr:uid="{00000000-0002-0000-1000-000006000000}">
      <formula1>1</formula1>
      <formula2>99</formula2>
    </dataValidation>
    <dataValidation type="list" showInputMessage="1" showErrorMessage="1" sqref="E185:E190 E198:E203" xr:uid="{00000000-0002-0000-1000-000007000000}">
      <formula1>DAYS</formula1>
    </dataValidation>
    <dataValidation type="whole" allowBlank="1" showInputMessage="1" showErrorMessage="1" error="Only whole numbers may be entered into this field_x000a_" sqref="G198:G203 S198:S203 O198:O203 K198:K203" xr:uid="{F1475AB4-ADEA-4B2B-8AF3-FE10AA9C4058}">
      <formula1>1</formula1>
      <formula2>99</formula2>
    </dataValidation>
    <dataValidation type="decimal" allowBlank="1" showInputMessage="1" showErrorMessage="1" error="Only numbers may be entered into this field" sqref="H198:J203 L198:N203 P198:R203 T198:V203" xr:uid="{39624148-A9E1-41C1-9637-55103993BB96}">
      <formula1>1</formula1>
      <formula2>1000000000</formula2>
    </dataValidation>
    <dataValidation type="list" showInputMessage="1" showErrorMessage="1" sqref="K135:K138 K142:K145 N66:N69 A41:A44 A50:A53 A32:A35 N81:N84" xr:uid="{00000000-0002-0000-1000-00000A000000}">
      <formula1>$A$14:$A$18</formula1>
    </dataValidation>
    <dataValidation type="list" allowBlank="1" showInputMessage="1" showErrorMessage="1" sqref="J135:J138 J142:J145" xr:uid="{00000000-0002-0000-1000-00000B000000}">
      <formula1>GRIPSS</formula1>
    </dataValidation>
    <dataValidation type="decimal" allowBlank="1" showInputMessage="1" showErrorMessage="1" sqref="F142:I145 F135:I138 I32:L35 I41:K44 J81:M84 I50:L53" xr:uid="{00000000-0002-0000-1000-00000C000000}">
      <formula1>0</formula1>
      <formula2>999999999999999</formula2>
    </dataValidation>
    <dataValidation type="list" allowBlank="1" showInputMessage="1" showErrorMessage="1" sqref="E135:E138 E142:E145" xr:uid="{00000000-0002-0000-1000-00000D000000}">
      <formula1>GRIPSS_EQ</formula1>
    </dataValidation>
    <dataValidation type="list" showInputMessage="1" showErrorMessage="1" sqref="A185:A190 A198:A203" xr:uid="{00000000-0002-0000-1000-00000E000000}">
      <formula1>BULLET</formula1>
    </dataValidation>
    <dataValidation type="date" allowBlank="1" showInputMessage="1" showErrorMessage="1" sqref="X32:Y35 J93:K129" xr:uid="{00000000-0002-0000-1000-00000F000000}">
      <formula1>10101</formula1>
      <formula2>311299</formula2>
    </dataValidation>
    <dataValidation type="list" showDropDown="1" showErrorMessage="1" sqref="O65:P65 O80:P80" xr:uid="{00000000-0002-0000-1000-000010000000}">
      <formula1>Charges</formula1>
    </dataValidation>
    <dataValidation type="list" allowBlank="1" showInputMessage="1" showErrorMessage="1" sqref="O66:P69 O81:P84" xr:uid="{00000000-0002-0000-1000-000011000000}">
      <formula1 xml:space="preserve"> droppull</formula1>
    </dataValidation>
    <dataValidation type="list" allowBlank="1" showInputMessage="1" showErrorMessage="1" sqref="L41:L44 G66:G69 P50:P53 N41:N44 G81:G84" xr:uid="{00000000-0002-0000-1000-000012000000}">
      <formula1>YesNo</formula1>
    </dataValidation>
    <dataValidation type="list" allowBlank="1" showInputMessage="1" showErrorMessage="1" sqref="M50:M53" xr:uid="{00000000-0002-0000-1000-000013000000}">
      <formula1>Equip</formula1>
    </dataValidation>
    <dataValidation type="list" allowBlank="1" showInputMessage="1" showErrorMessage="1" sqref="F66:F69 F81:F84" xr:uid="{00000000-0002-0000-1000-000014000000}">
      <formula1>ArbMode</formula1>
    </dataValidation>
    <dataValidation type="list" allowBlank="1" showInputMessage="1" showErrorMessage="1" sqref="G41:G44 G50:G53 G32:G35" xr:uid="{00000000-0002-0000-1000-000015000000}">
      <formula1>SDD</formula1>
    </dataValidation>
    <dataValidation type="list" allowBlank="1" showInputMessage="1" showErrorMessage="1" sqref="M31:W31 Q49:Y49" xr:uid="{00000000-0002-0000-1000-000016000000}">
      <formula1>Container</formula1>
    </dataValidation>
    <dataValidation type="list" allowBlank="1" showInputMessage="1" showErrorMessage="1" sqref="O40:W40" xr:uid="{00000000-0002-0000-1000-000017000000}">
      <formula1>Reefer</formula1>
    </dataValidation>
    <dataValidation type="list" allowBlank="1" showInputMessage="1" showErrorMessage="1" sqref="F32:F35 F50:F53 F41:F44" xr:uid="{00000000-0002-0000-1000-000018000000}">
      <formula1>Mode</formula1>
    </dataValidation>
    <dataValidation type="list" allowBlank="1" showInputMessage="1" showErrorMessage="1" sqref="M41:M44 O50:O53" xr:uid="{00000000-0002-0000-1000-000019000000}">
      <formula1>ShipperOwn</formula1>
    </dataValidation>
    <dataValidation type="list" allowBlank="1" showInputMessage="1" showErrorMessage="1" sqref="N50:N53" xr:uid="{00000000-0002-0000-1000-00001A000000}">
      <formula1>OOG</formula1>
    </dataValidation>
    <dataValidation type="list" allowBlank="1" showErrorMessage="1" sqref="M30:W30 Q48:Y48 O39:W39" xr:uid="{00000000-0002-0000-1000-00001B000000}">
      <formula1>Exceptions</formula1>
    </dataValidation>
    <dataValidation type="list" allowBlank="1" showInputMessage="1" showErrorMessage="1" sqref="AA32:AA35 AC50:AC53 AA41:AA44" xr:uid="{00000000-0002-0000-1000-00001C000000}">
      <formula1>CST</formula1>
    </dataValidation>
    <dataValidation type="list" allowBlank="1" showInputMessage="1" showErrorMessage="1" sqref="I93:I129" xr:uid="{00000000-0002-0000-1000-00001D000000}">
      <formula1>$A$14:$A$18</formula1>
    </dataValidation>
    <dataValidation type="list" allowBlank="1" showErrorMessage="1" sqref="A93:A129" xr:uid="{00000000-0002-0000-1000-00001E000000}">
      <formula1>Charges</formula1>
    </dataValidation>
    <dataValidation allowBlank="1" showInputMessage="1" showErrorMessage="1" promptTitle="Acceptable Values:" prompt="- Applicable _x000a_- Not applicable _x000a_- Included_x000a_- Amount and OSPF for cases of fixed per D40 OSPF_x000a_    (example-  &quot;375 OSPF&quot;)" sqref="E93:G129" xr:uid="{00000000-0002-0000-1000-00001F000000}"/>
    <dataValidation type="list" allowBlank="1" showInputMessage="1" showErrorMessage="1" errorTitle="Pick up the list" promptTitle="Blank = ALL" sqref="H93:H129" xr:uid="{00000000-0002-0000-1000-000020000000}">
      <formula1>Type_note2</formula1>
    </dataValidation>
  </dataValidations>
  <pageMargins left="0.25" right="0.25" top="0.25" bottom="0.25" header="0.5" footer="0"/>
  <pageSetup scale="28" fitToHeight="0" orientation="landscape" r:id="rId1"/>
  <headerFooter alignWithMargins="0"/>
  <rowBreaks count="1" manualBreakCount="1">
    <brk id="88" max="16383" man="1"/>
  </rowBreaks>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56">
    <tabColor indexed="46"/>
    <pageSetUpPr fitToPage="1"/>
  </sheetPr>
  <dimension ref="A1:BB215"/>
  <sheetViews>
    <sheetView showGridLines="0" topLeftCell="A175" zoomScale="75" zoomScaleNormal="75" zoomScaleSheetLayoutView="75" workbookViewId="0">
      <selection activeCell="G195" sqref="A195:XFD202"/>
    </sheetView>
  </sheetViews>
  <sheetFormatPr defaultColWidth="9.140625" defaultRowHeight="15.75" x14ac:dyDescent="0.2"/>
  <cols>
    <col min="1" max="1" width="25.140625" style="69" customWidth="1"/>
    <col min="2" max="2" width="18.5703125" style="69" customWidth="1"/>
    <col min="3" max="3" width="18.28515625" style="69" customWidth="1"/>
    <col min="4" max="4" width="17.42578125" style="69" customWidth="1"/>
    <col min="5" max="5" width="19.28515625" style="69" customWidth="1"/>
    <col min="6" max="6" width="12.140625" style="211" customWidth="1"/>
    <col min="7" max="8" width="17.42578125" style="211" customWidth="1"/>
    <col min="9" max="9" width="17.7109375" style="211" customWidth="1"/>
    <col min="10" max="10" width="17.85546875" style="69" customWidth="1"/>
    <col min="11" max="11" width="16.5703125" style="69" customWidth="1"/>
    <col min="12" max="12" width="18.5703125" style="69" customWidth="1"/>
    <col min="13" max="13" width="17.28515625" style="69" customWidth="1"/>
    <col min="14" max="14" width="17.7109375" style="69" customWidth="1"/>
    <col min="15" max="16" width="16.5703125" style="69" customWidth="1"/>
    <col min="17" max="17" width="17.5703125" style="69" customWidth="1"/>
    <col min="18" max="18" width="15.85546875" style="69" customWidth="1"/>
    <col min="19" max="19" width="16.7109375" style="69" customWidth="1"/>
    <col min="20" max="20" width="16.5703125" style="69" customWidth="1"/>
    <col min="21" max="21" width="16.7109375" style="69" customWidth="1"/>
    <col min="22" max="22" width="17.5703125" style="69" customWidth="1"/>
    <col min="23" max="23" width="18" style="69" customWidth="1"/>
    <col min="24" max="24" width="12.7109375" style="69" customWidth="1"/>
    <col min="25" max="25" width="16.85546875" style="69" customWidth="1"/>
    <col min="26" max="26" width="9.7109375" style="69" customWidth="1"/>
    <col min="27" max="27" width="14.140625" style="69" customWidth="1"/>
    <col min="28" max="28" width="9.7109375" style="69" customWidth="1"/>
    <col min="29" max="29" width="14.140625" style="69" customWidth="1"/>
    <col min="30" max="16384" width="9.140625" style="69"/>
  </cols>
  <sheetData>
    <row r="1" spans="1:54" x14ac:dyDescent="0.2">
      <c r="A1" s="835" t="s">
        <v>511</v>
      </c>
      <c r="B1" s="837"/>
      <c r="C1" s="902" t="str">
        <f>Cover!B1</f>
        <v>22-XXXX</v>
      </c>
      <c r="D1" s="903"/>
      <c r="E1" s="903"/>
      <c r="F1" s="904"/>
      <c r="G1" s="69"/>
      <c r="H1" s="69"/>
      <c r="I1" s="69"/>
    </row>
    <row r="2" spans="1:54" x14ac:dyDescent="0.2">
      <c r="A2" s="885" t="s">
        <v>1236</v>
      </c>
      <c r="B2" s="886"/>
      <c r="C2" s="887"/>
      <c r="D2" s="888"/>
      <c r="E2" s="888"/>
      <c r="F2" s="889"/>
      <c r="G2" s="69"/>
      <c r="H2" s="69"/>
      <c r="I2" s="69"/>
    </row>
    <row r="3" spans="1:54" x14ac:dyDescent="0.2">
      <c r="A3" s="885" t="s">
        <v>522</v>
      </c>
      <c r="B3" s="886"/>
      <c r="C3" s="905">
        <f>Cover!B2</f>
        <v>0</v>
      </c>
      <c r="D3" s="906"/>
      <c r="E3" s="906"/>
      <c r="F3" s="907"/>
      <c r="G3" s="69"/>
      <c r="H3" s="69"/>
      <c r="I3" s="69"/>
    </row>
    <row r="4" spans="1:54" x14ac:dyDescent="0.2">
      <c r="A4" s="885" t="s">
        <v>1229</v>
      </c>
      <c r="B4" s="886"/>
      <c r="C4" s="884">
        <f>Cover!B7</f>
        <v>0</v>
      </c>
      <c r="D4" s="817"/>
      <c r="E4" s="817"/>
      <c r="F4" s="818"/>
      <c r="G4" s="69"/>
      <c r="H4" s="69"/>
      <c r="I4" s="69"/>
    </row>
    <row r="5" spans="1:54" x14ac:dyDescent="0.2">
      <c r="A5" s="885" t="s">
        <v>528</v>
      </c>
      <c r="B5" s="886"/>
      <c r="C5" s="887" t="s">
        <v>568</v>
      </c>
      <c r="D5" s="888"/>
      <c r="E5" s="888"/>
      <c r="F5" s="889"/>
      <c r="G5" s="69"/>
      <c r="H5" s="69"/>
      <c r="I5" s="69"/>
    </row>
    <row r="6" spans="1:54" ht="15.75" customHeight="1" x14ac:dyDescent="0.2">
      <c r="A6" s="885" t="s">
        <v>512</v>
      </c>
      <c r="B6" s="886"/>
      <c r="C6" s="887" t="s">
        <v>566</v>
      </c>
      <c r="D6" s="888"/>
      <c r="E6" s="888"/>
      <c r="F6" s="889"/>
      <c r="G6" s="69"/>
      <c r="H6" s="69"/>
      <c r="I6" s="69"/>
    </row>
    <row r="7" spans="1:54" ht="15.75" customHeight="1" x14ac:dyDescent="0.2">
      <c r="A7" s="885" t="s">
        <v>612</v>
      </c>
      <c r="B7" s="886"/>
      <c r="C7" s="887" t="s">
        <v>187</v>
      </c>
      <c r="D7" s="888"/>
      <c r="E7" s="888"/>
      <c r="F7" s="889"/>
      <c r="G7" s="69"/>
      <c r="H7" s="69"/>
      <c r="I7" s="69"/>
    </row>
    <row r="8" spans="1:54" ht="2.25" customHeight="1" thickBot="1" x14ac:dyDescent="0.25">
      <c r="A8" s="900"/>
      <c r="B8" s="901"/>
      <c r="C8" s="894"/>
      <c r="D8" s="895"/>
      <c r="E8" s="895"/>
      <c r="F8" s="896"/>
      <c r="G8" s="69"/>
      <c r="H8" s="69"/>
      <c r="I8" s="69"/>
    </row>
    <row r="9" spans="1:54" s="73" customFormat="1" x14ac:dyDescent="0.2">
      <c r="A9" s="442">
        <v>39</v>
      </c>
      <c r="B9" s="443" t="s">
        <v>614</v>
      </c>
      <c r="D9" s="444"/>
      <c r="E9" s="444"/>
      <c r="F9" s="445"/>
    </row>
    <row r="10" spans="1:54" s="73" customFormat="1" ht="16.5" thickBot="1" x14ac:dyDescent="0.25">
      <c r="A10" s="446"/>
      <c r="D10" s="444"/>
      <c r="E10" s="444"/>
      <c r="F10" s="445"/>
      <c r="G10" s="447"/>
      <c r="H10" s="444"/>
      <c r="I10" s="444"/>
      <c r="J10" s="444"/>
    </row>
    <row r="11" spans="1:54" ht="19.5" thickBot="1" x14ac:dyDescent="0.25">
      <c r="A11" s="448" t="s">
        <v>613</v>
      </c>
      <c r="B11" s="449"/>
      <c r="C11" s="73"/>
      <c r="D11" s="444"/>
      <c r="E11" s="444"/>
      <c r="F11" s="445"/>
      <c r="G11" s="447"/>
      <c r="H11" s="444"/>
      <c r="I11" s="444"/>
      <c r="J11" s="444"/>
    </row>
    <row r="12" spans="1:54" s="78" customFormat="1" ht="16.5" thickBot="1" x14ac:dyDescent="0.25">
      <c r="A12" s="897" t="s">
        <v>616</v>
      </c>
      <c r="B12" s="898"/>
      <c r="C12" s="898"/>
      <c r="D12" s="898"/>
      <c r="E12" s="898"/>
      <c r="F12" s="898"/>
      <c r="G12" s="898"/>
      <c r="H12" s="898"/>
      <c r="I12" s="898"/>
      <c r="J12" s="899"/>
    </row>
    <row r="13" spans="1:54" ht="17.25" customHeight="1" x14ac:dyDescent="0.2">
      <c r="A13" s="450" t="s">
        <v>617</v>
      </c>
      <c r="B13" s="881" t="s">
        <v>618</v>
      </c>
      <c r="C13" s="881"/>
      <c r="D13" s="881"/>
      <c r="E13" s="881"/>
      <c r="F13" s="881"/>
      <c r="G13" s="881"/>
      <c r="H13" s="881"/>
      <c r="I13" s="881"/>
      <c r="J13" s="882" t="s">
        <v>622</v>
      </c>
      <c r="K13" s="883"/>
      <c r="L13" s="890" t="s">
        <v>623</v>
      </c>
      <c r="M13" s="891"/>
      <c r="N13" s="350" t="s">
        <v>4</v>
      </c>
    </row>
    <row r="14" spans="1:54" s="81" customFormat="1" x14ac:dyDescent="0.2">
      <c r="A14" s="451"/>
      <c r="B14" s="862"/>
      <c r="C14" s="892"/>
      <c r="D14" s="892"/>
      <c r="E14" s="892"/>
      <c r="F14" s="892"/>
      <c r="G14" s="892"/>
      <c r="H14" s="892"/>
      <c r="I14" s="892"/>
      <c r="J14" s="870"/>
      <c r="K14" s="855"/>
      <c r="L14" s="893"/>
      <c r="M14" s="871"/>
      <c r="N14" s="349" t="str">
        <f>IF($A14&gt;0,$A14,"")</f>
        <v/>
      </c>
    </row>
    <row r="15" spans="1:54" s="453" customFormat="1" x14ac:dyDescent="0.2">
      <c r="A15" s="452"/>
      <c r="B15" s="879"/>
      <c r="C15" s="880"/>
      <c r="D15" s="880"/>
      <c r="E15" s="880"/>
      <c r="F15" s="880"/>
      <c r="G15" s="880"/>
      <c r="H15" s="880"/>
      <c r="I15" s="880"/>
      <c r="J15" s="870"/>
      <c r="K15" s="855"/>
      <c r="L15" s="870"/>
      <c r="M15" s="871"/>
      <c r="N15" s="349" t="str">
        <f>IF($A15&gt;0,$A15,"")</f>
        <v/>
      </c>
      <c r="BB15" s="81"/>
    </row>
    <row r="16" spans="1:54" s="453" customFormat="1" x14ac:dyDescent="0.2">
      <c r="A16" s="452"/>
      <c r="B16" s="879"/>
      <c r="C16" s="880"/>
      <c r="D16" s="880"/>
      <c r="E16" s="880"/>
      <c r="F16" s="880"/>
      <c r="G16" s="880"/>
      <c r="H16" s="880"/>
      <c r="I16" s="880"/>
      <c r="J16" s="870"/>
      <c r="K16" s="855"/>
      <c r="L16" s="870"/>
      <c r="M16" s="871"/>
      <c r="N16" s="349" t="str">
        <f>IF($A16&gt;0,$A16,"")</f>
        <v/>
      </c>
      <c r="BB16" s="81"/>
    </row>
    <row r="17" spans="1:54" s="453" customFormat="1" ht="16.5" thickBot="1" x14ac:dyDescent="0.25">
      <c r="A17" s="454"/>
      <c r="B17" s="864"/>
      <c r="C17" s="865"/>
      <c r="D17" s="865"/>
      <c r="E17" s="865"/>
      <c r="F17" s="865"/>
      <c r="G17" s="865"/>
      <c r="H17" s="865"/>
      <c r="I17" s="865"/>
      <c r="J17" s="866"/>
      <c r="K17" s="867"/>
      <c r="L17" s="857"/>
      <c r="M17" s="858"/>
      <c r="N17" s="349" t="str">
        <f>IF($A17&gt;0,$A17,"")</f>
        <v/>
      </c>
      <c r="BB17" s="81"/>
    </row>
    <row r="18" spans="1:54" s="462" customFormat="1" ht="16.5" thickBot="1" x14ac:dyDescent="0.25">
      <c r="A18" s="455"/>
      <c r="B18" s="456"/>
      <c r="C18" s="457"/>
      <c r="D18" s="458"/>
      <c r="E18" s="458"/>
      <c r="F18" s="459"/>
      <c r="G18" s="459"/>
      <c r="H18" s="460"/>
      <c r="I18" s="461"/>
      <c r="J18" s="461"/>
      <c r="K18" s="457"/>
      <c r="L18" s="457"/>
      <c r="M18" s="457"/>
      <c r="N18" s="349" t="str">
        <f>IF($A18&gt;0,$A18,"")</f>
        <v/>
      </c>
      <c r="O18" s="457"/>
      <c r="P18" s="457"/>
      <c r="Q18" s="457"/>
      <c r="BB18" s="81"/>
    </row>
    <row r="19" spans="1:54" s="462" customFormat="1" ht="19.5" thickBot="1" x14ac:dyDescent="0.25">
      <c r="A19" s="448" t="s">
        <v>419</v>
      </c>
      <c r="B19" s="463"/>
      <c r="I19" s="461"/>
      <c r="J19" s="461"/>
      <c r="K19" s="457"/>
      <c r="L19" s="457"/>
      <c r="M19" s="457"/>
      <c r="N19" s="457"/>
      <c r="O19" s="457"/>
      <c r="P19" s="457"/>
      <c r="Q19" s="457"/>
    </row>
    <row r="20" spans="1:54" s="462" customFormat="1" x14ac:dyDescent="0.2">
      <c r="A20" s="464" t="s">
        <v>419</v>
      </c>
      <c r="B20" s="859" t="s">
        <v>618</v>
      </c>
      <c r="C20" s="860"/>
      <c r="D20" s="860"/>
      <c r="E20" s="860"/>
      <c r="F20" s="860"/>
      <c r="G20" s="860"/>
      <c r="H20" s="861"/>
      <c r="I20" s="461"/>
      <c r="J20" s="461"/>
      <c r="K20" s="457"/>
      <c r="L20" s="457"/>
      <c r="M20" s="457"/>
      <c r="N20" s="457"/>
      <c r="O20" s="457"/>
      <c r="P20" s="457"/>
      <c r="Q20" s="457"/>
    </row>
    <row r="21" spans="1:54" s="467" customFormat="1" ht="15.75" customHeight="1" x14ac:dyDescent="0.2">
      <c r="A21" s="451" t="s">
        <v>462</v>
      </c>
      <c r="B21" s="862" t="s">
        <v>465</v>
      </c>
      <c r="C21" s="862"/>
      <c r="D21" s="862"/>
      <c r="E21" s="862"/>
      <c r="F21" s="862"/>
      <c r="G21" s="862"/>
      <c r="H21" s="863"/>
      <c r="I21" s="220"/>
      <c r="J21" s="465"/>
      <c r="K21" s="466"/>
      <c r="L21" s="466"/>
      <c r="M21" s="466"/>
      <c r="N21" s="466"/>
      <c r="O21" s="466"/>
      <c r="P21" s="466"/>
      <c r="Q21" s="466"/>
    </row>
    <row r="22" spans="1:54" s="467" customFormat="1" x14ac:dyDescent="0.2">
      <c r="A22" s="468"/>
      <c r="B22" s="862"/>
      <c r="C22" s="862"/>
      <c r="D22" s="862"/>
      <c r="E22" s="862"/>
      <c r="F22" s="862"/>
      <c r="G22" s="862"/>
      <c r="H22" s="863"/>
      <c r="I22" s="465"/>
      <c r="J22" s="465"/>
      <c r="K22" s="466"/>
      <c r="L22" s="466"/>
      <c r="M22" s="466"/>
      <c r="N22" s="466"/>
      <c r="O22" s="466"/>
      <c r="P22" s="466"/>
      <c r="Q22" s="466"/>
    </row>
    <row r="23" spans="1:54" s="467" customFormat="1" x14ac:dyDescent="0.2">
      <c r="A23" s="468"/>
      <c r="B23" s="854"/>
      <c r="C23" s="855"/>
      <c r="D23" s="855"/>
      <c r="E23" s="855"/>
      <c r="F23" s="855"/>
      <c r="G23" s="855"/>
      <c r="H23" s="856"/>
      <c r="I23" s="465"/>
      <c r="J23" s="465"/>
      <c r="K23" s="466"/>
      <c r="L23" s="466"/>
      <c r="M23" s="466"/>
      <c r="N23" s="466"/>
      <c r="O23" s="466"/>
      <c r="P23" s="466"/>
      <c r="Q23" s="466"/>
    </row>
    <row r="24" spans="1:54" s="467" customFormat="1" ht="16.5" thickBot="1" x14ac:dyDescent="0.25">
      <c r="A24" s="469"/>
      <c r="B24" s="877"/>
      <c r="C24" s="867"/>
      <c r="D24" s="867"/>
      <c r="E24" s="867"/>
      <c r="F24" s="867"/>
      <c r="G24" s="867"/>
      <c r="H24" s="878"/>
      <c r="I24" s="465"/>
      <c r="J24" s="465"/>
      <c r="K24" s="466"/>
      <c r="L24" s="466"/>
      <c r="M24" s="466"/>
      <c r="N24" s="466"/>
      <c r="O24" s="466"/>
      <c r="P24" s="466"/>
      <c r="Q24" s="466"/>
    </row>
    <row r="25" spans="1:54" s="462" customFormat="1" ht="16.5" thickBot="1" x14ac:dyDescent="0.25">
      <c r="A25" s="456"/>
      <c r="B25" s="95"/>
      <c r="C25" s="95"/>
      <c r="D25" s="95"/>
      <c r="E25" s="95"/>
      <c r="F25" s="95"/>
      <c r="G25" s="95"/>
      <c r="H25" s="95"/>
      <c r="I25" s="461"/>
      <c r="J25" s="461"/>
      <c r="K25" s="457"/>
      <c r="L25" s="457"/>
      <c r="M25" s="457"/>
      <c r="N25" s="457"/>
      <c r="O25" s="457"/>
      <c r="P25" s="457"/>
      <c r="Q25" s="457"/>
      <c r="R25" s="457"/>
      <c r="S25" s="457"/>
      <c r="T25" s="457"/>
      <c r="U25" s="457"/>
    </row>
    <row r="26" spans="1:54" s="462" customFormat="1" ht="19.5" thickBot="1" x14ac:dyDescent="0.25">
      <c r="A26" s="448" t="s">
        <v>624</v>
      </c>
      <c r="B26" s="449"/>
      <c r="I26" s="461"/>
      <c r="J26" s="461"/>
      <c r="K26" s="457"/>
      <c r="L26" s="457"/>
      <c r="M26" s="457"/>
      <c r="N26" s="457"/>
      <c r="O26" s="457"/>
      <c r="P26" s="457"/>
      <c r="Q26" s="457"/>
      <c r="R26" s="457"/>
      <c r="S26" s="457"/>
      <c r="T26" s="457"/>
      <c r="U26" s="457"/>
    </row>
    <row r="27" spans="1:54" s="462" customFormat="1" x14ac:dyDescent="0.2">
      <c r="A27" s="223" t="s">
        <v>886</v>
      </c>
      <c r="B27" s="470"/>
      <c r="C27" s="471"/>
      <c r="D27" s="472"/>
      <c r="E27" s="472"/>
      <c r="F27" s="473"/>
      <c r="G27" s="473"/>
      <c r="H27" s="473"/>
      <c r="I27" s="474"/>
      <c r="J27" s="475"/>
      <c r="K27" s="476"/>
      <c r="L27" s="457"/>
      <c r="M27" s="457"/>
      <c r="N27" s="457"/>
      <c r="O27" s="457"/>
      <c r="P27" s="457"/>
      <c r="Q27" s="457"/>
      <c r="R27" s="457"/>
      <c r="S27" s="457"/>
      <c r="T27" s="457"/>
      <c r="U27" s="457"/>
      <c r="V27" s="457"/>
    </row>
    <row r="28" spans="1:54" s="462" customFormat="1" x14ac:dyDescent="0.2">
      <c r="A28" s="96" t="s">
        <v>626</v>
      </c>
      <c r="B28" s="214"/>
      <c r="C28" s="477"/>
      <c r="D28" s="478"/>
      <c r="E28" s="478"/>
      <c r="F28" s="479"/>
      <c r="G28" s="479"/>
      <c r="H28" s="479"/>
      <c r="I28" s="480"/>
      <c r="J28" s="481"/>
      <c r="K28" s="482"/>
      <c r="L28" s="457"/>
      <c r="M28" s="457"/>
      <c r="N28" s="457"/>
      <c r="O28" s="457"/>
      <c r="P28" s="457"/>
      <c r="Q28" s="457"/>
      <c r="R28" s="457"/>
    </row>
    <row r="29" spans="1:54" s="462" customFormat="1" ht="16.5" thickBot="1" x14ac:dyDescent="0.25">
      <c r="A29" s="110" t="s">
        <v>172</v>
      </c>
      <c r="B29" s="483"/>
      <c r="C29" s="484"/>
      <c r="D29" s="485"/>
      <c r="E29" s="485"/>
      <c r="F29" s="486"/>
      <c r="G29" s="486"/>
      <c r="H29" s="486"/>
      <c r="I29" s="487"/>
      <c r="J29" s="488"/>
      <c r="K29" s="489"/>
      <c r="L29" s="457"/>
      <c r="M29" s="457"/>
      <c r="N29" s="457"/>
      <c r="O29" s="457"/>
      <c r="P29" s="457"/>
      <c r="Q29" s="457"/>
      <c r="R29" s="457"/>
      <c r="S29" s="118"/>
      <c r="T29" s="118"/>
      <c r="U29" s="118"/>
      <c r="V29" s="457"/>
      <c r="W29" s="457"/>
      <c r="X29" s="457"/>
    </row>
    <row r="30" spans="1:54" s="491" customFormat="1" ht="32.25" customHeight="1" x14ac:dyDescent="0.2">
      <c r="A30" s="875" t="s">
        <v>627</v>
      </c>
      <c r="B30" s="868" t="s">
        <v>628</v>
      </c>
      <c r="C30" s="868" t="s">
        <v>11</v>
      </c>
      <c r="D30" s="868" t="s">
        <v>12</v>
      </c>
      <c r="E30" s="868" t="s">
        <v>13</v>
      </c>
      <c r="F30" s="868" t="s">
        <v>14</v>
      </c>
      <c r="G30" s="868" t="s">
        <v>15</v>
      </c>
      <c r="H30" s="868" t="s">
        <v>16</v>
      </c>
      <c r="I30" s="868" t="s">
        <v>17</v>
      </c>
      <c r="J30" s="868" t="s">
        <v>18</v>
      </c>
      <c r="K30" s="868" t="s">
        <v>19</v>
      </c>
      <c r="L30" s="868" t="s">
        <v>20</v>
      </c>
      <c r="M30" s="490"/>
      <c r="N30" s="490"/>
      <c r="O30" s="490"/>
      <c r="P30" s="490"/>
      <c r="Q30" s="490"/>
      <c r="R30" s="490"/>
      <c r="S30" s="490"/>
      <c r="T30" s="490"/>
      <c r="U30" s="490"/>
      <c r="V30" s="490"/>
      <c r="W30" s="490"/>
      <c r="X30" s="868" t="s">
        <v>22</v>
      </c>
      <c r="Y30" s="868" t="s">
        <v>23</v>
      </c>
      <c r="Z30" s="868" t="s">
        <v>24</v>
      </c>
      <c r="AA30" s="922" t="s">
        <v>352</v>
      </c>
    </row>
    <row r="31" spans="1:54" s="491" customFormat="1" ht="16.5" thickBot="1" x14ac:dyDescent="0.25">
      <c r="A31" s="876"/>
      <c r="B31" s="869"/>
      <c r="C31" s="869"/>
      <c r="D31" s="869"/>
      <c r="E31" s="869"/>
      <c r="F31" s="869"/>
      <c r="G31" s="872"/>
      <c r="H31" s="869"/>
      <c r="I31" s="869"/>
      <c r="J31" s="869"/>
      <c r="K31" s="869"/>
      <c r="L31" s="869"/>
      <c r="M31" s="492"/>
      <c r="N31" s="492"/>
      <c r="O31" s="492"/>
      <c r="P31" s="492"/>
      <c r="Q31" s="492"/>
      <c r="R31" s="492"/>
      <c r="S31" s="492"/>
      <c r="T31" s="492"/>
      <c r="U31" s="492"/>
      <c r="V31" s="492"/>
      <c r="W31" s="492"/>
      <c r="X31" s="869"/>
      <c r="Y31" s="869"/>
      <c r="Z31" s="869"/>
      <c r="AA31" s="923"/>
    </row>
    <row r="32" spans="1:54" s="136" customFormat="1" x14ac:dyDescent="0.2">
      <c r="A32" s="493"/>
      <c r="B32" s="49"/>
      <c r="C32" s="225"/>
      <c r="D32" s="225"/>
      <c r="E32" s="225"/>
      <c r="F32" s="225"/>
      <c r="G32" s="120"/>
      <c r="H32" s="225"/>
      <c r="I32" s="263"/>
      <c r="J32" s="263"/>
      <c r="K32" s="263"/>
      <c r="L32" s="263"/>
      <c r="M32" s="120"/>
      <c r="N32" s="120"/>
      <c r="O32" s="120"/>
      <c r="P32" s="226"/>
      <c r="Q32" s="226"/>
      <c r="R32" s="226"/>
      <c r="S32" s="120"/>
      <c r="T32" s="120"/>
      <c r="U32" s="120"/>
      <c r="V32" s="120"/>
      <c r="W32" s="120"/>
      <c r="X32" s="227"/>
      <c r="Y32" s="227"/>
      <c r="Z32" s="120"/>
      <c r="AA32" s="121"/>
    </row>
    <row r="33" spans="1:29" s="136" customFormat="1" x14ac:dyDescent="0.2">
      <c r="A33" s="494"/>
      <c r="B33" s="123"/>
      <c r="C33" s="123"/>
      <c r="D33" s="123"/>
      <c r="E33" s="123"/>
      <c r="F33" s="123"/>
      <c r="G33" s="124"/>
      <c r="H33" s="123"/>
      <c r="I33" s="255"/>
      <c r="J33" s="255"/>
      <c r="K33" s="255"/>
      <c r="L33" s="255"/>
      <c r="M33" s="125"/>
      <c r="N33" s="124"/>
      <c r="O33" s="124"/>
      <c r="P33" s="125"/>
      <c r="Q33" s="125"/>
      <c r="R33" s="125"/>
      <c r="S33" s="124"/>
      <c r="T33" s="124"/>
      <c r="U33" s="124"/>
      <c r="V33" s="124"/>
      <c r="W33" s="124"/>
      <c r="X33" s="126"/>
      <c r="Y33" s="126"/>
      <c r="Z33" s="124"/>
      <c r="AA33" s="127"/>
    </row>
    <row r="34" spans="1:29" s="136" customFormat="1" x14ac:dyDescent="0.2">
      <c r="A34" s="494"/>
      <c r="B34" s="123"/>
      <c r="C34" s="123"/>
      <c r="D34" s="123"/>
      <c r="E34" s="123"/>
      <c r="F34" s="123"/>
      <c r="G34" s="124"/>
      <c r="H34" s="123"/>
      <c r="I34" s="255"/>
      <c r="J34" s="255"/>
      <c r="K34" s="255"/>
      <c r="L34" s="255"/>
      <c r="M34" s="125"/>
      <c r="N34" s="124"/>
      <c r="O34" s="124"/>
      <c r="P34" s="125"/>
      <c r="Q34" s="125"/>
      <c r="R34" s="125"/>
      <c r="S34" s="124"/>
      <c r="T34" s="124"/>
      <c r="U34" s="124"/>
      <c r="V34" s="124"/>
      <c r="W34" s="124"/>
      <c r="X34" s="126"/>
      <c r="Y34" s="126"/>
      <c r="Z34" s="124"/>
      <c r="AA34" s="127"/>
    </row>
    <row r="35" spans="1:29" s="136" customFormat="1" ht="16.5" thickBot="1" x14ac:dyDescent="0.25">
      <c r="A35" s="495"/>
      <c r="B35" s="128"/>
      <c r="C35" s="128"/>
      <c r="D35" s="128"/>
      <c r="E35" s="128"/>
      <c r="F35" s="128"/>
      <c r="G35" s="129"/>
      <c r="H35" s="128"/>
      <c r="I35" s="256"/>
      <c r="J35" s="256"/>
      <c r="K35" s="256"/>
      <c r="L35" s="256"/>
      <c r="M35" s="129"/>
      <c r="N35" s="129"/>
      <c r="O35" s="129"/>
      <c r="P35" s="130"/>
      <c r="Q35" s="130"/>
      <c r="R35" s="130"/>
      <c r="S35" s="129"/>
      <c r="T35" s="129"/>
      <c r="U35" s="129"/>
      <c r="V35" s="129"/>
      <c r="W35" s="129"/>
      <c r="X35" s="131"/>
      <c r="Y35" s="131"/>
      <c r="Z35" s="129"/>
      <c r="AA35" s="132"/>
    </row>
    <row r="36" spans="1:29" s="73" customFormat="1" x14ac:dyDescent="0.2">
      <c r="A36" s="133"/>
      <c r="B36" s="133"/>
      <c r="C36" s="133"/>
      <c r="D36" s="133"/>
      <c r="E36" s="133"/>
      <c r="F36" s="133"/>
      <c r="G36" s="118"/>
      <c r="H36" s="118"/>
      <c r="I36" s="118"/>
      <c r="J36" s="118"/>
      <c r="K36" s="118"/>
      <c r="L36" s="118"/>
      <c r="M36" s="134"/>
      <c r="N36" s="118"/>
      <c r="O36" s="159"/>
      <c r="P36" s="159"/>
      <c r="Q36" s="159"/>
      <c r="R36" s="159"/>
      <c r="S36" s="159"/>
      <c r="T36" s="159"/>
      <c r="U36" s="159"/>
      <c r="V36" s="159"/>
      <c r="W36" s="466"/>
    </row>
    <row r="37" spans="1:29" s="73" customFormat="1" ht="16.5" thickBot="1" x14ac:dyDescent="0.25">
      <c r="A37" s="133"/>
      <c r="B37" s="133"/>
      <c r="C37" s="133"/>
      <c r="D37" s="133"/>
      <c r="E37" s="133"/>
      <c r="F37" s="133"/>
      <c r="G37" s="118"/>
      <c r="H37" s="118"/>
      <c r="I37" s="118"/>
      <c r="J37" s="118"/>
      <c r="K37" s="118"/>
      <c r="N37" s="118"/>
      <c r="O37" s="159"/>
      <c r="P37" s="159"/>
      <c r="Q37" s="159"/>
      <c r="R37" s="159"/>
      <c r="S37" s="159"/>
      <c r="T37" s="159"/>
      <c r="U37" s="159"/>
      <c r="V37" s="159"/>
      <c r="W37" s="467"/>
    </row>
    <row r="38" spans="1:29" s="73" customFormat="1" ht="16.5" thickBot="1" x14ac:dyDescent="0.25">
      <c r="A38" s="496" t="s">
        <v>25</v>
      </c>
      <c r="B38" s="133"/>
      <c r="C38" s="133"/>
      <c r="D38" s="133"/>
      <c r="E38" s="133"/>
      <c r="F38" s="133"/>
      <c r="G38" s="118"/>
      <c r="H38" s="118"/>
      <c r="I38" s="118"/>
      <c r="J38" s="118"/>
      <c r="K38" s="118"/>
      <c r="M38" s="118"/>
      <c r="N38" s="118"/>
      <c r="O38" s="159"/>
      <c r="P38" s="136"/>
      <c r="Q38" s="136"/>
      <c r="R38" s="136"/>
      <c r="S38" s="466"/>
      <c r="T38" s="466"/>
      <c r="U38" s="466"/>
      <c r="V38" s="466"/>
      <c r="W38" s="159"/>
    </row>
    <row r="39" spans="1:29" s="73" customFormat="1" ht="15.75" customHeight="1" x14ac:dyDescent="0.2">
      <c r="A39" s="875" t="s">
        <v>627</v>
      </c>
      <c r="B39" s="868" t="s">
        <v>628</v>
      </c>
      <c r="C39" s="868" t="s">
        <v>11</v>
      </c>
      <c r="D39" s="868" t="s">
        <v>12</v>
      </c>
      <c r="E39" s="868" t="s">
        <v>13</v>
      </c>
      <c r="F39" s="868" t="s">
        <v>14</v>
      </c>
      <c r="G39" s="868" t="s">
        <v>15</v>
      </c>
      <c r="H39" s="868" t="s">
        <v>16</v>
      </c>
      <c r="I39" s="868" t="s">
        <v>26</v>
      </c>
      <c r="J39" s="868" t="s">
        <v>27</v>
      </c>
      <c r="K39" s="945" t="s">
        <v>295</v>
      </c>
      <c r="L39" s="497" t="s">
        <v>63</v>
      </c>
      <c r="M39" s="498" t="s">
        <v>64</v>
      </c>
      <c r="N39" s="499" t="s">
        <v>65</v>
      </c>
      <c r="O39" s="490"/>
      <c r="P39" s="490"/>
      <c r="Q39" s="490"/>
      <c r="R39" s="490"/>
      <c r="S39" s="490"/>
      <c r="T39" s="490"/>
      <c r="U39" s="490"/>
      <c r="V39" s="490"/>
      <c r="W39" s="490"/>
      <c r="X39" s="868" t="s">
        <v>22</v>
      </c>
      <c r="Y39" s="868" t="s">
        <v>23</v>
      </c>
      <c r="Z39" s="868" t="s">
        <v>24</v>
      </c>
      <c r="AA39" s="922" t="s">
        <v>352</v>
      </c>
    </row>
    <row r="40" spans="1:29" s="73" customFormat="1" ht="31.7" customHeight="1" thickBot="1" x14ac:dyDescent="0.25">
      <c r="A40" s="876"/>
      <c r="B40" s="869"/>
      <c r="C40" s="869"/>
      <c r="D40" s="869"/>
      <c r="E40" s="869"/>
      <c r="F40" s="869"/>
      <c r="G40" s="872"/>
      <c r="H40" s="869"/>
      <c r="I40" s="869"/>
      <c r="J40" s="869"/>
      <c r="K40" s="946"/>
      <c r="L40" s="500" t="s">
        <v>66</v>
      </c>
      <c r="M40" s="501" t="s">
        <v>67</v>
      </c>
      <c r="N40" s="502" t="s">
        <v>68</v>
      </c>
      <c r="O40" s="503"/>
      <c r="P40" s="492"/>
      <c r="Q40" s="492"/>
      <c r="R40" s="492"/>
      <c r="S40" s="492"/>
      <c r="T40" s="492"/>
      <c r="U40" s="492"/>
      <c r="V40" s="492"/>
      <c r="W40" s="492"/>
      <c r="X40" s="869"/>
      <c r="Y40" s="869"/>
      <c r="Z40" s="869"/>
      <c r="AA40" s="923"/>
    </row>
    <row r="41" spans="1:29" s="136" customFormat="1" x14ac:dyDescent="0.2">
      <c r="A41" s="493"/>
      <c r="B41" s="225"/>
      <c r="C41" s="225"/>
      <c r="D41" s="225"/>
      <c r="E41" s="225"/>
      <c r="F41" s="225"/>
      <c r="G41" s="120"/>
      <c r="H41" s="225"/>
      <c r="I41" s="263"/>
      <c r="J41" s="263"/>
      <c r="K41" s="265"/>
      <c r="L41" s="268"/>
      <c r="M41" s="120"/>
      <c r="N41" s="121"/>
      <c r="O41" s="269"/>
      <c r="P41" s="226"/>
      <c r="Q41" s="226"/>
      <c r="R41" s="226"/>
      <c r="S41" s="120"/>
      <c r="T41" s="120"/>
      <c r="U41" s="120"/>
      <c r="V41" s="120"/>
      <c r="W41" s="120"/>
      <c r="X41" s="227"/>
      <c r="Y41" s="227"/>
      <c r="Z41" s="120"/>
      <c r="AA41" s="121"/>
    </row>
    <row r="42" spans="1:29" s="136" customFormat="1" x14ac:dyDescent="0.2">
      <c r="A42" s="494"/>
      <c r="B42" s="123"/>
      <c r="C42" s="123"/>
      <c r="D42" s="123"/>
      <c r="E42" s="123"/>
      <c r="F42" s="123"/>
      <c r="G42" s="124"/>
      <c r="H42" s="123"/>
      <c r="I42" s="255"/>
      <c r="J42" s="255"/>
      <c r="K42" s="266"/>
      <c r="L42" s="259"/>
      <c r="M42" s="124"/>
      <c r="N42" s="127"/>
      <c r="O42" s="248"/>
      <c r="P42" s="125"/>
      <c r="Q42" s="125"/>
      <c r="R42" s="125"/>
      <c r="S42" s="124"/>
      <c r="T42" s="124"/>
      <c r="U42" s="124"/>
      <c r="V42" s="124"/>
      <c r="W42" s="124"/>
      <c r="X42" s="126"/>
      <c r="Y42" s="126"/>
      <c r="Z42" s="124"/>
      <c r="AA42" s="127"/>
    </row>
    <row r="43" spans="1:29" s="136" customFormat="1" x14ac:dyDescent="0.2">
      <c r="A43" s="494"/>
      <c r="B43" s="123"/>
      <c r="C43" s="123"/>
      <c r="D43" s="123"/>
      <c r="E43" s="123"/>
      <c r="F43" s="123"/>
      <c r="G43" s="124"/>
      <c r="H43" s="123"/>
      <c r="I43" s="255"/>
      <c r="J43" s="255"/>
      <c r="K43" s="266"/>
      <c r="L43" s="259"/>
      <c r="M43" s="124"/>
      <c r="N43" s="127"/>
      <c r="O43" s="248"/>
      <c r="P43" s="125"/>
      <c r="Q43" s="125"/>
      <c r="R43" s="125"/>
      <c r="S43" s="124"/>
      <c r="T43" s="124"/>
      <c r="U43" s="124"/>
      <c r="V43" s="124"/>
      <c r="W43" s="124"/>
      <c r="X43" s="126"/>
      <c r="Y43" s="126"/>
      <c r="Z43" s="124"/>
      <c r="AA43" s="127"/>
    </row>
    <row r="44" spans="1:29" s="136" customFormat="1" ht="16.5" thickBot="1" x14ac:dyDescent="0.25">
      <c r="A44" s="495"/>
      <c r="B44" s="128"/>
      <c r="C44" s="128"/>
      <c r="D44" s="128"/>
      <c r="E44" s="128"/>
      <c r="F44" s="128"/>
      <c r="G44" s="129"/>
      <c r="H44" s="128"/>
      <c r="I44" s="256"/>
      <c r="J44" s="256"/>
      <c r="K44" s="267"/>
      <c r="L44" s="137"/>
      <c r="M44" s="129"/>
      <c r="N44" s="132"/>
      <c r="O44" s="137"/>
      <c r="P44" s="129"/>
      <c r="Q44" s="129"/>
      <c r="R44" s="129"/>
      <c r="S44" s="129"/>
      <c r="T44" s="129"/>
      <c r="U44" s="129"/>
      <c r="V44" s="129"/>
      <c r="W44" s="129"/>
      <c r="X44" s="131"/>
      <c r="Y44" s="131"/>
      <c r="Z44" s="129"/>
      <c r="AA44" s="132"/>
    </row>
    <row r="45" spans="1:29" s="73" customFormat="1" x14ac:dyDescent="0.2">
      <c r="A45" s="133"/>
      <c r="B45" s="133"/>
      <c r="C45" s="133"/>
      <c r="D45" s="133"/>
      <c r="E45" s="133"/>
      <c r="F45" s="133"/>
      <c r="G45" s="118"/>
      <c r="H45" s="118"/>
      <c r="I45" s="118"/>
      <c r="J45" s="118"/>
      <c r="K45" s="118"/>
      <c r="L45" s="118"/>
      <c r="M45" s="118"/>
      <c r="N45" s="118"/>
      <c r="O45" s="160"/>
      <c r="P45" s="159"/>
      <c r="Q45" s="159"/>
      <c r="R45" s="159"/>
      <c r="S45" s="136"/>
      <c r="T45" s="136"/>
      <c r="U45" s="136"/>
      <c r="V45" s="136"/>
      <c r="W45" s="136"/>
      <c r="X45" s="118"/>
    </row>
    <row r="46" spans="1:29" s="73" customFormat="1" ht="16.5" thickBot="1" x14ac:dyDescent="0.25">
      <c r="A46" s="133"/>
      <c r="B46" s="133"/>
      <c r="C46" s="133"/>
      <c r="D46" s="133"/>
      <c r="E46" s="133"/>
      <c r="F46" s="133"/>
      <c r="G46" s="118"/>
      <c r="H46" s="118"/>
      <c r="I46" s="118"/>
      <c r="J46" s="118"/>
      <c r="K46" s="118"/>
      <c r="L46" s="118"/>
      <c r="M46" s="118"/>
      <c r="N46" s="118"/>
      <c r="O46" s="160"/>
      <c r="P46" s="159"/>
      <c r="Q46" s="159"/>
      <c r="R46" s="159"/>
      <c r="S46" s="136"/>
      <c r="T46" s="136"/>
      <c r="U46" s="136"/>
      <c r="V46" s="136"/>
      <c r="W46" s="136"/>
      <c r="X46" s="118"/>
    </row>
    <row r="47" spans="1:29" s="73" customFormat="1" ht="16.5" thickBot="1" x14ac:dyDescent="0.25">
      <c r="A47" s="822" t="s">
        <v>307</v>
      </c>
      <c r="B47" s="873"/>
      <c r="C47" s="873"/>
      <c r="D47" s="874"/>
      <c r="E47" s="133"/>
      <c r="F47" s="133"/>
      <c r="G47" s="118"/>
      <c r="H47" s="118"/>
      <c r="I47" s="118"/>
      <c r="J47" s="118"/>
      <c r="K47" s="118"/>
      <c r="L47" s="118"/>
      <c r="M47" s="118"/>
      <c r="N47" s="118"/>
      <c r="O47" s="136"/>
      <c r="P47" s="159"/>
      <c r="Q47" s="159"/>
      <c r="R47" s="159"/>
      <c r="S47" s="466"/>
      <c r="T47" s="466"/>
      <c r="U47" s="466"/>
      <c r="V47" s="466"/>
      <c r="W47" s="159"/>
      <c r="X47" s="118"/>
      <c r="Y47" s="118"/>
    </row>
    <row r="48" spans="1:29" s="73" customFormat="1" ht="15.75" customHeight="1" x14ac:dyDescent="0.2">
      <c r="A48" s="875" t="s">
        <v>627</v>
      </c>
      <c r="B48" s="868" t="s">
        <v>628</v>
      </c>
      <c r="C48" s="868" t="s">
        <v>11</v>
      </c>
      <c r="D48" s="868" t="s">
        <v>12</v>
      </c>
      <c r="E48" s="868" t="s">
        <v>13</v>
      </c>
      <c r="F48" s="868" t="s">
        <v>14</v>
      </c>
      <c r="G48" s="868" t="s">
        <v>15</v>
      </c>
      <c r="H48" s="868" t="s">
        <v>16</v>
      </c>
      <c r="I48" s="868">
        <v>20</v>
      </c>
      <c r="J48" s="868">
        <v>40</v>
      </c>
      <c r="K48" s="868" t="s">
        <v>19</v>
      </c>
      <c r="L48" s="922" t="s">
        <v>20</v>
      </c>
      <c r="M48" s="943" t="s">
        <v>28</v>
      </c>
      <c r="N48" s="504" t="s">
        <v>69</v>
      </c>
      <c r="O48" s="498" t="s">
        <v>64</v>
      </c>
      <c r="P48" s="499" t="s">
        <v>65</v>
      </c>
      <c r="Q48" s="490" t="s">
        <v>147</v>
      </c>
      <c r="R48" s="490" t="s">
        <v>71</v>
      </c>
      <c r="S48" s="490"/>
      <c r="T48" s="490"/>
      <c r="U48" s="490"/>
      <c r="V48" s="490"/>
      <c r="W48" s="490"/>
      <c r="X48" s="490"/>
      <c r="Y48" s="490"/>
      <c r="Z48" s="868" t="s">
        <v>22</v>
      </c>
      <c r="AA48" s="868" t="s">
        <v>23</v>
      </c>
      <c r="AB48" s="868" t="s">
        <v>24</v>
      </c>
      <c r="AC48" s="922" t="s">
        <v>352</v>
      </c>
    </row>
    <row r="49" spans="1:29" s="73" customFormat="1" ht="48" thickBot="1" x14ac:dyDescent="0.25">
      <c r="A49" s="876"/>
      <c r="B49" s="869"/>
      <c r="C49" s="869"/>
      <c r="D49" s="869"/>
      <c r="E49" s="869"/>
      <c r="F49" s="869"/>
      <c r="G49" s="872"/>
      <c r="H49" s="869"/>
      <c r="I49" s="869"/>
      <c r="J49" s="869"/>
      <c r="K49" s="869"/>
      <c r="L49" s="923"/>
      <c r="M49" s="944"/>
      <c r="N49" s="505" t="s">
        <v>70</v>
      </c>
      <c r="O49" s="501" t="s">
        <v>67</v>
      </c>
      <c r="P49" s="502" t="s">
        <v>68</v>
      </c>
      <c r="Q49" s="503" t="s">
        <v>84</v>
      </c>
      <c r="R49" s="492" t="s">
        <v>84</v>
      </c>
      <c r="S49" s="492"/>
      <c r="T49" s="492"/>
      <c r="U49" s="492"/>
      <c r="V49" s="492"/>
      <c r="W49" s="492"/>
      <c r="X49" s="492"/>
      <c r="Y49" s="492"/>
      <c r="Z49" s="924"/>
      <c r="AA49" s="924"/>
      <c r="AB49" s="924"/>
      <c r="AC49" s="923"/>
    </row>
    <row r="50" spans="1:29" s="136" customFormat="1" x14ac:dyDescent="0.2">
      <c r="A50" s="493"/>
      <c r="B50" s="225"/>
      <c r="C50" s="225"/>
      <c r="D50" s="225"/>
      <c r="E50" s="225"/>
      <c r="F50" s="225"/>
      <c r="G50" s="120"/>
      <c r="H50" s="225"/>
      <c r="I50" s="263"/>
      <c r="J50" s="263"/>
      <c r="K50" s="263"/>
      <c r="L50" s="265"/>
      <c r="M50" s="270"/>
      <c r="N50" s="268"/>
      <c r="O50" s="120"/>
      <c r="P50" s="121"/>
      <c r="Q50" s="269"/>
      <c r="R50" s="226"/>
      <c r="S50" s="226"/>
      <c r="T50" s="226"/>
      <c r="U50" s="226"/>
      <c r="V50" s="226"/>
      <c r="W50" s="120"/>
      <c r="X50" s="120"/>
      <c r="Y50" s="120"/>
      <c r="Z50" s="227"/>
      <c r="AA50" s="227"/>
      <c r="AB50" s="120"/>
      <c r="AC50" s="121"/>
    </row>
    <row r="51" spans="1:29" s="136" customFormat="1" x14ac:dyDescent="0.2">
      <c r="A51" s="494"/>
      <c r="B51" s="123"/>
      <c r="C51" s="123"/>
      <c r="D51" s="123"/>
      <c r="E51" s="123"/>
      <c r="F51" s="123"/>
      <c r="G51" s="124"/>
      <c r="H51" s="123"/>
      <c r="I51" s="255"/>
      <c r="J51" s="255"/>
      <c r="K51" s="255"/>
      <c r="L51" s="266"/>
      <c r="M51" s="271"/>
      <c r="N51" s="259"/>
      <c r="O51" s="124"/>
      <c r="P51" s="127"/>
      <c r="Q51" s="248"/>
      <c r="R51" s="125"/>
      <c r="S51" s="125"/>
      <c r="T51" s="125"/>
      <c r="U51" s="125"/>
      <c r="V51" s="125"/>
      <c r="W51" s="124"/>
      <c r="X51" s="124"/>
      <c r="Y51" s="124"/>
      <c r="Z51" s="126"/>
      <c r="AA51" s="126"/>
      <c r="AB51" s="124"/>
      <c r="AC51" s="127"/>
    </row>
    <row r="52" spans="1:29" s="136" customFormat="1" x14ac:dyDescent="0.2">
      <c r="A52" s="494"/>
      <c r="B52" s="123"/>
      <c r="C52" s="123"/>
      <c r="D52" s="123"/>
      <c r="E52" s="123"/>
      <c r="F52" s="123"/>
      <c r="G52" s="124"/>
      <c r="H52" s="123"/>
      <c r="I52" s="255"/>
      <c r="J52" s="255"/>
      <c r="K52" s="255"/>
      <c r="L52" s="266"/>
      <c r="M52" s="271"/>
      <c r="N52" s="259"/>
      <c r="O52" s="124"/>
      <c r="P52" s="127"/>
      <c r="Q52" s="248"/>
      <c r="R52" s="125"/>
      <c r="S52" s="125"/>
      <c r="T52" s="125"/>
      <c r="U52" s="125"/>
      <c r="V52" s="125"/>
      <c r="W52" s="124"/>
      <c r="X52" s="124"/>
      <c r="Y52" s="124"/>
      <c r="Z52" s="126"/>
      <c r="AA52" s="126"/>
      <c r="AB52" s="124"/>
      <c r="AC52" s="127"/>
    </row>
    <row r="53" spans="1:29" s="136" customFormat="1" ht="16.5" thickBot="1" x14ac:dyDescent="0.25">
      <c r="A53" s="495"/>
      <c r="B53" s="128"/>
      <c r="C53" s="128"/>
      <c r="D53" s="128"/>
      <c r="E53" s="128"/>
      <c r="F53" s="128"/>
      <c r="G53" s="129"/>
      <c r="H53" s="128"/>
      <c r="I53" s="256"/>
      <c r="J53" s="256"/>
      <c r="K53" s="256"/>
      <c r="L53" s="267"/>
      <c r="M53" s="161"/>
      <c r="N53" s="137"/>
      <c r="O53" s="129"/>
      <c r="P53" s="132"/>
      <c r="Q53" s="137"/>
      <c r="R53" s="129"/>
      <c r="S53" s="129"/>
      <c r="T53" s="129"/>
      <c r="U53" s="129"/>
      <c r="V53" s="129"/>
      <c r="W53" s="129"/>
      <c r="X53" s="129"/>
      <c r="Y53" s="129"/>
      <c r="Z53" s="131"/>
      <c r="AA53" s="131"/>
      <c r="AB53" s="129"/>
      <c r="AC53" s="132"/>
    </row>
    <row r="54" spans="1:29" s="73" customFormat="1" x14ac:dyDescent="0.2">
      <c r="A54" s="133"/>
      <c r="B54" s="133"/>
      <c r="C54" s="133"/>
      <c r="D54" s="133"/>
      <c r="E54" s="133"/>
      <c r="F54" s="133"/>
      <c r="G54" s="118"/>
      <c r="H54" s="118"/>
      <c r="I54" s="118"/>
      <c r="J54" s="118"/>
      <c r="K54" s="118"/>
      <c r="M54" s="118"/>
      <c r="V54" s="118"/>
      <c r="W54" s="118"/>
    </row>
    <row r="55" spans="1:29" s="73" customFormat="1" x14ac:dyDescent="0.2">
      <c r="A55" s="133"/>
      <c r="B55" s="133"/>
      <c r="C55" s="133"/>
      <c r="D55" s="133"/>
      <c r="E55" s="133"/>
      <c r="F55" s="118"/>
      <c r="G55" s="118"/>
      <c r="H55" s="118"/>
      <c r="I55" s="118"/>
      <c r="J55" s="118"/>
      <c r="K55" s="134"/>
      <c r="L55" s="118"/>
      <c r="M55" s="118"/>
      <c r="N55" s="118"/>
      <c r="S55" s="118"/>
      <c r="T55" s="118"/>
      <c r="U55" s="118"/>
    </row>
    <row r="56" spans="1:29" s="456" customFormat="1" ht="16.5" thickBot="1" x14ac:dyDescent="0.25">
      <c r="A56" s="133"/>
      <c r="B56" s="133"/>
      <c r="C56" s="133"/>
      <c r="D56" s="133"/>
      <c r="E56" s="118"/>
      <c r="F56" s="118"/>
      <c r="G56" s="118"/>
      <c r="H56" s="118"/>
      <c r="I56" s="118"/>
      <c r="J56" s="134"/>
      <c r="K56" s="134"/>
      <c r="L56" s="134"/>
      <c r="M56" s="134"/>
      <c r="R56" s="134"/>
    </row>
    <row r="57" spans="1:29" s="456" customFormat="1" ht="19.5" thickBot="1" x14ac:dyDescent="0.25">
      <c r="A57" s="938" t="s">
        <v>29</v>
      </c>
      <c r="B57" s="939"/>
      <c r="C57" s="940"/>
      <c r="D57" s="133"/>
      <c r="E57" s="133"/>
      <c r="F57" s="118"/>
      <c r="G57" s="118"/>
      <c r="H57" s="118"/>
      <c r="I57" s="118"/>
      <c r="J57" s="118"/>
      <c r="K57" s="134"/>
      <c r="L57" s="134"/>
      <c r="M57" s="134"/>
      <c r="N57" s="134"/>
      <c r="S57" s="134"/>
      <c r="T57" s="134"/>
      <c r="U57" s="134"/>
    </row>
    <row r="58" spans="1:29" s="456" customFormat="1" ht="16.5" thickBot="1" x14ac:dyDescent="0.25">
      <c r="A58" s="800" t="s">
        <v>625</v>
      </c>
      <c r="B58" s="801"/>
      <c r="C58" s="802"/>
      <c r="D58" s="133"/>
      <c r="E58" s="133"/>
      <c r="F58" s="133"/>
      <c r="G58" s="118"/>
      <c r="H58" s="118"/>
      <c r="I58" s="118"/>
      <c r="J58" s="118"/>
      <c r="K58" s="118"/>
      <c r="L58" s="134"/>
      <c r="N58" s="134"/>
      <c r="O58" s="134"/>
      <c r="V58" s="134"/>
    </row>
    <row r="59" spans="1:29" s="456" customFormat="1" x14ac:dyDescent="0.2">
      <c r="A59" s="506" t="s">
        <v>30</v>
      </c>
      <c r="B59" s="507"/>
      <c r="C59" s="508" t="s">
        <v>155</v>
      </c>
      <c r="D59" s="509"/>
      <c r="E59" s="509"/>
      <c r="F59" s="510"/>
      <c r="G59" s="510"/>
      <c r="H59" s="509"/>
      <c r="I59" s="510"/>
      <c r="J59" s="509"/>
      <c r="K59" s="143"/>
      <c r="L59" s="144"/>
      <c r="N59" s="134"/>
      <c r="O59" s="134"/>
      <c r="P59" s="134"/>
    </row>
    <row r="60" spans="1:29" s="456" customFormat="1" x14ac:dyDescent="0.2">
      <c r="A60" s="96" t="s">
        <v>626</v>
      </c>
      <c r="B60" s="511"/>
      <c r="C60" s="511"/>
      <c r="D60" s="512"/>
      <c r="E60" s="512"/>
      <c r="F60" s="215"/>
      <c r="G60" s="215"/>
      <c r="H60" s="512"/>
      <c r="I60" s="215"/>
      <c r="J60" s="512"/>
      <c r="K60" s="149"/>
      <c r="L60" s="150"/>
      <c r="N60" s="134"/>
      <c r="O60" s="134"/>
      <c r="P60" s="134"/>
    </row>
    <row r="61" spans="1:29" s="456" customFormat="1" x14ac:dyDescent="0.2">
      <c r="A61" s="96" t="s">
        <v>173</v>
      </c>
      <c r="B61" s="511"/>
      <c r="C61" s="511"/>
      <c r="D61" s="512"/>
      <c r="E61" s="512"/>
      <c r="F61" s="215"/>
      <c r="G61" s="215"/>
      <c r="H61" s="512"/>
      <c r="I61" s="215"/>
      <c r="J61" s="512"/>
      <c r="K61" s="149"/>
      <c r="L61" s="150"/>
      <c r="N61" s="134"/>
      <c r="O61" s="134"/>
      <c r="P61" s="134"/>
    </row>
    <row r="62" spans="1:29" s="456" customFormat="1" x14ac:dyDescent="0.2">
      <c r="A62" s="96" t="s">
        <v>987</v>
      </c>
      <c r="B62" s="511"/>
      <c r="C62" s="511"/>
      <c r="D62" s="512"/>
      <c r="E62" s="512"/>
      <c r="F62" s="215"/>
      <c r="G62" s="215"/>
      <c r="H62" s="512"/>
      <c r="I62" s="215"/>
      <c r="J62" s="512"/>
      <c r="K62" s="149"/>
      <c r="L62" s="150"/>
      <c r="N62" s="134"/>
      <c r="O62" s="134"/>
      <c r="P62" s="134"/>
    </row>
    <row r="63" spans="1:29" s="456" customFormat="1" ht="16.5" thickBot="1" x14ac:dyDescent="0.25">
      <c r="A63" s="110" t="s">
        <v>988</v>
      </c>
      <c r="B63" s="513"/>
      <c r="C63" s="513"/>
      <c r="D63" s="514"/>
      <c r="E63" s="514"/>
      <c r="F63" s="515"/>
      <c r="G63" s="515"/>
      <c r="H63" s="514"/>
      <c r="I63" s="515"/>
      <c r="J63" s="514"/>
      <c r="K63" s="154"/>
      <c r="L63" s="155"/>
      <c r="N63" s="134"/>
      <c r="O63" s="134"/>
      <c r="P63" s="134"/>
    </row>
    <row r="64" spans="1:29" s="456" customFormat="1" ht="16.5" thickBot="1" x14ac:dyDescent="0.25">
      <c r="A64" s="516"/>
      <c r="B64" s="517"/>
      <c r="C64" s="134"/>
      <c r="D64" s="133"/>
      <c r="E64" s="133"/>
      <c r="F64" s="133"/>
      <c r="G64" s="133"/>
      <c r="H64" s="118"/>
      <c r="I64" s="118"/>
      <c r="J64" s="118"/>
      <c r="K64" s="118"/>
      <c r="L64" s="118"/>
      <c r="M64" s="134"/>
      <c r="O64" s="134"/>
      <c r="P64" s="134"/>
      <c r="Q64" s="118"/>
    </row>
    <row r="65" spans="1:24" s="14" customFormat="1" ht="48" thickBot="1" x14ac:dyDescent="0.25">
      <c r="A65" s="518" t="s">
        <v>31</v>
      </c>
      <c r="B65" s="932" t="s">
        <v>628</v>
      </c>
      <c r="C65" s="933"/>
      <c r="D65" s="934"/>
      <c r="E65" s="519" t="s">
        <v>11</v>
      </c>
      <c r="F65" s="519" t="s">
        <v>14</v>
      </c>
      <c r="G65" s="519" t="s">
        <v>287</v>
      </c>
      <c r="H65" s="519" t="s">
        <v>32</v>
      </c>
      <c r="I65" s="519" t="s">
        <v>16</v>
      </c>
      <c r="J65" s="519" t="s">
        <v>17</v>
      </c>
      <c r="K65" s="519" t="s">
        <v>18</v>
      </c>
      <c r="L65" s="519" t="s">
        <v>19</v>
      </c>
      <c r="M65" s="519" t="s">
        <v>20</v>
      </c>
      <c r="N65" s="520" t="s">
        <v>123</v>
      </c>
      <c r="O65" s="519" t="s">
        <v>96</v>
      </c>
      <c r="P65" s="521" t="s">
        <v>809</v>
      </c>
    </row>
    <row r="66" spans="1:24" s="303" customFormat="1" x14ac:dyDescent="0.2">
      <c r="A66" s="269"/>
      <c r="B66" s="925"/>
      <c r="C66" s="926"/>
      <c r="D66" s="926"/>
      <c r="E66" s="226"/>
      <c r="F66" s="226"/>
      <c r="G66" s="226"/>
      <c r="H66" s="226"/>
      <c r="I66" s="226"/>
      <c r="J66" s="273"/>
      <c r="K66" s="263"/>
      <c r="L66" s="263"/>
      <c r="M66" s="306"/>
      <c r="N66" s="49"/>
      <c r="O66" s="226"/>
      <c r="P66" s="274"/>
      <c r="Q66" s="159"/>
      <c r="R66" s="159"/>
      <c r="S66" s="159"/>
      <c r="T66" s="159"/>
      <c r="U66" s="159"/>
      <c r="V66" s="160"/>
      <c r="W66" s="160"/>
      <c r="X66" s="160"/>
    </row>
    <row r="67" spans="1:24" s="303" customFormat="1" x14ac:dyDescent="0.2">
      <c r="A67" s="248"/>
      <c r="B67" s="927"/>
      <c r="C67" s="928"/>
      <c r="D67" s="928"/>
      <c r="E67" s="125"/>
      <c r="F67" s="125"/>
      <c r="G67" s="125"/>
      <c r="H67" s="125"/>
      <c r="I67" s="125"/>
      <c r="J67" s="275"/>
      <c r="K67" s="255"/>
      <c r="L67" s="255"/>
      <c r="M67" s="307"/>
      <c r="N67" s="21"/>
      <c r="O67" s="125"/>
      <c r="P67" s="276"/>
      <c r="Q67" s="159"/>
      <c r="R67" s="159"/>
      <c r="S67" s="159"/>
      <c r="T67" s="159"/>
      <c r="U67" s="159"/>
      <c r="V67" s="160"/>
      <c r="W67" s="160"/>
      <c r="X67" s="160"/>
    </row>
    <row r="68" spans="1:24" s="303" customFormat="1" x14ac:dyDescent="0.2">
      <c r="A68" s="248"/>
      <c r="B68" s="927"/>
      <c r="C68" s="928"/>
      <c r="D68" s="928"/>
      <c r="E68" s="125"/>
      <c r="F68" s="125"/>
      <c r="G68" s="125"/>
      <c r="H68" s="125"/>
      <c r="I68" s="125"/>
      <c r="J68" s="275"/>
      <c r="K68" s="255"/>
      <c r="L68" s="255"/>
      <c r="M68" s="307"/>
      <c r="N68" s="21"/>
      <c r="O68" s="125"/>
      <c r="P68" s="276"/>
      <c r="Q68" s="159"/>
      <c r="R68" s="159"/>
      <c r="S68" s="159"/>
      <c r="T68" s="159"/>
      <c r="U68" s="159"/>
      <c r="V68" s="160"/>
      <c r="W68" s="160"/>
      <c r="X68" s="160"/>
    </row>
    <row r="69" spans="1:24" s="303" customFormat="1" ht="16.5" thickBot="1" x14ac:dyDescent="0.25">
      <c r="A69" s="304"/>
      <c r="B69" s="912"/>
      <c r="C69" s="913"/>
      <c r="D69" s="913"/>
      <c r="E69" s="130"/>
      <c r="F69" s="130"/>
      <c r="G69" s="130"/>
      <c r="H69" s="130"/>
      <c r="I69" s="130"/>
      <c r="J69" s="258"/>
      <c r="K69" s="256"/>
      <c r="L69" s="256"/>
      <c r="M69" s="305"/>
      <c r="N69" s="29"/>
      <c r="O69" s="129"/>
      <c r="P69" s="132"/>
      <c r="Q69" s="159"/>
      <c r="R69" s="159"/>
      <c r="S69" s="159"/>
      <c r="T69" s="159"/>
      <c r="U69" s="159"/>
      <c r="V69" s="160"/>
      <c r="W69" s="160"/>
      <c r="X69" s="160"/>
    </row>
    <row r="70" spans="1:24" s="456" customFormat="1" x14ac:dyDescent="0.2">
      <c r="A70" s="134"/>
      <c r="B70" s="134"/>
      <c r="C70" s="522"/>
      <c r="D70" s="522"/>
      <c r="E70" s="134"/>
      <c r="F70" s="134"/>
      <c r="G70" s="134"/>
      <c r="H70" s="134"/>
      <c r="I70" s="134"/>
      <c r="J70" s="134"/>
      <c r="K70" s="134"/>
      <c r="L70" s="134"/>
      <c r="M70" s="134"/>
      <c r="O70" s="118"/>
      <c r="P70" s="118"/>
      <c r="Q70" s="118"/>
      <c r="R70" s="118"/>
      <c r="S70" s="118"/>
      <c r="T70" s="118"/>
      <c r="U70" s="118"/>
      <c r="V70" s="134"/>
      <c r="W70" s="134"/>
      <c r="X70" s="134"/>
    </row>
    <row r="71" spans="1:24" s="456" customFormat="1" ht="16.5" thickBot="1" x14ac:dyDescent="0.25">
      <c r="A71" s="133"/>
      <c r="B71" s="133"/>
      <c r="C71" s="133"/>
      <c r="D71" s="133"/>
      <c r="E71" s="133"/>
      <c r="F71" s="133"/>
      <c r="G71" s="133"/>
      <c r="H71" s="133"/>
      <c r="I71" s="118"/>
      <c r="J71" s="118"/>
      <c r="K71" s="118"/>
      <c r="L71" s="118"/>
      <c r="M71" s="118"/>
      <c r="N71" s="134"/>
      <c r="O71" s="134"/>
      <c r="P71" s="134"/>
      <c r="Q71" s="134"/>
      <c r="R71" s="134"/>
      <c r="S71" s="134"/>
      <c r="T71" s="134"/>
      <c r="U71" s="134"/>
      <c r="V71" s="134"/>
      <c r="W71" s="118"/>
    </row>
    <row r="72" spans="1:24" s="456" customFormat="1" ht="19.5" thickBot="1" x14ac:dyDescent="0.25">
      <c r="A72" s="938" t="s">
        <v>34</v>
      </c>
      <c r="B72" s="939"/>
      <c r="C72" s="940"/>
      <c r="D72" s="523"/>
      <c r="E72" s="133"/>
      <c r="F72" s="133"/>
      <c r="G72" s="133"/>
      <c r="H72" s="133"/>
      <c r="I72" s="118"/>
      <c r="J72" s="118"/>
      <c r="K72" s="118"/>
      <c r="L72" s="118"/>
      <c r="M72" s="118"/>
      <c r="N72" s="134"/>
      <c r="O72" s="134"/>
      <c r="P72" s="134"/>
      <c r="Q72" s="134"/>
      <c r="R72" s="134"/>
      <c r="S72" s="134"/>
      <c r="T72" s="134"/>
      <c r="U72" s="134"/>
      <c r="V72" s="134"/>
      <c r="W72" s="118"/>
    </row>
    <row r="73" spans="1:24" s="456" customFormat="1" ht="16.5" thickBot="1" x14ac:dyDescent="0.25">
      <c r="A73" s="800" t="s">
        <v>625</v>
      </c>
      <c r="B73" s="801"/>
      <c r="C73" s="802"/>
      <c r="D73" s="200"/>
      <c r="E73" s="200"/>
      <c r="F73" s="200"/>
      <c r="G73" s="200"/>
      <c r="H73" s="194"/>
      <c r="I73" s="194"/>
      <c r="J73" s="200"/>
      <c r="K73" s="194"/>
      <c r="L73" s="200"/>
      <c r="M73" s="118"/>
      <c r="N73" s="134"/>
      <c r="O73" s="134"/>
      <c r="P73" s="134"/>
      <c r="Q73" s="134"/>
      <c r="R73" s="134"/>
      <c r="S73" s="134"/>
      <c r="T73" s="134"/>
      <c r="U73" s="134"/>
      <c r="V73" s="134"/>
      <c r="W73" s="118"/>
    </row>
    <row r="74" spans="1:24" s="456" customFormat="1" x14ac:dyDescent="0.2">
      <c r="A74" s="506" t="s">
        <v>30</v>
      </c>
      <c r="B74" s="470"/>
      <c r="C74" s="508" t="s">
        <v>155</v>
      </c>
      <c r="D74" s="508"/>
      <c r="E74" s="509"/>
      <c r="F74" s="509"/>
      <c r="G74" s="509"/>
      <c r="H74" s="510"/>
      <c r="I74" s="510"/>
      <c r="J74" s="509"/>
      <c r="K74" s="510"/>
      <c r="L74" s="524"/>
      <c r="M74" s="118"/>
      <c r="N74" s="134"/>
      <c r="O74" s="134"/>
      <c r="P74" s="134"/>
      <c r="Q74" s="134"/>
      <c r="R74" s="134"/>
      <c r="S74" s="134"/>
      <c r="T74" s="134"/>
      <c r="U74" s="134"/>
      <c r="V74" s="134"/>
      <c r="W74" s="118"/>
    </row>
    <row r="75" spans="1:24" s="456" customFormat="1" x14ac:dyDescent="0.2">
      <c r="A75" s="96" t="s">
        <v>35</v>
      </c>
      <c r="B75" s="512"/>
      <c r="C75" s="512"/>
      <c r="D75" s="512"/>
      <c r="E75" s="512"/>
      <c r="F75" s="512"/>
      <c r="G75" s="512"/>
      <c r="H75" s="215"/>
      <c r="I75" s="215"/>
      <c r="J75" s="512"/>
      <c r="K75" s="215"/>
      <c r="L75" s="525"/>
      <c r="M75" s="118"/>
      <c r="N75" s="134"/>
      <c r="O75" s="134"/>
      <c r="P75" s="134"/>
      <c r="Q75" s="134"/>
      <c r="R75" s="134"/>
      <c r="S75" s="134"/>
      <c r="T75" s="134"/>
      <c r="U75" s="134"/>
      <c r="V75" s="134"/>
      <c r="W75" s="118"/>
    </row>
    <row r="76" spans="1:24" s="456" customFormat="1" x14ac:dyDescent="0.2">
      <c r="A76" s="96" t="s">
        <v>174</v>
      </c>
      <c r="B76" s="512"/>
      <c r="C76" s="512"/>
      <c r="D76" s="512"/>
      <c r="E76" s="512"/>
      <c r="F76" s="512"/>
      <c r="G76" s="512"/>
      <c r="H76" s="215"/>
      <c r="I76" s="215"/>
      <c r="J76" s="512"/>
      <c r="K76" s="215"/>
      <c r="L76" s="525"/>
      <c r="M76" s="118"/>
      <c r="N76" s="134"/>
      <c r="O76" s="134"/>
      <c r="P76" s="134"/>
      <c r="Q76" s="134"/>
      <c r="R76" s="134"/>
      <c r="S76" s="134"/>
      <c r="T76" s="134"/>
      <c r="U76" s="134"/>
      <c r="V76" s="134"/>
      <c r="W76" s="118"/>
    </row>
    <row r="77" spans="1:24" s="456" customFormat="1" x14ac:dyDescent="0.2">
      <c r="A77" s="96" t="s">
        <v>987</v>
      </c>
      <c r="B77" s="512"/>
      <c r="C77" s="512"/>
      <c r="D77" s="512"/>
      <c r="E77" s="512"/>
      <c r="F77" s="512"/>
      <c r="G77" s="512"/>
      <c r="H77" s="215"/>
      <c r="I77" s="215"/>
      <c r="J77" s="512"/>
      <c r="K77" s="215"/>
      <c r="L77" s="525"/>
      <c r="M77" s="118"/>
      <c r="N77" s="134"/>
      <c r="O77" s="134"/>
      <c r="P77" s="134"/>
      <c r="Q77" s="134"/>
      <c r="R77" s="134"/>
      <c r="S77" s="134"/>
      <c r="T77" s="134"/>
      <c r="U77" s="134"/>
      <c r="V77" s="134"/>
      <c r="W77" s="118"/>
    </row>
    <row r="78" spans="1:24" s="456" customFormat="1" ht="16.5" thickBot="1" x14ac:dyDescent="0.25">
      <c r="A78" s="110" t="s">
        <v>988</v>
      </c>
      <c r="B78" s="514"/>
      <c r="C78" s="514"/>
      <c r="D78" s="514"/>
      <c r="E78" s="514"/>
      <c r="F78" s="514"/>
      <c r="G78" s="514"/>
      <c r="H78" s="515"/>
      <c r="I78" s="515"/>
      <c r="J78" s="514"/>
      <c r="K78" s="515"/>
      <c r="L78" s="526"/>
      <c r="M78" s="118"/>
      <c r="N78" s="134"/>
      <c r="O78" s="134"/>
      <c r="P78" s="134"/>
      <c r="Q78" s="134"/>
      <c r="R78" s="134"/>
      <c r="S78" s="134"/>
      <c r="T78" s="134"/>
      <c r="U78" s="134"/>
      <c r="V78" s="134"/>
      <c r="W78" s="118"/>
    </row>
    <row r="79" spans="1:24" s="456" customFormat="1" ht="16.5" thickBot="1" x14ac:dyDescent="0.25">
      <c r="A79" s="527"/>
      <c r="E79" s="200"/>
      <c r="F79" s="200"/>
      <c r="G79" s="200"/>
      <c r="H79" s="194"/>
      <c r="I79" s="517"/>
      <c r="J79" s="200"/>
      <c r="K79" s="194"/>
      <c r="L79" s="200"/>
      <c r="M79" s="118"/>
      <c r="N79" s="134"/>
      <c r="O79" s="134"/>
      <c r="P79" s="134"/>
      <c r="Q79" s="134"/>
      <c r="R79" s="118"/>
      <c r="V79" s="528"/>
      <c r="W79" s="528"/>
    </row>
    <row r="80" spans="1:24" s="14" customFormat="1" ht="32.25" thickBot="1" x14ac:dyDescent="0.25">
      <c r="A80" s="518" t="s">
        <v>31</v>
      </c>
      <c r="B80" s="932" t="s">
        <v>13</v>
      </c>
      <c r="C80" s="933"/>
      <c r="D80" s="934"/>
      <c r="E80" s="519" t="s">
        <v>12</v>
      </c>
      <c r="F80" s="519" t="s">
        <v>14</v>
      </c>
      <c r="G80" s="519" t="s">
        <v>276</v>
      </c>
      <c r="H80" s="519" t="s">
        <v>32</v>
      </c>
      <c r="I80" s="519" t="s">
        <v>16</v>
      </c>
      <c r="J80" s="519" t="s">
        <v>17</v>
      </c>
      <c r="K80" s="519" t="s">
        <v>18</v>
      </c>
      <c r="L80" s="519" t="s">
        <v>19</v>
      </c>
      <c r="M80" s="519" t="s">
        <v>20</v>
      </c>
      <c r="N80" s="520" t="s">
        <v>123</v>
      </c>
      <c r="O80" s="519" t="s">
        <v>94</v>
      </c>
      <c r="P80" s="521" t="s">
        <v>807</v>
      </c>
      <c r="W80" s="13"/>
    </row>
    <row r="81" spans="1:23" s="303" customFormat="1" x14ac:dyDescent="0.2">
      <c r="A81" s="269"/>
      <c r="B81" s="925"/>
      <c r="C81" s="926"/>
      <c r="D81" s="926"/>
      <c r="E81" s="226"/>
      <c r="F81" s="226"/>
      <c r="G81" s="226"/>
      <c r="H81" s="226"/>
      <c r="I81" s="226"/>
      <c r="J81" s="263"/>
      <c r="K81" s="263"/>
      <c r="L81" s="263"/>
      <c r="M81" s="263"/>
      <c r="N81" s="49"/>
      <c r="O81" s="226"/>
      <c r="P81" s="274"/>
      <c r="Q81" s="160"/>
      <c r="R81" s="160"/>
      <c r="S81" s="160"/>
      <c r="T81" s="160"/>
      <c r="U81" s="160"/>
      <c r="V81" s="160"/>
      <c r="W81" s="159"/>
    </row>
    <row r="82" spans="1:23" s="303" customFormat="1" x14ac:dyDescent="0.2">
      <c r="A82" s="248"/>
      <c r="B82" s="927"/>
      <c r="C82" s="928"/>
      <c r="D82" s="928"/>
      <c r="E82" s="125"/>
      <c r="F82" s="125"/>
      <c r="G82" s="125"/>
      <c r="H82" s="125"/>
      <c r="I82" s="125"/>
      <c r="J82" s="255"/>
      <c r="K82" s="255"/>
      <c r="L82" s="255"/>
      <c r="M82" s="255"/>
      <c r="N82" s="21"/>
      <c r="O82" s="125"/>
      <c r="P82" s="276"/>
      <c r="Q82" s="160"/>
      <c r="R82" s="160"/>
      <c r="S82" s="160"/>
      <c r="T82" s="160"/>
      <c r="U82" s="160"/>
      <c r="V82" s="160"/>
      <c r="W82" s="159"/>
    </row>
    <row r="83" spans="1:23" s="303" customFormat="1" x14ac:dyDescent="0.2">
      <c r="A83" s="248"/>
      <c r="B83" s="927"/>
      <c r="C83" s="928"/>
      <c r="D83" s="928"/>
      <c r="E83" s="125"/>
      <c r="F83" s="125"/>
      <c r="G83" s="125"/>
      <c r="H83" s="125"/>
      <c r="I83" s="125"/>
      <c r="J83" s="255"/>
      <c r="K83" s="255"/>
      <c r="L83" s="255"/>
      <c r="M83" s="255"/>
      <c r="N83" s="21"/>
      <c r="O83" s="125"/>
      <c r="P83" s="276"/>
      <c r="Q83" s="160"/>
      <c r="R83" s="160"/>
      <c r="S83" s="160"/>
      <c r="T83" s="160"/>
      <c r="U83" s="160"/>
      <c r="V83" s="160"/>
      <c r="W83" s="159"/>
    </row>
    <row r="84" spans="1:23" s="303" customFormat="1" ht="16.5" thickBot="1" x14ac:dyDescent="0.25">
      <c r="A84" s="304"/>
      <c r="B84" s="912"/>
      <c r="C84" s="913"/>
      <c r="D84" s="913"/>
      <c r="E84" s="130"/>
      <c r="F84" s="130"/>
      <c r="G84" s="130"/>
      <c r="H84" s="130"/>
      <c r="I84" s="130"/>
      <c r="J84" s="256"/>
      <c r="K84" s="256"/>
      <c r="L84" s="256"/>
      <c r="M84" s="256"/>
      <c r="N84" s="29"/>
      <c r="O84" s="129"/>
      <c r="P84" s="132"/>
      <c r="Q84" s="160"/>
      <c r="R84" s="160"/>
      <c r="S84" s="160"/>
      <c r="T84" s="160"/>
      <c r="U84" s="160"/>
      <c r="V84" s="160"/>
      <c r="W84" s="159"/>
    </row>
    <row r="85" spans="1:23" s="456" customFormat="1" ht="16.5" thickBot="1" x14ac:dyDescent="0.25">
      <c r="A85" s="133"/>
      <c r="B85" s="133"/>
      <c r="C85" s="133"/>
      <c r="D85" s="133"/>
      <c r="E85" s="133"/>
      <c r="F85" s="133"/>
      <c r="G85" s="133"/>
      <c r="H85" s="118"/>
      <c r="I85" s="118"/>
      <c r="J85" s="118"/>
      <c r="K85" s="118"/>
      <c r="L85" s="118"/>
      <c r="M85" s="134"/>
      <c r="N85" s="134"/>
      <c r="O85" s="134"/>
      <c r="P85" s="134"/>
      <c r="Q85" s="134"/>
      <c r="R85" s="134"/>
      <c r="S85" s="134"/>
      <c r="T85" s="134"/>
      <c r="U85" s="134"/>
      <c r="V85" s="118"/>
    </row>
    <row r="86" spans="1:23" s="73" customFormat="1" ht="16.5" thickBot="1" x14ac:dyDescent="0.25">
      <c r="A86" s="822" t="s">
        <v>36</v>
      </c>
      <c r="B86" s="823"/>
      <c r="C86" s="823"/>
      <c r="D86" s="823"/>
      <c r="E86" s="823"/>
      <c r="F86" s="823"/>
      <c r="G86" s="823"/>
      <c r="H86" s="823"/>
      <c r="I86" s="824"/>
      <c r="J86" s="169"/>
      <c r="K86" s="118"/>
      <c r="L86" s="134"/>
      <c r="M86" s="134"/>
      <c r="N86" s="134"/>
      <c r="O86" s="134"/>
      <c r="P86" s="134"/>
      <c r="Q86" s="134"/>
      <c r="R86" s="134"/>
      <c r="S86" s="118"/>
      <c r="T86" s="118"/>
      <c r="U86" s="118"/>
    </row>
    <row r="87" spans="1:23" s="73" customFormat="1" ht="16.5" thickBot="1" x14ac:dyDescent="0.25">
      <c r="A87" s="935" t="s">
        <v>37</v>
      </c>
      <c r="B87" s="936"/>
      <c r="C87" s="936"/>
      <c r="D87" s="936"/>
      <c r="E87" s="936"/>
      <c r="F87" s="936"/>
      <c r="G87" s="936"/>
      <c r="H87" s="936"/>
      <c r="I87" s="937"/>
      <c r="J87" s="170"/>
      <c r="K87" s="118"/>
      <c r="L87" s="134"/>
      <c r="M87" s="134"/>
      <c r="N87" s="134"/>
      <c r="O87" s="134"/>
      <c r="P87" s="134"/>
      <c r="Q87" s="134"/>
      <c r="R87" s="134"/>
      <c r="S87" s="118"/>
      <c r="T87" s="118"/>
      <c r="U87" s="118"/>
    </row>
    <row r="88" spans="1:23" s="308" customFormat="1" ht="15.75" customHeight="1" thickBot="1" x14ac:dyDescent="0.25">
      <c r="A88" s="665" t="s">
        <v>296</v>
      </c>
      <c r="B88" s="909" t="s">
        <v>1129</v>
      </c>
      <c r="C88" s="910"/>
      <c r="D88" s="910"/>
      <c r="E88" s="910"/>
      <c r="F88" s="910"/>
      <c r="G88" s="910"/>
      <c r="H88" s="910"/>
      <c r="I88" s="911"/>
      <c r="J88" s="171"/>
      <c r="K88" s="172"/>
      <c r="L88" s="173"/>
      <c r="M88" s="173"/>
      <c r="N88" s="173"/>
      <c r="O88" s="173"/>
      <c r="P88" s="173"/>
      <c r="Q88" s="173"/>
      <c r="R88" s="173"/>
      <c r="S88" s="172"/>
      <c r="T88" s="172"/>
      <c r="U88" s="172"/>
    </row>
    <row r="89" spans="1:23" s="73" customFormat="1" ht="16.5" thickBot="1" x14ac:dyDescent="0.25">
      <c r="A89" s="196"/>
      <c r="B89" s="169"/>
      <c r="C89" s="169"/>
      <c r="D89" s="169"/>
      <c r="E89" s="169"/>
      <c r="F89" s="176"/>
      <c r="G89" s="176"/>
      <c r="H89" s="176"/>
      <c r="I89" s="176"/>
      <c r="J89" s="176"/>
      <c r="K89" s="118"/>
      <c r="L89" s="134"/>
      <c r="M89" s="134"/>
      <c r="N89" s="134"/>
      <c r="O89" s="134"/>
      <c r="P89" s="134"/>
      <c r="Q89" s="118"/>
    </row>
    <row r="90" spans="1:23" s="73" customFormat="1" ht="16.5" customHeight="1" thickBot="1" x14ac:dyDescent="0.25">
      <c r="A90" s="917" t="s">
        <v>214</v>
      </c>
      <c r="B90" s="918"/>
      <c r="C90" s="918"/>
      <c r="D90" s="918"/>
      <c r="E90" s="918"/>
      <c r="F90" s="918"/>
      <c r="G90" s="918"/>
      <c r="H90" s="930" t="s">
        <v>226</v>
      </c>
      <c r="I90" s="786" t="s">
        <v>627</v>
      </c>
      <c r="J90" s="786" t="s">
        <v>215</v>
      </c>
      <c r="K90" s="786" t="s">
        <v>23</v>
      </c>
      <c r="L90" s="786" t="s">
        <v>302</v>
      </c>
      <c r="M90" s="788" t="s">
        <v>83</v>
      </c>
      <c r="N90" s="134"/>
      <c r="O90" s="118"/>
      <c r="P90" s="456"/>
      <c r="Q90" s="528"/>
      <c r="R90" s="528"/>
    </row>
    <row r="91" spans="1:23" s="446" customFormat="1" ht="16.5" thickBot="1" x14ac:dyDescent="0.25">
      <c r="A91" s="919" t="s">
        <v>887</v>
      </c>
      <c r="B91" s="920"/>
      <c r="C91" s="920"/>
      <c r="D91" s="920"/>
      <c r="E91" s="920"/>
      <c r="F91" s="920"/>
      <c r="G91" s="921"/>
      <c r="H91" s="931"/>
      <c r="I91" s="908"/>
      <c r="J91" s="908"/>
      <c r="K91" s="908"/>
      <c r="L91" s="908"/>
      <c r="M91" s="929"/>
      <c r="N91" s="177"/>
      <c r="O91" s="177"/>
      <c r="P91" s="177"/>
      <c r="Q91" s="177"/>
      <c r="R91" s="177"/>
    </row>
    <row r="92" spans="1:23" s="446" customFormat="1" ht="15.75" customHeight="1" thickBot="1" x14ac:dyDescent="0.25">
      <c r="A92" s="914" t="s">
        <v>353</v>
      </c>
      <c r="B92" s="915"/>
      <c r="C92" s="915"/>
      <c r="D92" s="915"/>
      <c r="E92" s="915"/>
      <c r="F92" s="915"/>
      <c r="G92" s="916"/>
      <c r="H92" s="931"/>
      <c r="I92" s="908"/>
      <c r="J92" s="908"/>
      <c r="K92" s="908"/>
      <c r="L92" s="908"/>
      <c r="M92" s="929"/>
      <c r="N92" s="177"/>
      <c r="O92" s="177"/>
      <c r="P92" s="177"/>
      <c r="Q92" s="177"/>
      <c r="R92" s="177"/>
    </row>
    <row r="93" spans="1:23" s="136" customFormat="1" ht="15.75" customHeight="1" x14ac:dyDescent="0.2">
      <c r="A93" s="178" t="s">
        <v>102</v>
      </c>
      <c r="B93" s="942" t="str">
        <f>IF($A93="","",VLOOKUP($A93,Listes!$A$3:$C$193,2,FALSE))</f>
        <v>Alameda Corridor Surcharge import</v>
      </c>
      <c r="C93" s="942"/>
      <c r="D93" s="942"/>
      <c r="E93" s="941" t="s">
        <v>51</v>
      </c>
      <c r="F93" s="941"/>
      <c r="G93" s="941"/>
      <c r="H93" s="654"/>
      <c r="I93" s="529"/>
      <c r="J93" s="529"/>
      <c r="K93" s="529"/>
      <c r="L93" s="529"/>
      <c r="M93" s="530"/>
      <c r="N93" s="160"/>
      <c r="O93" s="160"/>
      <c r="P93" s="160"/>
      <c r="Q93" s="160"/>
      <c r="R93" s="159"/>
    </row>
    <row r="94" spans="1:23" s="136" customFormat="1" ht="15.75" customHeight="1" x14ac:dyDescent="0.2">
      <c r="A94" s="182" t="s">
        <v>234</v>
      </c>
      <c r="B94" s="813" t="str">
        <f>IF($A94="","",VLOOKUP($A94,Listes!$A$3:$C$193,2,FALSE))</f>
        <v>Bunker Adjustment Factor</v>
      </c>
      <c r="C94" s="813"/>
      <c r="D94" s="813"/>
      <c r="E94" s="814" t="s">
        <v>51</v>
      </c>
      <c r="F94" s="814"/>
      <c r="G94" s="814"/>
      <c r="H94" s="653"/>
      <c r="I94" s="531"/>
      <c r="J94" s="531"/>
      <c r="K94" s="531"/>
      <c r="L94" s="531"/>
      <c r="M94" s="532"/>
      <c r="N94" s="160"/>
      <c r="O94" s="160"/>
      <c r="P94" s="160"/>
      <c r="Q94" s="160"/>
      <c r="R94" s="159"/>
    </row>
    <row r="95" spans="1:23" s="136" customFormat="1" ht="15.75" customHeight="1" x14ac:dyDescent="0.2">
      <c r="A95" s="182" t="s">
        <v>1105</v>
      </c>
      <c r="B95" s="813" t="str">
        <f>IF($A95="","",VLOOKUP($A95,Listes!$A$3:$C$193,2,FALSE))</f>
        <v>Chassis Administration Fee On-Carriage</v>
      </c>
      <c r="C95" s="813"/>
      <c r="D95" s="813"/>
      <c r="E95" s="814" t="s">
        <v>51</v>
      </c>
      <c r="F95" s="814"/>
      <c r="G95" s="814"/>
      <c r="H95" s="653"/>
      <c r="I95" s="531"/>
      <c r="J95" s="531"/>
      <c r="K95" s="531"/>
      <c r="L95" s="531"/>
      <c r="M95" s="532"/>
      <c r="N95" s="160"/>
      <c r="O95" s="160"/>
      <c r="P95" s="160"/>
      <c r="Q95" s="160"/>
      <c r="R95" s="159"/>
    </row>
    <row r="96" spans="1:23" s="136" customFormat="1" ht="15.75" customHeight="1" x14ac:dyDescent="0.2">
      <c r="A96" s="182" t="s">
        <v>551</v>
      </c>
      <c r="B96" s="813" t="str">
        <f>IF($A96="","",VLOOKUP($A96,Listes!$A$3:$C$193,2,FALSE))</f>
        <v>Chassis Provision Charge</v>
      </c>
      <c r="C96" s="813"/>
      <c r="D96" s="813"/>
      <c r="E96" s="814" t="s">
        <v>51</v>
      </c>
      <c r="F96" s="814"/>
      <c r="G96" s="814"/>
      <c r="H96" s="653"/>
      <c r="I96" s="531"/>
      <c r="J96" s="531"/>
      <c r="K96" s="531"/>
      <c r="L96" s="531"/>
      <c r="M96" s="532"/>
      <c r="N96" s="160"/>
      <c r="O96" s="160"/>
      <c r="P96" s="160"/>
      <c r="Q96" s="160"/>
      <c r="R96" s="159"/>
    </row>
    <row r="97" spans="1:18" s="136" customFormat="1" ht="15.75" customHeight="1" x14ac:dyDescent="0.2">
      <c r="A97" s="182" t="s">
        <v>263</v>
      </c>
      <c r="B97" s="813" t="str">
        <f>IF($A97="","",VLOOKUP($A97,Listes!$A$3:$C$193,2,FALSE))</f>
        <v>Carrier Security Charge</v>
      </c>
      <c r="C97" s="813"/>
      <c r="D97" s="813"/>
      <c r="E97" s="814" t="s">
        <v>51</v>
      </c>
      <c r="F97" s="814"/>
      <c r="G97" s="814"/>
      <c r="H97" s="653"/>
      <c r="I97" s="531"/>
      <c r="J97" s="531"/>
      <c r="K97" s="531"/>
      <c r="L97" s="531"/>
      <c r="M97" s="532"/>
      <c r="N97" s="160"/>
      <c r="O97" s="160"/>
      <c r="P97" s="160"/>
      <c r="Q97" s="160"/>
      <c r="R97" s="159"/>
    </row>
    <row r="98" spans="1:18" s="136" customFormat="1" ht="15.75" customHeight="1" x14ac:dyDescent="0.2">
      <c r="A98" s="182" t="s">
        <v>1262</v>
      </c>
      <c r="B98" s="813" t="str">
        <f>IF($A98="","",VLOOKUP($A98,Listes!$A$3:$C$193,2,FALSE))</f>
        <v>Container Maintenance Charge Destination</v>
      </c>
      <c r="C98" s="813"/>
      <c r="D98" s="813"/>
      <c r="E98" s="814" t="s">
        <v>51</v>
      </c>
      <c r="F98" s="814"/>
      <c r="G98" s="814"/>
      <c r="H98" s="653"/>
      <c r="I98" s="531"/>
      <c r="J98" s="531"/>
      <c r="K98" s="531"/>
      <c r="L98" s="531"/>
      <c r="M98" s="532"/>
      <c r="N98" s="160"/>
      <c r="O98" s="160"/>
      <c r="P98" s="160"/>
      <c r="Q98" s="160"/>
      <c r="R98" s="159"/>
    </row>
    <row r="99" spans="1:18" s="136" customFormat="1" ht="15.75" customHeight="1" x14ac:dyDescent="0.2">
      <c r="A99" s="182" t="s">
        <v>230</v>
      </c>
      <c r="B99" s="813" t="str">
        <f>IF($A99="","",VLOOKUP($A99,Listes!$A$3:$C$193,2,FALSE))</f>
        <v>Destination THC / Destination Receiving Charge</v>
      </c>
      <c r="C99" s="813"/>
      <c r="D99" s="813"/>
      <c r="E99" s="814" t="s">
        <v>53</v>
      </c>
      <c r="F99" s="814"/>
      <c r="G99" s="814"/>
      <c r="H99" s="653"/>
      <c r="I99" s="531"/>
      <c r="J99" s="531"/>
      <c r="K99" s="531"/>
      <c r="L99" s="531"/>
      <c r="M99" s="532"/>
      <c r="N99" s="160"/>
      <c r="O99" s="160"/>
      <c r="P99" s="160"/>
      <c r="Q99" s="160"/>
      <c r="R99" s="159"/>
    </row>
    <row r="100" spans="1:18" s="136" customFormat="1" ht="15.75" customHeight="1" x14ac:dyDescent="0.2">
      <c r="A100" s="182" t="s">
        <v>874</v>
      </c>
      <c r="B100" s="813" t="str">
        <f>IF($A100="","",VLOOKUP($A100,Listes!$A$3:$C$193,2,FALSE))</f>
        <v>Export Documentation Fees - Carrier</v>
      </c>
      <c r="C100" s="813"/>
      <c r="D100" s="813"/>
      <c r="E100" s="814" t="s">
        <v>51</v>
      </c>
      <c r="F100" s="814"/>
      <c r="G100" s="814"/>
      <c r="H100" s="653"/>
      <c r="I100" s="531"/>
      <c r="J100" s="531"/>
      <c r="K100" s="531"/>
      <c r="L100" s="531"/>
      <c r="M100" s="532"/>
      <c r="N100" s="160"/>
      <c r="O100" s="160"/>
      <c r="P100" s="160"/>
      <c r="Q100" s="160"/>
      <c r="R100" s="159"/>
    </row>
    <row r="101" spans="1:18" s="136" customFormat="1" ht="15.75" customHeight="1" x14ac:dyDescent="0.2">
      <c r="A101" s="182" t="s">
        <v>854</v>
      </c>
      <c r="B101" s="813" t="str">
        <f>IF($A101="","",VLOOKUP($A101,Listes!$A$3:$C$193,2,FALSE))</f>
        <v>Export Declaration Surcharge</v>
      </c>
      <c r="C101" s="813"/>
      <c r="D101" s="813"/>
      <c r="E101" s="814" t="s">
        <v>51</v>
      </c>
      <c r="F101" s="814"/>
      <c r="G101" s="814"/>
      <c r="H101" s="653"/>
      <c r="I101" s="531"/>
      <c r="J101" s="531"/>
      <c r="K101" s="531"/>
      <c r="L101" s="531"/>
      <c r="M101" s="532"/>
      <c r="N101" s="160"/>
      <c r="O101" s="160"/>
      <c r="P101" s="160"/>
      <c r="Q101" s="160"/>
      <c r="R101" s="159"/>
    </row>
    <row r="102" spans="1:18" s="136" customFormat="1" ht="15.75" customHeight="1" x14ac:dyDescent="0.2">
      <c r="A102" s="182" t="s">
        <v>1320</v>
      </c>
      <c r="B102" s="813" t="str">
        <f>IF($A102="","",VLOOKUP($A102,Listes!$A$3:$C$193,2,FALSE))</f>
        <v>Export Seal Fee</v>
      </c>
      <c r="C102" s="813"/>
      <c r="D102" s="813"/>
      <c r="E102" s="814" t="s">
        <v>51</v>
      </c>
      <c r="F102" s="814"/>
      <c r="G102" s="814"/>
      <c r="H102" s="686"/>
      <c r="I102" s="531"/>
      <c r="J102" s="531"/>
      <c r="K102" s="531"/>
      <c r="L102" s="531"/>
      <c r="M102" s="532"/>
      <c r="N102" s="160"/>
      <c r="O102" s="160"/>
      <c r="P102" s="160"/>
      <c r="Q102" s="160"/>
      <c r="R102" s="159"/>
    </row>
    <row r="103" spans="1:18" s="136" customFormat="1" ht="15.75" customHeight="1" x14ac:dyDescent="0.2">
      <c r="A103" s="182" t="s">
        <v>1115</v>
      </c>
      <c r="B103" s="813" t="str">
        <f>IF($A103="","",VLOOKUP($A103,Listes!$A$3:$C$193,2,FALSE))</f>
        <v>Extra Risk Surcharge (Origin)</v>
      </c>
      <c r="C103" s="813"/>
      <c r="D103" s="813"/>
      <c r="E103" s="814" t="s">
        <v>51</v>
      </c>
      <c r="F103" s="814"/>
      <c r="G103" s="814"/>
      <c r="H103" s="653"/>
      <c r="I103" s="531"/>
      <c r="J103" s="531"/>
      <c r="K103" s="531"/>
      <c r="L103" s="531"/>
      <c r="M103" s="532"/>
      <c r="N103" s="160"/>
      <c r="O103" s="160"/>
      <c r="P103" s="160"/>
      <c r="Q103" s="160"/>
      <c r="R103" s="159"/>
    </row>
    <row r="104" spans="1:18" s="136" customFormat="1" ht="15.75" customHeight="1" x14ac:dyDescent="0.2">
      <c r="A104" s="182" t="s">
        <v>82</v>
      </c>
      <c r="B104" s="813" t="str">
        <f>IF($A104="","",VLOOKUP($A104,Listes!$A$3:$C$193,2,FALSE))</f>
        <v>General Rate Increase</v>
      </c>
      <c r="C104" s="813"/>
      <c r="D104" s="813"/>
      <c r="E104" s="814" t="s">
        <v>51</v>
      </c>
      <c r="F104" s="814"/>
      <c r="G104" s="814"/>
      <c r="H104" s="653"/>
      <c r="I104" s="531"/>
      <c r="J104" s="531"/>
      <c r="K104" s="531"/>
      <c r="L104" s="531"/>
      <c r="M104" s="532"/>
      <c r="N104" s="160"/>
      <c r="O104" s="160"/>
      <c r="P104" s="160"/>
      <c r="Q104" s="160"/>
      <c r="R104" s="159"/>
    </row>
    <row r="105" spans="1:18" s="136" customFormat="1" ht="15.75" customHeight="1" x14ac:dyDescent="0.2">
      <c r="A105" s="182" t="s">
        <v>260</v>
      </c>
      <c r="B105" s="813" t="str">
        <f>IF($A105="","",VLOOKUP($A105,Listes!$A$3:$C$193,2,FALSE))</f>
        <v>Hazardous Fees (Ocean)</v>
      </c>
      <c r="C105" s="813"/>
      <c r="D105" s="813"/>
      <c r="E105" s="814" t="s">
        <v>51</v>
      </c>
      <c r="F105" s="814"/>
      <c r="G105" s="814"/>
      <c r="H105" s="653"/>
      <c r="I105" s="531"/>
      <c r="J105" s="531"/>
      <c r="K105" s="531"/>
      <c r="L105" s="531"/>
      <c r="M105" s="532"/>
      <c r="N105" s="160"/>
      <c r="O105" s="160"/>
      <c r="P105" s="160"/>
      <c r="Q105" s="160"/>
      <c r="R105" s="159"/>
    </row>
    <row r="106" spans="1:18" s="136" customFormat="1" ht="15.75" customHeight="1" x14ac:dyDescent="0.2">
      <c r="A106" s="182" t="s">
        <v>898</v>
      </c>
      <c r="B106" s="813" t="str">
        <f>IF($A106="","",VLOOKUP($A106,Listes!$A$3:$C$193,2,FALSE))</f>
        <v>Oncarriage Additional Intermodal Door Delivery Surcharge</v>
      </c>
      <c r="C106" s="813"/>
      <c r="D106" s="813"/>
      <c r="E106" s="814" t="s">
        <v>51</v>
      </c>
      <c r="F106" s="814"/>
      <c r="G106" s="814"/>
      <c r="H106" s="653"/>
      <c r="I106" s="531"/>
      <c r="J106" s="531"/>
      <c r="K106" s="531"/>
      <c r="L106" s="531"/>
      <c r="M106" s="532"/>
      <c r="N106" s="160"/>
      <c r="O106" s="160"/>
      <c r="P106" s="160"/>
      <c r="Q106" s="160"/>
      <c r="R106" s="159"/>
    </row>
    <row r="107" spans="1:18" s="136" customFormat="1" ht="15.75" customHeight="1" x14ac:dyDescent="0.2">
      <c r="A107" s="182" t="s">
        <v>94</v>
      </c>
      <c r="B107" s="813" t="str">
        <f>IF($A107="","",VLOOKUP($A107,Listes!$A$3:$C$193,2,FALSE))</f>
        <v>Oncarriage Inland Fuel Charge</v>
      </c>
      <c r="C107" s="813"/>
      <c r="D107" s="813"/>
      <c r="E107" s="814" t="s">
        <v>51</v>
      </c>
      <c r="F107" s="814"/>
      <c r="G107" s="814"/>
      <c r="H107" s="653"/>
      <c r="I107" s="531"/>
      <c r="J107" s="531"/>
      <c r="K107" s="531"/>
      <c r="L107" s="531"/>
      <c r="M107" s="532"/>
      <c r="N107" s="160"/>
      <c r="O107" s="160"/>
      <c r="P107" s="160"/>
      <c r="Q107" s="160"/>
      <c r="R107" s="159"/>
    </row>
    <row r="108" spans="1:18" s="136" customFormat="1" ht="15.75" customHeight="1" x14ac:dyDescent="0.2">
      <c r="A108" s="182" t="s">
        <v>1290</v>
      </c>
      <c r="B108" s="813" t="str">
        <f>IF($A108="","",VLOOKUP($A108,Listes!$A$3:$C$193,2,FALSE))</f>
        <v>Local Port Charge Destination Sanitary Fee</v>
      </c>
      <c r="C108" s="813"/>
      <c r="D108" s="813"/>
      <c r="E108" s="814" t="s">
        <v>51</v>
      </c>
      <c r="F108" s="814"/>
      <c r="G108" s="814"/>
      <c r="H108" s="675"/>
      <c r="I108" s="531"/>
      <c r="J108" s="531"/>
      <c r="K108" s="531"/>
      <c r="L108" s="531"/>
      <c r="M108" s="532"/>
      <c r="N108" s="160"/>
      <c r="O108" s="160"/>
      <c r="P108" s="160"/>
      <c r="Q108" s="160"/>
      <c r="R108" s="159"/>
    </row>
    <row r="109" spans="1:18" s="136" customFormat="1" ht="15.75" customHeight="1" x14ac:dyDescent="0.2">
      <c r="A109" s="182" t="s">
        <v>1292</v>
      </c>
      <c r="B109" s="813" t="str">
        <f>IF($A109="","",VLOOKUP($A109,Listes!$A$3:$C$193,2,FALSE))</f>
        <v>Local Port Charge Origin Sanitary Fee</v>
      </c>
      <c r="C109" s="813"/>
      <c r="D109" s="813"/>
      <c r="E109" s="814" t="s">
        <v>51</v>
      </c>
      <c r="F109" s="814"/>
      <c r="G109" s="814"/>
      <c r="H109" s="675"/>
      <c r="I109" s="531"/>
      <c r="J109" s="531"/>
      <c r="K109" s="531"/>
      <c r="L109" s="531"/>
      <c r="M109" s="532"/>
      <c r="N109" s="160"/>
      <c r="O109" s="160"/>
      <c r="P109" s="160"/>
      <c r="Q109" s="160"/>
      <c r="R109" s="159"/>
    </row>
    <row r="110" spans="1:18" s="136" customFormat="1" ht="15.75" customHeight="1" x14ac:dyDescent="0.2">
      <c r="A110" s="182" t="s">
        <v>199</v>
      </c>
      <c r="B110" s="813" t="str">
        <f>IF($A110="","",VLOOKUP($A110,Listes!$A$3:$C$193,2,FALSE))</f>
        <v>Low Sulfur Surcharge</v>
      </c>
      <c r="C110" s="813"/>
      <c r="D110" s="813"/>
      <c r="E110" s="814" t="s">
        <v>53</v>
      </c>
      <c r="F110" s="814"/>
      <c r="G110" s="814"/>
      <c r="H110" s="653"/>
      <c r="I110" s="531"/>
      <c r="J110" s="531"/>
      <c r="K110" s="531"/>
      <c r="L110" s="531"/>
      <c r="M110" s="532"/>
      <c r="N110" s="160"/>
      <c r="O110" s="160"/>
      <c r="P110" s="160"/>
      <c r="Q110" s="160"/>
      <c r="R110" s="159"/>
    </row>
    <row r="111" spans="1:18" s="136" customFormat="1" ht="15.75" customHeight="1" x14ac:dyDescent="0.2">
      <c r="A111" s="182" t="s">
        <v>1124</v>
      </c>
      <c r="B111" s="813" t="str">
        <f>IF($A111="","",VLOOKUP($A111,Listes!$A$3:$C$193,2,FALSE))</f>
        <v>Low Sulfur Surcharge IMO2020</v>
      </c>
      <c r="C111" s="813"/>
      <c r="D111" s="813"/>
      <c r="E111" s="814" t="s">
        <v>53</v>
      </c>
      <c r="F111" s="814"/>
      <c r="G111" s="814"/>
      <c r="H111" s="666"/>
      <c r="I111" s="531"/>
      <c r="J111" s="531"/>
      <c r="K111" s="531"/>
      <c r="L111" s="531"/>
      <c r="M111" s="532"/>
      <c r="N111" s="160"/>
      <c r="O111" s="160"/>
      <c r="P111" s="160"/>
      <c r="Q111" s="160"/>
      <c r="R111" s="159"/>
    </row>
    <row r="112" spans="1:18" s="136" customFormat="1" x14ac:dyDescent="0.2">
      <c r="A112" s="182" t="s">
        <v>1059</v>
      </c>
      <c r="B112" s="813" t="str">
        <f>IF($A112="","",VLOOKUP($A112,Listes!$A$3:$C$193,2,FALSE))</f>
        <v>On-Carriage Emergency Inland Fuel Surcharge</v>
      </c>
      <c r="C112" s="813"/>
      <c r="D112" s="813"/>
      <c r="E112" s="814" t="s">
        <v>51</v>
      </c>
      <c r="F112" s="814"/>
      <c r="G112" s="814"/>
      <c r="H112" s="653"/>
      <c r="I112" s="531"/>
      <c r="J112" s="531"/>
      <c r="K112" s="531"/>
      <c r="L112" s="531"/>
      <c r="M112" s="532"/>
      <c r="N112" s="160"/>
      <c r="O112" s="160"/>
      <c r="P112" s="160"/>
      <c r="Q112" s="160"/>
      <c r="R112" s="159"/>
    </row>
    <row r="113" spans="1:18" s="136" customFormat="1" ht="31.5" x14ac:dyDescent="0.2">
      <c r="A113" s="182" t="s">
        <v>1088</v>
      </c>
      <c r="B113" s="813" t="str">
        <f>IF($A113="","",VLOOKUP($A113,Listes!$A$3:$C$193,2,FALSE))</f>
        <v>On-Carriage Emergency Intermodal Surcharge</v>
      </c>
      <c r="C113" s="813"/>
      <c r="D113" s="813"/>
      <c r="E113" s="814" t="s">
        <v>51</v>
      </c>
      <c r="F113" s="814"/>
      <c r="G113" s="814"/>
      <c r="H113" s="653"/>
      <c r="I113" s="531"/>
      <c r="J113" s="531"/>
      <c r="K113" s="531"/>
      <c r="L113" s="531"/>
      <c r="M113" s="532"/>
      <c r="N113" s="160"/>
      <c r="O113" s="160"/>
      <c r="P113" s="160"/>
      <c r="Q113" s="160"/>
      <c r="R113" s="159"/>
    </row>
    <row r="114" spans="1:18" s="136" customFormat="1" ht="15.75" customHeight="1" x14ac:dyDescent="0.2">
      <c r="A114" s="182" t="s">
        <v>497</v>
      </c>
      <c r="B114" s="813" t="str">
        <f>IF($A114="","",VLOOKUP($A114,Listes!$A$3:$C$193,2,FALSE))</f>
        <v>Inland Hazardous Charge Oncarriage</v>
      </c>
      <c r="C114" s="813"/>
      <c r="D114" s="813"/>
      <c r="E114" s="814" t="s">
        <v>51</v>
      </c>
      <c r="F114" s="814"/>
      <c r="G114" s="814"/>
      <c r="H114" s="653"/>
      <c r="I114" s="531"/>
      <c r="J114" s="531"/>
      <c r="K114" s="531"/>
      <c r="L114" s="531"/>
      <c r="M114" s="532"/>
      <c r="N114" s="160"/>
      <c r="O114" s="160"/>
      <c r="P114" s="160"/>
      <c r="Q114" s="160"/>
      <c r="R114" s="159"/>
    </row>
    <row r="115" spans="1:18" s="136" customFormat="1" x14ac:dyDescent="0.2">
      <c r="A115" s="182" t="s">
        <v>89</v>
      </c>
      <c r="B115" s="813" t="str">
        <f>IF($A115="","",VLOOKUP($A115,Listes!$A$3:$C$193,2,FALSE))</f>
        <v>Origin THC / Origin Receiving Charge</v>
      </c>
      <c r="C115" s="813"/>
      <c r="D115" s="813"/>
      <c r="E115" s="814" t="s">
        <v>51</v>
      </c>
      <c r="F115" s="814"/>
      <c r="G115" s="814"/>
      <c r="H115" s="653"/>
      <c r="I115" s="531"/>
      <c r="J115" s="531"/>
      <c r="K115" s="531"/>
      <c r="L115" s="531"/>
      <c r="M115" s="532"/>
      <c r="N115" s="160"/>
      <c r="O115" s="160"/>
      <c r="P115" s="160"/>
      <c r="Q115" s="160"/>
      <c r="R115" s="159"/>
    </row>
    <row r="116" spans="1:18" s="136" customFormat="1" ht="15.75" customHeight="1" x14ac:dyDescent="0.2">
      <c r="A116" s="182" t="s">
        <v>829</v>
      </c>
      <c r="B116" s="813" t="str">
        <f>IF($A116="","",VLOOKUP($A116,Listes!$A$3:$C$193,2,FALSE))</f>
        <v>Port Congestion Surcharge Origin</v>
      </c>
      <c r="C116" s="813"/>
      <c r="D116" s="813"/>
      <c r="E116" s="814" t="s">
        <v>51</v>
      </c>
      <c r="F116" s="814"/>
      <c r="G116" s="814"/>
      <c r="H116" s="653"/>
      <c r="I116" s="531"/>
      <c r="J116" s="531"/>
      <c r="K116" s="531"/>
      <c r="L116" s="531"/>
      <c r="M116" s="532"/>
      <c r="N116" s="160"/>
      <c r="O116" s="160"/>
      <c r="P116" s="160"/>
      <c r="Q116" s="160"/>
      <c r="R116" s="159"/>
    </row>
    <row r="117" spans="1:18" s="136" customFormat="1" ht="15.75" customHeight="1" x14ac:dyDescent="0.2">
      <c r="A117" s="182" t="s">
        <v>500</v>
      </c>
      <c r="B117" s="813" t="str">
        <f>IF($A117="","",VLOOKUP($A117,Listes!$A$3:$C$193,2,FALSE))</f>
        <v>Inland Hazardous Charge Precarriage</v>
      </c>
      <c r="C117" s="813"/>
      <c r="D117" s="813"/>
      <c r="E117" s="814" t="s">
        <v>51</v>
      </c>
      <c r="F117" s="814"/>
      <c r="G117" s="814"/>
      <c r="H117" s="653"/>
      <c r="I117" s="531"/>
      <c r="J117" s="531"/>
      <c r="K117" s="531"/>
      <c r="L117" s="531"/>
      <c r="M117" s="532"/>
      <c r="N117" s="160"/>
      <c r="O117" s="160"/>
      <c r="P117" s="160"/>
      <c r="Q117" s="160"/>
      <c r="R117" s="159"/>
    </row>
    <row r="118" spans="1:18" s="136" customFormat="1" ht="15.75" customHeight="1" x14ac:dyDescent="0.2">
      <c r="A118" s="182" t="s">
        <v>87</v>
      </c>
      <c r="B118" s="813" t="str">
        <f>IF($A118="","",VLOOKUP($A118,Listes!$A$3:$C$193,2,FALSE))</f>
        <v>Peak Season</v>
      </c>
      <c r="C118" s="813"/>
      <c r="D118" s="813"/>
      <c r="E118" s="814" t="s">
        <v>51</v>
      </c>
      <c r="F118" s="814"/>
      <c r="G118" s="814"/>
      <c r="H118" s="653"/>
      <c r="I118" s="531"/>
      <c r="J118" s="531"/>
      <c r="K118" s="531"/>
      <c r="L118" s="531"/>
      <c r="M118" s="532"/>
      <c r="N118" s="160"/>
      <c r="O118" s="160"/>
      <c r="P118" s="160"/>
      <c r="Q118" s="160"/>
      <c r="R118" s="159"/>
    </row>
    <row r="119" spans="1:18" s="136" customFormat="1" ht="15.75" customHeight="1" x14ac:dyDescent="0.2">
      <c r="A119" s="182" t="s">
        <v>859</v>
      </c>
      <c r="B119" s="813" t="str">
        <f>IF($A119="","",VLOOKUP($A119,Listes!$A$3:$C$193,2,FALSE))</f>
        <v>Peak Season Surcharge 2</v>
      </c>
      <c r="C119" s="813"/>
      <c r="D119" s="813"/>
      <c r="E119" s="814" t="s">
        <v>51</v>
      </c>
      <c r="F119" s="814"/>
      <c r="G119" s="814"/>
      <c r="H119" s="653"/>
      <c r="I119" s="531"/>
      <c r="J119" s="531"/>
      <c r="K119" s="531"/>
      <c r="L119" s="531"/>
      <c r="M119" s="532"/>
      <c r="N119" s="160"/>
      <c r="O119" s="160"/>
      <c r="P119" s="160"/>
      <c r="Q119" s="160"/>
      <c r="R119" s="159"/>
    </row>
    <row r="120" spans="1:18" s="136" customFormat="1" ht="15.75" customHeight="1" x14ac:dyDescent="0.2">
      <c r="A120" s="182" t="s">
        <v>738</v>
      </c>
      <c r="B120" s="813" t="str">
        <f>IF($A120="","",VLOOKUP($A120,Listes!$A$3:$C$193,2,FALSE))</f>
        <v>Rate Restoration Initiative</v>
      </c>
      <c r="C120" s="813"/>
      <c r="D120" s="813"/>
      <c r="E120" s="814" t="s">
        <v>51</v>
      </c>
      <c r="F120" s="814"/>
      <c r="G120" s="814"/>
      <c r="H120" s="653"/>
      <c r="I120" s="531"/>
      <c r="J120" s="531"/>
      <c r="K120" s="531"/>
      <c r="L120" s="531"/>
      <c r="M120" s="532"/>
      <c r="N120" s="160"/>
      <c r="O120" s="160"/>
      <c r="P120" s="160"/>
      <c r="Q120" s="160"/>
      <c r="R120" s="159"/>
    </row>
    <row r="121" spans="1:18" s="136" customFormat="1" ht="15.75" customHeight="1" x14ac:dyDescent="0.2">
      <c r="A121" s="182" t="s">
        <v>801</v>
      </c>
      <c r="B121" s="813" t="str">
        <f>IF($A121="","",VLOOKUP($A121,Listes!$A$3:$C$193,2,FALSE))</f>
        <v>Rate Restoration Initiative 2</v>
      </c>
      <c r="C121" s="813"/>
      <c r="D121" s="813"/>
      <c r="E121" s="814" t="s">
        <v>51</v>
      </c>
      <c r="F121" s="814"/>
      <c r="G121" s="814"/>
      <c r="H121" s="653"/>
      <c r="I121" s="531"/>
      <c r="J121" s="531"/>
      <c r="K121" s="531"/>
      <c r="L121" s="531"/>
      <c r="M121" s="532"/>
      <c r="N121" s="160"/>
      <c r="O121" s="160"/>
      <c r="P121" s="160"/>
      <c r="Q121" s="160"/>
      <c r="R121" s="159"/>
    </row>
    <row r="122" spans="1:18" s="136" customFormat="1" ht="15.75" customHeight="1" x14ac:dyDescent="0.2">
      <c r="A122" s="182" t="s">
        <v>803</v>
      </c>
      <c r="B122" s="813" t="str">
        <f>IF($A122="","",VLOOKUP($A122,Listes!$A$3:$C$193,2,FALSE))</f>
        <v>Rate Restoration Initiative 3</v>
      </c>
      <c r="C122" s="813"/>
      <c r="D122" s="813"/>
      <c r="E122" s="814" t="s">
        <v>51</v>
      </c>
      <c r="F122" s="814"/>
      <c r="G122" s="814"/>
      <c r="H122" s="653"/>
      <c r="I122" s="531"/>
      <c r="J122" s="531"/>
      <c r="K122" s="531"/>
      <c r="L122" s="531"/>
      <c r="M122" s="532"/>
      <c r="N122" s="160"/>
      <c r="O122" s="160"/>
      <c r="P122" s="160"/>
      <c r="Q122" s="160"/>
      <c r="R122" s="159"/>
    </row>
    <row r="123" spans="1:18" s="136" customFormat="1" ht="15.75" customHeight="1" x14ac:dyDescent="0.2">
      <c r="A123" s="182" t="s">
        <v>861</v>
      </c>
      <c r="B123" s="813" t="str">
        <f>IF($A123="","",VLOOKUP($A123,Listes!$A$3:$C$193,2,FALSE))</f>
        <v>Rate Restoration Initiative 4</v>
      </c>
      <c r="C123" s="813"/>
      <c r="D123" s="813"/>
      <c r="E123" s="814" t="s">
        <v>51</v>
      </c>
      <c r="F123" s="814"/>
      <c r="G123" s="814"/>
      <c r="H123" s="653"/>
      <c r="I123" s="531"/>
      <c r="J123" s="531"/>
      <c r="K123" s="531"/>
      <c r="L123" s="531"/>
      <c r="M123" s="532"/>
      <c r="N123" s="160"/>
      <c r="O123" s="160"/>
      <c r="P123" s="160"/>
      <c r="Q123" s="160"/>
      <c r="R123" s="159"/>
    </row>
    <row r="124" spans="1:18" s="136" customFormat="1" ht="15.75" customHeight="1" x14ac:dyDescent="0.2">
      <c r="A124" s="182" t="s">
        <v>864</v>
      </c>
      <c r="B124" s="813" t="str">
        <f>IF($A124="","",VLOOKUP($A124,Listes!$A$3:$C$193,2,FALSE))</f>
        <v>Rate Restoration Initiative 5</v>
      </c>
      <c r="C124" s="813"/>
      <c r="D124" s="813"/>
      <c r="E124" s="814" t="s">
        <v>51</v>
      </c>
      <c r="F124" s="814"/>
      <c r="G124" s="814"/>
      <c r="H124" s="653"/>
      <c r="I124" s="531"/>
      <c r="J124" s="531"/>
      <c r="K124" s="531"/>
      <c r="L124" s="531"/>
      <c r="M124" s="532"/>
      <c r="N124" s="160"/>
      <c r="O124" s="160"/>
      <c r="P124" s="160"/>
      <c r="Q124" s="160"/>
      <c r="R124" s="159"/>
    </row>
    <row r="125" spans="1:18" s="136" customFormat="1" ht="15.75" customHeight="1" x14ac:dyDescent="0.2">
      <c r="A125" s="182" t="s">
        <v>879</v>
      </c>
      <c r="B125" s="813" t="str">
        <f>IF($A125="","",VLOOKUP($A125,Listes!$A$3:$C$193,2,FALSE))</f>
        <v>Rate Restoration Initiative 6</v>
      </c>
      <c r="C125" s="813"/>
      <c r="D125" s="813"/>
      <c r="E125" s="814" t="s">
        <v>51</v>
      </c>
      <c r="F125" s="814"/>
      <c r="G125" s="814"/>
      <c r="H125" s="653"/>
      <c r="I125" s="531"/>
      <c r="J125" s="531"/>
      <c r="K125" s="531"/>
      <c r="L125" s="531"/>
      <c r="M125" s="532"/>
      <c r="N125" s="160"/>
      <c r="O125" s="160"/>
      <c r="P125" s="160"/>
      <c r="Q125" s="160"/>
      <c r="R125" s="159"/>
    </row>
    <row r="126" spans="1:18" s="136" customFormat="1" ht="15.75" customHeight="1" x14ac:dyDescent="0.2">
      <c r="A126" s="182" t="s">
        <v>278</v>
      </c>
      <c r="B126" s="813" t="str">
        <f>IF($A126="","",VLOOKUP($A126,Listes!$A$3:$C$193,2,FALSE))</f>
        <v>Destination Terminal Security Charge</v>
      </c>
      <c r="C126" s="813"/>
      <c r="D126" s="813"/>
      <c r="E126" s="814" t="s">
        <v>51</v>
      </c>
      <c r="F126" s="814"/>
      <c r="G126" s="814"/>
      <c r="H126" s="653"/>
      <c r="I126" s="531"/>
      <c r="J126" s="531"/>
      <c r="K126" s="531"/>
      <c r="L126" s="531"/>
      <c r="M126" s="532"/>
      <c r="N126" s="160"/>
      <c r="O126" s="160"/>
      <c r="P126" s="160"/>
      <c r="Q126" s="160"/>
      <c r="R126" s="159"/>
    </row>
    <row r="127" spans="1:18" s="136" customFormat="1" ht="31.5" x14ac:dyDescent="0.2">
      <c r="A127" s="182" t="s">
        <v>367</v>
      </c>
      <c r="B127" s="813" t="str">
        <f>IF($A127="","",VLOOKUP($A127,Listes!$A$3:$C$193,2,FALSE))</f>
        <v>Tri-Axle / Super Chassis Oncarriage Surcharge</v>
      </c>
      <c r="C127" s="813"/>
      <c r="D127" s="813"/>
      <c r="E127" s="814" t="s">
        <v>51</v>
      </c>
      <c r="F127" s="814"/>
      <c r="G127" s="814"/>
      <c r="H127" s="653"/>
      <c r="I127" s="531"/>
      <c r="J127" s="531"/>
      <c r="K127" s="531"/>
      <c r="L127" s="531"/>
      <c r="M127" s="532"/>
      <c r="N127" s="160"/>
      <c r="O127" s="160"/>
      <c r="P127" s="160"/>
      <c r="Q127" s="160"/>
      <c r="R127" s="159"/>
    </row>
    <row r="128" spans="1:18" s="136" customFormat="1" ht="15.75" customHeight="1" thickBot="1" x14ac:dyDescent="0.25">
      <c r="A128" s="185" t="s">
        <v>833</v>
      </c>
      <c r="B128" s="812" t="str">
        <f>IF($A128="","",VLOOKUP($A128,Listes!$A$3:$C$193,2,FALSE))</f>
        <v>Wharfage (Origin)</v>
      </c>
      <c r="C128" s="812"/>
      <c r="D128" s="812"/>
      <c r="E128" s="815" t="s">
        <v>51</v>
      </c>
      <c r="F128" s="815"/>
      <c r="G128" s="815"/>
      <c r="H128" s="655"/>
      <c r="I128" s="533"/>
      <c r="J128" s="533"/>
      <c r="K128" s="533"/>
      <c r="L128" s="533"/>
      <c r="M128" s="534"/>
      <c r="N128" s="160"/>
      <c r="O128" s="160"/>
      <c r="P128" s="160"/>
      <c r="Q128" s="160"/>
      <c r="R128" s="159"/>
    </row>
    <row r="129" spans="1:23" s="73" customFormat="1" ht="16.5" thickBot="1" x14ac:dyDescent="0.25">
      <c r="A129" s="850" t="s">
        <v>216</v>
      </c>
      <c r="B129" s="851"/>
      <c r="C129" s="851"/>
      <c r="D129" s="851"/>
      <c r="E129" s="852"/>
      <c r="F129" s="852"/>
      <c r="G129" s="852"/>
      <c r="H129" s="852"/>
      <c r="I129" s="853"/>
      <c r="J129" s="169"/>
      <c r="K129" s="118"/>
      <c r="L129" s="134"/>
      <c r="M129" s="134"/>
      <c r="N129" s="134"/>
      <c r="O129" s="134"/>
      <c r="P129" s="134"/>
      <c r="Q129" s="118"/>
    </row>
    <row r="130" spans="1:23" s="73" customFormat="1" ht="16.5" thickBot="1" x14ac:dyDescent="0.25">
      <c r="A130" s="849" t="s">
        <v>597</v>
      </c>
      <c r="B130" s="833"/>
      <c r="C130" s="833"/>
      <c r="D130" s="833"/>
      <c r="E130" s="833"/>
      <c r="F130" s="833"/>
      <c r="G130" s="833"/>
      <c r="H130" s="833"/>
      <c r="I130" s="834"/>
      <c r="J130" s="169"/>
      <c r="K130" s="134"/>
      <c r="L130" s="134"/>
      <c r="M130" s="134"/>
      <c r="N130" s="134"/>
      <c r="O130" s="118"/>
    </row>
    <row r="131" spans="1:23" s="73" customFormat="1" ht="16.5" thickBot="1" x14ac:dyDescent="0.25">
      <c r="A131" s="187"/>
      <c r="B131" s="187"/>
      <c r="C131" s="188"/>
      <c r="D131" s="189"/>
      <c r="E131" s="170"/>
      <c r="F131" s="170"/>
      <c r="G131" s="170"/>
      <c r="H131" s="170"/>
      <c r="I131" s="170"/>
      <c r="J131" s="189"/>
      <c r="K131" s="169"/>
      <c r="L131" s="118"/>
      <c r="M131" s="134"/>
      <c r="N131" s="134"/>
      <c r="O131" s="134"/>
      <c r="P131" s="134"/>
      <c r="Q131" s="134"/>
      <c r="R131" s="118"/>
    </row>
    <row r="132" spans="1:23" s="73" customFormat="1" ht="15.6" customHeight="1" x14ac:dyDescent="0.2">
      <c r="A132" s="830" t="s">
        <v>523</v>
      </c>
      <c r="B132" s="831"/>
      <c r="C132" s="831"/>
      <c r="D132" s="831"/>
      <c r="E132" s="842" t="s">
        <v>288</v>
      </c>
      <c r="F132" s="842">
        <v>20</v>
      </c>
      <c r="G132" s="842">
        <v>40</v>
      </c>
      <c r="H132" s="842" t="s">
        <v>19</v>
      </c>
      <c r="I132" s="842" t="s">
        <v>20</v>
      </c>
      <c r="J132" s="848" t="s">
        <v>297</v>
      </c>
      <c r="K132" s="848" t="s">
        <v>33</v>
      </c>
      <c r="L132" s="846" t="s">
        <v>217</v>
      </c>
      <c r="M132" s="189"/>
      <c r="N132" s="134"/>
      <c r="O132" s="134"/>
      <c r="P132" s="134"/>
      <c r="Q132" s="134"/>
      <c r="R132" s="134"/>
      <c r="S132" s="134"/>
      <c r="T132" s="134"/>
      <c r="U132" s="134"/>
    </row>
    <row r="133" spans="1:23" s="73" customFormat="1" x14ac:dyDescent="0.2">
      <c r="A133" s="537" t="s">
        <v>218</v>
      </c>
      <c r="B133" s="538" t="s">
        <v>11</v>
      </c>
      <c r="C133" s="538" t="s">
        <v>12</v>
      </c>
      <c r="D133" s="538" t="s">
        <v>219</v>
      </c>
      <c r="E133" s="843"/>
      <c r="F133" s="843"/>
      <c r="G133" s="843"/>
      <c r="H133" s="843"/>
      <c r="I133" s="843"/>
      <c r="J133" s="843"/>
      <c r="K133" s="843"/>
      <c r="L133" s="847"/>
      <c r="M133" s="189"/>
      <c r="N133" s="134"/>
      <c r="O133" s="134"/>
      <c r="P133" s="134"/>
      <c r="Q133" s="134"/>
      <c r="R133" s="134"/>
      <c r="S133" s="134"/>
      <c r="T133" s="134"/>
      <c r="U133" s="134"/>
    </row>
    <row r="134" spans="1:23" s="136" customFormat="1" x14ac:dyDescent="0.2">
      <c r="A134" s="539"/>
      <c r="B134" s="540"/>
      <c r="C134" s="540"/>
      <c r="D134" s="540"/>
      <c r="E134" s="540"/>
      <c r="F134" s="255"/>
      <c r="G134" s="255"/>
      <c r="H134" s="255"/>
      <c r="I134" s="255"/>
      <c r="J134" s="540"/>
      <c r="K134" s="21"/>
      <c r="L134" s="541"/>
      <c r="M134" s="190"/>
      <c r="N134" s="160"/>
      <c r="O134" s="160"/>
      <c r="P134" s="160"/>
      <c r="Q134" s="160"/>
      <c r="R134" s="160"/>
      <c r="S134" s="160"/>
      <c r="T134" s="160"/>
      <c r="U134" s="160"/>
    </row>
    <row r="135" spans="1:23" s="136" customFormat="1" x14ac:dyDescent="0.2">
      <c r="A135" s="542"/>
      <c r="B135" s="540"/>
      <c r="C135" s="540"/>
      <c r="D135" s="540"/>
      <c r="E135" s="540"/>
      <c r="F135" s="255"/>
      <c r="G135" s="255"/>
      <c r="H135" s="255"/>
      <c r="I135" s="255"/>
      <c r="J135" s="24"/>
      <c r="K135" s="21"/>
      <c r="L135" s="25"/>
      <c r="M135" s="191"/>
      <c r="N135" s="160"/>
      <c r="O135" s="160"/>
      <c r="P135" s="160"/>
      <c r="Q135" s="160"/>
      <c r="R135" s="160"/>
      <c r="S135" s="160"/>
      <c r="T135" s="160"/>
      <c r="U135" s="160"/>
    </row>
    <row r="136" spans="1:23" s="136" customFormat="1" x14ac:dyDescent="0.2">
      <c r="A136" s="542"/>
      <c r="B136" s="540"/>
      <c r="C136" s="540"/>
      <c r="D136" s="540"/>
      <c r="E136" s="540"/>
      <c r="F136" s="255"/>
      <c r="G136" s="255"/>
      <c r="H136" s="255"/>
      <c r="I136" s="255"/>
      <c r="J136" s="24"/>
      <c r="K136" s="21"/>
      <c r="L136" s="25"/>
      <c r="M136" s="191"/>
      <c r="N136" s="160"/>
      <c r="O136" s="160"/>
      <c r="P136" s="160"/>
      <c r="Q136" s="160"/>
      <c r="R136" s="160"/>
      <c r="S136" s="160"/>
      <c r="T136" s="160"/>
      <c r="U136" s="160"/>
    </row>
    <row r="137" spans="1:23" s="136" customFormat="1" ht="16.5" thickBot="1" x14ac:dyDescent="0.25">
      <c r="A137" s="543"/>
      <c r="B137" s="544"/>
      <c r="C137" s="544"/>
      <c r="D137" s="544"/>
      <c r="E137" s="544"/>
      <c r="F137" s="256"/>
      <c r="G137" s="256"/>
      <c r="H137" s="256"/>
      <c r="I137" s="256"/>
      <c r="J137" s="28"/>
      <c r="K137" s="29"/>
      <c r="L137" s="30"/>
      <c r="M137" s="191"/>
      <c r="N137" s="160"/>
      <c r="O137" s="160"/>
      <c r="P137" s="160"/>
      <c r="Q137" s="160"/>
      <c r="R137" s="160"/>
      <c r="S137" s="160"/>
      <c r="T137" s="160"/>
      <c r="U137" s="160"/>
    </row>
    <row r="138" spans="1:23" s="136" customFormat="1" x14ac:dyDescent="0.2">
      <c r="A138" s="173"/>
      <c r="B138" s="545"/>
      <c r="C138" s="545"/>
      <c r="D138" s="545"/>
      <c r="E138" s="545"/>
      <c r="F138" s="545"/>
      <c r="G138" s="545"/>
      <c r="H138" s="545"/>
      <c r="I138" s="545"/>
      <c r="J138" s="33"/>
      <c r="K138" s="33"/>
      <c r="L138" s="34"/>
      <c r="M138" s="191"/>
      <c r="N138" s="160"/>
      <c r="O138" s="160"/>
      <c r="P138" s="160"/>
      <c r="Q138" s="160"/>
      <c r="R138" s="160"/>
      <c r="S138" s="160"/>
      <c r="T138" s="160"/>
      <c r="U138" s="160"/>
    </row>
    <row r="139" spans="1:23" s="73" customFormat="1" ht="15.6" customHeight="1" x14ac:dyDescent="0.2">
      <c r="A139" s="841" t="s">
        <v>596</v>
      </c>
      <c r="B139" s="840"/>
      <c r="C139" s="840"/>
      <c r="D139" s="840"/>
      <c r="E139" s="840" t="s">
        <v>288</v>
      </c>
      <c r="F139" s="840">
        <v>20</v>
      </c>
      <c r="G139" s="840">
        <v>40</v>
      </c>
      <c r="H139" s="840" t="s">
        <v>19</v>
      </c>
      <c r="I139" s="840" t="s">
        <v>20</v>
      </c>
      <c r="J139" s="845" t="s">
        <v>297</v>
      </c>
      <c r="K139" s="845" t="s">
        <v>33</v>
      </c>
      <c r="L139" s="844" t="s">
        <v>217</v>
      </c>
      <c r="M139" s="844" t="s">
        <v>23</v>
      </c>
      <c r="N139" s="169"/>
      <c r="O139" s="118"/>
      <c r="P139" s="134"/>
      <c r="Q139" s="134"/>
      <c r="R139" s="134"/>
      <c r="S139" s="134"/>
      <c r="T139" s="134"/>
      <c r="U139" s="134"/>
      <c r="V139" s="134"/>
      <c r="W139" s="134"/>
    </row>
    <row r="140" spans="1:23" s="73" customFormat="1" x14ac:dyDescent="0.2">
      <c r="A140" s="546" t="s">
        <v>218</v>
      </c>
      <c r="B140" s="546" t="s">
        <v>11</v>
      </c>
      <c r="C140" s="546" t="s">
        <v>12</v>
      </c>
      <c r="D140" s="546" t="s">
        <v>219</v>
      </c>
      <c r="E140" s="840"/>
      <c r="F140" s="840"/>
      <c r="G140" s="840"/>
      <c r="H140" s="840"/>
      <c r="I140" s="840"/>
      <c r="J140" s="840"/>
      <c r="K140" s="840"/>
      <c r="L140" s="844"/>
      <c r="M140" s="844"/>
      <c r="N140" s="169"/>
      <c r="O140" s="118"/>
      <c r="P140" s="134"/>
      <c r="Q140" s="134"/>
      <c r="R140" s="134"/>
      <c r="S140" s="134"/>
      <c r="T140" s="134"/>
      <c r="U140" s="134"/>
      <c r="V140" s="134"/>
      <c r="W140" s="134"/>
    </row>
    <row r="141" spans="1:23" s="136" customFormat="1" x14ac:dyDescent="0.2">
      <c r="A141" s="372"/>
      <c r="B141" s="547"/>
      <c r="C141" s="547"/>
      <c r="D141" s="547"/>
      <c r="E141" s="547"/>
      <c r="F141" s="368"/>
      <c r="G141" s="368"/>
      <c r="H141" s="368"/>
      <c r="I141" s="368"/>
      <c r="J141" s="369"/>
      <c r="K141" s="370"/>
      <c r="L141" s="548"/>
      <c r="M141" s="548"/>
      <c r="N141" s="192"/>
      <c r="O141" s="159"/>
      <c r="P141" s="160"/>
      <c r="Q141" s="160"/>
      <c r="R141" s="160"/>
      <c r="S141" s="160"/>
      <c r="T141" s="160"/>
      <c r="U141" s="160"/>
      <c r="V141" s="160"/>
      <c r="W141" s="160"/>
    </row>
    <row r="142" spans="1:23" s="136" customFormat="1" x14ac:dyDescent="0.2">
      <c r="A142" s="372"/>
      <c r="B142" s="547"/>
      <c r="C142" s="547"/>
      <c r="D142" s="547"/>
      <c r="E142" s="547"/>
      <c r="F142" s="368"/>
      <c r="G142" s="368"/>
      <c r="H142" s="368"/>
      <c r="I142" s="368"/>
      <c r="J142" s="369"/>
      <c r="K142" s="370"/>
      <c r="L142" s="548"/>
      <c r="M142" s="548"/>
      <c r="N142" s="192"/>
      <c r="O142" s="159"/>
      <c r="P142" s="160"/>
      <c r="Q142" s="160"/>
      <c r="R142" s="160"/>
      <c r="S142" s="160"/>
      <c r="T142" s="160"/>
      <c r="U142" s="160"/>
      <c r="V142" s="160"/>
      <c r="W142" s="160"/>
    </row>
    <row r="143" spans="1:23" s="136" customFormat="1" x14ac:dyDescent="0.2">
      <c r="A143" s="372"/>
      <c r="B143" s="547"/>
      <c r="C143" s="547"/>
      <c r="D143" s="547"/>
      <c r="E143" s="547"/>
      <c r="F143" s="368"/>
      <c r="G143" s="368"/>
      <c r="H143" s="368"/>
      <c r="I143" s="368"/>
      <c r="J143" s="369"/>
      <c r="K143" s="370"/>
      <c r="L143" s="548"/>
      <c r="M143" s="548"/>
      <c r="N143" s="192"/>
      <c r="O143" s="159"/>
      <c r="P143" s="160"/>
      <c r="Q143" s="160"/>
      <c r="R143" s="160"/>
      <c r="S143" s="160"/>
      <c r="T143" s="160"/>
      <c r="U143" s="160"/>
      <c r="V143" s="160"/>
      <c r="W143" s="160"/>
    </row>
    <row r="144" spans="1:23" s="136" customFormat="1" x14ac:dyDescent="0.2">
      <c r="A144" s="372"/>
      <c r="B144" s="547"/>
      <c r="C144" s="547"/>
      <c r="D144" s="547"/>
      <c r="E144" s="547"/>
      <c r="F144" s="368"/>
      <c r="G144" s="368"/>
      <c r="H144" s="368"/>
      <c r="I144" s="368"/>
      <c r="J144" s="369"/>
      <c r="K144" s="370"/>
      <c r="L144" s="373"/>
      <c r="M144" s="373"/>
      <c r="N144" s="191"/>
      <c r="O144" s="159"/>
      <c r="P144" s="160"/>
      <c r="Q144" s="160"/>
      <c r="R144" s="160"/>
      <c r="S144" s="160"/>
      <c r="T144" s="160"/>
      <c r="U144" s="160"/>
      <c r="V144" s="160"/>
      <c r="W144" s="160"/>
    </row>
    <row r="145" spans="1:21" s="73" customFormat="1" x14ac:dyDescent="0.2">
      <c r="A145" s="456"/>
      <c r="B145" s="549"/>
      <c r="C145" s="549"/>
      <c r="D145" s="549"/>
      <c r="E145" s="549"/>
      <c r="F145" s="194"/>
      <c r="G145" s="522"/>
      <c r="H145" s="195"/>
      <c r="I145" s="195"/>
      <c r="J145" s="176"/>
      <c r="K145" s="118"/>
      <c r="L145" s="134"/>
      <c r="M145" s="134"/>
      <c r="N145" s="134"/>
      <c r="O145" s="134"/>
      <c r="P145" s="134"/>
      <c r="Q145" s="134"/>
    </row>
    <row r="146" spans="1:21" s="456" customFormat="1" ht="16.5" thickBot="1" x14ac:dyDescent="0.25">
      <c r="A146" s="196"/>
      <c r="B146" s="197"/>
      <c r="C146" s="198"/>
      <c r="D146" s="198"/>
      <c r="E146" s="169"/>
      <c r="F146" s="176"/>
      <c r="G146" s="176"/>
      <c r="H146" s="176"/>
      <c r="I146" s="176"/>
      <c r="J146" s="170"/>
      <c r="K146" s="118"/>
      <c r="L146" s="134"/>
      <c r="M146" s="134"/>
      <c r="N146" s="134"/>
      <c r="O146" s="134"/>
      <c r="P146" s="134"/>
      <c r="Q146" s="134"/>
      <c r="R146" s="134"/>
      <c r="S146" s="118"/>
      <c r="T146" s="118"/>
      <c r="U146" s="118"/>
    </row>
    <row r="147" spans="1:21" s="456" customFormat="1" ht="16.5" thickBot="1" x14ac:dyDescent="0.25">
      <c r="A147" s="822" t="s">
        <v>220</v>
      </c>
      <c r="B147" s="823"/>
      <c r="C147" s="823"/>
      <c r="D147" s="823"/>
      <c r="E147" s="824"/>
      <c r="F147" s="176"/>
      <c r="G147" s="176"/>
      <c r="H147" s="176"/>
      <c r="I147" s="176"/>
      <c r="J147" s="170"/>
      <c r="K147" s="118"/>
      <c r="L147" s="134"/>
      <c r="M147" s="134"/>
      <c r="N147" s="134"/>
      <c r="O147" s="134"/>
      <c r="P147" s="134"/>
      <c r="Q147" s="134"/>
      <c r="R147" s="134"/>
      <c r="S147" s="118"/>
      <c r="T147" s="118"/>
      <c r="U147" s="118"/>
    </row>
    <row r="148" spans="1:21" s="73" customFormat="1" ht="16.5" thickBot="1" x14ac:dyDescent="0.25">
      <c r="A148" s="550"/>
      <c r="B148" s="456"/>
      <c r="C148" s="456"/>
      <c r="D148" s="456"/>
      <c r="E148" s="456"/>
      <c r="F148" s="194"/>
      <c r="G148" s="456"/>
      <c r="H148" s="200"/>
      <c r="I148" s="194"/>
      <c r="J148" s="194"/>
      <c r="K148" s="118"/>
      <c r="L148" s="134"/>
      <c r="M148" s="134"/>
      <c r="N148" s="134"/>
      <c r="O148" s="134"/>
      <c r="P148" s="134"/>
      <c r="Q148" s="134"/>
      <c r="R148" s="134"/>
      <c r="S148" s="118"/>
      <c r="T148" s="118"/>
      <c r="U148" s="118"/>
    </row>
    <row r="149" spans="1:21" s="73" customFormat="1" ht="16.5" thickBot="1" x14ac:dyDescent="0.25">
      <c r="A149" s="825" t="s">
        <v>221</v>
      </c>
      <c r="B149" s="838"/>
      <c r="C149" s="838"/>
      <c r="D149" s="838"/>
      <c r="E149" s="838"/>
      <c r="F149" s="839"/>
      <c r="G149" s="456"/>
      <c r="H149" s="200"/>
      <c r="I149" s="194"/>
      <c r="J149" s="194"/>
      <c r="K149" s="118"/>
      <c r="L149" s="134"/>
      <c r="M149" s="134"/>
      <c r="N149" s="134"/>
      <c r="O149" s="134"/>
      <c r="P149" s="134"/>
      <c r="Q149" s="134"/>
      <c r="R149" s="134"/>
      <c r="S149" s="118"/>
      <c r="T149" s="118"/>
      <c r="U149" s="118"/>
    </row>
    <row r="150" spans="1:21" s="73" customFormat="1" ht="16.5" customHeight="1" x14ac:dyDescent="0.2">
      <c r="A150" s="835" t="s">
        <v>222</v>
      </c>
      <c r="B150" s="836"/>
      <c r="C150" s="836"/>
      <c r="D150" s="836"/>
      <c r="E150" s="836"/>
      <c r="F150" s="837"/>
      <c r="G150" s="456"/>
      <c r="H150" s="201"/>
      <c r="I150" s="170"/>
      <c r="J150" s="170"/>
      <c r="K150" s="118"/>
      <c r="L150" s="134"/>
      <c r="M150" s="134"/>
      <c r="N150" s="134"/>
      <c r="O150" s="134"/>
      <c r="P150" s="134"/>
      <c r="Q150" s="134"/>
      <c r="R150" s="134"/>
      <c r="S150" s="118"/>
      <c r="T150" s="118"/>
      <c r="U150" s="118"/>
    </row>
    <row r="151" spans="1:21" ht="16.5" thickBot="1" x14ac:dyDescent="0.25">
      <c r="A151" s="832" t="s">
        <v>223</v>
      </c>
      <c r="B151" s="833"/>
      <c r="C151" s="833"/>
      <c r="D151" s="833"/>
      <c r="E151" s="833"/>
      <c r="F151" s="834"/>
      <c r="G151" s="176"/>
      <c r="H151" s="176"/>
      <c r="I151" s="176"/>
      <c r="J151" s="169"/>
      <c r="K151" s="169"/>
      <c r="L151" s="169"/>
      <c r="M151" s="169"/>
      <c r="N151" s="169"/>
      <c r="O151" s="169"/>
      <c r="P151" s="169"/>
      <c r="Q151" s="169"/>
      <c r="R151" s="169"/>
      <c r="S151" s="169"/>
      <c r="T151" s="169"/>
      <c r="U151" s="169"/>
    </row>
    <row r="152" spans="1:21" x14ac:dyDescent="0.2">
      <c r="A152" s="551" t="s">
        <v>224</v>
      </c>
      <c r="B152" s="450" t="s">
        <v>225</v>
      </c>
      <c r="C152" s="552" t="s">
        <v>226</v>
      </c>
      <c r="D152" s="553" t="s">
        <v>227</v>
      </c>
      <c r="E152" s="176"/>
      <c r="F152" s="176"/>
      <c r="G152" s="176"/>
      <c r="H152" s="169"/>
      <c r="I152" s="169"/>
      <c r="J152" s="169"/>
      <c r="K152" s="169"/>
      <c r="L152" s="169"/>
      <c r="M152" s="169"/>
      <c r="N152" s="169"/>
      <c r="O152" s="169"/>
      <c r="P152" s="169"/>
      <c r="Q152" s="169"/>
      <c r="R152" s="169"/>
    </row>
    <row r="153" spans="1:21" s="192" customFormat="1" x14ac:dyDescent="0.2">
      <c r="A153" s="203"/>
      <c r="B153" s="204" t="s">
        <v>344</v>
      </c>
      <c r="C153" s="205" t="s">
        <v>62</v>
      </c>
      <c r="D153" s="206">
        <v>0.9</v>
      </c>
      <c r="E153" s="191"/>
      <c r="F153" s="191"/>
      <c r="G153" s="191"/>
    </row>
    <row r="154" spans="1:21" s="192" customFormat="1" x14ac:dyDescent="0.2">
      <c r="A154" s="203"/>
      <c r="B154" s="204" t="s">
        <v>344</v>
      </c>
      <c r="C154" s="205" t="s">
        <v>417</v>
      </c>
      <c r="D154" s="206">
        <v>1</v>
      </c>
      <c r="E154" s="191"/>
      <c r="F154" s="191"/>
      <c r="G154" s="191"/>
    </row>
    <row r="155" spans="1:21" s="192" customFormat="1" ht="16.5" thickBot="1" x14ac:dyDescent="0.25">
      <c r="A155" s="207"/>
      <c r="B155" s="208" t="s">
        <v>344</v>
      </c>
      <c r="C155" s="209" t="s">
        <v>418</v>
      </c>
      <c r="D155" s="210">
        <v>1.266</v>
      </c>
      <c r="E155" s="191"/>
      <c r="F155" s="191"/>
      <c r="G155" s="191"/>
    </row>
    <row r="156" spans="1:21" ht="16.5" thickBot="1" x14ac:dyDescent="0.25"/>
    <row r="157" spans="1:21" s="73" customFormat="1" ht="16.5" thickBot="1" x14ac:dyDescent="0.25">
      <c r="A157" s="822" t="s">
        <v>228</v>
      </c>
      <c r="B157" s="823"/>
      <c r="C157" s="823"/>
      <c r="D157" s="823"/>
      <c r="E157" s="823"/>
      <c r="F157" s="823"/>
      <c r="G157" s="823"/>
      <c r="H157" s="823"/>
      <c r="I157" s="824"/>
      <c r="J157" s="169"/>
      <c r="K157" s="118"/>
      <c r="L157" s="134"/>
      <c r="M157" s="134"/>
      <c r="N157" s="134"/>
      <c r="O157" s="134"/>
      <c r="P157" s="134"/>
      <c r="Q157" s="134"/>
      <c r="R157" s="134"/>
      <c r="S157" s="118"/>
      <c r="T157" s="118"/>
      <c r="U157" s="118"/>
    </row>
    <row r="158" spans="1:21" s="73" customFormat="1" ht="16.5" thickBot="1" x14ac:dyDescent="0.25">
      <c r="A158" s="554" t="s">
        <v>229</v>
      </c>
      <c r="B158" s="213"/>
      <c r="C158" s="214"/>
      <c r="D158" s="214"/>
      <c r="E158" s="214"/>
      <c r="F158" s="214"/>
      <c r="G158" s="215"/>
      <c r="H158" s="216"/>
      <c r="I158" s="217"/>
      <c r="J158" s="170"/>
      <c r="K158" s="118"/>
      <c r="L158" s="134"/>
      <c r="M158" s="134"/>
      <c r="N158" s="134"/>
      <c r="O158" s="134"/>
      <c r="P158" s="134"/>
      <c r="Q158" s="134"/>
      <c r="R158" s="134"/>
      <c r="S158" s="118"/>
      <c r="T158" s="118"/>
      <c r="U158" s="118"/>
    </row>
    <row r="159" spans="1:21" s="308" customFormat="1" x14ac:dyDescent="0.2">
      <c r="A159" s="228"/>
      <c r="B159" s="949"/>
      <c r="C159" s="950"/>
      <c r="D159" s="950"/>
      <c r="E159" s="950"/>
      <c r="F159" s="950"/>
      <c r="G159" s="950"/>
      <c r="H159" s="950"/>
      <c r="I159" s="951"/>
      <c r="J159" s="171"/>
      <c r="K159" s="172"/>
      <c r="L159" s="173"/>
      <c r="M159" s="173"/>
      <c r="N159" s="173"/>
      <c r="O159" s="173"/>
      <c r="P159" s="173"/>
      <c r="Q159" s="173"/>
      <c r="R159" s="173"/>
      <c r="S159" s="172"/>
      <c r="T159" s="172"/>
      <c r="U159" s="172"/>
    </row>
    <row r="160" spans="1:21" s="218" customFormat="1" x14ac:dyDescent="0.2">
      <c r="A160" s="281"/>
      <c r="B160" s="816"/>
      <c r="C160" s="817"/>
      <c r="D160" s="817"/>
      <c r="E160" s="817"/>
      <c r="F160" s="817"/>
      <c r="G160" s="817"/>
      <c r="H160" s="817"/>
      <c r="I160" s="818"/>
    </row>
    <row r="161" spans="1:9" s="218" customFormat="1" x14ac:dyDescent="0.2">
      <c r="A161" s="281"/>
      <c r="B161" s="816"/>
      <c r="C161" s="817"/>
      <c r="D161" s="817"/>
      <c r="E161" s="817"/>
      <c r="F161" s="817"/>
      <c r="G161" s="817"/>
      <c r="H161" s="817"/>
      <c r="I161" s="818"/>
    </row>
    <row r="162" spans="1:9" s="218" customFormat="1" x14ac:dyDescent="0.2">
      <c r="A162" s="281"/>
      <c r="B162" s="816"/>
      <c r="C162" s="817"/>
      <c r="D162" s="817"/>
      <c r="E162" s="817"/>
      <c r="F162" s="817"/>
      <c r="G162" s="817"/>
      <c r="H162" s="817"/>
      <c r="I162" s="818"/>
    </row>
    <row r="163" spans="1:9" s="218" customFormat="1" x14ac:dyDescent="0.2">
      <c r="A163" s="281"/>
      <c r="B163" s="816"/>
      <c r="C163" s="817"/>
      <c r="D163" s="817"/>
      <c r="E163" s="817"/>
      <c r="F163" s="817"/>
      <c r="G163" s="817"/>
      <c r="H163" s="817"/>
      <c r="I163" s="818"/>
    </row>
    <row r="164" spans="1:9" s="218" customFormat="1" x14ac:dyDescent="0.2">
      <c r="A164" s="281"/>
      <c r="B164" s="816"/>
      <c r="C164" s="817"/>
      <c r="D164" s="817"/>
      <c r="E164" s="817"/>
      <c r="F164" s="817"/>
      <c r="G164" s="817"/>
      <c r="H164" s="817"/>
      <c r="I164" s="818"/>
    </row>
    <row r="165" spans="1:9" s="218" customFormat="1" x14ac:dyDescent="0.2">
      <c r="A165" s="281"/>
      <c r="B165" s="816"/>
      <c r="C165" s="817"/>
      <c r="D165" s="817"/>
      <c r="E165" s="817"/>
      <c r="F165" s="817"/>
      <c r="G165" s="817"/>
      <c r="H165" s="817"/>
      <c r="I165" s="818"/>
    </row>
    <row r="166" spans="1:9" s="218" customFormat="1" x14ac:dyDescent="0.2">
      <c r="A166" s="281"/>
      <c r="B166" s="816"/>
      <c r="C166" s="817"/>
      <c r="D166" s="817"/>
      <c r="E166" s="817"/>
      <c r="F166" s="817"/>
      <c r="G166" s="817"/>
      <c r="H166" s="817"/>
      <c r="I166" s="818"/>
    </row>
    <row r="167" spans="1:9" s="218" customFormat="1" x14ac:dyDescent="0.2">
      <c r="A167" s="281"/>
      <c r="B167" s="816"/>
      <c r="C167" s="817"/>
      <c r="D167" s="817"/>
      <c r="E167" s="817"/>
      <c r="F167" s="817"/>
      <c r="G167" s="817"/>
      <c r="H167" s="817"/>
      <c r="I167" s="818"/>
    </row>
    <row r="168" spans="1:9" s="218" customFormat="1" x14ac:dyDescent="0.2">
      <c r="A168" s="281"/>
      <c r="B168" s="816"/>
      <c r="C168" s="817"/>
      <c r="D168" s="817"/>
      <c r="E168" s="817"/>
      <c r="F168" s="817"/>
      <c r="G168" s="817"/>
      <c r="H168" s="817"/>
      <c r="I168" s="818"/>
    </row>
    <row r="169" spans="1:9" s="218" customFormat="1" x14ac:dyDescent="0.2">
      <c r="A169" s="281"/>
      <c r="B169" s="816"/>
      <c r="C169" s="817"/>
      <c r="D169" s="817"/>
      <c r="E169" s="817"/>
      <c r="F169" s="817"/>
      <c r="G169" s="817"/>
      <c r="H169" s="817"/>
      <c r="I169" s="818"/>
    </row>
    <row r="170" spans="1:9" s="218" customFormat="1" x14ac:dyDescent="0.2">
      <c r="A170" s="281"/>
      <c r="B170" s="816"/>
      <c r="C170" s="817"/>
      <c r="D170" s="817"/>
      <c r="E170" s="817"/>
      <c r="F170" s="817"/>
      <c r="G170" s="817"/>
      <c r="H170" s="817"/>
      <c r="I170" s="818"/>
    </row>
    <row r="171" spans="1:9" s="218" customFormat="1" x14ac:dyDescent="0.2">
      <c r="A171" s="281"/>
      <c r="B171" s="816"/>
      <c r="C171" s="817"/>
      <c r="D171" s="817"/>
      <c r="E171" s="817"/>
      <c r="F171" s="817"/>
      <c r="G171" s="817"/>
      <c r="H171" s="817"/>
      <c r="I171" s="818"/>
    </row>
    <row r="172" spans="1:9" s="218" customFormat="1" x14ac:dyDescent="0.2">
      <c r="A172" s="281"/>
      <c r="B172" s="816"/>
      <c r="C172" s="817"/>
      <c r="D172" s="817"/>
      <c r="E172" s="817"/>
      <c r="F172" s="817"/>
      <c r="G172" s="817"/>
      <c r="H172" s="817"/>
      <c r="I172" s="818"/>
    </row>
    <row r="173" spans="1:9" s="218" customFormat="1" ht="16.5" thickBot="1" x14ac:dyDescent="0.25">
      <c r="A173" s="282"/>
      <c r="B173" s="819"/>
      <c r="C173" s="820"/>
      <c r="D173" s="820"/>
      <c r="E173" s="820"/>
      <c r="F173" s="820"/>
      <c r="G173" s="820"/>
      <c r="H173" s="820"/>
      <c r="I173" s="821"/>
    </row>
    <row r="175" spans="1:9" s="218" customFormat="1" x14ac:dyDescent="0.2">
      <c r="F175" s="337"/>
      <c r="G175" s="337"/>
      <c r="H175" s="337"/>
      <c r="I175" s="337"/>
    </row>
    <row r="176" spans="1:9" s="218" customFormat="1" ht="16.5" thickBot="1" x14ac:dyDescent="0.25">
      <c r="F176" s="337"/>
      <c r="G176" s="337"/>
      <c r="H176" s="337"/>
      <c r="I176" s="337"/>
    </row>
    <row r="177" spans="1:14" s="218" customFormat="1" ht="16.5" thickBot="1" x14ac:dyDescent="0.25">
      <c r="A177" s="825" t="s">
        <v>3</v>
      </c>
      <c r="B177" s="826"/>
      <c r="F177" s="337"/>
      <c r="G177" s="337"/>
      <c r="H177" s="337"/>
      <c r="I177" s="337"/>
    </row>
    <row r="178" spans="1:14" s="347" customFormat="1" ht="16.5" thickBot="1" x14ac:dyDescent="0.25">
      <c r="A178" s="338"/>
      <c r="B178" s="338"/>
      <c r="F178" s="348"/>
      <c r="G178" s="348"/>
      <c r="H178" s="348"/>
      <c r="I178" s="348"/>
    </row>
    <row r="179" spans="1:14" s="218" customFormat="1" ht="15.75" customHeight="1" thickBot="1" x14ac:dyDescent="0.25">
      <c r="A179" s="800" t="s">
        <v>2</v>
      </c>
      <c r="B179" s="801"/>
      <c r="C179" s="801"/>
      <c r="D179" s="801"/>
      <c r="E179" s="801"/>
      <c r="F179" s="801"/>
      <c r="G179" s="802"/>
      <c r="H179" s="337"/>
      <c r="I179" s="337"/>
    </row>
    <row r="180" spans="1:14" s="347" customFormat="1" ht="15.75" customHeight="1" thickBot="1" x14ac:dyDescent="0.25">
      <c r="A180" s="338"/>
      <c r="B180" s="338"/>
      <c r="C180" s="338"/>
      <c r="D180" s="338"/>
      <c r="E180" s="338"/>
      <c r="F180" s="338"/>
      <c r="G180" s="338"/>
      <c r="H180" s="348"/>
      <c r="I180" s="348"/>
    </row>
    <row r="181" spans="1:14" s="218" customFormat="1" ht="15.75" customHeight="1" thickBot="1" x14ac:dyDescent="0.25">
      <c r="A181" s="807" t="s">
        <v>1</v>
      </c>
      <c r="B181" s="808"/>
      <c r="C181" s="808"/>
      <c r="D181" s="808"/>
      <c r="E181" s="809"/>
      <c r="F181" s="339"/>
      <c r="G181" s="339"/>
      <c r="H181" s="337"/>
      <c r="I181" s="337"/>
    </row>
    <row r="182" spans="1:14" s="218" customFormat="1" x14ac:dyDescent="0.2">
      <c r="A182" s="803" t="s">
        <v>627</v>
      </c>
      <c r="B182" s="805" t="s">
        <v>888</v>
      </c>
      <c r="C182" s="786" t="s">
        <v>0</v>
      </c>
      <c r="D182" s="786" t="s">
        <v>609</v>
      </c>
      <c r="E182" s="805" t="s">
        <v>889</v>
      </c>
      <c r="F182" s="786" t="s">
        <v>436</v>
      </c>
      <c r="G182" s="786" t="s">
        <v>421</v>
      </c>
      <c r="H182" s="786" t="s">
        <v>628</v>
      </c>
      <c r="I182" s="786" t="s">
        <v>11</v>
      </c>
      <c r="J182" s="786" t="s">
        <v>12</v>
      </c>
      <c r="K182" s="786" t="s">
        <v>13</v>
      </c>
      <c r="L182" s="786" t="s">
        <v>449</v>
      </c>
      <c r="M182" s="786" t="s">
        <v>610</v>
      </c>
      <c r="N182" s="788"/>
    </row>
    <row r="183" spans="1:14" s="218" customFormat="1" ht="32.25" customHeight="1" thickBot="1" x14ac:dyDescent="0.25">
      <c r="A183" s="804"/>
      <c r="B183" s="806"/>
      <c r="C183" s="787"/>
      <c r="D183" s="787"/>
      <c r="E183" s="806"/>
      <c r="F183" s="787"/>
      <c r="G183" s="787"/>
      <c r="H183" s="787"/>
      <c r="I183" s="787"/>
      <c r="J183" s="787"/>
      <c r="K183" s="787"/>
      <c r="L183" s="787"/>
      <c r="M183" s="787"/>
      <c r="N183" s="789"/>
    </row>
    <row r="184" spans="1:14" s="218" customFormat="1" x14ac:dyDescent="0.2">
      <c r="A184" s="344"/>
      <c r="B184" s="340"/>
      <c r="C184" s="394"/>
      <c r="D184" s="340"/>
      <c r="E184" s="340"/>
      <c r="F184" s="340"/>
      <c r="G184" s="340"/>
      <c r="H184" s="340"/>
      <c r="I184" s="340"/>
      <c r="J184" s="340"/>
      <c r="K184" s="340"/>
      <c r="L184" s="661"/>
      <c r="M184" s="810"/>
      <c r="N184" s="811"/>
    </row>
    <row r="185" spans="1:14" s="218" customFormat="1" x14ac:dyDescent="0.2">
      <c r="A185" s="345"/>
      <c r="B185" s="341"/>
      <c r="C185" s="392"/>
      <c r="D185" s="341"/>
      <c r="E185" s="341"/>
      <c r="F185" s="341"/>
      <c r="G185" s="341"/>
      <c r="H185" s="341"/>
      <c r="I185" s="341"/>
      <c r="J185" s="341"/>
      <c r="K185" s="341"/>
      <c r="L185" s="662"/>
      <c r="M185" s="790"/>
      <c r="N185" s="791"/>
    </row>
    <row r="186" spans="1:14" s="218" customFormat="1" x14ac:dyDescent="0.2">
      <c r="A186" s="345"/>
      <c r="B186" s="341"/>
      <c r="C186" s="392"/>
      <c r="D186" s="341"/>
      <c r="E186" s="341"/>
      <c r="F186" s="341"/>
      <c r="G186" s="341"/>
      <c r="H186" s="341"/>
      <c r="I186" s="341"/>
      <c r="J186" s="341"/>
      <c r="K186" s="341"/>
      <c r="L186" s="662"/>
      <c r="M186" s="790"/>
      <c r="N186" s="791"/>
    </row>
    <row r="187" spans="1:14" s="218" customFormat="1" x14ac:dyDescent="0.2">
      <c r="A187" s="345"/>
      <c r="B187" s="341"/>
      <c r="C187" s="392"/>
      <c r="D187" s="341"/>
      <c r="E187" s="341"/>
      <c r="F187" s="341"/>
      <c r="G187" s="341"/>
      <c r="H187" s="341"/>
      <c r="I187" s="341"/>
      <c r="J187" s="341"/>
      <c r="K187" s="341"/>
      <c r="L187" s="662"/>
      <c r="M187" s="790"/>
      <c r="N187" s="791"/>
    </row>
    <row r="188" spans="1:14" s="218" customFormat="1" x14ac:dyDescent="0.2">
      <c r="A188" s="345"/>
      <c r="B188" s="341"/>
      <c r="C188" s="392"/>
      <c r="D188" s="341"/>
      <c r="E188" s="341"/>
      <c r="F188" s="341"/>
      <c r="G188" s="341"/>
      <c r="H188" s="341"/>
      <c r="I188" s="341"/>
      <c r="J188" s="341"/>
      <c r="K188" s="341"/>
      <c r="L188" s="662"/>
      <c r="M188" s="790"/>
      <c r="N188" s="791"/>
    </row>
    <row r="189" spans="1:14" s="218" customFormat="1" ht="16.5" thickBot="1" x14ac:dyDescent="0.25">
      <c r="A189" s="346"/>
      <c r="B189" s="342"/>
      <c r="C189" s="336"/>
      <c r="D189" s="342"/>
      <c r="E189" s="342"/>
      <c r="F189" s="342"/>
      <c r="G189" s="342"/>
      <c r="H189" s="342"/>
      <c r="I189" s="342"/>
      <c r="J189" s="342"/>
      <c r="K189" s="342"/>
      <c r="L189" s="663"/>
      <c r="M189" s="794"/>
      <c r="N189" s="795"/>
    </row>
    <row r="190" spans="1:14" s="218" customFormat="1" x14ac:dyDescent="0.2">
      <c r="F190" s="337"/>
      <c r="G190" s="337"/>
      <c r="H190" s="337"/>
      <c r="I190" s="337"/>
    </row>
    <row r="191" spans="1:14" s="218" customFormat="1" ht="16.5" thickBot="1" x14ac:dyDescent="0.25">
      <c r="F191" s="337"/>
      <c r="G191" s="337"/>
      <c r="H191" s="337"/>
      <c r="I191" s="337"/>
    </row>
    <row r="192" spans="1:14" s="218" customFormat="1" ht="16.5" thickBot="1" x14ac:dyDescent="0.25">
      <c r="A192" s="800" t="s">
        <v>790</v>
      </c>
      <c r="B192" s="801"/>
      <c r="C192" s="801"/>
      <c r="D192" s="801"/>
      <c r="E192" s="801"/>
      <c r="F192" s="801"/>
      <c r="G192" s="802"/>
      <c r="H192" s="337"/>
      <c r="I192" s="337"/>
    </row>
    <row r="193" spans="1:31" s="192" customFormat="1" ht="16.5" thickBot="1" x14ac:dyDescent="0.25">
      <c r="F193" s="191"/>
      <c r="G193" s="191"/>
      <c r="H193" s="191"/>
      <c r="I193" s="191"/>
    </row>
    <row r="194" spans="1:31" s="218" customFormat="1" ht="16.5" thickBot="1" x14ac:dyDescent="0.25">
      <c r="A194" s="807" t="s">
        <v>1</v>
      </c>
      <c r="B194" s="808"/>
      <c r="C194" s="808"/>
      <c r="D194" s="808"/>
      <c r="E194" s="808"/>
      <c r="F194" s="808"/>
      <c r="G194" s="808"/>
      <c r="H194" s="809"/>
      <c r="I194" s="337"/>
    </row>
    <row r="195" spans="1:31" s="1187" customFormat="1" ht="16.5" customHeight="1" thickBot="1" x14ac:dyDescent="0.25">
      <c r="A195" s="803" t="s">
        <v>627</v>
      </c>
      <c r="B195" s="805" t="s">
        <v>888</v>
      </c>
      <c r="C195" s="786" t="s">
        <v>0</v>
      </c>
      <c r="D195" s="786" t="s">
        <v>609</v>
      </c>
      <c r="E195" s="805" t="s">
        <v>889</v>
      </c>
      <c r="F195" s="971" t="s">
        <v>42</v>
      </c>
      <c r="G195" s="1165" t="s">
        <v>789</v>
      </c>
      <c r="H195" s="1163"/>
      <c r="I195" s="1163"/>
      <c r="J195" s="1163"/>
      <c r="K195" s="1163"/>
      <c r="L195" s="1163"/>
      <c r="M195" s="1163"/>
      <c r="N195" s="1163"/>
      <c r="O195" s="1163"/>
      <c r="P195" s="1163"/>
      <c r="Q195" s="1163"/>
      <c r="R195" s="1163"/>
      <c r="S195" s="1163"/>
      <c r="T195" s="1163"/>
      <c r="U195" s="1163"/>
      <c r="V195" s="1164"/>
      <c r="W195" s="930" t="s">
        <v>436</v>
      </c>
      <c r="X195" s="786" t="s">
        <v>421</v>
      </c>
      <c r="Y195" s="786" t="s">
        <v>628</v>
      </c>
      <c r="Z195" s="786" t="s">
        <v>11</v>
      </c>
      <c r="AA195" s="786" t="s">
        <v>12</v>
      </c>
      <c r="AB195" s="786" t="s">
        <v>13</v>
      </c>
      <c r="AC195" s="786" t="s">
        <v>449</v>
      </c>
      <c r="AD195" s="971" t="s">
        <v>610</v>
      </c>
      <c r="AE195" s="1161"/>
    </row>
    <row r="196" spans="1:31" s="1187" customFormat="1" ht="47.25" customHeight="1" thickBot="1" x14ac:dyDescent="0.25">
      <c r="A196" s="804"/>
      <c r="B196" s="806"/>
      <c r="C196" s="787"/>
      <c r="D196" s="787"/>
      <c r="E196" s="806"/>
      <c r="F196" s="787"/>
      <c r="G196" s="1204" t="s">
        <v>432</v>
      </c>
      <c r="H196" s="1204" t="s">
        <v>1380</v>
      </c>
      <c r="I196" s="1200" t="s">
        <v>1381</v>
      </c>
      <c r="J196" s="1200" t="s">
        <v>1382</v>
      </c>
      <c r="K196" s="1200" t="s">
        <v>433</v>
      </c>
      <c r="L196" s="1200" t="s">
        <v>1383</v>
      </c>
      <c r="M196" s="1200" t="s">
        <v>1386</v>
      </c>
      <c r="N196" s="1200" t="s">
        <v>1387</v>
      </c>
      <c r="O196" s="1200" t="s">
        <v>434</v>
      </c>
      <c r="P196" s="1200" t="s">
        <v>1384</v>
      </c>
      <c r="Q196" s="1200" t="s">
        <v>1388</v>
      </c>
      <c r="R196" s="1200" t="s">
        <v>1389</v>
      </c>
      <c r="S196" s="1200" t="s">
        <v>435</v>
      </c>
      <c r="T196" s="1200" t="s">
        <v>1385</v>
      </c>
      <c r="U196" s="1200" t="s">
        <v>1390</v>
      </c>
      <c r="V196" s="1200" t="s">
        <v>1391</v>
      </c>
      <c r="W196" s="787"/>
      <c r="X196" s="787"/>
      <c r="Y196" s="787"/>
      <c r="Z196" s="787"/>
      <c r="AA196" s="787"/>
      <c r="AB196" s="787"/>
      <c r="AC196" s="787"/>
      <c r="AD196" s="972"/>
      <c r="AE196" s="1162"/>
    </row>
    <row r="197" spans="1:31" s="1187" customFormat="1" x14ac:dyDescent="0.2">
      <c r="A197" s="1194"/>
      <c r="B197" s="1191"/>
      <c r="C197" s="1189"/>
      <c r="D197" s="1191"/>
      <c r="E197" s="1191"/>
      <c r="F197" s="1197"/>
      <c r="G197" s="1191"/>
      <c r="H197" s="1191"/>
      <c r="I197" s="1191"/>
      <c r="J197" s="1191"/>
      <c r="K197" s="1191"/>
      <c r="L197" s="1191"/>
      <c r="M197" s="1191"/>
      <c r="N197" s="1191"/>
      <c r="O197" s="1191"/>
      <c r="P197" s="1191"/>
      <c r="Q197" s="1191"/>
      <c r="R197" s="1191"/>
      <c r="S197" s="1191"/>
      <c r="T197" s="1191"/>
      <c r="U197" s="1191"/>
      <c r="V197" s="1191"/>
      <c r="W197" s="1191"/>
      <c r="X197" s="1191"/>
      <c r="Y197" s="1191"/>
      <c r="Z197" s="1191"/>
      <c r="AA197" s="1191"/>
      <c r="AB197" s="1191"/>
      <c r="AC197" s="1201"/>
      <c r="AD197" s="796"/>
      <c r="AE197" s="797"/>
    </row>
    <row r="198" spans="1:31" s="1187" customFormat="1" x14ac:dyDescent="0.2">
      <c r="A198" s="1195"/>
      <c r="B198" s="1192"/>
      <c r="C198" s="1188"/>
      <c r="D198" s="1192"/>
      <c r="E198" s="1192"/>
      <c r="F198" s="1198"/>
      <c r="G198" s="1192"/>
      <c r="H198" s="1192"/>
      <c r="I198" s="1192"/>
      <c r="J198" s="1192"/>
      <c r="K198" s="1192"/>
      <c r="L198" s="1192"/>
      <c r="M198" s="1192"/>
      <c r="N198" s="1192"/>
      <c r="O198" s="1192"/>
      <c r="P198" s="1192"/>
      <c r="Q198" s="1192"/>
      <c r="R198" s="1192"/>
      <c r="S198" s="1192"/>
      <c r="T198" s="1192"/>
      <c r="U198" s="1192"/>
      <c r="V198" s="1192"/>
      <c r="W198" s="1192"/>
      <c r="X198" s="1192"/>
      <c r="Y198" s="1192"/>
      <c r="Z198" s="1192"/>
      <c r="AA198" s="1192"/>
      <c r="AB198" s="1192"/>
      <c r="AC198" s="1202"/>
      <c r="AD198" s="798"/>
      <c r="AE198" s="799"/>
    </row>
    <row r="199" spans="1:31" s="1187" customFormat="1" x14ac:dyDescent="0.2">
      <c r="A199" s="1195"/>
      <c r="B199" s="1192"/>
      <c r="C199" s="1188"/>
      <c r="D199" s="1192"/>
      <c r="E199" s="1192"/>
      <c r="F199" s="1198"/>
      <c r="G199" s="1192"/>
      <c r="H199" s="1192"/>
      <c r="I199" s="1192"/>
      <c r="J199" s="1192"/>
      <c r="K199" s="1192"/>
      <c r="L199" s="1192"/>
      <c r="M199" s="1192"/>
      <c r="N199" s="1192"/>
      <c r="O199" s="1192"/>
      <c r="P199" s="1192"/>
      <c r="Q199" s="1192"/>
      <c r="R199" s="1192"/>
      <c r="S199" s="1192"/>
      <c r="T199" s="1192"/>
      <c r="U199" s="1192"/>
      <c r="V199" s="1192"/>
      <c r="W199" s="1192"/>
      <c r="X199" s="1192"/>
      <c r="Y199" s="1192"/>
      <c r="Z199" s="1192"/>
      <c r="AA199" s="1192"/>
      <c r="AB199" s="1192"/>
      <c r="AC199" s="1202"/>
      <c r="AD199" s="798"/>
      <c r="AE199" s="799"/>
    </row>
    <row r="200" spans="1:31" s="1187" customFormat="1" x14ac:dyDescent="0.2">
      <c r="A200" s="1195"/>
      <c r="B200" s="1192"/>
      <c r="C200" s="1188"/>
      <c r="D200" s="1192"/>
      <c r="E200" s="1192"/>
      <c r="F200" s="1198"/>
      <c r="G200" s="1192"/>
      <c r="H200" s="1192"/>
      <c r="I200" s="1192"/>
      <c r="J200" s="1192"/>
      <c r="K200" s="1192"/>
      <c r="L200" s="1192"/>
      <c r="M200" s="1192"/>
      <c r="N200" s="1192"/>
      <c r="O200" s="1192"/>
      <c r="P200" s="1192"/>
      <c r="Q200" s="1192"/>
      <c r="R200" s="1192"/>
      <c r="S200" s="1192"/>
      <c r="T200" s="1192"/>
      <c r="U200" s="1192"/>
      <c r="V200" s="1192"/>
      <c r="W200" s="1192"/>
      <c r="X200" s="1192"/>
      <c r="Y200" s="1192"/>
      <c r="Z200" s="1192"/>
      <c r="AA200" s="1192"/>
      <c r="AB200" s="1192"/>
      <c r="AC200" s="1202"/>
      <c r="AD200" s="798"/>
      <c r="AE200" s="799"/>
    </row>
    <row r="201" spans="1:31" s="1187" customFormat="1" x14ac:dyDescent="0.2">
      <c r="A201" s="1195"/>
      <c r="B201" s="1192"/>
      <c r="C201" s="1188"/>
      <c r="D201" s="1192"/>
      <c r="E201" s="1192"/>
      <c r="F201" s="1198"/>
      <c r="G201" s="1192"/>
      <c r="H201" s="1192"/>
      <c r="I201" s="1192"/>
      <c r="J201" s="1192"/>
      <c r="K201" s="1192"/>
      <c r="L201" s="1192"/>
      <c r="M201" s="1192"/>
      <c r="N201" s="1192"/>
      <c r="O201" s="1192"/>
      <c r="P201" s="1192"/>
      <c r="Q201" s="1192"/>
      <c r="R201" s="1192"/>
      <c r="S201" s="1192"/>
      <c r="T201" s="1192"/>
      <c r="U201" s="1192"/>
      <c r="V201" s="1192"/>
      <c r="W201" s="1192"/>
      <c r="X201" s="1192"/>
      <c r="Y201" s="1192"/>
      <c r="Z201" s="1192"/>
      <c r="AA201" s="1192"/>
      <c r="AB201" s="1192"/>
      <c r="AC201" s="1202"/>
      <c r="AD201" s="798"/>
      <c r="AE201" s="799"/>
    </row>
    <row r="202" spans="1:31" s="1187" customFormat="1" ht="16.5" thickBot="1" x14ac:dyDescent="0.25">
      <c r="A202" s="1196"/>
      <c r="B202" s="1193"/>
      <c r="C202" s="1190"/>
      <c r="D202" s="1193"/>
      <c r="E202" s="1193"/>
      <c r="F202" s="1199"/>
      <c r="G202" s="1193"/>
      <c r="H202" s="1193"/>
      <c r="I202" s="1193"/>
      <c r="J202" s="1193"/>
      <c r="K202" s="1193"/>
      <c r="L202" s="1193"/>
      <c r="M202" s="1193"/>
      <c r="N202" s="1193"/>
      <c r="O202" s="1193"/>
      <c r="P202" s="1193"/>
      <c r="Q202" s="1193"/>
      <c r="R202" s="1193"/>
      <c r="S202" s="1193"/>
      <c r="T202" s="1193"/>
      <c r="U202" s="1193"/>
      <c r="V202" s="1193"/>
      <c r="W202" s="1193"/>
      <c r="X202" s="1193"/>
      <c r="Y202" s="1193"/>
      <c r="Z202" s="1193"/>
      <c r="AA202" s="1193"/>
      <c r="AB202" s="1193"/>
      <c r="AC202" s="1203"/>
      <c r="AD202" s="792"/>
      <c r="AE202" s="793"/>
    </row>
    <row r="203" spans="1:31" s="218" customFormat="1" x14ac:dyDescent="0.2">
      <c r="F203" s="337"/>
      <c r="G203" s="337"/>
      <c r="H203" s="337"/>
      <c r="I203" s="337"/>
    </row>
    <row r="204" spans="1:31" s="218" customFormat="1" x14ac:dyDescent="0.2">
      <c r="F204" s="337"/>
      <c r="G204" s="337"/>
      <c r="H204" s="337"/>
      <c r="I204" s="337"/>
    </row>
    <row r="205" spans="1:31" s="218" customFormat="1" ht="16.5" thickBot="1" x14ac:dyDescent="0.25">
      <c r="F205" s="337"/>
      <c r="G205" s="337"/>
      <c r="H205" s="337"/>
      <c r="I205" s="337"/>
    </row>
    <row r="206" spans="1:31" ht="16.5" thickBot="1" x14ac:dyDescent="0.25">
      <c r="A206" s="555" t="s">
        <v>454</v>
      </c>
      <c r="B206" s="556" t="s">
        <v>455</v>
      </c>
    </row>
    <row r="207" spans="1:31" x14ac:dyDescent="0.2">
      <c r="A207" s="450" t="s">
        <v>456</v>
      </c>
      <c r="B207" s="557" t="s">
        <v>51</v>
      </c>
    </row>
    <row r="208" spans="1:31" x14ac:dyDescent="0.2">
      <c r="A208" s="558" t="s">
        <v>65</v>
      </c>
      <c r="B208" s="559" t="s">
        <v>51</v>
      </c>
    </row>
    <row r="209" spans="1:9" x14ac:dyDescent="0.2">
      <c r="A209" s="558" t="s">
        <v>257</v>
      </c>
      <c r="B209" s="559" t="s">
        <v>51</v>
      </c>
    </row>
    <row r="210" spans="1:9" x14ac:dyDescent="0.2">
      <c r="A210" s="558" t="s">
        <v>258</v>
      </c>
      <c r="B210" s="559" t="s">
        <v>51</v>
      </c>
    </row>
    <row r="211" spans="1:9" x14ac:dyDescent="0.2">
      <c r="A211" s="558" t="s">
        <v>259</v>
      </c>
      <c r="B211" s="559" t="s">
        <v>53</v>
      </c>
    </row>
    <row r="212" spans="1:9" x14ac:dyDescent="0.2">
      <c r="A212" s="558" t="s">
        <v>281</v>
      </c>
      <c r="B212" s="559" t="s">
        <v>53</v>
      </c>
      <c r="F212" s="69"/>
      <c r="G212" s="69"/>
      <c r="H212" s="69"/>
      <c r="I212" s="69"/>
    </row>
    <row r="213" spans="1:9" x14ac:dyDescent="0.2">
      <c r="A213" s="560" t="s">
        <v>279</v>
      </c>
      <c r="B213" s="559" t="s">
        <v>53</v>
      </c>
      <c r="F213" s="69"/>
      <c r="G213" s="69"/>
      <c r="H213" s="69"/>
      <c r="I213" s="69"/>
    </row>
    <row r="214" spans="1:9" x14ac:dyDescent="0.2">
      <c r="A214" s="560" t="s">
        <v>457</v>
      </c>
      <c r="B214" s="559" t="s">
        <v>53</v>
      </c>
      <c r="F214" s="69"/>
      <c r="G214" s="69"/>
      <c r="H214" s="69"/>
      <c r="I214" s="69"/>
    </row>
    <row r="215" spans="1:9" ht="16.5" thickBot="1" x14ac:dyDescent="0.25">
      <c r="A215" s="561" t="s">
        <v>460</v>
      </c>
      <c r="B215" s="562" t="s">
        <v>51</v>
      </c>
      <c r="F215" s="69"/>
      <c r="G215" s="69"/>
      <c r="H215" s="69"/>
      <c r="I215" s="69"/>
    </row>
  </sheetData>
  <sheetProtection formatCells="0" formatColumns="0" formatRows="0" insertColumns="0" insertRows="0" deleteColumns="0" deleteRows="0" sort="0" autoFilter="0"/>
  <autoFilter ref="A30:AB30" xr:uid="{00000000-0009-0000-0000-000011000000}"/>
  <dataConsolidate>
    <dataRefs count="2">
      <dataRef ref="B9" sheet="APPENDIX B-1  (FE - USWC)"/>
      <dataRef ref="A14:A18" sheet="APPENDIX B-1  (FE - USWC)"/>
    </dataRefs>
  </dataConsolidate>
  <mergeCells count="270">
    <mergeCell ref="AD199:AE199"/>
    <mergeCell ref="AD200:AE200"/>
    <mergeCell ref="AD201:AE201"/>
    <mergeCell ref="AD202:AE202"/>
    <mergeCell ref="X195:X196"/>
    <mergeCell ref="Y195:Y196"/>
    <mergeCell ref="Z195:Z196"/>
    <mergeCell ref="AA195:AA196"/>
    <mergeCell ref="AB195:AB196"/>
    <mergeCell ref="AC195:AC196"/>
    <mergeCell ref="AD195:AE196"/>
    <mergeCell ref="AD197:AE197"/>
    <mergeCell ref="AD198:AE198"/>
    <mergeCell ref="B108:D108"/>
    <mergeCell ref="E108:G108"/>
    <mergeCell ref="B109:D109"/>
    <mergeCell ref="E109:G109"/>
    <mergeCell ref="M90:M92"/>
    <mergeCell ref="B95:D95"/>
    <mergeCell ref="E95:G95"/>
    <mergeCell ref="L90:L92"/>
    <mergeCell ref="J90:J92"/>
    <mergeCell ref="B102:D102"/>
    <mergeCell ref="E102:G102"/>
    <mergeCell ref="B94:D94"/>
    <mergeCell ref="B93:D93"/>
    <mergeCell ref="B96:D96"/>
    <mergeCell ref="E96:G96"/>
    <mergeCell ref="E94:G94"/>
    <mergeCell ref="E107:G107"/>
    <mergeCell ref="E93:G93"/>
    <mergeCell ref="AC48:AC49"/>
    <mergeCell ref="AA48:AA49"/>
    <mergeCell ref="B81:D81"/>
    <mergeCell ref="B68:D68"/>
    <mergeCell ref="A58:C58"/>
    <mergeCell ref="A48:A49"/>
    <mergeCell ref="AB48:AB49"/>
    <mergeCell ref="M48:M49"/>
    <mergeCell ref="Z48:Z49"/>
    <mergeCell ref="H48:H49"/>
    <mergeCell ref="L48:L49"/>
    <mergeCell ref="A73:C73"/>
    <mergeCell ref="C48:C49"/>
    <mergeCell ref="B66:D66"/>
    <mergeCell ref="B67:D67"/>
    <mergeCell ref="D48:D49"/>
    <mergeCell ref="F48:F49"/>
    <mergeCell ref="E48:E49"/>
    <mergeCell ref="A72:C72"/>
    <mergeCell ref="B80:D80"/>
    <mergeCell ref="A1:B1"/>
    <mergeCell ref="C1:F1"/>
    <mergeCell ref="A2:B2"/>
    <mergeCell ref="C2:F2"/>
    <mergeCell ref="A3:B3"/>
    <mergeCell ref="C3:F3"/>
    <mergeCell ref="L17:M17"/>
    <mergeCell ref="L30:L31"/>
    <mergeCell ref="L15:M15"/>
    <mergeCell ref="L13:M13"/>
    <mergeCell ref="J14:K14"/>
    <mergeCell ref="L14:M14"/>
    <mergeCell ref="J15:K15"/>
    <mergeCell ref="L16:M16"/>
    <mergeCell ref="J16:K16"/>
    <mergeCell ref="J17:K17"/>
    <mergeCell ref="A4:B4"/>
    <mergeCell ref="C4:F4"/>
    <mergeCell ref="A5:B5"/>
    <mergeCell ref="C5:F5"/>
    <mergeCell ref="A6:B6"/>
    <mergeCell ref="A7:B7"/>
    <mergeCell ref="B16:I16"/>
    <mergeCell ref="C8:F8"/>
    <mergeCell ref="C6:F6"/>
    <mergeCell ref="G30:G31"/>
    <mergeCell ref="E30:E31"/>
    <mergeCell ref="D30:D31"/>
    <mergeCell ref="B24:H24"/>
    <mergeCell ref="B14:I14"/>
    <mergeCell ref="B15:I15"/>
    <mergeCell ref="C7:F7"/>
    <mergeCell ref="B21:H21"/>
    <mergeCell ref="B17:I17"/>
    <mergeCell ref="B23:H23"/>
    <mergeCell ref="F30:F31"/>
    <mergeCell ref="H30:H31"/>
    <mergeCell ref="B22:H22"/>
    <mergeCell ref="B30:B31"/>
    <mergeCell ref="A8:B8"/>
    <mergeCell ref="A12:J12"/>
    <mergeCell ref="B13:I13"/>
    <mergeCell ref="J13:K13"/>
    <mergeCell ref="A30:A31"/>
    <mergeCell ref="B20:H20"/>
    <mergeCell ref="C30:C31"/>
    <mergeCell ref="Z39:Z40"/>
    <mergeCell ref="AA30:AA31"/>
    <mergeCell ref="AA39:AA40"/>
    <mergeCell ref="I48:I49"/>
    <mergeCell ref="X39:X40"/>
    <mergeCell ref="Z30:Z31"/>
    <mergeCell ref="Y30:Y31"/>
    <mergeCell ref="X30:X31"/>
    <mergeCell ref="I30:I31"/>
    <mergeCell ref="J30:J31"/>
    <mergeCell ref="K48:K49"/>
    <mergeCell ref="I39:I40"/>
    <mergeCell ref="J39:J40"/>
    <mergeCell ref="K39:K40"/>
    <mergeCell ref="K30:K31"/>
    <mergeCell ref="J48:J49"/>
    <mergeCell ref="Y39:Y40"/>
    <mergeCell ref="K132:K133"/>
    <mergeCell ref="A90:G90"/>
    <mergeCell ref="H90:H92"/>
    <mergeCell ref="A91:G91"/>
    <mergeCell ref="E110:G110"/>
    <mergeCell ref="A92:G92"/>
    <mergeCell ref="B115:D115"/>
    <mergeCell ref="B106:D106"/>
    <mergeCell ref="E106:G106"/>
    <mergeCell ref="B107:D107"/>
    <mergeCell ref="B99:D99"/>
    <mergeCell ref="B118:D118"/>
    <mergeCell ref="A130:I130"/>
    <mergeCell ref="B121:D121"/>
    <mergeCell ref="K90:K92"/>
    <mergeCell ref="B105:D105"/>
    <mergeCell ref="E105:G105"/>
    <mergeCell ref="I90:I92"/>
    <mergeCell ref="B119:D119"/>
    <mergeCell ref="E119:G119"/>
    <mergeCell ref="B112:D112"/>
    <mergeCell ref="E112:G112"/>
    <mergeCell ref="B98:D98"/>
    <mergeCell ref="E125:G125"/>
    <mergeCell ref="E124:G124"/>
    <mergeCell ref="E97:G97"/>
    <mergeCell ref="E118:G118"/>
    <mergeCell ref="B123:D123"/>
    <mergeCell ref="B117:D117"/>
    <mergeCell ref="E117:G117"/>
    <mergeCell ref="E99:G99"/>
    <mergeCell ref="B100:D100"/>
    <mergeCell ref="E100:G100"/>
    <mergeCell ref="B101:D101"/>
    <mergeCell ref="E101:G101"/>
    <mergeCell ref="B104:D104"/>
    <mergeCell ref="E104:G104"/>
    <mergeCell ref="B103:D103"/>
    <mergeCell ref="E103:G103"/>
    <mergeCell ref="B113:D113"/>
    <mergeCell ref="E113:G113"/>
    <mergeCell ref="E115:G115"/>
    <mergeCell ref="B110:D110"/>
    <mergeCell ref="B114:D114"/>
    <mergeCell ref="E116:G116"/>
    <mergeCell ref="B122:D122"/>
    <mergeCell ref="E114:G114"/>
    <mergeCell ref="B120:D120"/>
    <mergeCell ref="E120:G120"/>
    <mergeCell ref="B116:D116"/>
    <mergeCell ref="B97:D97"/>
    <mergeCell ref="A39:A40"/>
    <mergeCell ref="C39:C40"/>
    <mergeCell ref="B83:D83"/>
    <mergeCell ref="F39:F40"/>
    <mergeCell ref="A87:I87"/>
    <mergeCell ref="A86:I86"/>
    <mergeCell ref="B69:D69"/>
    <mergeCell ref="G39:G40"/>
    <mergeCell ref="H39:H40"/>
    <mergeCell ref="G48:G49"/>
    <mergeCell ref="E39:E40"/>
    <mergeCell ref="D39:D40"/>
    <mergeCell ref="A57:C57"/>
    <mergeCell ref="B48:B49"/>
    <mergeCell ref="B39:B40"/>
    <mergeCell ref="B65:D65"/>
    <mergeCell ref="B84:D84"/>
    <mergeCell ref="A47:D47"/>
    <mergeCell ref="B82:D82"/>
    <mergeCell ref="B88:I88"/>
    <mergeCell ref="E98:G98"/>
    <mergeCell ref="E123:G123"/>
    <mergeCell ref="B124:D124"/>
    <mergeCell ref="B125:D125"/>
    <mergeCell ref="E122:G122"/>
    <mergeCell ref="E121:G121"/>
    <mergeCell ref="B111:D111"/>
    <mergeCell ref="E111:G111"/>
    <mergeCell ref="A157:I157"/>
    <mergeCell ref="E139:E140"/>
    <mergeCell ref="A139:D139"/>
    <mergeCell ref="G132:G133"/>
    <mergeCell ref="E132:E133"/>
    <mergeCell ref="E126:G126"/>
    <mergeCell ref="B126:D126"/>
    <mergeCell ref="I139:I140"/>
    <mergeCell ref="H139:H140"/>
    <mergeCell ref="A147:E147"/>
    <mergeCell ref="F139:F140"/>
    <mergeCell ref="G139:G140"/>
    <mergeCell ref="B128:D128"/>
    <mergeCell ref="E128:G128"/>
    <mergeCell ref="F132:F133"/>
    <mergeCell ref="A132:D132"/>
    <mergeCell ref="H132:H133"/>
    <mergeCell ref="M188:N188"/>
    <mergeCell ref="M187:N187"/>
    <mergeCell ref="M182:N183"/>
    <mergeCell ref="F182:F183"/>
    <mergeCell ref="H182:H183"/>
    <mergeCell ref="A149:F149"/>
    <mergeCell ref="A151:F151"/>
    <mergeCell ref="A150:F150"/>
    <mergeCell ref="I132:I133"/>
    <mergeCell ref="J139:J140"/>
    <mergeCell ref="L139:L140"/>
    <mergeCell ref="J132:J133"/>
    <mergeCell ref="M139:M140"/>
    <mergeCell ref="K139:K140"/>
    <mergeCell ref="B166:I166"/>
    <mergeCell ref="B171:I171"/>
    <mergeCell ref="B172:I172"/>
    <mergeCell ref="B173:I173"/>
    <mergeCell ref="A177:B177"/>
    <mergeCell ref="A179:G179"/>
    <mergeCell ref="B167:I167"/>
    <mergeCell ref="B168:I168"/>
    <mergeCell ref="B169:I169"/>
    <mergeCell ref="L132:L133"/>
    <mergeCell ref="B127:D127"/>
    <mergeCell ref="E127:G127"/>
    <mergeCell ref="B162:I162"/>
    <mergeCell ref="B165:I165"/>
    <mergeCell ref="B164:I164"/>
    <mergeCell ref="B163:I163"/>
    <mergeCell ref="B160:I160"/>
    <mergeCell ref="B161:I161"/>
    <mergeCell ref="B159:I159"/>
    <mergeCell ref="A129:I129"/>
    <mergeCell ref="B195:B196"/>
    <mergeCell ref="C195:C196"/>
    <mergeCell ref="D195:D196"/>
    <mergeCell ref="E195:E196"/>
    <mergeCell ref="A192:G192"/>
    <mergeCell ref="A194:H194"/>
    <mergeCell ref="F195:F196"/>
    <mergeCell ref="A195:A196"/>
    <mergeCell ref="G195:V195"/>
    <mergeCell ref="A182:A183"/>
    <mergeCell ref="M186:N186"/>
    <mergeCell ref="C182:C183"/>
    <mergeCell ref="D182:D183"/>
    <mergeCell ref="I182:I183"/>
    <mergeCell ref="B170:I170"/>
    <mergeCell ref="M184:N184"/>
    <mergeCell ref="A181:E181"/>
    <mergeCell ref="E182:E183"/>
    <mergeCell ref="B182:B183"/>
    <mergeCell ref="G182:G183"/>
    <mergeCell ref="M185:N185"/>
    <mergeCell ref="J182:J183"/>
    <mergeCell ref="K182:K183"/>
    <mergeCell ref="L182:L183"/>
    <mergeCell ref="M189:N189"/>
    <mergeCell ref="W195:W196"/>
  </mergeCells>
  <phoneticPr fontId="11" type="noConversion"/>
  <dataValidations count="33">
    <dataValidation type="list" allowBlank="1" showInputMessage="1" showErrorMessage="1" sqref="B207:B215" xr:uid="{00000000-0002-0000-1100-000000000000}">
      <formula1>Autom</formula1>
    </dataValidation>
    <dataValidation type="list" showInputMessage="1" showErrorMessage="1" sqref="C184:C189 C197:C202" xr:uid="{00000000-0002-0000-1100-000001000000}">
      <formula1>IF($B184="I",DDTARIFFUS,DDTARIFF)</formula1>
    </dataValidation>
    <dataValidation type="list" allowBlank="1" showInputMessage="1" showErrorMessage="1" sqref="B184:B189 B197:B202" xr:uid="{00000000-0002-0000-1100-000002000000}">
      <formula1>EXPIMP</formula1>
    </dataValidation>
    <dataValidation type="list" allowBlank="1" showInputMessage="1" showErrorMessage="1" sqref="F184:F189 W197:W202" xr:uid="{00000000-0002-0000-1100-000003000000}">
      <formula1>EQTYPE</formula1>
    </dataValidation>
    <dataValidation type="list" allowBlank="1" showInputMessage="1" showErrorMessage="1" sqref="G184:G189 X197:X202" xr:uid="{00000000-0002-0000-1100-000004000000}">
      <formula1>OPREEFER</formula1>
    </dataValidation>
    <dataValidation type="list" allowBlank="1" showInputMessage="1" showErrorMessage="1" sqref="F197:F202" xr:uid="{D8A6FA68-970D-4938-9752-16F879CB1711}">
      <formula1>CURRENCY</formula1>
    </dataValidation>
    <dataValidation type="whole" allowBlank="1" showInputMessage="1" showErrorMessage="1" error="Only whole numbers can be entered into this field" sqref="D184:D189 D197:D202" xr:uid="{00000000-0002-0000-1100-000006000000}">
      <formula1>1</formula1>
      <formula2>99</formula2>
    </dataValidation>
    <dataValidation type="list" showInputMessage="1" showErrorMessage="1" sqref="E184:E189 E197:E202" xr:uid="{00000000-0002-0000-1100-000007000000}">
      <formula1>DAYS</formula1>
    </dataValidation>
    <dataValidation type="whole" allowBlank="1" showInputMessage="1" showErrorMessage="1" error="Only whole numbers may be entered into this field_x000a_" sqref="G197:G202 S197:S202 O197:O202 K197:K202" xr:uid="{C1108923-083C-4E3D-8B7A-775A005ECEAF}">
      <formula1>1</formula1>
      <formula2>99</formula2>
    </dataValidation>
    <dataValidation type="decimal" allowBlank="1" showInputMessage="1" showErrorMessage="1" error="Only numbers may be entered into this field" sqref="H197:J202 L197:N202 P197:R202 T197:V202" xr:uid="{45EF6D3D-1C7A-408C-A308-3463C03C815D}">
      <formula1>1</formula1>
      <formula2>1000000000</formula2>
    </dataValidation>
    <dataValidation type="list" showInputMessage="1" showErrorMessage="1" sqref="K134:K137 K141:K144 N66:N69 A41:A44 A50:A53 A32:A35 N81:N84" xr:uid="{00000000-0002-0000-1100-00000A000000}">
      <formula1>$A$14:$A$18</formula1>
    </dataValidation>
    <dataValidation type="list" allowBlank="1" showInputMessage="1" showErrorMessage="1" sqref="J134:J137 J141:J144" xr:uid="{00000000-0002-0000-1100-00000B000000}">
      <formula1>GRIPSS</formula1>
    </dataValidation>
    <dataValidation type="decimal" allowBlank="1" showInputMessage="1" showErrorMessage="1" sqref="F141:I144 F134:I137 I32:L35 I41:K44 J81:M84 I50:L53" xr:uid="{00000000-0002-0000-1100-00000C000000}">
      <formula1>0</formula1>
      <formula2>999999999999999</formula2>
    </dataValidation>
    <dataValidation type="list" allowBlank="1" showInputMessage="1" showErrorMessage="1" sqref="E134:E137 E141:E144" xr:uid="{00000000-0002-0000-1100-00000D000000}">
      <formula1>GRIPSS_EQ</formula1>
    </dataValidation>
    <dataValidation type="list" showInputMessage="1" showErrorMessage="1" sqref="A184:A189 A197:A202" xr:uid="{00000000-0002-0000-1100-00000E000000}">
      <formula1>BULLET</formula1>
    </dataValidation>
    <dataValidation type="date" allowBlank="1" showInputMessage="1" showErrorMessage="1" sqref="X32:Y35 J93:K128" xr:uid="{00000000-0002-0000-1100-00000F000000}">
      <formula1>10101</formula1>
      <formula2>311299</formula2>
    </dataValidation>
    <dataValidation type="list" showDropDown="1" showErrorMessage="1" sqref="O65:P65 O80:P80" xr:uid="{00000000-0002-0000-1100-000010000000}">
      <formula1>Charges</formula1>
    </dataValidation>
    <dataValidation type="list" allowBlank="1" showInputMessage="1" showErrorMessage="1" sqref="O66:P69 O81:P84" xr:uid="{00000000-0002-0000-1100-000011000000}">
      <formula1 xml:space="preserve"> droppull</formula1>
    </dataValidation>
    <dataValidation type="list" allowBlank="1" showInputMessage="1" showErrorMessage="1" sqref="L41:L44 G66:G69 P50:P53 N41:N44 G81:G84" xr:uid="{00000000-0002-0000-1100-000012000000}">
      <formula1>YesNo</formula1>
    </dataValidation>
    <dataValidation type="list" allowBlank="1" showInputMessage="1" showErrorMessage="1" sqref="M50:M53" xr:uid="{00000000-0002-0000-1100-000013000000}">
      <formula1>Equip</formula1>
    </dataValidation>
    <dataValidation type="list" allowBlank="1" showInputMessage="1" showErrorMessage="1" sqref="F66:F69 F81:F84" xr:uid="{00000000-0002-0000-1100-000014000000}">
      <formula1>ArbMode</formula1>
    </dataValidation>
    <dataValidation type="list" allowBlank="1" showInputMessage="1" showErrorMessage="1" sqref="G41:G44 G50:G53 G32:G35" xr:uid="{00000000-0002-0000-1100-000015000000}">
      <formula1>SDD</formula1>
    </dataValidation>
    <dataValidation type="list" allowBlank="1" showInputMessage="1" showErrorMessage="1" sqref="M31:W31 Q49:Y49" xr:uid="{00000000-0002-0000-1100-000016000000}">
      <formula1>Container</formula1>
    </dataValidation>
    <dataValidation type="list" allowBlank="1" showInputMessage="1" showErrorMessage="1" sqref="O40:W40" xr:uid="{00000000-0002-0000-1100-000017000000}">
      <formula1>Reefer</formula1>
    </dataValidation>
    <dataValidation type="list" allowBlank="1" showInputMessage="1" showErrorMessage="1" sqref="F32:F35 F50:F53 F41:F44" xr:uid="{00000000-0002-0000-1100-000018000000}">
      <formula1>Mode</formula1>
    </dataValidation>
    <dataValidation type="list" allowBlank="1" showInputMessage="1" showErrorMessage="1" sqref="M41:M44 O50:O53" xr:uid="{00000000-0002-0000-1100-000019000000}">
      <formula1>ShipperOwn</formula1>
    </dataValidation>
    <dataValidation type="list" allowBlank="1" showInputMessage="1" showErrorMessage="1" sqref="N50:N53" xr:uid="{00000000-0002-0000-1100-00001A000000}">
      <formula1>OOG</formula1>
    </dataValidation>
    <dataValidation type="list" allowBlank="1" showErrorMessage="1" sqref="M30:W30 Q48:Y48 O39:W39" xr:uid="{00000000-0002-0000-1100-00001B000000}">
      <formula1>Exceptions</formula1>
    </dataValidation>
    <dataValidation type="list" allowBlank="1" showInputMessage="1" showErrorMessage="1" sqref="AA32:AA35 AC50:AC53 AA41:AA44" xr:uid="{00000000-0002-0000-1100-00001C000000}">
      <formula1>CST</formula1>
    </dataValidation>
    <dataValidation type="list" allowBlank="1" showInputMessage="1" showErrorMessage="1" sqref="I93:I128" xr:uid="{00000000-0002-0000-1100-00001D000000}">
      <formula1>$A$14:$A$18</formula1>
    </dataValidation>
    <dataValidation type="list" allowBlank="1" showErrorMessage="1" sqref="A93:A128" xr:uid="{00000000-0002-0000-1100-00001E000000}">
      <formula1>Charges</formula1>
    </dataValidation>
    <dataValidation allowBlank="1" showInputMessage="1" showErrorMessage="1" promptTitle="Acceptable Values:" prompt="- Applicable _x000a_- Not applicable _x000a_- Included_x000a_- Amount and OSPF for cases of fixed per D40 OSPF_x000a_    (example-  &quot;375 OSPF&quot;)" sqref="E93:G128" xr:uid="{00000000-0002-0000-1100-00001F000000}"/>
    <dataValidation type="list" allowBlank="1" showInputMessage="1" showErrorMessage="1" errorTitle="Pick up the list" promptTitle="Blank = ALL" sqref="H93:H128" xr:uid="{00000000-0002-0000-1100-000020000000}">
      <formula1>Type_note2</formula1>
    </dataValidation>
  </dataValidations>
  <pageMargins left="0.25" right="0.25" top="0.25" bottom="0.25" header="0.5" footer="0"/>
  <pageSetup scale="28" fitToHeight="0" orientation="landscape" r:id="rId1"/>
  <headerFooter alignWithMargins="0"/>
  <rowBreaks count="1" manualBreakCount="1">
    <brk id="88" max="16383" man="1"/>
  </rowBreaks>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55">
    <tabColor indexed="46"/>
    <pageSetUpPr fitToPage="1"/>
  </sheetPr>
  <dimension ref="A1:BB207"/>
  <sheetViews>
    <sheetView showGridLines="0" topLeftCell="A166" zoomScale="75" zoomScaleNormal="75" zoomScaleSheetLayoutView="75" workbookViewId="0">
      <selection activeCell="G187" sqref="A187:XFD194"/>
    </sheetView>
  </sheetViews>
  <sheetFormatPr defaultColWidth="9.140625" defaultRowHeight="15.75" x14ac:dyDescent="0.2"/>
  <cols>
    <col min="1" max="1" width="25.140625" style="69" customWidth="1"/>
    <col min="2" max="2" width="18.5703125" style="69" customWidth="1"/>
    <col min="3" max="3" width="18.28515625" style="69" customWidth="1"/>
    <col min="4" max="4" width="17.42578125" style="69" customWidth="1"/>
    <col min="5" max="5" width="19.28515625" style="69" customWidth="1"/>
    <col min="6" max="6" width="12.140625" style="211" customWidth="1"/>
    <col min="7" max="8" width="17.42578125" style="211" customWidth="1"/>
    <col min="9" max="9" width="17.7109375" style="211" customWidth="1"/>
    <col min="10" max="10" width="17.85546875" style="69" customWidth="1"/>
    <col min="11" max="11" width="16.5703125" style="69" customWidth="1"/>
    <col min="12" max="12" width="18.5703125" style="69" customWidth="1"/>
    <col min="13" max="13" width="17.28515625" style="69" customWidth="1"/>
    <col min="14" max="14" width="17.7109375" style="69" customWidth="1"/>
    <col min="15" max="16" width="16.5703125" style="69" customWidth="1"/>
    <col min="17" max="17" width="17.5703125" style="69" customWidth="1"/>
    <col min="18" max="18" width="15.85546875" style="69" customWidth="1"/>
    <col min="19" max="19" width="16.7109375" style="69" customWidth="1"/>
    <col min="20" max="20" width="16.5703125" style="69" customWidth="1"/>
    <col min="21" max="21" width="16.7109375" style="69" customWidth="1"/>
    <col min="22" max="22" width="17.5703125" style="69" customWidth="1"/>
    <col min="23" max="23" width="18" style="69" customWidth="1"/>
    <col min="24" max="24" width="12.7109375" style="69" customWidth="1"/>
    <col min="25" max="25" width="16.85546875" style="69" customWidth="1"/>
    <col min="26" max="26" width="9.7109375" style="69" customWidth="1"/>
    <col min="27" max="27" width="14.140625" style="69" customWidth="1"/>
    <col min="28" max="28" width="9.7109375" style="69" customWidth="1"/>
    <col min="29" max="29" width="14.140625" style="69" customWidth="1"/>
    <col min="30" max="16384" width="9.140625" style="69"/>
  </cols>
  <sheetData>
    <row r="1" spans="1:54" x14ac:dyDescent="0.2">
      <c r="A1" s="835" t="s">
        <v>511</v>
      </c>
      <c r="B1" s="837"/>
      <c r="C1" s="902" t="str">
        <f>Cover!B1</f>
        <v>22-XXXX</v>
      </c>
      <c r="D1" s="903"/>
      <c r="E1" s="903"/>
      <c r="F1" s="904"/>
      <c r="G1" s="69"/>
      <c r="H1" s="69"/>
      <c r="I1" s="69"/>
    </row>
    <row r="2" spans="1:54" x14ac:dyDescent="0.2">
      <c r="A2" s="885" t="s">
        <v>1236</v>
      </c>
      <c r="B2" s="886"/>
      <c r="C2" s="887"/>
      <c r="D2" s="888"/>
      <c r="E2" s="888"/>
      <c r="F2" s="889"/>
      <c r="G2" s="69"/>
      <c r="H2" s="69"/>
      <c r="I2" s="69"/>
    </row>
    <row r="3" spans="1:54" x14ac:dyDescent="0.2">
      <c r="A3" s="885" t="s">
        <v>522</v>
      </c>
      <c r="B3" s="886"/>
      <c r="C3" s="905">
        <f>Cover!B2</f>
        <v>0</v>
      </c>
      <c r="D3" s="906"/>
      <c r="E3" s="906"/>
      <c r="F3" s="907"/>
      <c r="G3" s="69"/>
      <c r="H3" s="69"/>
      <c r="I3" s="69"/>
    </row>
    <row r="4" spans="1:54" x14ac:dyDescent="0.2">
      <c r="A4" s="885" t="s">
        <v>1229</v>
      </c>
      <c r="B4" s="886"/>
      <c r="C4" s="884">
        <f>Cover!B7</f>
        <v>0</v>
      </c>
      <c r="D4" s="817"/>
      <c r="E4" s="817"/>
      <c r="F4" s="818"/>
      <c r="G4" s="69"/>
      <c r="H4" s="69"/>
      <c r="I4" s="69"/>
    </row>
    <row r="5" spans="1:54" x14ac:dyDescent="0.2">
      <c r="A5" s="885" t="s">
        <v>528</v>
      </c>
      <c r="B5" s="886"/>
      <c r="C5" s="887" t="s">
        <v>193</v>
      </c>
      <c r="D5" s="888"/>
      <c r="E5" s="888"/>
      <c r="F5" s="889"/>
      <c r="G5" s="69"/>
      <c r="H5" s="69"/>
      <c r="I5" s="69"/>
    </row>
    <row r="6" spans="1:54" ht="15.75" customHeight="1" x14ac:dyDescent="0.2">
      <c r="A6" s="885" t="s">
        <v>512</v>
      </c>
      <c r="B6" s="886"/>
      <c r="C6" s="887" t="s">
        <v>192</v>
      </c>
      <c r="D6" s="888"/>
      <c r="E6" s="888"/>
      <c r="F6" s="889"/>
      <c r="G6" s="69"/>
      <c r="H6" s="69"/>
      <c r="I6" s="69"/>
    </row>
    <row r="7" spans="1:54" ht="15.75" customHeight="1" x14ac:dyDescent="0.2">
      <c r="A7" s="885" t="s">
        <v>612</v>
      </c>
      <c r="B7" s="886"/>
      <c r="C7" s="887" t="s">
        <v>459</v>
      </c>
      <c r="D7" s="888"/>
      <c r="E7" s="888"/>
      <c r="F7" s="889"/>
      <c r="G7" s="69"/>
      <c r="H7" s="69"/>
      <c r="I7" s="69"/>
    </row>
    <row r="8" spans="1:54" ht="2.25" customHeight="1" thickBot="1" x14ac:dyDescent="0.25">
      <c r="A8" s="900"/>
      <c r="B8" s="901"/>
      <c r="C8" s="894"/>
      <c r="D8" s="895"/>
      <c r="E8" s="895"/>
      <c r="F8" s="896"/>
      <c r="G8" s="69"/>
      <c r="H8" s="69"/>
      <c r="I8" s="69"/>
    </row>
    <row r="9" spans="1:54" s="73" customFormat="1" x14ac:dyDescent="0.2">
      <c r="A9" s="442">
        <v>39</v>
      </c>
      <c r="B9" s="443" t="s">
        <v>614</v>
      </c>
      <c r="D9" s="444"/>
      <c r="E9" s="444"/>
      <c r="F9" s="445"/>
    </row>
    <row r="10" spans="1:54" s="73" customFormat="1" ht="16.5" thickBot="1" x14ac:dyDescent="0.25">
      <c r="A10" s="446"/>
      <c r="D10" s="444"/>
      <c r="E10" s="444"/>
      <c r="F10" s="445"/>
      <c r="G10" s="447"/>
      <c r="H10" s="444"/>
      <c r="I10" s="444"/>
      <c r="J10" s="444"/>
    </row>
    <row r="11" spans="1:54" ht="19.5" thickBot="1" x14ac:dyDescent="0.25">
      <c r="A11" s="448" t="s">
        <v>613</v>
      </c>
      <c r="B11" s="449"/>
      <c r="C11" s="73"/>
      <c r="D11" s="444"/>
      <c r="E11" s="444"/>
      <c r="F11" s="445"/>
      <c r="G11" s="447"/>
      <c r="H11" s="444"/>
      <c r="I11" s="444"/>
      <c r="J11" s="444"/>
    </row>
    <row r="12" spans="1:54" s="78" customFormat="1" ht="16.5" thickBot="1" x14ac:dyDescent="0.25">
      <c r="A12" s="897" t="s">
        <v>616</v>
      </c>
      <c r="B12" s="898"/>
      <c r="C12" s="898"/>
      <c r="D12" s="898"/>
      <c r="E12" s="898"/>
      <c r="F12" s="898"/>
      <c r="G12" s="898"/>
      <c r="H12" s="898"/>
      <c r="I12" s="898"/>
      <c r="J12" s="899"/>
    </row>
    <row r="13" spans="1:54" ht="17.25" customHeight="1" x14ac:dyDescent="0.2">
      <c r="A13" s="450" t="s">
        <v>617</v>
      </c>
      <c r="B13" s="881" t="s">
        <v>618</v>
      </c>
      <c r="C13" s="881"/>
      <c r="D13" s="881"/>
      <c r="E13" s="881"/>
      <c r="F13" s="881"/>
      <c r="G13" s="881"/>
      <c r="H13" s="881"/>
      <c r="I13" s="881"/>
      <c r="J13" s="882" t="s">
        <v>622</v>
      </c>
      <c r="K13" s="883"/>
      <c r="L13" s="890" t="s">
        <v>623</v>
      </c>
      <c r="M13" s="891"/>
      <c r="N13" s="350" t="s">
        <v>4</v>
      </c>
    </row>
    <row r="14" spans="1:54" s="81" customFormat="1" x14ac:dyDescent="0.2">
      <c r="A14" s="451"/>
      <c r="B14" s="862"/>
      <c r="C14" s="892"/>
      <c r="D14" s="892"/>
      <c r="E14" s="892"/>
      <c r="F14" s="892"/>
      <c r="G14" s="892"/>
      <c r="H14" s="892"/>
      <c r="I14" s="892"/>
      <c r="J14" s="870"/>
      <c r="K14" s="855"/>
      <c r="L14" s="893"/>
      <c r="M14" s="871"/>
      <c r="N14" s="349" t="str">
        <f>IF($A14&gt;0,$A14,"")</f>
        <v/>
      </c>
    </row>
    <row r="15" spans="1:54" s="453" customFormat="1" x14ac:dyDescent="0.2">
      <c r="A15" s="452"/>
      <c r="B15" s="879"/>
      <c r="C15" s="880"/>
      <c r="D15" s="880"/>
      <c r="E15" s="880"/>
      <c r="F15" s="880"/>
      <c r="G15" s="880"/>
      <c r="H15" s="880"/>
      <c r="I15" s="880"/>
      <c r="J15" s="870"/>
      <c r="K15" s="855"/>
      <c r="L15" s="870"/>
      <c r="M15" s="871"/>
      <c r="N15" s="349" t="str">
        <f>IF($A15&gt;0,$A15,"")</f>
        <v/>
      </c>
      <c r="BB15" s="81"/>
    </row>
    <row r="16" spans="1:54" s="453" customFormat="1" x14ac:dyDescent="0.2">
      <c r="A16" s="452"/>
      <c r="B16" s="879"/>
      <c r="C16" s="880"/>
      <c r="D16" s="880"/>
      <c r="E16" s="880"/>
      <c r="F16" s="880"/>
      <c r="G16" s="880"/>
      <c r="H16" s="880"/>
      <c r="I16" s="880"/>
      <c r="J16" s="870"/>
      <c r="K16" s="855"/>
      <c r="L16" s="870"/>
      <c r="M16" s="871"/>
      <c r="N16" s="349" t="str">
        <f>IF($A16&gt;0,$A16,"")</f>
        <v/>
      </c>
      <c r="BB16" s="81"/>
    </row>
    <row r="17" spans="1:54" s="453" customFormat="1" ht="16.5" thickBot="1" x14ac:dyDescent="0.25">
      <c r="A17" s="454"/>
      <c r="B17" s="864"/>
      <c r="C17" s="865"/>
      <c r="D17" s="865"/>
      <c r="E17" s="865"/>
      <c r="F17" s="865"/>
      <c r="G17" s="865"/>
      <c r="H17" s="865"/>
      <c r="I17" s="865"/>
      <c r="J17" s="866"/>
      <c r="K17" s="867"/>
      <c r="L17" s="857"/>
      <c r="M17" s="858"/>
      <c r="N17" s="349" t="str">
        <f>IF($A17&gt;0,$A17,"")</f>
        <v/>
      </c>
      <c r="BB17" s="81"/>
    </row>
    <row r="18" spans="1:54" s="462" customFormat="1" ht="16.5" thickBot="1" x14ac:dyDescent="0.25">
      <c r="A18" s="455"/>
      <c r="B18" s="456"/>
      <c r="C18" s="457"/>
      <c r="D18" s="458"/>
      <c r="E18" s="458"/>
      <c r="F18" s="459"/>
      <c r="G18" s="459"/>
      <c r="H18" s="460"/>
      <c r="I18" s="461"/>
      <c r="J18" s="461"/>
      <c r="K18" s="457"/>
      <c r="L18" s="457"/>
      <c r="M18" s="457"/>
      <c r="N18" s="349" t="str">
        <f>IF($A18&gt;0,$A18,"")</f>
        <v/>
      </c>
      <c r="O18" s="457"/>
      <c r="P18" s="457"/>
      <c r="Q18" s="457"/>
      <c r="BB18" s="81"/>
    </row>
    <row r="19" spans="1:54" s="462" customFormat="1" ht="19.5" thickBot="1" x14ac:dyDescent="0.25">
      <c r="A19" s="448" t="s">
        <v>419</v>
      </c>
      <c r="B19" s="463"/>
      <c r="I19" s="461"/>
      <c r="J19" s="461"/>
      <c r="K19" s="457"/>
      <c r="L19" s="457"/>
      <c r="M19" s="457"/>
      <c r="N19" s="457"/>
      <c r="O19" s="457"/>
      <c r="P19" s="457"/>
      <c r="Q19" s="457"/>
    </row>
    <row r="20" spans="1:54" s="462" customFormat="1" x14ac:dyDescent="0.2">
      <c r="A20" s="464" t="s">
        <v>419</v>
      </c>
      <c r="B20" s="859" t="s">
        <v>618</v>
      </c>
      <c r="C20" s="860"/>
      <c r="D20" s="860"/>
      <c r="E20" s="860"/>
      <c r="F20" s="860"/>
      <c r="G20" s="860"/>
      <c r="H20" s="861"/>
      <c r="I20" s="461"/>
      <c r="J20" s="461"/>
      <c r="K20" s="457"/>
      <c r="L20" s="457"/>
      <c r="M20" s="457"/>
      <c r="N20" s="457"/>
      <c r="O20" s="457"/>
      <c r="P20" s="457"/>
      <c r="Q20" s="457"/>
    </row>
    <row r="21" spans="1:54" s="467" customFormat="1" x14ac:dyDescent="0.2">
      <c r="A21" s="451" t="s">
        <v>462</v>
      </c>
      <c r="B21" s="862" t="s">
        <v>465</v>
      </c>
      <c r="C21" s="862"/>
      <c r="D21" s="862"/>
      <c r="E21" s="862"/>
      <c r="F21" s="862"/>
      <c r="G21" s="862"/>
      <c r="H21" s="863"/>
      <c r="I21" s="220"/>
      <c r="J21" s="465"/>
      <c r="K21" s="466"/>
      <c r="L21" s="466"/>
      <c r="M21" s="466"/>
      <c r="N21" s="466"/>
      <c r="O21" s="466"/>
      <c r="P21" s="466"/>
      <c r="Q21" s="466"/>
    </row>
    <row r="22" spans="1:54" s="467" customFormat="1" x14ac:dyDescent="0.2">
      <c r="A22" s="468"/>
      <c r="B22" s="862"/>
      <c r="C22" s="862"/>
      <c r="D22" s="862"/>
      <c r="E22" s="862"/>
      <c r="F22" s="862"/>
      <c r="G22" s="862"/>
      <c r="H22" s="863"/>
      <c r="I22" s="465"/>
      <c r="J22" s="465"/>
      <c r="K22" s="466"/>
      <c r="L22" s="466"/>
      <c r="M22" s="466"/>
      <c r="N22" s="466"/>
      <c r="O22" s="466"/>
      <c r="P22" s="466"/>
      <c r="Q22" s="466"/>
    </row>
    <row r="23" spans="1:54" s="467" customFormat="1" x14ac:dyDescent="0.2">
      <c r="A23" s="468"/>
      <c r="B23" s="854"/>
      <c r="C23" s="855"/>
      <c r="D23" s="855"/>
      <c r="E23" s="855"/>
      <c r="F23" s="855"/>
      <c r="G23" s="855"/>
      <c r="H23" s="856"/>
      <c r="I23" s="465"/>
      <c r="J23" s="465"/>
      <c r="K23" s="466"/>
      <c r="L23" s="466"/>
      <c r="M23" s="466"/>
      <c r="N23" s="466"/>
      <c r="O23" s="466"/>
      <c r="P23" s="466"/>
      <c r="Q23" s="466"/>
    </row>
    <row r="24" spans="1:54" s="467" customFormat="1" ht="16.5" thickBot="1" x14ac:dyDescent="0.25">
      <c r="A24" s="469"/>
      <c r="B24" s="877"/>
      <c r="C24" s="867"/>
      <c r="D24" s="867"/>
      <c r="E24" s="867"/>
      <c r="F24" s="867"/>
      <c r="G24" s="867"/>
      <c r="H24" s="878"/>
      <c r="I24" s="465"/>
      <c r="J24" s="465"/>
      <c r="K24" s="466"/>
      <c r="L24" s="466"/>
      <c r="M24" s="466"/>
      <c r="N24" s="466"/>
      <c r="O24" s="466"/>
      <c r="P24" s="466"/>
      <c r="Q24" s="466"/>
    </row>
    <row r="25" spans="1:54" s="462" customFormat="1" ht="16.5" thickBot="1" x14ac:dyDescent="0.25">
      <c r="A25" s="456"/>
      <c r="B25" s="95"/>
      <c r="C25" s="95"/>
      <c r="D25" s="95"/>
      <c r="E25" s="95"/>
      <c r="F25" s="95"/>
      <c r="G25" s="95"/>
      <c r="H25" s="95"/>
      <c r="I25" s="461"/>
      <c r="J25" s="461"/>
      <c r="K25" s="457"/>
      <c r="L25" s="457"/>
      <c r="M25" s="457"/>
      <c r="N25" s="457"/>
      <c r="O25" s="457"/>
      <c r="P25" s="457"/>
      <c r="Q25" s="457"/>
      <c r="R25" s="457"/>
      <c r="S25" s="457"/>
      <c r="T25" s="457"/>
      <c r="U25" s="457"/>
    </row>
    <row r="26" spans="1:54" s="462" customFormat="1" ht="19.5" thickBot="1" x14ac:dyDescent="0.25">
      <c r="A26" s="448" t="s">
        <v>624</v>
      </c>
      <c r="B26" s="449"/>
      <c r="I26" s="461"/>
      <c r="J26" s="461"/>
      <c r="K26" s="457"/>
      <c r="L26" s="457"/>
      <c r="M26" s="457"/>
      <c r="N26" s="457"/>
      <c r="O26" s="457"/>
      <c r="P26" s="457"/>
      <c r="Q26" s="457"/>
      <c r="R26" s="457"/>
      <c r="S26" s="457"/>
      <c r="T26" s="457"/>
      <c r="U26" s="457"/>
    </row>
    <row r="27" spans="1:54" s="462" customFormat="1" x14ac:dyDescent="0.2">
      <c r="A27" s="223" t="s">
        <v>886</v>
      </c>
      <c r="B27" s="470"/>
      <c r="C27" s="471"/>
      <c r="D27" s="472"/>
      <c r="E27" s="472"/>
      <c r="F27" s="473"/>
      <c r="G27" s="473"/>
      <c r="H27" s="473"/>
      <c r="I27" s="474"/>
      <c r="J27" s="475"/>
      <c r="K27" s="476"/>
      <c r="L27" s="457"/>
      <c r="M27" s="457"/>
      <c r="N27" s="457"/>
      <c r="O27" s="457"/>
      <c r="P27" s="457"/>
      <c r="Q27" s="457"/>
      <c r="R27" s="457"/>
      <c r="S27" s="457"/>
      <c r="T27" s="457"/>
      <c r="U27" s="457"/>
      <c r="V27" s="457"/>
    </row>
    <row r="28" spans="1:54" s="462" customFormat="1" x14ac:dyDescent="0.2">
      <c r="A28" s="96" t="s">
        <v>626</v>
      </c>
      <c r="B28" s="214"/>
      <c r="C28" s="477"/>
      <c r="D28" s="478"/>
      <c r="E28" s="478"/>
      <c r="F28" s="479"/>
      <c r="G28" s="479"/>
      <c r="H28" s="479"/>
      <c r="I28" s="480"/>
      <c r="J28" s="481"/>
      <c r="K28" s="482"/>
      <c r="L28" s="457"/>
      <c r="M28" s="457"/>
      <c r="N28" s="457"/>
      <c r="O28" s="457"/>
      <c r="P28" s="457"/>
      <c r="Q28" s="457"/>
      <c r="R28" s="457"/>
    </row>
    <row r="29" spans="1:54" s="462" customFormat="1" ht="16.5" thickBot="1" x14ac:dyDescent="0.25">
      <c r="A29" s="110" t="s">
        <v>172</v>
      </c>
      <c r="B29" s="483"/>
      <c r="C29" s="484"/>
      <c r="D29" s="485"/>
      <c r="E29" s="485"/>
      <c r="F29" s="486"/>
      <c r="G29" s="486"/>
      <c r="H29" s="486"/>
      <c r="I29" s="487"/>
      <c r="J29" s="488"/>
      <c r="K29" s="489"/>
      <c r="L29" s="457"/>
      <c r="M29" s="457"/>
      <c r="N29" s="457"/>
      <c r="O29" s="457"/>
      <c r="P29" s="457"/>
      <c r="Q29" s="457"/>
      <c r="R29" s="457"/>
      <c r="S29" s="118"/>
      <c r="T29" s="118"/>
      <c r="U29" s="118"/>
      <c r="V29" s="457"/>
      <c r="W29" s="457"/>
      <c r="X29" s="457"/>
    </row>
    <row r="30" spans="1:54" s="491" customFormat="1" ht="32.25" customHeight="1" x14ac:dyDescent="0.2">
      <c r="A30" s="875" t="s">
        <v>627</v>
      </c>
      <c r="B30" s="868" t="s">
        <v>628</v>
      </c>
      <c r="C30" s="868" t="s">
        <v>11</v>
      </c>
      <c r="D30" s="868" t="s">
        <v>12</v>
      </c>
      <c r="E30" s="868" t="s">
        <v>13</v>
      </c>
      <c r="F30" s="868" t="s">
        <v>14</v>
      </c>
      <c r="G30" s="868" t="s">
        <v>15</v>
      </c>
      <c r="H30" s="868" t="s">
        <v>16</v>
      </c>
      <c r="I30" s="868" t="s">
        <v>17</v>
      </c>
      <c r="J30" s="868" t="s">
        <v>18</v>
      </c>
      <c r="K30" s="868" t="s">
        <v>19</v>
      </c>
      <c r="L30" s="868" t="s">
        <v>20</v>
      </c>
      <c r="M30" s="490"/>
      <c r="N30" s="490"/>
      <c r="O30" s="490"/>
      <c r="P30" s="490"/>
      <c r="Q30" s="490"/>
      <c r="R30" s="490"/>
      <c r="S30" s="490"/>
      <c r="T30" s="490"/>
      <c r="U30" s="490"/>
      <c r="V30" s="490"/>
      <c r="W30" s="490"/>
      <c r="X30" s="868" t="s">
        <v>22</v>
      </c>
      <c r="Y30" s="868" t="s">
        <v>23</v>
      </c>
      <c r="Z30" s="868" t="s">
        <v>24</v>
      </c>
      <c r="AA30" s="922" t="s">
        <v>352</v>
      </c>
    </row>
    <row r="31" spans="1:54" s="491" customFormat="1" ht="16.5" thickBot="1" x14ac:dyDescent="0.25">
      <c r="A31" s="876"/>
      <c r="B31" s="869"/>
      <c r="C31" s="869"/>
      <c r="D31" s="869"/>
      <c r="E31" s="869"/>
      <c r="F31" s="869"/>
      <c r="G31" s="872"/>
      <c r="H31" s="869"/>
      <c r="I31" s="869"/>
      <c r="J31" s="869"/>
      <c r="K31" s="869"/>
      <c r="L31" s="869"/>
      <c r="M31" s="492"/>
      <c r="N31" s="492"/>
      <c r="O31" s="492"/>
      <c r="P31" s="492"/>
      <c r="Q31" s="492"/>
      <c r="R31" s="492"/>
      <c r="S31" s="492"/>
      <c r="T31" s="492"/>
      <c r="U31" s="492"/>
      <c r="V31" s="492"/>
      <c r="W31" s="492"/>
      <c r="X31" s="869"/>
      <c r="Y31" s="869"/>
      <c r="Z31" s="869"/>
      <c r="AA31" s="923"/>
    </row>
    <row r="32" spans="1:54" s="136" customFormat="1" x14ac:dyDescent="0.2">
      <c r="A32" s="493"/>
      <c r="B32" s="49"/>
      <c r="C32" s="225"/>
      <c r="D32" s="225"/>
      <c r="E32" s="225"/>
      <c r="F32" s="225"/>
      <c r="G32" s="120"/>
      <c r="H32" s="225"/>
      <c r="I32" s="263"/>
      <c r="J32" s="263"/>
      <c r="K32" s="263"/>
      <c r="L32" s="263"/>
      <c r="M32" s="120"/>
      <c r="N32" s="120"/>
      <c r="O32" s="120"/>
      <c r="P32" s="226"/>
      <c r="Q32" s="226"/>
      <c r="R32" s="226"/>
      <c r="S32" s="120"/>
      <c r="T32" s="120"/>
      <c r="U32" s="120"/>
      <c r="V32" s="120"/>
      <c r="W32" s="120"/>
      <c r="X32" s="227"/>
      <c r="Y32" s="227"/>
      <c r="Z32" s="120"/>
      <c r="AA32" s="121"/>
    </row>
    <row r="33" spans="1:29" s="136" customFormat="1" x14ac:dyDescent="0.2">
      <c r="A33" s="494"/>
      <c r="B33" s="123"/>
      <c r="C33" s="123"/>
      <c r="D33" s="123"/>
      <c r="E33" s="123"/>
      <c r="F33" s="123"/>
      <c r="G33" s="124"/>
      <c r="H33" s="123"/>
      <c r="I33" s="255"/>
      <c r="J33" s="255"/>
      <c r="K33" s="255"/>
      <c r="L33" s="255"/>
      <c r="M33" s="125"/>
      <c r="N33" s="124"/>
      <c r="O33" s="124"/>
      <c r="P33" s="125"/>
      <c r="Q33" s="125"/>
      <c r="R33" s="125"/>
      <c r="S33" s="124"/>
      <c r="T33" s="124"/>
      <c r="U33" s="124"/>
      <c r="V33" s="124"/>
      <c r="W33" s="124"/>
      <c r="X33" s="126"/>
      <c r="Y33" s="126"/>
      <c r="Z33" s="124"/>
      <c r="AA33" s="127"/>
    </row>
    <row r="34" spans="1:29" s="136" customFormat="1" x14ac:dyDescent="0.2">
      <c r="A34" s="494"/>
      <c r="B34" s="123"/>
      <c r="C34" s="123"/>
      <c r="D34" s="123"/>
      <c r="E34" s="123"/>
      <c r="F34" s="123"/>
      <c r="G34" s="124"/>
      <c r="H34" s="123"/>
      <c r="I34" s="255"/>
      <c r="J34" s="255"/>
      <c r="K34" s="255"/>
      <c r="L34" s="255"/>
      <c r="M34" s="125"/>
      <c r="N34" s="124"/>
      <c r="O34" s="124"/>
      <c r="P34" s="125"/>
      <c r="Q34" s="125"/>
      <c r="R34" s="125"/>
      <c r="S34" s="124"/>
      <c r="T34" s="124"/>
      <c r="U34" s="124"/>
      <c r="V34" s="124"/>
      <c r="W34" s="124"/>
      <c r="X34" s="126"/>
      <c r="Y34" s="126"/>
      <c r="Z34" s="124"/>
      <c r="AA34" s="127"/>
    </row>
    <row r="35" spans="1:29" s="136" customFormat="1" ht="16.5" thickBot="1" x14ac:dyDescent="0.25">
      <c r="A35" s="495"/>
      <c r="B35" s="128"/>
      <c r="C35" s="128"/>
      <c r="D35" s="128"/>
      <c r="E35" s="128"/>
      <c r="F35" s="128"/>
      <c r="G35" s="129"/>
      <c r="H35" s="128"/>
      <c r="I35" s="256"/>
      <c r="J35" s="256"/>
      <c r="K35" s="256"/>
      <c r="L35" s="256"/>
      <c r="M35" s="129"/>
      <c r="N35" s="129"/>
      <c r="O35" s="129"/>
      <c r="P35" s="130"/>
      <c r="Q35" s="130"/>
      <c r="R35" s="130"/>
      <c r="S35" s="129"/>
      <c r="T35" s="129"/>
      <c r="U35" s="129"/>
      <c r="V35" s="129"/>
      <c r="W35" s="129"/>
      <c r="X35" s="131"/>
      <c r="Y35" s="131"/>
      <c r="Z35" s="129"/>
      <c r="AA35" s="132"/>
    </row>
    <row r="36" spans="1:29" s="73" customFormat="1" x14ac:dyDescent="0.2">
      <c r="A36" s="133"/>
      <c r="B36" s="133"/>
      <c r="C36" s="133"/>
      <c r="D36" s="133"/>
      <c r="E36" s="133"/>
      <c r="F36" s="133"/>
      <c r="G36" s="118"/>
      <c r="H36" s="118"/>
      <c r="I36" s="118"/>
      <c r="J36" s="118"/>
      <c r="K36" s="118"/>
      <c r="L36" s="118"/>
      <c r="M36" s="134"/>
      <c r="N36" s="118"/>
      <c r="O36" s="159"/>
      <c r="P36" s="159"/>
      <c r="Q36" s="159"/>
      <c r="R36" s="159"/>
      <c r="S36" s="159"/>
      <c r="T36" s="159"/>
      <c r="U36" s="159"/>
      <c r="V36" s="159"/>
      <c r="W36" s="466"/>
    </row>
    <row r="37" spans="1:29" s="73" customFormat="1" ht="16.5" thickBot="1" x14ac:dyDescent="0.25">
      <c r="A37" s="133"/>
      <c r="B37" s="133"/>
      <c r="C37" s="133"/>
      <c r="D37" s="133"/>
      <c r="E37" s="133"/>
      <c r="F37" s="133"/>
      <c r="G37" s="118"/>
      <c r="H37" s="118"/>
      <c r="I37" s="118"/>
      <c r="J37" s="118"/>
      <c r="K37" s="118"/>
      <c r="N37" s="118"/>
      <c r="O37" s="159"/>
      <c r="P37" s="159"/>
      <c r="Q37" s="159"/>
      <c r="R37" s="159"/>
      <c r="S37" s="159"/>
      <c r="T37" s="159"/>
      <c r="U37" s="159"/>
      <c r="V37" s="159"/>
      <c r="W37" s="467"/>
    </row>
    <row r="38" spans="1:29" s="73" customFormat="1" ht="16.5" thickBot="1" x14ac:dyDescent="0.25">
      <c r="A38" s="496" t="s">
        <v>25</v>
      </c>
      <c r="B38" s="133"/>
      <c r="C38" s="133"/>
      <c r="D38" s="133"/>
      <c r="E38" s="133"/>
      <c r="F38" s="133"/>
      <c r="G38" s="118"/>
      <c r="H38" s="118"/>
      <c r="I38" s="118"/>
      <c r="J38" s="118"/>
      <c r="K38" s="118"/>
      <c r="M38" s="118"/>
      <c r="N38" s="118"/>
      <c r="O38" s="159"/>
      <c r="P38" s="136"/>
      <c r="Q38" s="136"/>
      <c r="R38" s="136"/>
      <c r="S38" s="466"/>
      <c r="T38" s="466"/>
      <c r="U38" s="466"/>
      <c r="V38" s="466"/>
      <c r="W38" s="159"/>
    </row>
    <row r="39" spans="1:29" s="73" customFormat="1" ht="15.75" customHeight="1" x14ac:dyDescent="0.2">
      <c r="A39" s="875" t="s">
        <v>627</v>
      </c>
      <c r="B39" s="868" t="s">
        <v>628</v>
      </c>
      <c r="C39" s="868" t="s">
        <v>11</v>
      </c>
      <c r="D39" s="868" t="s">
        <v>12</v>
      </c>
      <c r="E39" s="868" t="s">
        <v>13</v>
      </c>
      <c r="F39" s="868" t="s">
        <v>14</v>
      </c>
      <c r="G39" s="868" t="s">
        <v>15</v>
      </c>
      <c r="H39" s="868" t="s">
        <v>16</v>
      </c>
      <c r="I39" s="868" t="s">
        <v>26</v>
      </c>
      <c r="J39" s="868" t="s">
        <v>27</v>
      </c>
      <c r="K39" s="945" t="s">
        <v>295</v>
      </c>
      <c r="L39" s="497" t="s">
        <v>63</v>
      </c>
      <c r="M39" s="498" t="s">
        <v>64</v>
      </c>
      <c r="N39" s="499" t="s">
        <v>65</v>
      </c>
      <c r="O39" s="490"/>
      <c r="P39" s="490"/>
      <c r="Q39" s="490"/>
      <c r="R39" s="490"/>
      <c r="S39" s="490"/>
      <c r="T39" s="490"/>
      <c r="U39" s="490"/>
      <c r="V39" s="490"/>
      <c r="W39" s="490"/>
      <c r="X39" s="868" t="s">
        <v>22</v>
      </c>
      <c r="Y39" s="868" t="s">
        <v>23</v>
      </c>
      <c r="Z39" s="868" t="s">
        <v>24</v>
      </c>
      <c r="AA39" s="922" t="s">
        <v>352</v>
      </c>
    </row>
    <row r="40" spans="1:29" s="73" customFormat="1" ht="31.7" customHeight="1" thickBot="1" x14ac:dyDescent="0.25">
      <c r="A40" s="876"/>
      <c r="B40" s="869"/>
      <c r="C40" s="869"/>
      <c r="D40" s="869"/>
      <c r="E40" s="869"/>
      <c r="F40" s="869"/>
      <c r="G40" s="872"/>
      <c r="H40" s="869"/>
      <c r="I40" s="869"/>
      <c r="J40" s="869"/>
      <c r="K40" s="946"/>
      <c r="L40" s="500" t="s">
        <v>66</v>
      </c>
      <c r="M40" s="501" t="s">
        <v>67</v>
      </c>
      <c r="N40" s="502" t="s">
        <v>68</v>
      </c>
      <c r="O40" s="503"/>
      <c r="P40" s="492"/>
      <c r="Q40" s="492"/>
      <c r="R40" s="492"/>
      <c r="S40" s="492"/>
      <c r="T40" s="492"/>
      <c r="U40" s="492"/>
      <c r="V40" s="492"/>
      <c r="W40" s="492"/>
      <c r="X40" s="869"/>
      <c r="Y40" s="869"/>
      <c r="Z40" s="869"/>
      <c r="AA40" s="923"/>
    </row>
    <row r="41" spans="1:29" s="136" customFormat="1" x14ac:dyDescent="0.2">
      <c r="A41" s="493"/>
      <c r="B41" s="225"/>
      <c r="C41" s="225"/>
      <c r="D41" s="225"/>
      <c r="E41" s="225"/>
      <c r="F41" s="225"/>
      <c r="G41" s="120"/>
      <c r="H41" s="225"/>
      <c r="I41" s="263"/>
      <c r="J41" s="263"/>
      <c r="K41" s="265"/>
      <c r="L41" s="268"/>
      <c r="M41" s="120"/>
      <c r="N41" s="121"/>
      <c r="O41" s="269"/>
      <c r="P41" s="226"/>
      <c r="Q41" s="226"/>
      <c r="R41" s="226"/>
      <c r="S41" s="120"/>
      <c r="T41" s="120"/>
      <c r="U41" s="120"/>
      <c r="V41" s="120"/>
      <c r="W41" s="120"/>
      <c r="X41" s="227"/>
      <c r="Y41" s="227"/>
      <c r="Z41" s="120"/>
      <c r="AA41" s="121"/>
    </row>
    <row r="42" spans="1:29" s="136" customFormat="1" x14ac:dyDescent="0.2">
      <c r="A42" s="494"/>
      <c r="B42" s="123"/>
      <c r="C42" s="123"/>
      <c r="D42" s="123"/>
      <c r="E42" s="123"/>
      <c r="F42" s="123"/>
      <c r="G42" s="124"/>
      <c r="H42" s="123"/>
      <c r="I42" s="255"/>
      <c r="J42" s="255"/>
      <c r="K42" s="266"/>
      <c r="L42" s="259"/>
      <c r="M42" s="124"/>
      <c r="N42" s="127"/>
      <c r="O42" s="248"/>
      <c r="P42" s="125"/>
      <c r="Q42" s="125"/>
      <c r="R42" s="125"/>
      <c r="S42" s="124"/>
      <c r="T42" s="124"/>
      <c r="U42" s="124"/>
      <c r="V42" s="124"/>
      <c r="W42" s="124"/>
      <c r="X42" s="126"/>
      <c r="Y42" s="126"/>
      <c r="Z42" s="124"/>
      <c r="AA42" s="127"/>
    </row>
    <row r="43" spans="1:29" s="136" customFormat="1" x14ac:dyDescent="0.2">
      <c r="A43" s="494"/>
      <c r="B43" s="123"/>
      <c r="C43" s="123"/>
      <c r="D43" s="123"/>
      <c r="E43" s="123"/>
      <c r="F43" s="123"/>
      <c r="G43" s="124"/>
      <c r="H43" s="123"/>
      <c r="I43" s="255"/>
      <c r="J43" s="255"/>
      <c r="K43" s="266"/>
      <c r="L43" s="259"/>
      <c r="M43" s="124"/>
      <c r="N43" s="127"/>
      <c r="O43" s="248"/>
      <c r="P43" s="125"/>
      <c r="Q43" s="125"/>
      <c r="R43" s="125"/>
      <c r="S43" s="124"/>
      <c r="T43" s="124"/>
      <c r="U43" s="124"/>
      <c r="V43" s="124"/>
      <c r="W43" s="124"/>
      <c r="X43" s="126"/>
      <c r="Y43" s="126"/>
      <c r="Z43" s="124"/>
      <c r="AA43" s="127"/>
    </row>
    <row r="44" spans="1:29" s="136" customFormat="1" ht="16.5" thickBot="1" x14ac:dyDescent="0.25">
      <c r="A44" s="495"/>
      <c r="B44" s="128"/>
      <c r="C44" s="128"/>
      <c r="D44" s="128"/>
      <c r="E44" s="128"/>
      <c r="F44" s="128"/>
      <c r="G44" s="129"/>
      <c r="H44" s="128"/>
      <c r="I44" s="256"/>
      <c r="J44" s="256"/>
      <c r="K44" s="267"/>
      <c r="L44" s="137"/>
      <c r="M44" s="129"/>
      <c r="N44" s="132"/>
      <c r="O44" s="137"/>
      <c r="P44" s="129"/>
      <c r="Q44" s="129"/>
      <c r="R44" s="129"/>
      <c r="S44" s="129"/>
      <c r="T44" s="129"/>
      <c r="U44" s="129"/>
      <c r="V44" s="129"/>
      <c r="W44" s="129"/>
      <c r="X44" s="131"/>
      <c r="Y44" s="131"/>
      <c r="Z44" s="129"/>
      <c r="AA44" s="132"/>
    </row>
    <row r="45" spans="1:29" s="73" customFormat="1" x14ac:dyDescent="0.2">
      <c r="A45" s="133"/>
      <c r="B45" s="133"/>
      <c r="C45" s="133"/>
      <c r="D45" s="133"/>
      <c r="E45" s="133"/>
      <c r="F45" s="133"/>
      <c r="G45" s="118"/>
      <c r="H45" s="118"/>
      <c r="I45" s="118"/>
      <c r="J45" s="118"/>
      <c r="K45" s="118"/>
      <c r="L45" s="118"/>
      <c r="M45" s="118"/>
      <c r="N45" s="118"/>
      <c r="O45" s="160"/>
      <c r="P45" s="159"/>
      <c r="Q45" s="159"/>
      <c r="R45" s="159"/>
      <c r="S45" s="136"/>
      <c r="T45" s="136"/>
      <c r="U45" s="136"/>
      <c r="V45" s="136"/>
      <c r="W45" s="136"/>
      <c r="X45" s="118"/>
    </row>
    <row r="46" spans="1:29" s="73" customFormat="1" ht="16.5" thickBot="1" x14ac:dyDescent="0.25">
      <c r="A46" s="133"/>
      <c r="B46" s="133"/>
      <c r="C46" s="133"/>
      <c r="D46" s="133"/>
      <c r="E46" s="133"/>
      <c r="F46" s="133"/>
      <c r="G46" s="118"/>
      <c r="H46" s="118"/>
      <c r="I46" s="118"/>
      <c r="J46" s="118"/>
      <c r="K46" s="118"/>
      <c r="L46" s="118"/>
      <c r="M46" s="118"/>
      <c r="N46" s="118"/>
      <c r="O46" s="160"/>
      <c r="P46" s="159"/>
      <c r="Q46" s="159"/>
      <c r="R46" s="159"/>
      <c r="S46" s="136"/>
      <c r="T46" s="136"/>
      <c r="U46" s="136"/>
      <c r="V46" s="136"/>
      <c r="W46" s="136"/>
      <c r="X46" s="118"/>
    </row>
    <row r="47" spans="1:29" s="73" customFormat="1" ht="16.5" thickBot="1" x14ac:dyDescent="0.25">
      <c r="A47" s="822" t="s">
        <v>307</v>
      </c>
      <c r="B47" s="873"/>
      <c r="C47" s="873"/>
      <c r="D47" s="874"/>
      <c r="E47" s="133"/>
      <c r="F47" s="133"/>
      <c r="G47" s="118"/>
      <c r="H47" s="118"/>
      <c r="I47" s="118"/>
      <c r="J47" s="118"/>
      <c r="K47" s="118"/>
      <c r="L47" s="118"/>
      <c r="M47" s="118"/>
      <c r="N47" s="118"/>
      <c r="O47" s="136"/>
      <c r="P47" s="159"/>
      <c r="Q47" s="159"/>
      <c r="R47" s="159"/>
      <c r="S47" s="466"/>
      <c r="T47" s="466"/>
      <c r="U47" s="466"/>
      <c r="V47" s="466"/>
      <c r="W47" s="159"/>
      <c r="X47" s="118"/>
      <c r="Y47" s="118"/>
    </row>
    <row r="48" spans="1:29" s="73" customFormat="1" ht="15.75" customHeight="1" x14ac:dyDescent="0.2">
      <c r="A48" s="875" t="s">
        <v>627</v>
      </c>
      <c r="B48" s="868" t="s">
        <v>628</v>
      </c>
      <c r="C48" s="868" t="s">
        <v>11</v>
      </c>
      <c r="D48" s="868" t="s">
        <v>12</v>
      </c>
      <c r="E48" s="868" t="s">
        <v>13</v>
      </c>
      <c r="F48" s="868" t="s">
        <v>14</v>
      </c>
      <c r="G48" s="868" t="s">
        <v>15</v>
      </c>
      <c r="H48" s="868" t="s">
        <v>16</v>
      </c>
      <c r="I48" s="868">
        <v>20</v>
      </c>
      <c r="J48" s="868">
        <v>40</v>
      </c>
      <c r="K48" s="868" t="s">
        <v>19</v>
      </c>
      <c r="L48" s="922" t="s">
        <v>20</v>
      </c>
      <c r="M48" s="943" t="s">
        <v>28</v>
      </c>
      <c r="N48" s="504" t="s">
        <v>69</v>
      </c>
      <c r="O48" s="498" t="s">
        <v>64</v>
      </c>
      <c r="P48" s="499" t="s">
        <v>65</v>
      </c>
      <c r="Q48" s="490" t="s">
        <v>147</v>
      </c>
      <c r="R48" s="490" t="s">
        <v>71</v>
      </c>
      <c r="S48" s="490"/>
      <c r="T48" s="490"/>
      <c r="U48" s="490"/>
      <c r="V48" s="490"/>
      <c r="W48" s="490"/>
      <c r="X48" s="490"/>
      <c r="Y48" s="490"/>
      <c r="Z48" s="868" t="s">
        <v>22</v>
      </c>
      <c r="AA48" s="868" t="s">
        <v>23</v>
      </c>
      <c r="AB48" s="868" t="s">
        <v>24</v>
      </c>
      <c r="AC48" s="922" t="s">
        <v>352</v>
      </c>
    </row>
    <row r="49" spans="1:29" s="73" customFormat="1" ht="48" thickBot="1" x14ac:dyDescent="0.25">
      <c r="A49" s="876"/>
      <c r="B49" s="869"/>
      <c r="C49" s="869"/>
      <c r="D49" s="869"/>
      <c r="E49" s="869"/>
      <c r="F49" s="869"/>
      <c r="G49" s="872"/>
      <c r="H49" s="869"/>
      <c r="I49" s="869"/>
      <c r="J49" s="869"/>
      <c r="K49" s="869"/>
      <c r="L49" s="923"/>
      <c r="M49" s="944"/>
      <c r="N49" s="505" t="s">
        <v>70</v>
      </c>
      <c r="O49" s="501" t="s">
        <v>67</v>
      </c>
      <c r="P49" s="502" t="s">
        <v>68</v>
      </c>
      <c r="Q49" s="503" t="s">
        <v>84</v>
      </c>
      <c r="R49" s="492" t="s">
        <v>84</v>
      </c>
      <c r="S49" s="492"/>
      <c r="T49" s="492"/>
      <c r="U49" s="492"/>
      <c r="V49" s="492"/>
      <c r="W49" s="492"/>
      <c r="X49" s="492"/>
      <c r="Y49" s="492"/>
      <c r="Z49" s="924"/>
      <c r="AA49" s="924"/>
      <c r="AB49" s="924"/>
      <c r="AC49" s="923"/>
    </row>
    <row r="50" spans="1:29" s="136" customFormat="1" x14ac:dyDescent="0.2">
      <c r="A50" s="493"/>
      <c r="B50" s="225"/>
      <c r="C50" s="225"/>
      <c r="D50" s="225"/>
      <c r="E50" s="225"/>
      <c r="F50" s="225"/>
      <c r="G50" s="120"/>
      <c r="H50" s="225"/>
      <c r="I50" s="263"/>
      <c r="J50" s="263"/>
      <c r="K50" s="263"/>
      <c r="L50" s="265"/>
      <c r="M50" s="270"/>
      <c r="N50" s="268"/>
      <c r="O50" s="120"/>
      <c r="P50" s="121"/>
      <c r="Q50" s="269"/>
      <c r="R50" s="226"/>
      <c r="S50" s="226"/>
      <c r="T50" s="226"/>
      <c r="U50" s="226"/>
      <c r="V50" s="226"/>
      <c r="W50" s="120"/>
      <c r="X50" s="120"/>
      <c r="Y50" s="120"/>
      <c r="Z50" s="227"/>
      <c r="AA50" s="227"/>
      <c r="AB50" s="120"/>
      <c r="AC50" s="121"/>
    </row>
    <row r="51" spans="1:29" s="136" customFormat="1" x14ac:dyDescent="0.2">
      <c r="A51" s="494"/>
      <c r="B51" s="123"/>
      <c r="C51" s="123"/>
      <c r="D51" s="123"/>
      <c r="E51" s="123"/>
      <c r="F51" s="123"/>
      <c r="G51" s="124"/>
      <c r="H51" s="123"/>
      <c r="I51" s="255"/>
      <c r="J51" s="255"/>
      <c r="K51" s="255"/>
      <c r="L51" s="266"/>
      <c r="M51" s="271"/>
      <c r="N51" s="259"/>
      <c r="O51" s="124"/>
      <c r="P51" s="127"/>
      <c r="Q51" s="248"/>
      <c r="R51" s="125"/>
      <c r="S51" s="125"/>
      <c r="T51" s="125"/>
      <c r="U51" s="125"/>
      <c r="V51" s="125"/>
      <c r="W51" s="124"/>
      <c r="X51" s="124"/>
      <c r="Y51" s="124"/>
      <c r="Z51" s="126"/>
      <c r="AA51" s="126"/>
      <c r="AB51" s="124"/>
      <c r="AC51" s="127"/>
    </row>
    <row r="52" spans="1:29" s="136" customFormat="1" x14ac:dyDescent="0.2">
      <c r="A52" s="494"/>
      <c r="B52" s="123"/>
      <c r="C52" s="123"/>
      <c r="D52" s="123"/>
      <c r="E52" s="123"/>
      <c r="F52" s="123"/>
      <c r="G52" s="124"/>
      <c r="H52" s="123"/>
      <c r="I52" s="255"/>
      <c r="J52" s="255"/>
      <c r="K52" s="255"/>
      <c r="L52" s="266"/>
      <c r="M52" s="271"/>
      <c r="N52" s="259"/>
      <c r="O52" s="124"/>
      <c r="P52" s="127"/>
      <c r="Q52" s="248"/>
      <c r="R52" s="125"/>
      <c r="S52" s="125"/>
      <c r="T52" s="125"/>
      <c r="U52" s="125"/>
      <c r="V52" s="125"/>
      <c r="W52" s="124"/>
      <c r="X52" s="124"/>
      <c r="Y52" s="124"/>
      <c r="Z52" s="126"/>
      <c r="AA52" s="126"/>
      <c r="AB52" s="124"/>
      <c r="AC52" s="127"/>
    </row>
    <row r="53" spans="1:29" s="136" customFormat="1" ht="16.5" thickBot="1" x14ac:dyDescent="0.25">
      <c r="A53" s="495"/>
      <c r="B53" s="128"/>
      <c r="C53" s="128"/>
      <c r="D53" s="128"/>
      <c r="E53" s="128"/>
      <c r="F53" s="128"/>
      <c r="G53" s="129"/>
      <c r="H53" s="128"/>
      <c r="I53" s="256"/>
      <c r="J53" s="256"/>
      <c r="K53" s="256"/>
      <c r="L53" s="267"/>
      <c r="M53" s="161"/>
      <c r="N53" s="137"/>
      <c r="O53" s="129"/>
      <c r="P53" s="132"/>
      <c r="Q53" s="137"/>
      <c r="R53" s="129"/>
      <c r="S53" s="129"/>
      <c r="T53" s="129"/>
      <c r="U53" s="129"/>
      <c r="V53" s="129"/>
      <c r="W53" s="129"/>
      <c r="X53" s="129"/>
      <c r="Y53" s="129"/>
      <c r="Z53" s="131"/>
      <c r="AA53" s="131"/>
      <c r="AB53" s="129"/>
      <c r="AC53" s="132"/>
    </row>
    <row r="54" spans="1:29" s="73" customFormat="1" x14ac:dyDescent="0.2">
      <c r="A54" s="133"/>
      <c r="B54" s="133"/>
      <c r="C54" s="133"/>
      <c r="D54" s="133"/>
      <c r="E54" s="133"/>
      <c r="F54" s="133"/>
      <c r="G54" s="118"/>
      <c r="H54" s="118"/>
      <c r="I54" s="118"/>
      <c r="J54" s="118"/>
      <c r="K54" s="118"/>
      <c r="M54" s="118"/>
      <c r="V54" s="118"/>
      <c r="W54" s="118"/>
    </row>
    <row r="55" spans="1:29" s="73" customFormat="1" x14ac:dyDescent="0.2">
      <c r="A55" s="133"/>
      <c r="B55" s="133"/>
      <c r="C55" s="133"/>
      <c r="D55" s="133"/>
      <c r="E55" s="133"/>
      <c r="F55" s="118"/>
      <c r="G55" s="118"/>
      <c r="H55" s="118"/>
      <c r="I55" s="118"/>
      <c r="J55" s="118"/>
      <c r="K55" s="134"/>
      <c r="L55" s="118"/>
      <c r="M55" s="118"/>
      <c r="N55" s="118"/>
      <c r="S55" s="118"/>
      <c r="T55" s="118"/>
      <c r="U55" s="118"/>
    </row>
    <row r="56" spans="1:29" s="456" customFormat="1" ht="16.5" thickBot="1" x14ac:dyDescent="0.25">
      <c r="A56" s="133"/>
      <c r="B56" s="133"/>
      <c r="C56" s="133"/>
      <c r="D56" s="133"/>
      <c r="E56" s="118"/>
      <c r="F56" s="118"/>
      <c r="G56" s="118"/>
      <c r="H56" s="118"/>
      <c r="I56" s="118"/>
      <c r="J56" s="134"/>
      <c r="K56" s="134"/>
      <c r="L56" s="134"/>
      <c r="M56" s="134"/>
      <c r="R56" s="134"/>
    </row>
    <row r="57" spans="1:29" s="456" customFormat="1" ht="19.5" thickBot="1" x14ac:dyDescent="0.25">
      <c r="A57" s="938" t="s">
        <v>29</v>
      </c>
      <c r="B57" s="939"/>
      <c r="C57" s="940"/>
      <c r="D57" s="133"/>
      <c r="E57" s="133"/>
      <c r="F57" s="118"/>
      <c r="G57" s="118"/>
      <c r="H57" s="118"/>
      <c r="I57" s="118"/>
      <c r="J57" s="118"/>
      <c r="K57" s="134"/>
      <c r="L57" s="134"/>
      <c r="M57" s="134"/>
      <c r="N57" s="134"/>
      <c r="S57" s="134"/>
      <c r="T57" s="134"/>
      <c r="U57" s="134"/>
    </row>
    <row r="58" spans="1:29" s="456" customFormat="1" ht="16.5" thickBot="1" x14ac:dyDescent="0.25">
      <c r="A58" s="800" t="s">
        <v>625</v>
      </c>
      <c r="B58" s="801"/>
      <c r="C58" s="802"/>
      <c r="D58" s="133"/>
      <c r="E58" s="133"/>
      <c r="F58" s="133"/>
      <c r="G58" s="118"/>
      <c r="H58" s="118"/>
      <c r="I58" s="118"/>
      <c r="J58" s="118"/>
      <c r="K58" s="118"/>
      <c r="L58" s="134"/>
      <c r="N58" s="134"/>
      <c r="O58" s="134"/>
      <c r="V58" s="134"/>
    </row>
    <row r="59" spans="1:29" s="456" customFormat="1" x14ac:dyDescent="0.2">
      <c r="A59" s="506" t="s">
        <v>30</v>
      </c>
      <c r="B59" s="507"/>
      <c r="C59" s="508" t="s">
        <v>155</v>
      </c>
      <c r="D59" s="509"/>
      <c r="E59" s="509"/>
      <c r="F59" s="510"/>
      <c r="G59" s="510"/>
      <c r="H59" s="509"/>
      <c r="I59" s="510"/>
      <c r="J59" s="509"/>
      <c r="K59" s="143"/>
      <c r="L59" s="144"/>
      <c r="N59" s="134"/>
      <c r="O59" s="134"/>
      <c r="P59" s="134"/>
    </row>
    <row r="60" spans="1:29" s="456" customFormat="1" x14ac:dyDescent="0.2">
      <c r="A60" s="96" t="s">
        <v>626</v>
      </c>
      <c r="B60" s="511"/>
      <c r="C60" s="511"/>
      <c r="D60" s="512"/>
      <c r="E60" s="512"/>
      <c r="F60" s="215"/>
      <c r="G60" s="215"/>
      <c r="H60" s="512"/>
      <c r="I60" s="215"/>
      <c r="J60" s="512"/>
      <c r="K60" s="149"/>
      <c r="L60" s="150"/>
      <c r="N60" s="134"/>
      <c r="O60" s="134"/>
      <c r="P60" s="134"/>
    </row>
    <row r="61" spans="1:29" s="456" customFormat="1" x14ac:dyDescent="0.2">
      <c r="A61" s="96" t="s">
        <v>173</v>
      </c>
      <c r="B61" s="511"/>
      <c r="C61" s="511"/>
      <c r="D61" s="512"/>
      <c r="E61" s="512"/>
      <c r="F61" s="215"/>
      <c r="G61" s="215"/>
      <c r="H61" s="512"/>
      <c r="I61" s="215"/>
      <c r="J61" s="512"/>
      <c r="K61" s="149"/>
      <c r="L61" s="150"/>
      <c r="N61" s="134"/>
      <c r="O61" s="134"/>
      <c r="P61" s="134"/>
    </row>
    <row r="62" spans="1:29" s="456" customFormat="1" x14ac:dyDescent="0.2">
      <c r="A62" s="96" t="s">
        <v>987</v>
      </c>
      <c r="B62" s="511"/>
      <c r="C62" s="511"/>
      <c r="D62" s="512"/>
      <c r="E62" s="512"/>
      <c r="F62" s="215"/>
      <c r="G62" s="215"/>
      <c r="H62" s="512"/>
      <c r="I62" s="215"/>
      <c r="J62" s="512"/>
      <c r="K62" s="149"/>
      <c r="L62" s="150"/>
      <c r="N62" s="134"/>
      <c r="O62" s="134"/>
      <c r="P62" s="134"/>
    </row>
    <row r="63" spans="1:29" s="456" customFormat="1" ht="16.5" thickBot="1" x14ac:dyDescent="0.25">
      <c r="A63" s="110" t="s">
        <v>988</v>
      </c>
      <c r="B63" s="513"/>
      <c r="C63" s="513"/>
      <c r="D63" s="514"/>
      <c r="E63" s="514"/>
      <c r="F63" s="515"/>
      <c r="G63" s="515"/>
      <c r="H63" s="514"/>
      <c r="I63" s="515"/>
      <c r="J63" s="514"/>
      <c r="K63" s="154"/>
      <c r="L63" s="155"/>
      <c r="N63" s="134"/>
      <c r="O63" s="134"/>
      <c r="P63" s="134"/>
    </row>
    <row r="64" spans="1:29" s="456" customFormat="1" ht="16.5" thickBot="1" x14ac:dyDescent="0.25">
      <c r="A64" s="516"/>
      <c r="B64" s="517"/>
      <c r="C64" s="134"/>
      <c r="D64" s="133"/>
      <c r="E64" s="133"/>
      <c r="F64" s="133"/>
      <c r="G64" s="133"/>
      <c r="H64" s="118"/>
      <c r="I64" s="118"/>
      <c r="J64" s="118"/>
      <c r="K64" s="118"/>
      <c r="L64" s="118"/>
      <c r="M64" s="134"/>
      <c r="O64" s="134"/>
      <c r="P64" s="134"/>
      <c r="Q64" s="118"/>
    </row>
    <row r="65" spans="1:24" s="14" customFormat="1" ht="48" thickBot="1" x14ac:dyDescent="0.25">
      <c r="A65" s="518" t="s">
        <v>31</v>
      </c>
      <c r="B65" s="932" t="s">
        <v>628</v>
      </c>
      <c r="C65" s="933"/>
      <c r="D65" s="934"/>
      <c r="E65" s="519" t="s">
        <v>11</v>
      </c>
      <c r="F65" s="519" t="s">
        <v>14</v>
      </c>
      <c r="G65" s="519" t="s">
        <v>287</v>
      </c>
      <c r="H65" s="519" t="s">
        <v>32</v>
      </c>
      <c r="I65" s="519" t="s">
        <v>16</v>
      </c>
      <c r="J65" s="519" t="s">
        <v>17</v>
      </c>
      <c r="K65" s="519" t="s">
        <v>18</v>
      </c>
      <c r="L65" s="519" t="s">
        <v>19</v>
      </c>
      <c r="M65" s="519" t="s">
        <v>20</v>
      </c>
      <c r="N65" s="520" t="s">
        <v>123</v>
      </c>
      <c r="O65" s="519" t="s">
        <v>96</v>
      </c>
      <c r="P65" s="521" t="s">
        <v>809</v>
      </c>
    </row>
    <row r="66" spans="1:24" s="303" customFormat="1" x14ac:dyDescent="0.2">
      <c r="A66" s="269"/>
      <c r="B66" s="925"/>
      <c r="C66" s="926"/>
      <c r="D66" s="926"/>
      <c r="E66" s="226"/>
      <c r="F66" s="226"/>
      <c r="G66" s="226"/>
      <c r="H66" s="226"/>
      <c r="I66" s="226"/>
      <c r="J66" s="273"/>
      <c r="K66" s="263"/>
      <c r="L66" s="263"/>
      <c r="M66" s="306"/>
      <c r="N66" s="49"/>
      <c r="O66" s="226"/>
      <c r="P66" s="274"/>
      <c r="Q66" s="159"/>
      <c r="R66" s="159"/>
      <c r="S66" s="159"/>
      <c r="T66" s="159"/>
      <c r="U66" s="159"/>
      <c r="V66" s="160"/>
      <c r="W66" s="160"/>
      <c r="X66" s="160"/>
    </row>
    <row r="67" spans="1:24" s="303" customFormat="1" x14ac:dyDescent="0.2">
      <c r="A67" s="248"/>
      <c r="B67" s="927"/>
      <c r="C67" s="928"/>
      <c r="D67" s="928"/>
      <c r="E67" s="125"/>
      <c r="F67" s="125"/>
      <c r="G67" s="125"/>
      <c r="H67" s="125"/>
      <c r="I67" s="125"/>
      <c r="J67" s="275"/>
      <c r="K67" s="255"/>
      <c r="L67" s="255"/>
      <c r="M67" s="307"/>
      <c r="N67" s="21"/>
      <c r="O67" s="125"/>
      <c r="P67" s="276"/>
      <c r="Q67" s="159"/>
      <c r="R67" s="159"/>
      <c r="S67" s="159"/>
      <c r="T67" s="159"/>
      <c r="U67" s="159"/>
      <c r="V67" s="160"/>
      <c r="W67" s="160"/>
      <c r="X67" s="160"/>
    </row>
    <row r="68" spans="1:24" s="303" customFormat="1" x14ac:dyDescent="0.2">
      <c r="A68" s="248"/>
      <c r="B68" s="927"/>
      <c r="C68" s="928"/>
      <c r="D68" s="928"/>
      <c r="E68" s="125"/>
      <c r="F68" s="125"/>
      <c r="G68" s="125"/>
      <c r="H68" s="125"/>
      <c r="I68" s="125"/>
      <c r="J68" s="275"/>
      <c r="K68" s="255"/>
      <c r="L68" s="255"/>
      <c r="M68" s="307"/>
      <c r="N68" s="21"/>
      <c r="O68" s="125"/>
      <c r="P68" s="276"/>
      <c r="Q68" s="159"/>
      <c r="R68" s="159"/>
      <c r="S68" s="159"/>
      <c r="T68" s="159"/>
      <c r="U68" s="159"/>
      <c r="V68" s="160"/>
      <c r="W68" s="160"/>
      <c r="X68" s="160"/>
    </row>
    <row r="69" spans="1:24" s="303" customFormat="1" ht="16.5" thickBot="1" x14ac:dyDescent="0.25">
      <c r="A69" s="304"/>
      <c r="B69" s="912"/>
      <c r="C69" s="913"/>
      <c r="D69" s="913"/>
      <c r="E69" s="130"/>
      <c r="F69" s="130"/>
      <c r="G69" s="130"/>
      <c r="H69" s="130"/>
      <c r="I69" s="130"/>
      <c r="J69" s="258"/>
      <c r="K69" s="256"/>
      <c r="L69" s="256"/>
      <c r="M69" s="305"/>
      <c r="N69" s="29"/>
      <c r="O69" s="129"/>
      <c r="P69" s="132"/>
      <c r="Q69" s="159"/>
      <c r="R69" s="159"/>
      <c r="S69" s="159"/>
      <c r="T69" s="159"/>
      <c r="U69" s="159"/>
      <c r="V69" s="160"/>
      <c r="W69" s="160"/>
      <c r="X69" s="160"/>
    </row>
    <row r="70" spans="1:24" s="456" customFormat="1" x14ac:dyDescent="0.2">
      <c r="A70" s="134"/>
      <c r="B70" s="134"/>
      <c r="C70" s="522"/>
      <c r="D70" s="522"/>
      <c r="E70" s="134"/>
      <c r="F70" s="134"/>
      <c r="G70" s="134"/>
      <c r="H70" s="134"/>
      <c r="I70" s="134"/>
      <c r="J70" s="134"/>
      <c r="K70" s="134"/>
      <c r="L70" s="134"/>
      <c r="M70" s="134"/>
      <c r="O70" s="118"/>
      <c r="P70" s="118"/>
      <c r="Q70" s="118"/>
      <c r="R70" s="118"/>
      <c r="S70" s="118"/>
      <c r="T70" s="118"/>
      <c r="U70" s="118"/>
      <c r="V70" s="134"/>
      <c r="W70" s="134"/>
      <c r="X70" s="134"/>
    </row>
    <row r="71" spans="1:24" s="456" customFormat="1" ht="16.5" thickBot="1" x14ac:dyDescent="0.25">
      <c r="A71" s="133"/>
      <c r="B71" s="133"/>
      <c r="C71" s="133"/>
      <c r="D71" s="133"/>
      <c r="E71" s="133"/>
      <c r="F71" s="133"/>
      <c r="G71" s="133"/>
      <c r="H71" s="133"/>
      <c r="I71" s="118"/>
      <c r="J71" s="118"/>
      <c r="K71" s="118"/>
      <c r="L71" s="118"/>
      <c r="M71" s="118"/>
      <c r="N71" s="134"/>
      <c r="O71" s="134"/>
      <c r="P71" s="134"/>
      <c r="Q71" s="134"/>
      <c r="R71" s="134"/>
      <c r="S71" s="134"/>
      <c r="T71" s="134"/>
      <c r="U71" s="134"/>
      <c r="V71" s="134"/>
      <c r="W71" s="118"/>
    </row>
    <row r="72" spans="1:24" s="456" customFormat="1" ht="19.5" thickBot="1" x14ac:dyDescent="0.25">
      <c r="A72" s="938" t="s">
        <v>34</v>
      </c>
      <c r="B72" s="939"/>
      <c r="C72" s="940"/>
      <c r="D72" s="523"/>
      <c r="E72" s="133"/>
      <c r="F72" s="133"/>
      <c r="G72" s="133"/>
      <c r="H72" s="133"/>
      <c r="I72" s="118"/>
      <c r="J72" s="118"/>
      <c r="K72" s="118"/>
      <c r="L72" s="118"/>
      <c r="M72" s="118"/>
      <c r="N72" s="134"/>
      <c r="O72" s="134"/>
      <c r="P72" s="134"/>
      <c r="Q72" s="134"/>
      <c r="R72" s="134"/>
      <c r="S72" s="134"/>
      <c r="T72" s="134"/>
      <c r="U72" s="134"/>
      <c r="V72" s="134"/>
      <c r="W72" s="118"/>
    </row>
    <row r="73" spans="1:24" s="456" customFormat="1" ht="16.5" thickBot="1" x14ac:dyDescent="0.25">
      <c r="A73" s="800" t="s">
        <v>625</v>
      </c>
      <c r="B73" s="801"/>
      <c r="C73" s="802"/>
      <c r="D73" s="200"/>
      <c r="E73" s="200"/>
      <c r="F73" s="200"/>
      <c r="G73" s="200"/>
      <c r="H73" s="194"/>
      <c r="I73" s="194"/>
      <c r="J73" s="200"/>
      <c r="K73" s="194"/>
      <c r="L73" s="200"/>
      <c r="M73" s="118"/>
      <c r="N73" s="134"/>
      <c r="O73" s="134"/>
      <c r="P73" s="134"/>
      <c r="Q73" s="134"/>
      <c r="R73" s="134"/>
      <c r="S73" s="134"/>
      <c r="T73" s="134"/>
      <c r="U73" s="134"/>
      <c r="V73" s="134"/>
      <c r="W73" s="118"/>
    </row>
    <row r="74" spans="1:24" s="456" customFormat="1" x14ac:dyDescent="0.2">
      <c r="A74" s="506" t="s">
        <v>30</v>
      </c>
      <c r="B74" s="470"/>
      <c r="C74" s="508" t="s">
        <v>155</v>
      </c>
      <c r="D74" s="508"/>
      <c r="E74" s="509"/>
      <c r="F74" s="509"/>
      <c r="G74" s="509"/>
      <c r="H74" s="510"/>
      <c r="I74" s="510"/>
      <c r="J74" s="509"/>
      <c r="K74" s="510"/>
      <c r="L74" s="524"/>
      <c r="M74" s="118"/>
      <c r="N74" s="134"/>
      <c r="O74" s="134"/>
      <c r="P74" s="134"/>
      <c r="Q74" s="134"/>
      <c r="R74" s="134"/>
      <c r="S74" s="134"/>
      <c r="T74" s="134"/>
      <c r="U74" s="134"/>
      <c r="V74" s="134"/>
      <c r="W74" s="118"/>
    </row>
    <row r="75" spans="1:24" s="456" customFormat="1" x14ac:dyDescent="0.2">
      <c r="A75" s="96" t="s">
        <v>35</v>
      </c>
      <c r="B75" s="512"/>
      <c r="C75" s="512"/>
      <c r="D75" s="512"/>
      <c r="E75" s="512"/>
      <c r="F75" s="512"/>
      <c r="G75" s="512"/>
      <c r="H75" s="215"/>
      <c r="I75" s="215"/>
      <c r="J75" s="512"/>
      <c r="K75" s="215"/>
      <c r="L75" s="525"/>
      <c r="M75" s="118"/>
      <c r="N75" s="134"/>
      <c r="O75" s="134"/>
      <c r="P75" s="134"/>
      <c r="Q75" s="134"/>
      <c r="R75" s="134"/>
      <c r="S75" s="134"/>
      <c r="T75" s="134"/>
      <c r="U75" s="134"/>
      <c r="V75" s="134"/>
      <c r="W75" s="118"/>
    </row>
    <row r="76" spans="1:24" s="456" customFormat="1" x14ac:dyDescent="0.2">
      <c r="A76" s="96" t="s">
        <v>174</v>
      </c>
      <c r="B76" s="512"/>
      <c r="C76" s="512"/>
      <c r="D76" s="512"/>
      <c r="E76" s="512"/>
      <c r="F76" s="512"/>
      <c r="G76" s="512"/>
      <c r="H76" s="215"/>
      <c r="I76" s="215"/>
      <c r="J76" s="512"/>
      <c r="K76" s="215"/>
      <c r="L76" s="525"/>
      <c r="M76" s="118"/>
      <c r="N76" s="134"/>
      <c r="O76" s="134"/>
      <c r="P76" s="134"/>
      <c r="Q76" s="134"/>
      <c r="R76" s="134"/>
      <c r="S76" s="134"/>
      <c r="T76" s="134"/>
      <c r="U76" s="134"/>
      <c r="V76" s="134"/>
      <c r="W76" s="118"/>
    </row>
    <row r="77" spans="1:24" s="456" customFormat="1" x14ac:dyDescent="0.2">
      <c r="A77" s="96" t="s">
        <v>987</v>
      </c>
      <c r="B77" s="512"/>
      <c r="C77" s="512"/>
      <c r="D77" s="512"/>
      <c r="E77" s="512"/>
      <c r="F77" s="512"/>
      <c r="G77" s="512"/>
      <c r="H77" s="215"/>
      <c r="I77" s="215"/>
      <c r="J77" s="512"/>
      <c r="K77" s="215"/>
      <c r="L77" s="525"/>
      <c r="M77" s="118"/>
      <c r="N77" s="134"/>
      <c r="O77" s="134"/>
      <c r="P77" s="134"/>
      <c r="Q77" s="134"/>
      <c r="R77" s="134"/>
      <c r="S77" s="134"/>
      <c r="T77" s="134"/>
      <c r="U77" s="134"/>
      <c r="V77" s="134"/>
      <c r="W77" s="118"/>
    </row>
    <row r="78" spans="1:24" s="456" customFormat="1" ht="16.5" thickBot="1" x14ac:dyDescent="0.25">
      <c r="A78" s="110" t="s">
        <v>988</v>
      </c>
      <c r="B78" s="514"/>
      <c r="C78" s="514"/>
      <c r="D78" s="514"/>
      <c r="E78" s="514"/>
      <c r="F78" s="514"/>
      <c r="G78" s="514"/>
      <c r="H78" s="515"/>
      <c r="I78" s="515"/>
      <c r="J78" s="514"/>
      <c r="K78" s="515"/>
      <c r="L78" s="526"/>
      <c r="M78" s="118"/>
      <c r="N78" s="134"/>
      <c r="O78" s="134"/>
      <c r="P78" s="134"/>
      <c r="Q78" s="134"/>
      <c r="R78" s="134"/>
      <c r="S78" s="134"/>
      <c r="T78" s="134"/>
      <c r="U78" s="134"/>
      <c r="V78" s="134"/>
      <c r="W78" s="118"/>
    </row>
    <row r="79" spans="1:24" s="456" customFormat="1" ht="16.5" thickBot="1" x14ac:dyDescent="0.25">
      <c r="A79" s="527"/>
      <c r="E79" s="200"/>
      <c r="F79" s="200"/>
      <c r="G79" s="200"/>
      <c r="H79" s="194"/>
      <c r="I79" s="517"/>
      <c r="J79" s="200"/>
      <c r="K79" s="194"/>
      <c r="L79" s="200"/>
      <c r="M79" s="118"/>
      <c r="N79" s="134"/>
      <c r="O79" s="134"/>
      <c r="P79" s="134"/>
      <c r="Q79" s="134"/>
      <c r="R79" s="118"/>
      <c r="V79" s="528"/>
      <c r="W79" s="528"/>
    </row>
    <row r="80" spans="1:24" s="14" customFormat="1" ht="32.25" thickBot="1" x14ac:dyDescent="0.25">
      <c r="A80" s="518" t="s">
        <v>31</v>
      </c>
      <c r="B80" s="932" t="s">
        <v>13</v>
      </c>
      <c r="C80" s="933"/>
      <c r="D80" s="934"/>
      <c r="E80" s="519" t="s">
        <v>12</v>
      </c>
      <c r="F80" s="519" t="s">
        <v>14</v>
      </c>
      <c r="G80" s="519" t="s">
        <v>276</v>
      </c>
      <c r="H80" s="519" t="s">
        <v>32</v>
      </c>
      <c r="I80" s="519" t="s">
        <v>16</v>
      </c>
      <c r="J80" s="519" t="s">
        <v>17</v>
      </c>
      <c r="K80" s="519" t="s">
        <v>18</v>
      </c>
      <c r="L80" s="519" t="s">
        <v>19</v>
      </c>
      <c r="M80" s="519" t="s">
        <v>20</v>
      </c>
      <c r="N80" s="520" t="s">
        <v>123</v>
      </c>
      <c r="O80" s="519" t="s">
        <v>94</v>
      </c>
      <c r="P80" s="521" t="s">
        <v>807</v>
      </c>
      <c r="W80" s="13"/>
    </row>
    <row r="81" spans="1:23" s="303" customFormat="1" x14ac:dyDescent="0.2">
      <c r="A81" s="269"/>
      <c r="B81" s="925"/>
      <c r="C81" s="926"/>
      <c r="D81" s="926"/>
      <c r="E81" s="226"/>
      <c r="F81" s="226"/>
      <c r="G81" s="226"/>
      <c r="H81" s="226"/>
      <c r="I81" s="226"/>
      <c r="J81" s="263"/>
      <c r="K81" s="263"/>
      <c r="L81" s="263"/>
      <c r="M81" s="263"/>
      <c r="N81" s="49"/>
      <c r="O81" s="226"/>
      <c r="P81" s="274"/>
      <c r="Q81" s="160"/>
      <c r="R81" s="160"/>
      <c r="S81" s="160"/>
      <c r="T81" s="160"/>
      <c r="U81" s="160"/>
      <c r="V81" s="160"/>
      <c r="W81" s="159"/>
    </row>
    <row r="82" spans="1:23" s="303" customFormat="1" x14ac:dyDescent="0.2">
      <c r="A82" s="248"/>
      <c r="B82" s="927"/>
      <c r="C82" s="928"/>
      <c r="D82" s="928"/>
      <c r="E82" s="125"/>
      <c r="F82" s="125"/>
      <c r="G82" s="125"/>
      <c r="H82" s="125"/>
      <c r="I82" s="125"/>
      <c r="J82" s="255"/>
      <c r="K82" s="255"/>
      <c r="L82" s="255"/>
      <c r="M82" s="255"/>
      <c r="N82" s="21"/>
      <c r="O82" s="125"/>
      <c r="P82" s="276"/>
      <c r="Q82" s="160"/>
      <c r="R82" s="160"/>
      <c r="S82" s="160"/>
      <c r="T82" s="160"/>
      <c r="U82" s="160"/>
      <c r="V82" s="160"/>
      <c r="W82" s="159"/>
    </row>
    <row r="83" spans="1:23" s="303" customFormat="1" x14ac:dyDescent="0.2">
      <c r="A83" s="248"/>
      <c r="B83" s="927"/>
      <c r="C83" s="928"/>
      <c r="D83" s="928"/>
      <c r="E83" s="125"/>
      <c r="F83" s="125"/>
      <c r="G83" s="125"/>
      <c r="H83" s="125"/>
      <c r="I83" s="125"/>
      <c r="J83" s="255"/>
      <c r="K83" s="255"/>
      <c r="L83" s="255"/>
      <c r="M83" s="255"/>
      <c r="N83" s="21"/>
      <c r="O83" s="125"/>
      <c r="P83" s="276"/>
      <c r="Q83" s="160"/>
      <c r="R83" s="160"/>
      <c r="S83" s="160"/>
      <c r="T83" s="160"/>
      <c r="U83" s="160"/>
      <c r="V83" s="160"/>
      <c r="W83" s="159"/>
    </row>
    <row r="84" spans="1:23" s="303" customFormat="1" ht="16.5" thickBot="1" x14ac:dyDescent="0.25">
      <c r="A84" s="304"/>
      <c r="B84" s="912"/>
      <c r="C84" s="913"/>
      <c r="D84" s="913"/>
      <c r="E84" s="130"/>
      <c r="F84" s="130"/>
      <c r="G84" s="130"/>
      <c r="H84" s="130"/>
      <c r="I84" s="130"/>
      <c r="J84" s="256"/>
      <c r="K84" s="256"/>
      <c r="L84" s="256"/>
      <c r="M84" s="256"/>
      <c r="N84" s="29"/>
      <c r="O84" s="129"/>
      <c r="P84" s="132"/>
      <c r="Q84" s="160"/>
      <c r="R84" s="160"/>
      <c r="S84" s="160"/>
      <c r="T84" s="160"/>
      <c r="U84" s="160"/>
      <c r="V84" s="160"/>
      <c r="W84" s="159"/>
    </row>
    <row r="85" spans="1:23" s="456" customFormat="1" ht="16.5" thickBot="1" x14ac:dyDescent="0.25">
      <c r="A85" s="133"/>
      <c r="B85" s="133"/>
      <c r="C85" s="133"/>
      <c r="D85" s="133"/>
      <c r="E85" s="133"/>
      <c r="F85" s="133"/>
      <c r="G85" s="133"/>
      <c r="H85" s="118"/>
      <c r="I85" s="118"/>
      <c r="J85" s="118"/>
      <c r="K85" s="118"/>
      <c r="L85" s="118"/>
      <c r="M85" s="134"/>
      <c r="N85" s="134"/>
      <c r="O85" s="134"/>
      <c r="P85" s="134"/>
      <c r="Q85" s="134"/>
      <c r="R85" s="134"/>
      <c r="S85" s="134"/>
      <c r="T85" s="134"/>
      <c r="U85" s="134"/>
      <c r="V85" s="118"/>
    </row>
    <row r="86" spans="1:23" s="73" customFormat="1" ht="16.5" thickBot="1" x14ac:dyDescent="0.25">
      <c r="A86" s="822" t="s">
        <v>36</v>
      </c>
      <c r="B86" s="823"/>
      <c r="C86" s="823"/>
      <c r="D86" s="823"/>
      <c r="E86" s="823"/>
      <c r="F86" s="823"/>
      <c r="G86" s="823"/>
      <c r="H86" s="823"/>
      <c r="I86" s="824"/>
      <c r="J86" s="169"/>
      <c r="K86" s="118"/>
      <c r="L86" s="134"/>
      <c r="M86" s="134"/>
      <c r="N86" s="134"/>
      <c r="O86" s="134"/>
      <c r="P86" s="134"/>
      <c r="Q86" s="134"/>
      <c r="R86" s="134"/>
      <c r="S86" s="118"/>
      <c r="T86" s="118"/>
      <c r="U86" s="118"/>
    </row>
    <row r="87" spans="1:23" s="73" customFormat="1" ht="16.5" thickBot="1" x14ac:dyDescent="0.25">
      <c r="A87" s="935" t="s">
        <v>37</v>
      </c>
      <c r="B87" s="936"/>
      <c r="C87" s="936"/>
      <c r="D87" s="936"/>
      <c r="E87" s="936"/>
      <c r="F87" s="936"/>
      <c r="G87" s="936"/>
      <c r="H87" s="936"/>
      <c r="I87" s="937"/>
      <c r="J87" s="170"/>
      <c r="K87" s="118"/>
      <c r="L87" s="134"/>
      <c r="M87" s="134"/>
      <c r="N87" s="134"/>
      <c r="O87" s="134"/>
      <c r="P87" s="134"/>
      <c r="Q87" s="134"/>
      <c r="R87" s="134"/>
      <c r="S87" s="118"/>
      <c r="T87" s="118"/>
      <c r="U87" s="118"/>
    </row>
    <row r="88" spans="1:23" s="308" customFormat="1" ht="15.75" customHeight="1" thickBot="1" x14ac:dyDescent="0.25">
      <c r="A88" s="665" t="s">
        <v>296</v>
      </c>
      <c r="B88" s="909" t="s">
        <v>1129</v>
      </c>
      <c r="C88" s="910"/>
      <c r="D88" s="910"/>
      <c r="E88" s="910"/>
      <c r="F88" s="910"/>
      <c r="G88" s="910"/>
      <c r="H88" s="910"/>
      <c r="I88" s="911"/>
      <c r="J88" s="171"/>
      <c r="K88" s="172"/>
      <c r="L88" s="173"/>
      <c r="M88" s="173"/>
      <c r="N88" s="173"/>
      <c r="O88" s="173"/>
      <c r="P88" s="173"/>
      <c r="Q88" s="173"/>
      <c r="R88" s="173"/>
      <c r="S88" s="172"/>
      <c r="T88" s="172"/>
      <c r="U88" s="172"/>
    </row>
    <row r="89" spans="1:23" s="73" customFormat="1" ht="16.5" thickBot="1" x14ac:dyDescent="0.25">
      <c r="A89" s="196"/>
      <c r="B89" s="169"/>
      <c r="C89" s="169"/>
      <c r="D89" s="169"/>
      <c r="E89" s="169"/>
      <c r="F89" s="176"/>
      <c r="G89" s="176"/>
      <c r="H89" s="176"/>
      <c r="I89" s="176"/>
      <c r="J89" s="176"/>
      <c r="K89" s="118"/>
      <c r="L89" s="134"/>
      <c r="M89" s="134"/>
      <c r="N89" s="134"/>
      <c r="O89" s="134"/>
      <c r="P89" s="134"/>
      <c r="Q89" s="118"/>
    </row>
    <row r="90" spans="1:23" s="73" customFormat="1" ht="16.5" customHeight="1" thickBot="1" x14ac:dyDescent="0.25">
      <c r="A90" s="917" t="s">
        <v>214</v>
      </c>
      <c r="B90" s="918"/>
      <c r="C90" s="918"/>
      <c r="D90" s="918"/>
      <c r="E90" s="918"/>
      <c r="F90" s="918"/>
      <c r="G90" s="918"/>
      <c r="H90" s="930" t="s">
        <v>226</v>
      </c>
      <c r="I90" s="786" t="s">
        <v>627</v>
      </c>
      <c r="J90" s="786" t="s">
        <v>215</v>
      </c>
      <c r="K90" s="786" t="s">
        <v>23</v>
      </c>
      <c r="L90" s="786" t="s">
        <v>302</v>
      </c>
      <c r="M90" s="788" t="s">
        <v>83</v>
      </c>
      <c r="N90" s="134"/>
      <c r="O90" s="118"/>
      <c r="P90" s="456"/>
      <c r="Q90" s="528"/>
      <c r="R90" s="528"/>
    </row>
    <row r="91" spans="1:23" s="446" customFormat="1" ht="16.5" thickBot="1" x14ac:dyDescent="0.25">
      <c r="A91" s="919" t="s">
        <v>887</v>
      </c>
      <c r="B91" s="920"/>
      <c r="C91" s="920"/>
      <c r="D91" s="920"/>
      <c r="E91" s="920"/>
      <c r="F91" s="920"/>
      <c r="G91" s="921"/>
      <c r="H91" s="931"/>
      <c r="I91" s="908"/>
      <c r="J91" s="908"/>
      <c r="K91" s="908"/>
      <c r="L91" s="908"/>
      <c r="M91" s="929"/>
      <c r="N91" s="177"/>
      <c r="O91" s="177"/>
      <c r="P91" s="177"/>
      <c r="Q91" s="177"/>
      <c r="R91" s="177"/>
    </row>
    <row r="92" spans="1:23" s="446" customFormat="1" ht="15.75" customHeight="1" thickBot="1" x14ac:dyDescent="0.25">
      <c r="A92" s="914" t="s">
        <v>353</v>
      </c>
      <c r="B92" s="915"/>
      <c r="C92" s="915"/>
      <c r="D92" s="915"/>
      <c r="E92" s="915"/>
      <c r="F92" s="915"/>
      <c r="G92" s="916"/>
      <c r="H92" s="931"/>
      <c r="I92" s="908"/>
      <c r="J92" s="908"/>
      <c r="K92" s="908"/>
      <c r="L92" s="908"/>
      <c r="M92" s="929"/>
      <c r="N92" s="177"/>
      <c r="O92" s="177"/>
      <c r="P92" s="177"/>
      <c r="Q92" s="177"/>
      <c r="R92" s="177"/>
    </row>
    <row r="93" spans="1:23" s="136" customFormat="1" ht="15.75" customHeight="1" x14ac:dyDescent="0.2">
      <c r="A93" s="178" t="s">
        <v>234</v>
      </c>
      <c r="B93" s="942" t="str">
        <f>IF($A93="","",VLOOKUP($A93,Listes!$A$3:$C$193,2,FALSE))</f>
        <v>Bunker Adjustment Factor</v>
      </c>
      <c r="C93" s="942"/>
      <c r="D93" s="942"/>
      <c r="E93" s="941" t="s">
        <v>51</v>
      </c>
      <c r="F93" s="941"/>
      <c r="G93" s="941"/>
      <c r="H93" s="614"/>
      <c r="I93" s="529"/>
      <c r="J93" s="529"/>
      <c r="K93" s="529"/>
      <c r="L93" s="529"/>
      <c r="M93" s="530"/>
      <c r="N93" s="160"/>
      <c r="O93" s="160"/>
      <c r="P93" s="160"/>
      <c r="Q93" s="160"/>
      <c r="R93" s="159"/>
    </row>
    <row r="94" spans="1:23" s="136" customFormat="1" ht="15.75" customHeight="1" x14ac:dyDescent="0.2">
      <c r="A94" s="182" t="s">
        <v>1105</v>
      </c>
      <c r="B94" s="813" t="str">
        <f>IF($A94="","",VLOOKUP($A94,Listes!$A$3:$C$193,2,FALSE))</f>
        <v>Chassis Administration Fee On-Carriage</v>
      </c>
      <c r="C94" s="813"/>
      <c r="D94" s="813"/>
      <c r="E94" s="814" t="s">
        <v>51</v>
      </c>
      <c r="F94" s="814"/>
      <c r="G94" s="814"/>
      <c r="H94" s="647"/>
      <c r="I94" s="531"/>
      <c r="J94" s="531"/>
      <c r="K94" s="531"/>
      <c r="L94" s="531"/>
      <c r="M94" s="532"/>
      <c r="N94" s="160"/>
      <c r="O94" s="160"/>
      <c r="P94" s="160"/>
      <c r="Q94" s="160"/>
      <c r="R94" s="159"/>
    </row>
    <row r="95" spans="1:23" s="136" customFormat="1" ht="15.75" customHeight="1" x14ac:dyDescent="0.2">
      <c r="A95" s="182" t="s">
        <v>551</v>
      </c>
      <c r="B95" s="813" t="str">
        <f>IF($A95="","",VLOOKUP($A95,Listes!$A$3:$C$193,2,FALSE))</f>
        <v>Chassis Provision Charge</v>
      </c>
      <c r="C95" s="813"/>
      <c r="D95" s="813"/>
      <c r="E95" s="814" t="s">
        <v>51</v>
      </c>
      <c r="F95" s="814"/>
      <c r="G95" s="814"/>
      <c r="H95" s="612"/>
      <c r="I95" s="531"/>
      <c r="J95" s="531"/>
      <c r="K95" s="531"/>
      <c r="L95" s="531"/>
      <c r="M95" s="532"/>
      <c r="N95" s="160"/>
      <c r="O95" s="160"/>
      <c r="P95" s="160"/>
      <c r="Q95" s="160"/>
      <c r="R95" s="159"/>
    </row>
    <row r="96" spans="1:23" s="136" customFormat="1" ht="15.75" customHeight="1" x14ac:dyDescent="0.2">
      <c r="A96" s="182" t="s">
        <v>263</v>
      </c>
      <c r="B96" s="813" t="str">
        <f>IF($A96="","",VLOOKUP($A96,Listes!$A$3:$C$193,2,FALSE))</f>
        <v>Carrier Security Charge</v>
      </c>
      <c r="C96" s="813"/>
      <c r="D96" s="813"/>
      <c r="E96" s="814" t="s">
        <v>51</v>
      </c>
      <c r="F96" s="814"/>
      <c r="G96" s="814"/>
      <c r="H96" s="612"/>
      <c r="I96" s="531"/>
      <c r="J96" s="531"/>
      <c r="K96" s="531"/>
      <c r="L96" s="531"/>
      <c r="M96" s="532"/>
      <c r="N96" s="160"/>
      <c r="O96" s="160"/>
      <c r="P96" s="160"/>
      <c r="Q96" s="160"/>
      <c r="R96" s="159"/>
    </row>
    <row r="97" spans="1:18" s="136" customFormat="1" ht="15.75" customHeight="1" x14ac:dyDescent="0.2">
      <c r="A97" s="182" t="s">
        <v>1262</v>
      </c>
      <c r="B97" s="813" t="str">
        <f>IF($A97="","",VLOOKUP($A97,Listes!$A$3:$C$193,2,FALSE))</f>
        <v>Container Maintenance Charge Destination</v>
      </c>
      <c r="C97" s="813"/>
      <c r="D97" s="813"/>
      <c r="E97" s="814" t="s">
        <v>51</v>
      </c>
      <c r="F97" s="814"/>
      <c r="G97" s="814"/>
      <c r="H97" s="647"/>
      <c r="I97" s="531"/>
      <c r="J97" s="531"/>
      <c r="K97" s="531"/>
      <c r="L97" s="531"/>
      <c r="M97" s="532"/>
      <c r="N97" s="160"/>
      <c r="O97" s="160"/>
      <c r="P97" s="160"/>
      <c r="Q97" s="160"/>
      <c r="R97" s="159"/>
    </row>
    <row r="98" spans="1:18" s="136" customFormat="1" ht="15.75" customHeight="1" x14ac:dyDescent="0.2">
      <c r="A98" s="182" t="s">
        <v>230</v>
      </c>
      <c r="B98" s="813" t="str">
        <f>IF($A98="","",VLOOKUP($A98,Listes!$A$3:$C$193,2,FALSE))</f>
        <v>Destination THC / Destination Receiving Charge</v>
      </c>
      <c r="C98" s="813"/>
      <c r="D98" s="813"/>
      <c r="E98" s="814" t="s">
        <v>51</v>
      </c>
      <c r="F98" s="814"/>
      <c r="G98" s="814"/>
      <c r="H98" s="612"/>
      <c r="I98" s="531"/>
      <c r="J98" s="531"/>
      <c r="K98" s="531"/>
      <c r="L98" s="531"/>
      <c r="M98" s="532"/>
      <c r="N98" s="160"/>
      <c r="O98" s="160"/>
      <c r="P98" s="160"/>
      <c r="Q98" s="160"/>
      <c r="R98" s="159"/>
    </row>
    <row r="99" spans="1:18" s="136" customFormat="1" ht="15.75" customHeight="1" x14ac:dyDescent="0.2">
      <c r="A99" s="182" t="s">
        <v>874</v>
      </c>
      <c r="B99" s="813" t="str">
        <f>IF($A99="","",VLOOKUP($A99,Listes!$A$3:$C$193,2,FALSE))</f>
        <v>Export Documentation Fees - Carrier</v>
      </c>
      <c r="C99" s="813"/>
      <c r="D99" s="813"/>
      <c r="E99" s="814" t="s">
        <v>51</v>
      </c>
      <c r="F99" s="814"/>
      <c r="G99" s="814"/>
      <c r="H99" s="612"/>
      <c r="I99" s="531"/>
      <c r="J99" s="531"/>
      <c r="K99" s="531"/>
      <c r="L99" s="531"/>
      <c r="M99" s="532"/>
      <c r="N99" s="160"/>
      <c r="O99" s="160"/>
      <c r="P99" s="160"/>
      <c r="Q99" s="160"/>
      <c r="R99" s="159"/>
    </row>
    <row r="100" spans="1:18" s="136" customFormat="1" ht="15.75" customHeight="1" x14ac:dyDescent="0.2">
      <c r="A100" s="182" t="s">
        <v>854</v>
      </c>
      <c r="B100" s="813" t="str">
        <f>IF($A100="","",VLOOKUP($A100,Listes!$A$3:$C$193,2,FALSE))</f>
        <v>Export Declaration Surcharge</v>
      </c>
      <c r="C100" s="813"/>
      <c r="D100" s="813"/>
      <c r="E100" s="814" t="s">
        <v>51</v>
      </c>
      <c r="F100" s="814"/>
      <c r="G100" s="814"/>
      <c r="H100" s="612"/>
      <c r="I100" s="531"/>
      <c r="J100" s="531"/>
      <c r="K100" s="531"/>
      <c r="L100" s="531"/>
      <c r="M100" s="532"/>
      <c r="N100" s="160"/>
      <c r="O100" s="160"/>
      <c r="P100" s="160"/>
      <c r="Q100" s="160"/>
      <c r="R100" s="159"/>
    </row>
    <row r="101" spans="1:18" s="136" customFormat="1" ht="15.75" customHeight="1" x14ac:dyDescent="0.2">
      <c r="A101" s="182" t="s">
        <v>1320</v>
      </c>
      <c r="B101" s="813" t="str">
        <f>IF($A101="","",VLOOKUP($A101,Listes!$A$3:$C$193,2,FALSE))</f>
        <v>Export Seal Fee</v>
      </c>
      <c r="C101" s="813"/>
      <c r="D101" s="813"/>
      <c r="E101" s="814" t="s">
        <v>51</v>
      </c>
      <c r="F101" s="814"/>
      <c r="G101" s="814"/>
      <c r="H101" s="686"/>
      <c r="I101" s="531"/>
      <c r="J101" s="531"/>
      <c r="K101" s="531"/>
      <c r="L101" s="531"/>
      <c r="M101" s="532"/>
      <c r="N101" s="160"/>
      <c r="O101" s="160"/>
      <c r="P101" s="160"/>
      <c r="Q101" s="160"/>
      <c r="R101" s="159"/>
    </row>
    <row r="102" spans="1:18" s="136" customFormat="1" ht="15.75" customHeight="1" x14ac:dyDescent="0.2">
      <c r="A102" s="182" t="s">
        <v>82</v>
      </c>
      <c r="B102" s="813" t="str">
        <f>IF($A102="","",VLOOKUP($A102,Listes!$A$3:$C$193,2,FALSE))</f>
        <v>General Rate Increase</v>
      </c>
      <c r="C102" s="813"/>
      <c r="D102" s="813"/>
      <c r="E102" s="814" t="s">
        <v>51</v>
      </c>
      <c r="F102" s="814"/>
      <c r="G102" s="814"/>
      <c r="H102" s="612"/>
      <c r="I102" s="531"/>
      <c r="J102" s="531"/>
      <c r="K102" s="531"/>
      <c r="L102" s="531"/>
      <c r="M102" s="532"/>
      <c r="N102" s="160"/>
      <c r="O102" s="160"/>
      <c r="P102" s="160"/>
      <c r="Q102" s="160"/>
      <c r="R102" s="159"/>
    </row>
    <row r="103" spans="1:18" s="136" customFormat="1" ht="15.75" customHeight="1" x14ac:dyDescent="0.2">
      <c r="A103" s="182" t="s">
        <v>260</v>
      </c>
      <c r="B103" s="813" t="str">
        <f>IF($A103="","",VLOOKUP($A103,Listes!$A$3:$C$193,2,FALSE))</f>
        <v>Hazardous Fees (Ocean)</v>
      </c>
      <c r="C103" s="813"/>
      <c r="D103" s="813"/>
      <c r="E103" s="814" t="s">
        <v>51</v>
      </c>
      <c r="F103" s="814"/>
      <c r="G103" s="814"/>
      <c r="H103" s="612"/>
      <c r="I103" s="531"/>
      <c r="J103" s="531"/>
      <c r="K103" s="531"/>
      <c r="L103" s="531"/>
      <c r="M103" s="532"/>
      <c r="N103" s="160"/>
      <c r="O103" s="160"/>
      <c r="P103" s="160"/>
      <c r="Q103" s="160"/>
      <c r="R103" s="159"/>
    </row>
    <row r="104" spans="1:18" s="136" customFormat="1" ht="15.75" customHeight="1" x14ac:dyDescent="0.2">
      <c r="A104" s="182" t="s">
        <v>1290</v>
      </c>
      <c r="B104" s="813" t="str">
        <f>IF($A104="","",VLOOKUP($A104,Listes!$A$3:$C$193,2,FALSE))</f>
        <v>Local Port Charge Destination Sanitary Fee</v>
      </c>
      <c r="C104" s="813"/>
      <c r="D104" s="813"/>
      <c r="E104" s="814" t="s">
        <v>51</v>
      </c>
      <c r="F104" s="814"/>
      <c r="G104" s="814"/>
      <c r="H104" s="675"/>
      <c r="I104" s="531"/>
      <c r="J104" s="531"/>
      <c r="K104" s="531"/>
      <c r="L104" s="531"/>
      <c r="M104" s="532"/>
      <c r="N104" s="160"/>
      <c r="O104" s="160"/>
      <c r="P104" s="160"/>
      <c r="Q104" s="160"/>
      <c r="R104" s="159"/>
    </row>
    <row r="105" spans="1:18" s="136" customFormat="1" ht="15.75" customHeight="1" x14ac:dyDescent="0.2">
      <c r="A105" s="182" t="s">
        <v>1292</v>
      </c>
      <c r="B105" s="813" t="str">
        <f>IF($A105="","",VLOOKUP($A105,Listes!$A$3:$C$193,2,FALSE))</f>
        <v>Local Port Charge Origin Sanitary Fee</v>
      </c>
      <c r="C105" s="813"/>
      <c r="D105" s="813"/>
      <c r="E105" s="814" t="s">
        <v>51</v>
      </c>
      <c r="F105" s="814"/>
      <c r="G105" s="814"/>
      <c r="H105" s="675"/>
      <c r="I105" s="531"/>
      <c r="J105" s="531"/>
      <c r="K105" s="531"/>
      <c r="L105" s="531"/>
      <c r="M105" s="532"/>
      <c r="N105" s="160"/>
      <c r="O105" s="160"/>
      <c r="P105" s="160"/>
      <c r="Q105" s="160"/>
      <c r="R105" s="159"/>
    </row>
    <row r="106" spans="1:18" s="136" customFormat="1" ht="15.75" customHeight="1" x14ac:dyDescent="0.2">
      <c r="A106" s="182" t="s">
        <v>199</v>
      </c>
      <c r="B106" s="813" t="str">
        <f>IF($A106="","",VLOOKUP($A106,Listes!$A$3:$C$193,2,FALSE))</f>
        <v>Low Sulfur Surcharge</v>
      </c>
      <c r="C106" s="813"/>
      <c r="D106" s="813"/>
      <c r="E106" s="814" t="s">
        <v>53</v>
      </c>
      <c r="F106" s="814"/>
      <c r="G106" s="814"/>
      <c r="H106" s="612"/>
      <c r="I106" s="531"/>
      <c r="J106" s="531"/>
      <c r="K106" s="531"/>
      <c r="L106" s="531"/>
      <c r="M106" s="532"/>
      <c r="N106" s="160"/>
      <c r="O106" s="160"/>
      <c r="P106" s="160"/>
      <c r="Q106" s="160"/>
      <c r="R106" s="159"/>
    </row>
    <row r="107" spans="1:18" s="136" customFormat="1" ht="15.75" customHeight="1" x14ac:dyDescent="0.2">
      <c r="A107" s="182" t="s">
        <v>1124</v>
      </c>
      <c r="B107" s="813" t="str">
        <f>IF($A107="","",VLOOKUP($A107,Listes!$A$3:$C$193,2,FALSE))</f>
        <v>Low Sulfur Surcharge IMO2020</v>
      </c>
      <c r="C107" s="813"/>
      <c r="D107" s="813"/>
      <c r="E107" s="814" t="s">
        <v>53</v>
      </c>
      <c r="F107" s="814"/>
      <c r="G107" s="814"/>
      <c r="H107" s="666"/>
      <c r="I107" s="531"/>
      <c r="J107" s="531"/>
      <c r="K107" s="531"/>
      <c r="L107" s="531"/>
      <c r="M107" s="532"/>
      <c r="N107" s="160"/>
      <c r="O107" s="160"/>
      <c r="P107" s="160"/>
      <c r="Q107" s="160"/>
      <c r="R107" s="159"/>
    </row>
    <row r="108" spans="1:18" s="136" customFormat="1" x14ac:dyDescent="0.2">
      <c r="A108" s="182" t="s">
        <v>1059</v>
      </c>
      <c r="B108" s="813" t="str">
        <f>IF($A108="","",VLOOKUP($A108,Listes!$A$3:$C$193,2,FALSE))</f>
        <v>On-Carriage Emergency Inland Fuel Surcharge</v>
      </c>
      <c r="C108" s="813"/>
      <c r="D108" s="813"/>
      <c r="E108" s="814" t="s">
        <v>51</v>
      </c>
      <c r="F108" s="814"/>
      <c r="G108" s="814"/>
      <c r="H108" s="645"/>
      <c r="I108" s="531"/>
      <c r="J108" s="531"/>
      <c r="K108" s="531"/>
      <c r="L108" s="531"/>
      <c r="M108" s="532"/>
      <c r="N108" s="160"/>
      <c r="O108" s="160"/>
      <c r="P108" s="160"/>
      <c r="Q108" s="160"/>
      <c r="R108" s="159"/>
    </row>
    <row r="109" spans="1:18" s="136" customFormat="1" ht="31.5" x14ac:dyDescent="0.2">
      <c r="A109" s="182" t="s">
        <v>1088</v>
      </c>
      <c r="B109" s="813" t="str">
        <f>IF($A109="","",VLOOKUP($A109,Listes!$A$3:$C$193,2,FALSE))</f>
        <v>On-Carriage Emergency Intermodal Surcharge</v>
      </c>
      <c r="C109" s="813"/>
      <c r="D109" s="813"/>
      <c r="E109" s="814" t="s">
        <v>51</v>
      </c>
      <c r="F109" s="814"/>
      <c r="G109" s="814"/>
      <c r="H109" s="647"/>
      <c r="I109" s="531"/>
      <c r="J109" s="531"/>
      <c r="K109" s="531"/>
      <c r="L109" s="531"/>
      <c r="M109" s="532"/>
      <c r="N109" s="160"/>
      <c r="O109" s="160"/>
      <c r="P109" s="160"/>
      <c r="Q109" s="160"/>
      <c r="R109" s="159"/>
    </row>
    <row r="110" spans="1:18" s="136" customFormat="1" ht="15.75" customHeight="1" x14ac:dyDescent="0.2">
      <c r="A110" s="182" t="s">
        <v>497</v>
      </c>
      <c r="B110" s="813" t="str">
        <f>IF($A110="","",VLOOKUP($A110,Listes!$A$3:$C$193,2,FALSE))</f>
        <v>Inland Hazardous Charge Oncarriage</v>
      </c>
      <c r="C110" s="813"/>
      <c r="D110" s="813"/>
      <c r="E110" s="814" t="s">
        <v>51</v>
      </c>
      <c r="F110" s="814"/>
      <c r="G110" s="814"/>
      <c r="H110" s="612"/>
      <c r="I110" s="531"/>
      <c r="J110" s="531"/>
      <c r="K110" s="531"/>
      <c r="L110" s="531"/>
      <c r="M110" s="532"/>
      <c r="N110" s="160"/>
      <c r="O110" s="160"/>
      <c r="P110" s="160"/>
      <c r="Q110" s="160"/>
      <c r="R110" s="159"/>
    </row>
    <row r="111" spans="1:18" s="136" customFormat="1" x14ac:dyDescent="0.2">
      <c r="A111" s="182" t="s">
        <v>89</v>
      </c>
      <c r="B111" s="813" t="str">
        <f>IF($A111="","",VLOOKUP($A111,Listes!$A$3:$C$193,2,FALSE))</f>
        <v>Origin THC / Origin Receiving Charge</v>
      </c>
      <c r="C111" s="813"/>
      <c r="D111" s="813"/>
      <c r="E111" s="814" t="s">
        <v>51</v>
      </c>
      <c r="F111" s="814"/>
      <c r="G111" s="814"/>
      <c r="H111" s="612"/>
      <c r="I111" s="531"/>
      <c r="J111" s="531"/>
      <c r="K111" s="531"/>
      <c r="L111" s="531"/>
      <c r="M111" s="532"/>
      <c r="N111" s="160"/>
      <c r="O111" s="160"/>
      <c r="P111" s="160"/>
      <c r="Q111" s="160"/>
      <c r="R111" s="159"/>
    </row>
    <row r="112" spans="1:18" s="136" customFormat="1" ht="15.75" customHeight="1" x14ac:dyDescent="0.2">
      <c r="A112" s="182" t="s">
        <v>97</v>
      </c>
      <c r="B112" s="813" t="str">
        <f>IF($A112="","",VLOOKUP($A112,Listes!$A$3:$C$193,2,FALSE))</f>
        <v>Panama Canal Surcharge</v>
      </c>
      <c r="C112" s="813"/>
      <c r="D112" s="813"/>
      <c r="E112" s="814" t="s">
        <v>51</v>
      </c>
      <c r="F112" s="814"/>
      <c r="G112" s="814"/>
      <c r="H112" s="612"/>
      <c r="I112" s="531"/>
      <c r="J112" s="531"/>
      <c r="K112" s="531"/>
      <c r="L112" s="531"/>
      <c r="M112" s="532"/>
      <c r="N112" s="160"/>
      <c r="O112" s="160"/>
      <c r="P112" s="160"/>
      <c r="Q112" s="160"/>
      <c r="R112" s="159"/>
    </row>
    <row r="113" spans="1:21" s="136" customFormat="1" ht="15.75" customHeight="1" x14ac:dyDescent="0.2">
      <c r="A113" s="182" t="s">
        <v>500</v>
      </c>
      <c r="B113" s="813" t="str">
        <f>IF($A113="","",VLOOKUP($A113,Listes!$A$3:$C$193,2,FALSE))</f>
        <v>Inland Hazardous Charge Precarriage</v>
      </c>
      <c r="C113" s="813"/>
      <c r="D113" s="813"/>
      <c r="E113" s="814" t="s">
        <v>51</v>
      </c>
      <c r="F113" s="814"/>
      <c r="G113" s="814"/>
      <c r="H113" s="612"/>
      <c r="I113" s="531"/>
      <c r="J113" s="531"/>
      <c r="K113" s="531"/>
      <c r="L113" s="531"/>
      <c r="M113" s="532"/>
      <c r="N113" s="160"/>
      <c r="O113" s="160"/>
      <c r="P113" s="160"/>
      <c r="Q113" s="160"/>
      <c r="R113" s="159"/>
    </row>
    <row r="114" spans="1:21" s="136" customFormat="1" ht="15.75" customHeight="1" x14ac:dyDescent="0.2">
      <c r="A114" s="182" t="s">
        <v>91</v>
      </c>
      <c r="B114" s="813" t="str">
        <f>IF($A114="","",VLOOKUP($A114,Listes!$A$3:$C$193,2,FALSE))</f>
        <v>Turkey (Primage)</v>
      </c>
      <c r="C114" s="813"/>
      <c r="D114" s="813"/>
      <c r="E114" s="814" t="s">
        <v>51</v>
      </c>
      <c r="F114" s="814"/>
      <c r="G114" s="814"/>
      <c r="H114" s="612"/>
      <c r="I114" s="531"/>
      <c r="J114" s="531"/>
      <c r="K114" s="531"/>
      <c r="L114" s="531"/>
      <c r="M114" s="532"/>
      <c r="N114" s="160"/>
      <c r="O114" s="160"/>
      <c r="P114" s="160"/>
      <c r="Q114" s="160"/>
      <c r="R114" s="159"/>
    </row>
    <row r="115" spans="1:21" s="136" customFormat="1" ht="15.75" customHeight="1" x14ac:dyDescent="0.2">
      <c r="A115" s="182" t="s">
        <v>87</v>
      </c>
      <c r="B115" s="813" t="str">
        <f>IF($A115="","",VLOOKUP($A115,Listes!$A$3:$C$193,2,FALSE))</f>
        <v>Peak Season</v>
      </c>
      <c r="C115" s="813"/>
      <c r="D115" s="813"/>
      <c r="E115" s="814" t="s">
        <v>51</v>
      </c>
      <c r="F115" s="814"/>
      <c r="G115" s="814"/>
      <c r="H115" s="612"/>
      <c r="I115" s="531"/>
      <c r="J115" s="531"/>
      <c r="K115" s="531"/>
      <c r="L115" s="531"/>
      <c r="M115" s="532"/>
      <c r="N115" s="160"/>
      <c r="O115" s="160"/>
      <c r="P115" s="160"/>
      <c r="Q115" s="160"/>
      <c r="R115" s="159"/>
    </row>
    <row r="116" spans="1:21" s="136" customFormat="1" ht="15.75" customHeight="1" x14ac:dyDescent="0.2">
      <c r="A116" s="182" t="s">
        <v>859</v>
      </c>
      <c r="B116" s="813" t="str">
        <f>IF($A116="","",VLOOKUP($A116,Listes!$A$3:$C$193,2,FALSE))</f>
        <v>Peak Season Surcharge 2</v>
      </c>
      <c r="C116" s="813"/>
      <c r="D116" s="813"/>
      <c r="E116" s="814" t="s">
        <v>51</v>
      </c>
      <c r="F116" s="814"/>
      <c r="G116" s="814"/>
      <c r="H116" s="612"/>
      <c r="I116" s="531"/>
      <c r="J116" s="531"/>
      <c r="K116" s="531"/>
      <c r="L116" s="531"/>
      <c r="M116" s="532"/>
      <c r="N116" s="160"/>
      <c r="O116" s="160"/>
      <c r="P116" s="160"/>
      <c r="Q116" s="160"/>
      <c r="R116" s="159"/>
    </row>
    <row r="117" spans="1:21" s="136" customFormat="1" ht="15.75" customHeight="1" x14ac:dyDescent="0.2">
      <c r="A117" s="182" t="s">
        <v>278</v>
      </c>
      <c r="B117" s="813" t="str">
        <f>IF($A117="","",VLOOKUP($A117,Listes!$A$3:$C$193,2,FALSE))</f>
        <v>Destination Terminal Security Charge</v>
      </c>
      <c r="C117" s="813"/>
      <c r="D117" s="813"/>
      <c r="E117" s="814" t="s">
        <v>51</v>
      </c>
      <c r="F117" s="814"/>
      <c r="G117" s="814"/>
      <c r="H117" s="612"/>
      <c r="I117" s="531"/>
      <c r="J117" s="531"/>
      <c r="K117" s="531"/>
      <c r="L117" s="531"/>
      <c r="M117" s="532"/>
      <c r="N117" s="160"/>
      <c r="O117" s="160"/>
      <c r="P117" s="160"/>
      <c r="Q117" s="160"/>
      <c r="R117" s="159"/>
    </row>
    <row r="118" spans="1:21" s="136" customFormat="1" ht="15.75" customHeight="1" x14ac:dyDescent="0.2">
      <c r="A118" s="182" t="s">
        <v>277</v>
      </c>
      <c r="B118" s="813" t="str">
        <f>IF($A118="","",VLOOKUP($A118,Listes!$A$3:$C$193,2,FALSE))</f>
        <v>Origin Terminal Security Charge</v>
      </c>
      <c r="C118" s="813"/>
      <c r="D118" s="813"/>
      <c r="E118" s="814" t="s">
        <v>51</v>
      </c>
      <c r="F118" s="814"/>
      <c r="G118" s="814"/>
      <c r="H118" s="612"/>
      <c r="I118" s="531"/>
      <c r="J118" s="531"/>
      <c r="K118" s="531"/>
      <c r="L118" s="531"/>
      <c r="M118" s="532"/>
      <c r="N118" s="160"/>
      <c r="O118" s="160"/>
      <c r="P118" s="160"/>
      <c r="Q118" s="160"/>
      <c r="R118" s="159"/>
    </row>
    <row r="119" spans="1:21" s="136" customFormat="1" ht="15.75" customHeight="1" x14ac:dyDescent="0.2">
      <c r="A119" s="182" t="s">
        <v>361</v>
      </c>
      <c r="B119" s="813" t="str">
        <f>IF($A119="","",VLOOKUP($A119,Listes!$A$3:$C$193,2,FALSE))</f>
        <v>Suez Canal Surcharge</v>
      </c>
      <c r="C119" s="813"/>
      <c r="D119" s="813"/>
      <c r="E119" s="814" t="s">
        <v>53</v>
      </c>
      <c r="F119" s="814"/>
      <c r="G119" s="814"/>
      <c r="H119" s="612"/>
      <c r="I119" s="531"/>
      <c r="J119" s="531"/>
      <c r="K119" s="531"/>
      <c r="L119" s="531"/>
      <c r="M119" s="532"/>
      <c r="N119" s="160"/>
      <c r="O119" s="160"/>
      <c r="P119" s="160"/>
      <c r="Q119" s="160"/>
      <c r="R119" s="159"/>
    </row>
    <row r="120" spans="1:21" s="136" customFormat="1" ht="32.25" thickBot="1" x14ac:dyDescent="0.25">
      <c r="A120" s="185" t="s">
        <v>367</v>
      </c>
      <c r="B120" s="812" t="str">
        <f>IF($A120="","",VLOOKUP($A120,Listes!$A$3:$C$193,2,FALSE))</f>
        <v>Tri-Axle / Super Chassis Oncarriage Surcharge</v>
      </c>
      <c r="C120" s="812"/>
      <c r="D120" s="812"/>
      <c r="E120" s="815" t="s">
        <v>51</v>
      </c>
      <c r="F120" s="815"/>
      <c r="G120" s="815"/>
      <c r="H120" s="613"/>
      <c r="I120" s="533"/>
      <c r="J120" s="533"/>
      <c r="K120" s="533"/>
      <c r="L120" s="533"/>
      <c r="M120" s="534"/>
      <c r="N120" s="160"/>
      <c r="O120" s="160"/>
      <c r="P120" s="160"/>
      <c r="Q120" s="160"/>
      <c r="R120" s="159"/>
    </row>
    <row r="121" spans="1:21" s="73" customFormat="1" ht="16.5" thickBot="1" x14ac:dyDescent="0.25">
      <c r="A121" s="850" t="s">
        <v>216</v>
      </c>
      <c r="B121" s="851"/>
      <c r="C121" s="851"/>
      <c r="D121" s="851"/>
      <c r="E121" s="852"/>
      <c r="F121" s="852"/>
      <c r="G121" s="852"/>
      <c r="H121" s="852"/>
      <c r="I121" s="853"/>
      <c r="J121" s="169"/>
      <c r="K121" s="118"/>
      <c r="L121" s="134"/>
      <c r="M121" s="134"/>
      <c r="N121" s="134"/>
      <c r="O121" s="134"/>
      <c r="P121" s="134"/>
      <c r="Q121" s="118"/>
    </row>
    <row r="122" spans="1:21" s="73" customFormat="1" ht="16.5" thickBot="1" x14ac:dyDescent="0.25">
      <c r="A122" s="849" t="s">
        <v>597</v>
      </c>
      <c r="B122" s="833"/>
      <c r="C122" s="833"/>
      <c r="D122" s="833"/>
      <c r="E122" s="833"/>
      <c r="F122" s="833"/>
      <c r="G122" s="833"/>
      <c r="H122" s="833"/>
      <c r="I122" s="834"/>
      <c r="J122" s="169"/>
      <c r="K122" s="134"/>
      <c r="L122" s="134"/>
      <c r="M122" s="134"/>
      <c r="N122" s="134"/>
      <c r="O122" s="118"/>
    </row>
    <row r="123" spans="1:21" s="73" customFormat="1" ht="16.5" thickBot="1" x14ac:dyDescent="0.25">
      <c r="A123" s="187"/>
      <c r="B123" s="187"/>
      <c r="C123" s="188"/>
      <c r="D123" s="189"/>
      <c r="E123" s="170"/>
      <c r="F123" s="170"/>
      <c r="G123" s="170"/>
      <c r="H123" s="170"/>
      <c r="I123" s="170"/>
      <c r="J123" s="189"/>
      <c r="K123" s="169"/>
      <c r="L123" s="118"/>
      <c r="M123" s="134"/>
      <c r="N123" s="134"/>
      <c r="O123" s="134"/>
      <c r="P123" s="134"/>
      <c r="Q123" s="134"/>
      <c r="R123" s="118"/>
    </row>
    <row r="124" spans="1:21" s="73" customFormat="1" ht="15.6" customHeight="1" x14ac:dyDescent="0.2">
      <c r="A124" s="830" t="s">
        <v>523</v>
      </c>
      <c r="B124" s="831"/>
      <c r="C124" s="831"/>
      <c r="D124" s="831"/>
      <c r="E124" s="842" t="s">
        <v>288</v>
      </c>
      <c r="F124" s="842">
        <v>20</v>
      </c>
      <c r="G124" s="842">
        <v>40</v>
      </c>
      <c r="H124" s="842" t="s">
        <v>19</v>
      </c>
      <c r="I124" s="842" t="s">
        <v>20</v>
      </c>
      <c r="J124" s="848" t="s">
        <v>297</v>
      </c>
      <c r="K124" s="848" t="s">
        <v>33</v>
      </c>
      <c r="L124" s="846" t="s">
        <v>217</v>
      </c>
      <c r="M124" s="189"/>
      <c r="N124" s="134"/>
      <c r="O124" s="134"/>
      <c r="P124" s="134"/>
      <c r="Q124" s="134"/>
      <c r="R124" s="134"/>
      <c r="S124" s="134"/>
      <c r="T124" s="134"/>
      <c r="U124" s="134"/>
    </row>
    <row r="125" spans="1:21" s="73" customFormat="1" x14ac:dyDescent="0.2">
      <c r="A125" s="537" t="s">
        <v>218</v>
      </c>
      <c r="B125" s="538" t="s">
        <v>11</v>
      </c>
      <c r="C125" s="538" t="s">
        <v>12</v>
      </c>
      <c r="D125" s="538" t="s">
        <v>219</v>
      </c>
      <c r="E125" s="843"/>
      <c r="F125" s="843"/>
      <c r="G125" s="843"/>
      <c r="H125" s="843"/>
      <c r="I125" s="843"/>
      <c r="J125" s="843"/>
      <c r="K125" s="843"/>
      <c r="L125" s="847"/>
      <c r="M125" s="189"/>
      <c r="N125" s="134"/>
      <c r="O125" s="134"/>
      <c r="P125" s="134"/>
      <c r="Q125" s="134"/>
      <c r="R125" s="134"/>
      <c r="S125" s="134"/>
      <c r="T125" s="134"/>
      <c r="U125" s="134"/>
    </row>
    <row r="126" spans="1:21" s="136" customFormat="1" x14ac:dyDescent="0.2">
      <c r="A126" s="539"/>
      <c r="B126" s="540"/>
      <c r="C126" s="540"/>
      <c r="D126" s="540"/>
      <c r="E126" s="540"/>
      <c r="F126" s="255"/>
      <c r="G126" s="255"/>
      <c r="H126" s="255"/>
      <c r="I126" s="255"/>
      <c r="J126" s="540"/>
      <c r="K126" s="21"/>
      <c r="L126" s="541"/>
      <c r="M126" s="190"/>
      <c r="N126" s="160"/>
      <c r="O126" s="160"/>
      <c r="P126" s="160"/>
      <c r="Q126" s="160"/>
      <c r="R126" s="160"/>
      <c r="S126" s="160"/>
      <c r="T126" s="160"/>
      <c r="U126" s="160"/>
    </row>
    <row r="127" spans="1:21" s="136" customFormat="1" x14ac:dyDescent="0.2">
      <c r="A127" s="542"/>
      <c r="B127" s="540"/>
      <c r="C127" s="540"/>
      <c r="D127" s="540"/>
      <c r="E127" s="540"/>
      <c r="F127" s="255"/>
      <c r="G127" s="255"/>
      <c r="H127" s="255"/>
      <c r="I127" s="255"/>
      <c r="J127" s="24"/>
      <c r="K127" s="21"/>
      <c r="L127" s="25"/>
      <c r="M127" s="191"/>
      <c r="N127" s="160"/>
      <c r="O127" s="160"/>
      <c r="P127" s="160"/>
      <c r="Q127" s="160"/>
      <c r="R127" s="160"/>
      <c r="S127" s="160"/>
      <c r="T127" s="160"/>
      <c r="U127" s="160"/>
    </row>
    <row r="128" spans="1:21" s="136" customFormat="1" x14ac:dyDescent="0.2">
      <c r="A128" s="542"/>
      <c r="B128" s="540"/>
      <c r="C128" s="540"/>
      <c r="D128" s="540"/>
      <c r="E128" s="540"/>
      <c r="F128" s="255"/>
      <c r="G128" s="255"/>
      <c r="H128" s="255"/>
      <c r="I128" s="255"/>
      <c r="J128" s="24"/>
      <c r="K128" s="21"/>
      <c r="L128" s="25"/>
      <c r="M128" s="191"/>
      <c r="N128" s="160"/>
      <c r="O128" s="160"/>
      <c r="P128" s="160"/>
      <c r="Q128" s="160"/>
      <c r="R128" s="160"/>
      <c r="S128" s="160"/>
      <c r="T128" s="160"/>
      <c r="U128" s="160"/>
    </row>
    <row r="129" spans="1:23" s="136" customFormat="1" ht="16.5" thickBot="1" x14ac:dyDescent="0.25">
      <c r="A129" s="543"/>
      <c r="B129" s="544"/>
      <c r="C129" s="544"/>
      <c r="D129" s="544"/>
      <c r="E129" s="544"/>
      <c r="F129" s="256"/>
      <c r="G129" s="256"/>
      <c r="H129" s="256"/>
      <c r="I129" s="256"/>
      <c r="J129" s="28"/>
      <c r="K129" s="29"/>
      <c r="L129" s="30"/>
      <c r="M129" s="191"/>
      <c r="N129" s="160"/>
      <c r="O129" s="160"/>
      <c r="P129" s="160"/>
      <c r="Q129" s="160"/>
      <c r="R129" s="160"/>
      <c r="S129" s="160"/>
      <c r="T129" s="160"/>
      <c r="U129" s="160"/>
    </row>
    <row r="130" spans="1:23" s="136" customFormat="1" x14ac:dyDescent="0.2">
      <c r="A130" s="173"/>
      <c r="B130" s="545"/>
      <c r="C130" s="545"/>
      <c r="D130" s="545"/>
      <c r="E130" s="545"/>
      <c r="F130" s="545"/>
      <c r="G130" s="545"/>
      <c r="H130" s="545"/>
      <c r="I130" s="545"/>
      <c r="J130" s="33"/>
      <c r="K130" s="33"/>
      <c r="L130" s="34"/>
      <c r="M130" s="191"/>
      <c r="N130" s="160"/>
      <c r="O130" s="160"/>
      <c r="P130" s="160"/>
      <c r="Q130" s="160"/>
      <c r="R130" s="160"/>
      <c r="S130" s="160"/>
      <c r="T130" s="160"/>
      <c r="U130" s="160"/>
    </row>
    <row r="131" spans="1:23" s="73" customFormat="1" ht="15.6" customHeight="1" x14ac:dyDescent="0.2">
      <c r="A131" s="841" t="s">
        <v>596</v>
      </c>
      <c r="B131" s="840"/>
      <c r="C131" s="840"/>
      <c r="D131" s="840"/>
      <c r="E131" s="840" t="s">
        <v>288</v>
      </c>
      <c r="F131" s="840">
        <v>20</v>
      </c>
      <c r="G131" s="840">
        <v>40</v>
      </c>
      <c r="H131" s="840" t="s">
        <v>19</v>
      </c>
      <c r="I131" s="840" t="s">
        <v>20</v>
      </c>
      <c r="J131" s="845" t="s">
        <v>297</v>
      </c>
      <c r="K131" s="845" t="s">
        <v>33</v>
      </c>
      <c r="L131" s="844" t="s">
        <v>217</v>
      </c>
      <c r="M131" s="844" t="s">
        <v>23</v>
      </c>
      <c r="N131" s="169"/>
      <c r="O131" s="118"/>
      <c r="P131" s="134"/>
      <c r="Q131" s="134"/>
      <c r="R131" s="134"/>
      <c r="S131" s="134"/>
      <c r="T131" s="134"/>
      <c r="U131" s="134"/>
      <c r="V131" s="134"/>
      <c r="W131" s="134"/>
    </row>
    <row r="132" spans="1:23" s="73" customFormat="1" x14ac:dyDescent="0.2">
      <c r="A132" s="546" t="s">
        <v>218</v>
      </c>
      <c r="B132" s="546" t="s">
        <v>11</v>
      </c>
      <c r="C132" s="546" t="s">
        <v>12</v>
      </c>
      <c r="D132" s="546" t="s">
        <v>219</v>
      </c>
      <c r="E132" s="840"/>
      <c r="F132" s="840"/>
      <c r="G132" s="840"/>
      <c r="H132" s="840"/>
      <c r="I132" s="840"/>
      <c r="J132" s="840"/>
      <c r="K132" s="840"/>
      <c r="L132" s="844"/>
      <c r="M132" s="844"/>
      <c r="N132" s="169"/>
      <c r="O132" s="118"/>
      <c r="P132" s="134"/>
      <c r="Q132" s="134"/>
      <c r="R132" s="134"/>
      <c r="S132" s="134"/>
      <c r="T132" s="134"/>
      <c r="U132" s="134"/>
      <c r="V132" s="134"/>
      <c r="W132" s="134"/>
    </row>
    <row r="133" spans="1:23" s="136" customFormat="1" x14ac:dyDescent="0.2">
      <c r="A133" s="372"/>
      <c r="B133" s="547"/>
      <c r="C133" s="547"/>
      <c r="D133" s="547"/>
      <c r="E133" s="547"/>
      <c r="F133" s="368"/>
      <c r="G133" s="368"/>
      <c r="H133" s="368"/>
      <c r="I133" s="368"/>
      <c r="J133" s="369"/>
      <c r="K133" s="370"/>
      <c r="L133" s="548"/>
      <c r="M133" s="548"/>
      <c r="N133" s="192"/>
      <c r="O133" s="159"/>
      <c r="P133" s="160"/>
      <c r="Q133" s="160"/>
      <c r="R133" s="160"/>
      <c r="S133" s="160"/>
      <c r="T133" s="160"/>
      <c r="U133" s="160"/>
      <c r="V133" s="160"/>
      <c r="W133" s="160"/>
    </row>
    <row r="134" spans="1:23" s="136" customFormat="1" x14ac:dyDescent="0.2">
      <c r="A134" s="372"/>
      <c r="B134" s="547"/>
      <c r="C134" s="547"/>
      <c r="D134" s="547"/>
      <c r="E134" s="547"/>
      <c r="F134" s="368"/>
      <c r="G134" s="368"/>
      <c r="H134" s="368"/>
      <c r="I134" s="368"/>
      <c r="J134" s="369"/>
      <c r="K134" s="370"/>
      <c r="L134" s="548"/>
      <c r="M134" s="548"/>
      <c r="N134" s="192"/>
      <c r="O134" s="159"/>
      <c r="P134" s="160"/>
      <c r="Q134" s="160"/>
      <c r="R134" s="160"/>
      <c r="S134" s="160"/>
      <c r="T134" s="160"/>
      <c r="U134" s="160"/>
      <c r="V134" s="160"/>
      <c r="W134" s="160"/>
    </row>
    <row r="135" spans="1:23" s="136" customFormat="1" x14ac:dyDescent="0.2">
      <c r="A135" s="372"/>
      <c r="B135" s="547"/>
      <c r="C135" s="547"/>
      <c r="D135" s="547"/>
      <c r="E135" s="547"/>
      <c r="F135" s="368"/>
      <c r="G135" s="368"/>
      <c r="H135" s="368"/>
      <c r="I135" s="368"/>
      <c r="J135" s="369"/>
      <c r="K135" s="370"/>
      <c r="L135" s="548"/>
      <c r="M135" s="548"/>
      <c r="N135" s="192"/>
      <c r="O135" s="159"/>
      <c r="P135" s="160"/>
      <c r="Q135" s="160"/>
      <c r="R135" s="160"/>
      <c r="S135" s="160"/>
      <c r="T135" s="160"/>
      <c r="U135" s="160"/>
      <c r="V135" s="160"/>
      <c r="W135" s="160"/>
    </row>
    <row r="136" spans="1:23" s="136" customFormat="1" x14ac:dyDescent="0.2">
      <c r="A136" s="372"/>
      <c r="B136" s="547"/>
      <c r="C136" s="547"/>
      <c r="D136" s="547"/>
      <c r="E136" s="547"/>
      <c r="F136" s="368"/>
      <c r="G136" s="368"/>
      <c r="H136" s="368"/>
      <c r="I136" s="368"/>
      <c r="J136" s="369"/>
      <c r="K136" s="370"/>
      <c r="L136" s="373"/>
      <c r="M136" s="373"/>
      <c r="N136" s="191"/>
      <c r="O136" s="159"/>
      <c r="P136" s="160"/>
      <c r="Q136" s="160"/>
      <c r="R136" s="160"/>
      <c r="S136" s="160"/>
      <c r="T136" s="160"/>
      <c r="U136" s="160"/>
      <c r="V136" s="160"/>
      <c r="W136" s="160"/>
    </row>
    <row r="137" spans="1:23" s="73" customFormat="1" x14ac:dyDescent="0.2">
      <c r="A137" s="456"/>
      <c r="B137" s="549"/>
      <c r="C137" s="549"/>
      <c r="D137" s="549"/>
      <c r="E137" s="549"/>
      <c r="F137" s="194"/>
      <c r="G137" s="522"/>
      <c r="H137" s="195"/>
      <c r="I137" s="195"/>
      <c r="J137" s="176"/>
      <c r="K137" s="118"/>
      <c r="L137" s="134"/>
      <c r="M137" s="134"/>
      <c r="N137" s="134"/>
      <c r="O137" s="134"/>
      <c r="P137" s="134"/>
      <c r="Q137" s="134"/>
    </row>
    <row r="138" spans="1:23" s="456" customFormat="1" ht="16.5" thickBot="1" x14ac:dyDescent="0.25">
      <c r="A138" s="196"/>
      <c r="B138" s="197"/>
      <c r="C138" s="198"/>
      <c r="D138" s="198"/>
      <c r="E138" s="169"/>
      <c r="F138" s="176"/>
      <c r="G138" s="176"/>
      <c r="H138" s="176"/>
      <c r="I138" s="176"/>
      <c r="J138" s="170"/>
      <c r="K138" s="118"/>
      <c r="L138" s="134"/>
      <c r="M138" s="134"/>
      <c r="N138" s="134"/>
      <c r="O138" s="134"/>
      <c r="P138" s="134"/>
      <c r="Q138" s="134"/>
      <c r="R138" s="134"/>
      <c r="S138" s="118"/>
      <c r="T138" s="118"/>
      <c r="U138" s="118"/>
    </row>
    <row r="139" spans="1:23" s="456" customFormat="1" ht="16.5" thickBot="1" x14ac:dyDescent="0.25">
      <c r="A139" s="822" t="s">
        <v>220</v>
      </c>
      <c r="B139" s="823"/>
      <c r="C139" s="823"/>
      <c r="D139" s="823"/>
      <c r="E139" s="824"/>
      <c r="F139" s="176"/>
      <c r="G139" s="176"/>
      <c r="H139" s="176"/>
      <c r="I139" s="176"/>
      <c r="J139" s="170"/>
      <c r="K139" s="118"/>
      <c r="L139" s="134"/>
      <c r="M139" s="134"/>
      <c r="N139" s="134"/>
      <c r="O139" s="134"/>
      <c r="P139" s="134"/>
      <c r="Q139" s="134"/>
      <c r="R139" s="134"/>
      <c r="S139" s="118"/>
      <c r="T139" s="118"/>
      <c r="U139" s="118"/>
    </row>
    <row r="140" spans="1:23" s="73" customFormat="1" ht="16.5" thickBot="1" x14ac:dyDescent="0.25">
      <c r="A140" s="550"/>
      <c r="B140" s="456"/>
      <c r="C140" s="456"/>
      <c r="D140" s="456"/>
      <c r="E140" s="456"/>
      <c r="F140" s="194"/>
      <c r="G140" s="456"/>
      <c r="H140" s="200"/>
      <c r="I140" s="194"/>
      <c r="J140" s="194"/>
      <c r="K140" s="118"/>
      <c r="L140" s="134"/>
      <c r="M140" s="134"/>
      <c r="N140" s="134"/>
      <c r="O140" s="134"/>
      <c r="P140" s="134"/>
      <c r="Q140" s="134"/>
      <c r="R140" s="134"/>
      <c r="S140" s="118"/>
      <c r="T140" s="118"/>
      <c r="U140" s="118"/>
    </row>
    <row r="141" spans="1:23" s="73" customFormat="1" ht="16.5" thickBot="1" x14ac:dyDescent="0.25">
      <c r="A141" s="825" t="s">
        <v>221</v>
      </c>
      <c r="B141" s="838"/>
      <c r="C141" s="838"/>
      <c r="D141" s="838"/>
      <c r="E141" s="838"/>
      <c r="F141" s="839"/>
      <c r="G141" s="456"/>
      <c r="H141" s="200"/>
      <c r="I141" s="194"/>
      <c r="J141" s="194"/>
      <c r="K141" s="118"/>
      <c r="L141" s="134"/>
      <c r="M141" s="134"/>
      <c r="N141" s="134"/>
      <c r="O141" s="134"/>
      <c r="P141" s="134"/>
      <c r="Q141" s="134"/>
      <c r="R141" s="134"/>
      <c r="S141" s="118"/>
      <c r="T141" s="118"/>
      <c r="U141" s="118"/>
    </row>
    <row r="142" spans="1:23" s="73" customFormat="1" ht="16.5" customHeight="1" x14ac:dyDescent="0.2">
      <c r="A142" s="835" t="s">
        <v>222</v>
      </c>
      <c r="B142" s="836"/>
      <c r="C142" s="836"/>
      <c r="D142" s="836"/>
      <c r="E142" s="836"/>
      <c r="F142" s="837"/>
      <c r="G142" s="456"/>
      <c r="H142" s="201"/>
      <c r="I142" s="170"/>
      <c r="J142" s="170"/>
      <c r="K142" s="118"/>
      <c r="L142" s="134"/>
      <c r="M142" s="134"/>
      <c r="N142" s="134"/>
      <c r="O142" s="134"/>
      <c r="P142" s="134"/>
      <c r="Q142" s="134"/>
      <c r="R142" s="134"/>
      <c r="S142" s="118"/>
      <c r="T142" s="118"/>
      <c r="U142" s="118"/>
    </row>
    <row r="143" spans="1:23" ht="16.5" thickBot="1" x14ac:dyDescent="0.25">
      <c r="A143" s="832" t="s">
        <v>223</v>
      </c>
      <c r="B143" s="833"/>
      <c r="C143" s="833"/>
      <c r="D143" s="833"/>
      <c r="E143" s="833"/>
      <c r="F143" s="834"/>
      <c r="G143" s="176"/>
      <c r="H143" s="176"/>
      <c r="I143" s="176"/>
      <c r="J143" s="169"/>
      <c r="K143" s="169"/>
      <c r="L143" s="169"/>
      <c r="M143" s="169"/>
      <c r="N143" s="169"/>
      <c r="O143" s="169"/>
      <c r="P143" s="169"/>
      <c r="Q143" s="169"/>
      <c r="R143" s="169"/>
      <c r="S143" s="169"/>
      <c r="T143" s="169"/>
      <c r="U143" s="169"/>
    </row>
    <row r="144" spans="1:23" x14ac:dyDescent="0.2">
      <c r="A144" s="551" t="s">
        <v>224</v>
      </c>
      <c r="B144" s="450" t="s">
        <v>225</v>
      </c>
      <c r="C144" s="552" t="s">
        <v>226</v>
      </c>
      <c r="D144" s="553" t="s">
        <v>227</v>
      </c>
      <c r="E144" s="176"/>
      <c r="F144" s="176"/>
      <c r="G144" s="176"/>
      <c r="H144" s="169"/>
      <c r="I144" s="169"/>
      <c r="J144" s="169"/>
      <c r="K144" s="169"/>
      <c r="L144" s="169"/>
      <c r="M144" s="169"/>
      <c r="N144" s="169"/>
      <c r="O144" s="169"/>
      <c r="P144" s="169"/>
      <c r="Q144" s="169"/>
      <c r="R144" s="169"/>
    </row>
    <row r="145" spans="1:21" s="192" customFormat="1" x14ac:dyDescent="0.2">
      <c r="A145" s="203"/>
      <c r="B145" s="204" t="s">
        <v>344</v>
      </c>
      <c r="C145" s="205" t="s">
        <v>62</v>
      </c>
      <c r="D145" s="206">
        <v>0.8</v>
      </c>
      <c r="E145" s="191"/>
      <c r="F145" s="191"/>
      <c r="G145" s="191"/>
    </row>
    <row r="146" spans="1:21" s="192" customFormat="1" x14ac:dyDescent="0.2">
      <c r="A146" s="203"/>
      <c r="B146" s="204" t="s">
        <v>344</v>
      </c>
      <c r="C146" s="205" t="s">
        <v>417</v>
      </c>
      <c r="D146" s="206">
        <v>1.125</v>
      </c>
      <c r="E146" s="191"/>
      <c r="F146" s="191"/>
      <c r="G146" s="191"/>
    </row>
    <row r="147" spans="1:21" s="192" customFormat="1" ht="16.5" thickBot="1" x14ac:dyDescent="0.25">
      <c r="A147" s="207"/>
      <c r="B147" s="208" t="s">
        <v>344</v>
      </c>
      <c r="C147" s="209" t="s">
        <v>418</v>
      </c>
      <c r="D147" s="210">
        <v>1.266</v>
      </c>
      <c r="E147" s="191"/>
      <c r="F147" s="191"/>
      <c r="G147" s="191"/>
    </row>
    <row r="148" spans="1:21" ht="16.5" thickBot="1" x14ac:dyDescent="0.25"/>
    <row r="149" spans="1:21" s="73" customFormat="1" ht="16.5" thickBot="1" x14ac:dyDescent="0.25">
      <c r="A149" s="822" t="s">
        <v>228</v>
      </c>
      <c r="B149" s="823"/>
      <c r="C149" s="823"/>
      <c r="D149" s="823"/>
      <c r="E149" s="823"/>
      <c r="F149" s="823"/>
      <c r="G149" s="823"/>
      <c r="H149" s="823"/>
      <c r="I149" s="824"/>
      <c r="J149" s="169"/>
      <c r="K149" s="118"/>
      <c r="L149" s="134"/>
      <c r="M149" s="134"/>
      <c r="N149" s="134"/>
      <c r="O149" s="134"/>
      <c r="P149" s="134"/>
      <c r="Q149" s="134"/>
      <c r="R149" s="134"/>
      <c r="S149" s="118"/>
      <c r="T149" s="118"/>
      <c r="U149" s="118"/>
    </row>
    <row r="150" spans="1:21" s="73" customFormat="1" ht="16.5" thickBot="1" x14ac:dyDescent="0.25">
      <c r="A150" s="554" t="s">
        <v>229</v>
      </c>
      <c r="B150" s="213"/>
      <c r="C150" s="214"/>
      <c r="D150" s="214"/>
      <c r="E150" s="214"/>
      <c r="F150" s="214"/>
      <c r="G150" s="215"/>
      <c r="H150" s="216"/>
      <c r="I150" s="217"/>
      <c r="J150" s="170"/>
      <c r="K150" s="118"/>
      <c r="L150" s="134"/>
      <c r="M150" s="134"/>
      <c r="N150" s="134"/>
      <c r="O150" s="134"/>
      <c r="P150" s="134"/>
      <c r="Q150" s="134"/>
      <c r="R150" s="134"/>
      <c r="S150" s="118"/>
      <c r="T150" s="118"/>
      <c r="U150" s="118"/>
    </row>
    <row r="151" spans="1:21" s="308" customFormat="1" x14ac:dyDescent="0.2">
      <c r="A151" s="228"/>
      <c r="B151" s="949"/>
      <c r="C151" s="950"/>
      <c r="D151" s="950"/>
      <c r="E151" s="950"/>
      <c r="F151" s="950"/>
      <c r="G151" s="950"/>
      <c r="H151" s="950"/>
      <c r="I151" s="951"/>
      <c r="J151" s="171"/>
      <c r="K151" s="172"/>
      <c r="L151" s="173"/>
      <c r="M151" s="173"/>
      <c r="N151" s="173"/>
      <c r="O151" s="173"/>
      <c r="P151" s="173"/>
      <c r="Q151" s="173"/>
      <c r="R151" s="173"/>
      <c r="S151" s="172"/>
      <c r="T151" s="172"/>
      <c r="U151" s="172"/>
    </row>
    <row r="152" spans="1:21" s="218" customFormat="1" x14ac:dyDescent="0.2">
      <c r="A152" s="281"/>
      <c r="B152" s="816"/>
      <c r="C152" s="817"/>
      <c r="D152" s="817"/>
      <c r="E152" s="817"/>
      <c r="F152" s="817"/>
      <c r="G152" s="817"/>
      <c r="H152" s="817"/>
      <c r="I152" s="818"/>
    </row>
    <row r="153" spans="1:21" s="218" customFormat="1" x14ac:dyDescent="0.2">
      <c r="A153" s="281"/>
      <c r="B153" s="816"/>
      <c r="C153" s="817"/>
      <c r="D153" s="817"/>
      <c r="E153" s="817"/>
      <c r="F153" s="817"/>
      <c r="G153" s="817"/>
      <c r="H153" s="817"/>
      <c r="I153" s="818"/>
    </row>
    <row r="154" spans="1:21" s="218" customFormat="1" x14ac:dyDescent="0.2">
      <c r="A154" s="281"/>
      <c r="B154" s="816"/>
      <c r="C154" s="817"/>
      <c r="D154" s="817"/>
      <c r="E154" s="817"/>
      <c r="F154" s="817"/>
      <c r="G154" s="817"/>
      <c r="H154" s="817"/>
      <c r="I154" s="818"/>
    </row>
    <row r="155" spans="1:21" s="218" customFormat="1" x14ac:dyDescent="0.2">
      <c r="A155" s="281"/>
      <c r="B155" s="816"/>
      <c r="C155" s="817"/>
      <c r="D155" s="817"/>
      <c r="E155" s="817"/>
      <c r="F155" s="817"/>
      <c r="G155" s="817"/>
      <c r="H155" s="817"/>
      <c r="I155" s="818"/>
    </row>
    <row r="156" spans="1:21" s="218" customFormat="1" x14ac:dyDescent="0.2">
      <c r="A156" s="281"/>
      <c r="B156" s="816"/>
      <c r="C156" s="817"/>
      <c r="D156" s="817"/>
      <c r="E156" s="817"/>
      <c r="F156" s="817"/>
      <c r="G156" s="817"/>
      <c r="H156" s="817"/>
      <c r="I156" s="818"/>
    </row>
    <row r="157" spans="1:21" s="218" customFormat="1" x14ac:dyDescent="0.2">
      <c r="A157" s="281"/>
      <c r="B157" s="816"/>
      <c r="C157" s="817"/>
      <c r="D157" s="817"/>
      <c r="E157" s="817"/>
      <c r="F157" s="817"/>
      <c r="G157" s="817"/>
      <c r="H157" s="817"/>
      <c r="I157" s="818"/>
    </row>
    <row r="158" spans="1:21" s="218" customFormat="1" x14ac:dyDescent="0.2">
      <c r="A158" s="281"/>
      <c r="B158" s="816"/>
      <c r="C158" s="817"/>
      <c r="D158" s="817"/>
      <c r="E158" s="817"/>
      <c r="F158" s="817"/>
      <c r="G158" s="817"/>
      <c r="H158" s="817"/>
      <c r="I158" s="818"/>
    </row>
    <row r="159" spans="1:21" s="218" customFormat="1" x14ac:dyDescent="0.2">
      <c r="A159" s="281"/>
      <c r="B159" s="816"/>
      <c r="C159" s="817"/>
      <c r="D159" s="817"/>
      <c r="E159" s="817"/>
      <c r="F159" s="817"/>
      <c r="G159" s="817"/>
      <c r="H159" s="817"/>
      <c r="I159" s="818"/>
    </row>
    <row r="160" spans="1:21" s="218" customFormat="1" x14ac:dyDescent="0.2">
      <c r="A160" s="281"/>
      <c r="B160" s="816"/>
      <c r="C160" s="817"/>
      <c r="D160" s="817"/>
      <c r="E160" s="817"/>
      <c r="F160" s="817"/>
      <c r="G160" s="817"/>
      <c r="H160" s="817"/>
      <c r="I160" s="818"/>
    </row>
    <row r="161" spans="1:14" s="218" customFormat="1" x14ac:dyDescent="0.2">
      <c r="A161" s="281"/>
      <c r="B161" s="816"/>
      <c r="C161" s="817"/>
      <c r="D161" s="817"/>
      <c r="E161" s="817"/>
      <c r="F161" s="817"/>
      <c r="G161" s="817"/>
      <c r="H161" s="817"/>
      <c r="I161" s="818"/>
    </row>
    <row r="162" spans="1:14" s="218" customFormat="1" x14ac:dyDescent="0.2">
      <c r="A162" s="281"/>
      <c r="B162" s="816"/>
      <c r="C162" s="817"/>
      <c r="D162" s="817"/>
      <c r="E162" s="817"/>
      <c r="F162" s="817"/>
      <c r="G162" s="817"/>
      <c r="H162" s="817"/>
      <c r="I162" s="818"/>
    </row>
    <row r="163" spans="1:14" s="218" customFormat="1" x14ac:dyDescent="0.2">
      <c r="A163" s="281"/>
      <c r="B163" s="816"/>
      <c r="C163" s="817"/>
      <c r="D163" s="817"/>
      <c r="E163" s="817"/>
      <c r="F163" s="817"/>
      <c r="G163" s="817"/>
      <c r="H163" s="817"/>
      <c r="I163" s="818"/>
    </row>
    <row r="164" spans="1:14" s="218" customFormat="1" x14ac:dyDescent="0.2">
      <c r="A164" s="281"/>
      <c r="B164" s="816"/>
      <c r="C164" s="817"/>
      <c r="D164" s="817"/>
      <c r="E164" s="817"/>
      <c r="F164" s="817"/>
      <c r="G164" s="817"/>
      <c r="H164" s="817"/>
      <c r="I164" s="818"/>
    </row>
    <row r="165" spans="1:14" s="218" customFormat="1" ht="16.5" thickBot="1" x14ac:dyDescent="0.25">
      <c r="A165" s="282"/>
      <c r="B165" s="819"/>
      <c r="C165" s="820"/>
      <c r="D165" s="820"/>
      <c r="E165" s="820"/>
      <c r="F165" s="820"/>
      <c r="G165" s="820"/>
      <c r="H165" s="820"/>
      <c r="I165" s="821"/>
    </row>
    <row r="167" spans="1:14" s="218" customFormat="1" x14ac:dyDescent="0.2">
      <c r="F167" s="337"/>
      <c r="G167" s="337"/>
      <c r="H167" s="337"/>
      <c r="I167" s="337"/>
    </row>
    <row r="168" spans="1:14" s="218" customFormat="1" ht="16.5" thickBot="1" x14ac:dyDescent="0.25">
      <c r="F168" s="337"/>
      <c r="G168" s="337"/>
      <c r="H168" s="337"/>
      <c r="I168" s="337"/>
    </row>
    <row r="169" spans="1:14" s="218" customFormat="1" ht="16.5" thickBot="1" x14ac:dyDescent="0.25">
      <c r="A169" s="825" t="s">
        <v>3</v>
      </c>
      <c r="B169" s="826"/>
      <c r="F169" s="337"/>
      <c r="G169" s="337"/>
      <c r="H169" s="337"/>
      <c r="I169" s="337"/>
    </row>
    <row r="170" spans="1:14" s="347" customFormat="1" ht="16.5" thickBot="1" x14ac:dyDescent="0.25">
      <c r="A170" s="338"/>
      <c r="B170" s="338"/>
      <c r="F170" s="348"/>
      <c r="G170" s="348"/>
      <c r="H170" s="348"/>
      <c r="I170" s="348"/>
    </row>
    <row r="171" spans="1:14" s="218" customFormat="1" ht="15.75" customHeight="1" thickBot="1" x14ac:dyDescent="0.25">
      <c r="A171" s="800" t="s">
        <v>2</v>
      </c>
      <c r="B171" s="801"/>
      <c r="C171" s="801"/>
      <c r="D171" s="801"/>
      <c r="E171" s="801"/>
      <c r="F171" s="801"/>
      <c r="G171" s="802"/>
      <c r="H171" s="337"/>
      <c r="I171" s="337"/>
    </row>
    <row r="172" spans="1:14" s="347" customFormat="1" ht="15.75" customHeight="1" thickBot="1" x14ac:dyDescent="0.25">
      <c r="A172" s="338"/>
      <c r="B172" s="338"/>
      <c r="C172" s="338"/>
      <c r="D172" s="338"/>
      <c r="E172" s="338"/>
      <c r="F172" s="338"/>
      <c r="G172" s="338"/>
      <c r="H172" s="348"/>
      <c r="I172" s="348"/>
    </row>
    <row r="173" spans="1:14" s="218" customFormat="1" ht="15.75" customHeight="1" thickBot="1" x14ac:dyDescent="0.25">
      <c r="A173" s="807" t="s">
        <v>1</v>
      </c>
      <c r="B173" s="808"/>
      <c r="C173" s="808"/>
      <c r="D173" s="808"/>
      <c r="E173" s="809"/>
      <c r="F173" s="339"/>
      <c r="G173" s="339"/>
      <c r="H173" s="337"/>
      <c r="I173" s="337"/>
    </row>
    <row r="174" spans="1:14" s="218" customFormat="1" x14ac:dyDescent="0.2">
      <c r="A174" s="803" t="s">
        <v>627</v>
      </c>
      <c r="B174" s="805" t="s">
        <v>888</v>
      </c>
      <c r="C174" s="786" t="s">
        <v>0</v>
      </c>
      <c r="D174" s="786" t="s">
        <v>609</v>
      </c>
      <c r="E174" s="805" t="s">
        <v>889</v>
      </c>
      <c r="F174" s="786" t="s">
        <v>436</v>
      </c>
      <c r="G174" s="786" t="s">
        <v>421</v>
      </c>
      <c r="H174" s="786" t="s">
        <v>628</v>
      </c>
      <c r="I174" s="786" t="s">
        <v>11</v>
      </c>
      <c r="J174" s="786" t="s">
        <v>12</v>
      </c>
      <c r="K174" s="786" t="s">
        <v>13</v>
      </c>
      <c r="L174" s="786" t="s">
        <v>449</v>
      </c>
      <c r="M174" s="786" t="s">
        <v>610</v>
      </c>
      <c r="N174" s="788"/>
    </row>
    <row r="175" spans="1:14" s="218" customFormat="1" ht="32.25" customHeight="1" thickBot="1" x14ac:dyDescent="0.25">
      <c r="A175" s="804"/>
      <c r="B175" s="806"/>
      <c r="C175" s="787"/>
      <c r="D175" s="787"/>
      <c r="E175" s="806"/>
      <c r="F175" s="787"/>
      <c r="G175" s="787"/>
      <c r="H175" s="787"/>
      <c r="I175" s="787"/>
      <c r="J175" s="787"/>
      <c r="K175" s="787"/>
      <c r="L175" s="787"/>
      <c r="M175" s="787"/>
      <c r="N175" s="789"/>
    </row>
    <row r="176" spans="1:14" s="218" customFormat="1" x14ac:dyDescent="0.2">
      <c r="A176" s="344"/>
      <c r="B176" s="340"/>
      <c r="C176" s="394"/>
      <c r="D176" s="340"/>
      <c r="E176" s="340"/>
      <c r="F176" s="340"/>
      <c r="G176" s="340"/>
      <c r="H176" s="340"/>
      <c r="I176" s="340"/>
      <c r="J176" s="340"/>
      <c r="K176" s="340"/>
      <c r="L176" s="661"/>
      <c r="M176" s="810"/>
      <c r="N176" s="811"/>
    </row>
    <row r="177" spans="1:31" s="218" customFormat="1" x14ac:dyDescent="0.2">
      <c r="A177" s="345"/>
      <c r="B177" s="341"/>
      <c r="C177" s="392"/>
      <c r="D177" s="341"/>
      <c r="E177" s="341"/>
      <c r="F177" s="341"/>
      <c r="G177" s="341"/>
      <c r="H177" s="341"/>
      <c r="I177" s="341"/>
      <c r="J177" s="341"/>
      <c r="K177" s="341"/>
      <c r="L177" s="662"/>
      <c r="M177" s="790"/>
      <c r="N177" s="791"/>
    </row>
    <row r="178" spans="1:31" s="218" customFormat="1" x14ac:dyDescent="0.2">
      <c r="A178" s="345"/>
      <c r="B178" s="341"/>
      <c r="C178" s="392"/>
      <c r="D178" s="341"/>
      <c r="E178" s="341"/>
      <c r="F178" s="341"/>
      <c r="G178" s="341"/>
      <c r="H178" s="341"/>
      <c r="I178" s="341"/>
      <c r="J178" s="341"/>
      <c r="K178" s="341"/>
      <c r="L178" s="662"/>
      <c r="M178" s="790"/>
      <c r="N178" s="791"/>
    </row>
    <row r="179" spans="1:31" s="218" customFormat="1" x14ac:dyDescent="0.2">
      <c r="A179" s="345"/>
      <c r="B179" s="341"/>
      <c r="C179" s="392"/>
      <c r="D179" s="341"/>
      <c r="E179" s="341"/>
      <c r="F179" s="341"/>
      <c r="G179" s="341"/>
      <c r="H179" s="341"/>
      <c r="I179" s="341"/>
      <c r="J179" s="341"/>
      <c r="K179" s="341"/>
      <c r="L179" s="662"/>
      <c r="M179" s="790"/>
      <c r="N179" s="791"/>
    </row>
    <row r="180" spans="1:31" s="218" customFormat="1" x14ac:dyDescent="0.2">
      <c r="A180" s="345"/>
      <c r="B180" s="341"/>
      <c r="C180" s="392"/>
      <c r="D180" s="341"/>
      <c r="E180" s="341"/>
      <c r="F180" s="341"/>
      <c r="G180" s="341"/>
      <c r="H180" s="341"/>
      <c r="I180" s="341"/>
      <c r="J180" s="341"/>
      <c r="K180" s="341"/>
      <c r="L180" s="662"/>
      <c r="M180" s="790"/>
      <c r="N180" s="791"/>
    </row>
    <row r="181" spans="1:31" s="218" customFormat="1" ht="16.5" thickBot="1" x14ac:dyDescent="0.25">
      <c r="A181" s="346"/>
      <c r="B181" s="342"/>
      <c r="C181" s="336"/>
      <c r="D181" s="342"/>
      <c r="E181" s="342"/>
      <c r="F181" s="342"/>
      <c r="G181" s="342"/>
      <c r="H181" s="342"/>
      <c r="I181" s="342"/>
      <c r="J181" s="342"/>
      <c r="K181" s="342"/>
      <c r="L181" s="663"/>
      <c r="M181" s="794"/>
      <c r="N181" s="795"/>
    </row>
    <row r="182" spans="1:31" s="218" customFormat="1" x14ac:dyDescent="0.2">
      <c r="F182" s="337"/>
      <c r="G182" s="337"/>
      <c r="H182" s="337"/>
      <c r="I182" s="337"/>
    </row>
    <row r="183" spans="1:31" s="218" customFormat="1" ht="16.5" thickBot="1" x14ac:dyDescent="0.25">
      <c r="F183" s="337"/>
      <c r="G183" s="337"/>
      <c r="H183" s="337"/>
      <c r="I183" s="337"/>
    </row>
    <row r="184" spans="1:31" s="218" customFormat="1" ht="16.5" thickBot="1" x14ac:dyDescent="0.25">
      <c r="A184" s="800" t="s">
        <v>790</v>
      </c>
      <c r="B184" s="801"/>
      <c r="C184" s="801"/>
      <c r="D184" s="801"/>
      <c r="E184" s="801"/>
      <c r="F184" s="801"/>
      <c r="G184" s="802"/>
      <c r="H184" s="337"/>
      <c r="I184" s="337"/>
    </row>
    <row r="185" spans="1:31" s="192" customFormat="1" ht="16.5" thickBot="1" x14ac:dyDescent="0.25">
      <c r="F185" s="191"/>
      <c r="G185" s="191"/>
      <c r="H185" s="191"/>
      <c r="I185" s="191"/>
    </row>
    <row r="186" spans="1:31" s="218" customFormat="1" ht="16.5" thickBot="1" x14ac:dyDescent="0.25">
      <c r="A186" s="807" t="s">
        <v>1</v>
      </c>
      <c r="B186" s="808"/>
      <c r="C186" s="808"/>
      <c r="D186" s="808"/>
      <c r="E186" s="808"/>
      <c r="F186" s="808"/>
      <c r="G186" s="808"/>
      <c r="H186" s="809"/>
      <c r="I186" s="337"/>
    </row>
    <row r="187" spans="1:31" s="1187" customFormat="1" ht="16.5" customHeight="1" thickBot="1" x14ac:dyDescent="0.25">
      <c r="A187" s="803" t="s">
        <v>627</v>
      </c>
      <c r="B187" s="805" t="s">
        <v>888</v>
      </c>
      <c r="C187" s="786" t="s">
        <v>0</v>
      </c>
      <c r="D187" s="786" t="s">
        <v>609</v>
      </c>
      <c r="E187" s="805" t="s">
        <v>889</v>
      </c>
      <c r="F187" s="971" t="s">
        <v>42</v>
      </c>
      <c r="G187" s="1165" t="s">
        <v>789</v>
      </c>
      <c r="H187" s="1163"/>
      <c r="I187" s="1163"/>
      <c r="J187" s="1163"/>
      <c r="K187" s="1163"/>
      <c r="L187" s="1163"/>
      <c r="M187" s="1163"/>
      <c r="N187" s="1163"/>
      <c r="O187" s="1163"/>
      <c r="P187" s="1163"/>
      <c r="Q187" s="1163"/>
      <c r="R187" s="1163"/>
      <c r="S187" s="1163"/>
      <c r="T187" s="1163"/>
      <c r="U187" s="1163"/>
      <c r="V187" s="1164"/>
      <c r="W187" s="930" t="s">
        <v>436</v>
      </c>
      <c r="X187" s="786" t="s">
        <v>421</v>
      </c>
      <c r="Y187" s="786" t="s">
        <v>628</v>
      </c>
      <c r="Z187" s="786" t="s">
        <v>11</v>
      </c>
      <c r="AA187" s="786" t="s">
        <v>12</v>
      </c>
      <c r="AB187" s="786" t="s">
        <v>13</v>
      </c>
      <c r="AC187" s="786" t="s">
        <v>449</v>
      </c>
      <c r="AD187" s="971" t="s">
        <v>610</v>
      </c>
      <c r="AE187" s="1161"/>
    </row>
    <row r="188" spans="1:31" s="1187" customFormat="1" ht="47.25" customHeight="1" thickBot="1" x14ac:dyDescent="0.25">
      <c r="A188" s="804"/>
      <c r="B188" s="806"/>
      <c r="C188" s="787"/>
      <c r="D188" s="787"/>
      <c r="E188" s="806"/>
      <c r="F188" s="787"/>
      <c r="G188" s="1204" t="s">
        <v>432</v>
      </c>
      <c r="H188" s="1204" t="s">
        <v>1380</v>
      </c>
      <c r="I188" s="1200" t="s">
        <v>1381</v>
      </c>
      <c r="J188" s="1200" t="s">
        <v>1382</v>
      </c>
      <c r="K188" s="1200" t="s">
        <v>433</v>
      </c>
      <c r="L188" s="1200" t="s">
        <v>1383</v>
      </c>
      <c r="M188" s="1200" t="s">
        <v>1386</v>
      </c>
      <c r="N188" s="1200" t="s">
        <v>1387</v>
      </c>
      <c r="O188" s="1200" t="s">
        <v>434</v>
      </c>
      <c r="P188" s="1200" t="s">
        <v>1384</v>
      </c>
      <c r="Q188" s="1200" t="s">
        <v>1388</v>
      </c>
      <c r="R188" s="1200" t="s">
        <v>1389</v>
      </c>
      <c r="S188" s="1200" t="s">
        <v>435</v>
      </c>
      <c r="T188" s="1200" t="s">
        <v>1385</v>
      </c>
      <c r="U188" s="1200" t="s">
        <v>1390</v>
      </c>
      <c r="V188" s="1200" t="s">
        <v>1391</v>
      </c>
      <c r="W188" s="787"/>
      <c r="X188" s="787"/>
      <c r="Y188" s="787"/>
      <c r="Z188" s="787"/>
      <c r="AA188" s="787"/>
      <c r="AB188" s="787"/>
      <c r="AC188" s="787"/>
      <c r="AD188" s="972"/>
      <c r="AE188" s="1162"/>
    </row>
    <row r="189" spans="1:31" s="1187" customFormat="1" x14ac:dyDescent="0.2">
      <c r="A189" s="1194"/>
      <c r="B189" s="1191"/>
      <c r="C189" s="1189"/>
      <c r="D189" s="1191"/>
      <c r="E189" s="1191"/>
      <c r="F189" s="1197"/>
      <c r="G189" s="1191"/>
      <c r="H189" s="1191"/>
      <c r="I189" s="1191"/>
      <c r="J189" s="1191"/>
      <c r="K189" s="1191"/>
      <c r="L189" s="1191"/>
      <c r="M189" s="1191"/>
      <c r="N189" s="1191"/>
      <c r="O189" s="1191"/>
      <c r="P189" s="1191"/>
      <c r="Q189" s="1191"/>
      <c r="R189" s="1191"/>
      <c r="S189" s="1191"/>
      <c r="T189" s="1191"/>
      <c r="U189" s="1191"/>
      <c r="V189" s="1191"/>
      <c r="W189" s="1191"/>
      <c r="X189" s="1191"/>
      <c r="Y189" s="1191"/>
      <c r="Z189" s="1191"/>
      <c r="AA189" s="1191"/>
      <c r="AB189" s="1191"/>
      <c r="AC189" s="1201"/>
      <c r="AD189" s="796"/>
      <c r="AE189" s="797"/>
    </row>
    <row r="190" spans="1:31" s="1187" customFormat="1" x14ac:dyDescent="0.2">
      <c r="A190" s="1195"/>
      <c r="B190" s="1192"/>
      <c r="C190" s="1188"/>
      <c r="D190" s="1192"/>
      <c r="E190" s="1192"/>
      <c r="F190" s="1198"/>
      <c r="G190" s="1192"/>
      <c r="H190" s="1192"/>
      <c r="I190" s="1192"/>
      <c r="J190" s="1192"/>
      <c r="K190" s="1192"/>
      <c r="L190" s="1192"/>
      <c r="M190" s="1192"/>
      <c r="N190" s="1192"/>
      <c r="O190" s="1192"/>
      <c r="P190" s="1192"/>
      <c r="Q190" s="1192"/>
      <c r="R190" s="1192"/>
      <c r="S190" s="1192"/>
      <c r="T190" s="1192"/>
      <c r="U190" s="1192"/>
      <c r="V190" s="1192"/>
      <c r="W190" s="1192"/>
      <c r="X190" s="1192"/>
      <c r="Y190" s="1192"/>
      <c r="Z190" s="1192"/>
      <c r="AA190" s="1192"/>
      <c r="AB190" s="1192"/>
      <c r="AC190" s="1202"/>
      <c r="AD190" s="798"/>
      <c r="AE190" s="799"/>
    </row>
    <row r="191" spans="1:31" s="1187" customFormat="1" x14ac:dyDescent="0.2">
      <c r="A191" s="1195"/>
      <c r="B191" s="1192"/>
      <c r="C191" s="1188"/>
      <c r="D191" s="1192"/>
      <c r="E191" s="1192"/>
      <c r="F191" s="1198"/>
      <c r="G191" s="1192"/>
      <c r="H191" s="1192"/>
      <c r="I191" s="1192"/>
      <c r="J191" s="1192"/>
      <c r="K191" s="1192"/>
      <c r="L191" s="1192"/>
      <c r="M191" s="1192"/>
      <c r="N191" s="1192"/>
      <c r="O191" s="1192"/>
      <c r="P191" s="1192"/>
      <c r="Q191" s="1192"/>
      <c r="R191" s="1192"/>
      <c r="S191" s="1192"/>
      <c r="T191" s="1192"/>
      <c r="U191" s="1192"/>
      <c r="V191" s="1192"/>
      <c r="W191" s="1192"/>
      <c r="X191" s="1192"/>
      <c r="Y191" s="1192"/>
      <c r="Z191" s="1192"/>
      <c r="AA191" s="1192"/>
      <c r="AB191" s="1192"/>
      <c r="AC191" s="1202"/>
      <c r="AD191" s="798"/>
      <c r="AE191" s="799"/>
    </row>
    <row r="192" spans="1:31" s="1187" customFormat="1" x14ac:dyDescent="0.2">
      <c r="A192" s="1195"/>
      <c r="B192" s="1192"/>
      <c r="C192" s="1188"/>
      <c r="D192" s="1192"/>
      <c r="E192" s="1192"/>
      <c r="F192" s="1198"/>
      <c r="G192" s="1192"/>
      <c r="H192" s="1192"/>
      <c r="I192" s="1192"/>
      <c r="J192" s="1192"/>
      <c r="K192" s="1192"/>
      <c r="L192" s="1192"/>
      <c r="M192" s="1192"/>
      <c r="N192" s="1192"/>
      <c r="O192" s="1192"/>
      <c r="P192" s="1192"/>
      <c r="Q192" s="1192"/>
      <c r="R192" s="1192"/>
      <c r="S192" s="1192"/>
      <c r="T192" s="1192"/>
      <c r="U192" s="1192"/>
      <c r="V192" s="1192"/>
      <c r="W192" s="1192"/>
      <c r="X192" s="1192"/>
      <c r="Y192" s="1192"/>
      <c r="Z192" s="1192"/>
      <c r="AA192" s="1192"/>
      <c r="AB192" s="1192"/>
      <c r="AC192" s="1202"/>
      <c r="AD192" s="798"/>
      <c r="AE192" s="799"/>
    </row>
    <row r="193" spans="1:31" s="1187" customFormat="1" x14ac:dyDescent="0.2">
      <c r="A193" s="1195"/>
      <c r="B193" s="1192"/>
      <c r="C193" s="1188"/>
      <c r="D193" s="1192"/>
      <c r="E193" s="1192"/>
      <c r="F193" s="1198"/>
      <c r="G193" s="1192"/>
      <c r="H193" s="1192"/>
      <c r="I193" s="1192"/>
      <c r="J193" s="1192"/>
      <c r="K193" s="1192"/>
      <c r="L193" s="1192"/>
      <c r="M193" s="1192"/>
      <c r="N193" s="1192"/>
      <c r="O193" s="1192"/>
      <c r="P193" s="1192"/>
      <c r="Q193" s="1192"/>
      <c r="R193" s="1192"/>
      <c r="S193" s="1192"/>
      <c r="T193" s="1192"/>
      <c r="U193" s="1192"/>
      <c r="V193" s="1192"/>
      <c r="W193" s="1192"/>
      <c r="X193" s="1192"/>
      <c r="Y193" s="1192"/>
      <c r="Z193" s="1192"/>
      <c r="AA193" s="1192"/>
      <c r="AB193" s="1192"/>
      <c r="AC193" s="1202"/>
      <c r="AD193" s="798"/>
      <c r="AE193" s="799"/>
    </row>
    <row r="194" spans="1:31" s="1187" customFormat="1" ht="16.5" thickBot="1" x14ac:dyDescent="0.25">
      <c r="A194" s="1196"/>
      <c r="B194" s="1193"/>
      <c r="C194" s="1190"/>
      <c r="D194" s="1193"/>
      <c r="E194" s="1193"/>
      <c r="F194" s="1199"/>
      <c r="G194" s="1193"/>
      <c r="H194" s="1193"/>
      <c r="I194" s="1193"/>
      <c r="J194" s="1193"/>
      <c r="K194" s="1193"/>
      <c r="L194" s="1193"/>
      <c r="M194" s="1193"/>
      <c r="N194" s="1193"/>
      <c r="O194" s="1193"/>
      <c r="P194" s="1193"/>
      <c r="Q194" s="1193"/>
      <c r="R194" s="1193"/>
      <c r="S194" s="1193"/>
      <c r="T194" s="1193"/>
      <c r="U194" s="1193"/>
      <c r="V194" s="1193"/>
      <c r="W194" s="1193"/>
      <c r="X194" s="1193"/>
      <c r="Y194" s="1193"/>
      <c r="Z194" s="1193"/>
      <c r="AA194" s="1193"/>
      <c r="AB194" s="1193"/>
      <c r="AC194" s="1203"/>
      <c r="AD194" s="792"/>
      <c r="AE194" s="793"/>
    </row>
    <row r="195" spans="1:31" s="218" customFormat="1" x14ac:dyDescent="0.2">
      <c r="F195" s="337"/>
      <c r="G195" s="337"/>
      <c r="H195" s="337"/>
      <c r="I195" s="337"/>
    </row>
    <row r="196" spans="1:31" s="218" customFormat="1" x14ac:dyDescent="0.2">
      <c r="F196" s="337"/>
      <c r="G196" s="337"/>
      <c r="H196" s="337"/>
      <c r="I196" s="337"/>
    </row>
    <row r="197" spans="1:31" s="218" customFormat="1" ht="16.5" thickBot="1" x14ac:dyDescent="0.25">
      <c r="F197" s="337"/>
      <c r="G197" s="337"/>
      <c r="H197" s="337"/>
      <c r="I197" s="337"/>
    </row>
    <row r="198" spans="1:31" ht="16.5" thickBot="1" x14ac:dyDescent="0.25">
      <c r="A198" s="555" t="s">
        <v>454</v>
      </c>
      <c r="B198" s="556" t="s">
        <v>455</v>
      </c>
    </row>
    <row r="199" spans="1:31" x14ac:dyDescent="0.2">
      <c r="A199" s="450" t="s">
        <v>456</v>
      </c>
      <c r="B199" s="557" t="s">
        <v>51</v>
      </c>
    </row>
    <row r="200" spans="1:31" x14ac:dyDescent="0.2">
      <c r="A200" s="558" t="s">
        <v>65</v>
      </c>
      <c r="B200" s="559" t="s">
        <v>51</v>
      </c>
    </row>
    <row r="201" spans="1:31" x14ac:dyDescent="0.2">
      <c r="A201" s="558" t="s">
        <v>257</v>
      </c>
      <c r="B201" s="559" t="s">
        <v>51</v>
      </c>
    </row>
    <row r="202" spans="1:31" x14ac:dyDescent="0.2">
      <c r="A202" s="558" t="s">
        <v>258</v>
      </c>
      <c r="B202" s="559" t="s">
        <v>51</v>
      </c>
    </row>
    <row r="203" spans="1:31" x14ac:dyDescent="0.2">
      <c r="A203" s="558" t="s">
        <v>259</v>
      </c>
      <c r="B203" s="559" t="s">
        <v>53</v>
      </c>
    </row>
    <row r="204" spans="1:31" x14ac:dyDescent="0.2">
      <c r="A204" s="558" t="s">
        <v>281</v>
      </c>
      <c r="B204" s="559" t="s">
        <v>53</v>
      </c>
    </row>
    <row r="205" spans="1:31" x14ac:dyDescent="0.2">
      <c r="A205" s="560" t="s">
        <v>279</v>
      </c>
      <c r="B205" s="559" t="s">
        <v>53</v>
      </c>
    </row>
    <row r="206" spans="1:31" x14ac:dyDescent="0.2">
      <c r="A206" s="560" t="s">
        <v>457</v>
      </c>
      <c r="B206" s="559" t="s">
        <v>53</v>
      </c>
    </row>
    <row r="207" spans="1:31" ht="16.5" thickBot="1" x14ac:dyDescent="0.25">
      <c r="A207" s="561" t="s">
        <v>460</v>
      </c>
      <c r="B207" s="562" t="s">
        <v>51</v>
      </c>
    </row>
  </sheetData>
  <sheetProtection formatCells="0" formatColumns="0" formatRows="0" insertColumns="0" insertRows="0" deleteColumns="0" deleteRows="0" sort="0" autoFilter="0"/>
  <autoFilter ref="A30:AB30" xr:uid="{00000000-0009-0000-0000-000012000000}"/>
  <sortState xmlns:xlrd2="http://schemas.microsoft.com/office/spreadsheetml/2017/richdata2" ref="A90:A117">
    <sortCondition ref="A89"/>
  </sortState>
  <dataConsolidate>
    <dataRefs count="2">
      <dataRef ref="B9" sheet="APPENDIX B-1  (FE - USWC)"/>
      <dataRef ref="A14:A18" sheet="APPENDIX B-1  (FE - USWC)"/>
    </dataRefs>
  </dataConsolidate>
  <mergeCells count="254">
    <mergeCell ref="AD189:AE189"/>
    <mergeCell ref="AD190:AE190"/>
    <mergeCell ref="AD191:AE191"/>
    <mergeCell ref="AD192:AE192"/>
    <mergeCell ref="AD193:AE193"/>
    <mergeCell ref="AD194:AE194"/>
    <mergeCell ref="G187:V187"/>
    <mergeCell ref="W187:W188"/>
    <mergeCell ref="X187:X188"/>
    <mergeCell ref="Y187:Y188"/>
    <mergeCell ref="Z187:Z188"/>
    <mergeCell ref="AA187:AA188"/>
    <mergeCell ref="AB187:AB188"/>
    <mergeCell ref="AC187:AC188"/>
    <mergeCell ref="AD187:AE188"/>
    <mergeCell ref="E101:G101"/>
    <mergeCell ref="B105:D105"/>
    <mergeCell ref="E105:G105"/>
    <mergeCell ref="B94:D94"/>
    <mergeCell ref="E94:G94"/>
    <mergeCell ref="B109:D109"/>
    <mergeCell ref="E109:G109"/>
    <mergeCell ref="L90:L92"/>
    <mergeCell ref="A90:G90"/>
    <mergeCell ref="E93:G93"/>
    <mergeCell ref="B93:D93"/>
    <mergeCell ref="E99:G99"/>
    <mergeCell ref="B102:D102"/>
    <mergeCell ref="B99:D99"/>
    <mergeCell ref="E96:G96"/>
    <mergeCell ref="B106:D106"/>
    <mergeCell ref="E106:G106"/>
    <mergeCell ref="B108:D108"/>
    <mergeCell ref="B103:D103"/>
    <mergeCell ref="E102:G102"/>
    <mergeCell ref="B107:D107"/>
    <mergeCell ref="E107:G107"/>
    <mergeCell ref="B97:D97"/>
    <mergeCell ref="E97:G97"/>
    <mergeCell ref="K90:K92"/>
    <mergeCell ref="E100:G100"/>
    <mergeCell ref="B104:D104"/>
    <mergeCell ref="AC48:AC49"/>
    <mergeCell ref="AA48:AA49"/>
    <mergeCell ref="A87:I87"/>
    <mergeCell ref="I48:I49"/>
    <mergeCell ref="B84:D84"/>
    <mergeCell ref="Z48:Z49"/>
    <mergeCell ref="M48:M49"/>
    <mergeCell ref="A57:C57"/>
    <mergeCell ref="A58:C58"/>
    <mergeCell ref="AB48:AB49"/>
    <mergeCell ref="E48:E49"/>
    <mergeCell ref="B48:B49"/>
    <mergeCell ref="A48:A49"/>
    <mergeCell ref="D48:D49"/>
    <mergeCell ref="B83:D83"/>
    <mergeCell ref="J48:J49"/>
    <mergeCell ref="K48:K49"/>
    <mergeCell ref="L48:L49"/>
    <mergeCell ref="B68:D68"/>
    <mergeCell ref="B88:I88"/>
    <mergeCell ref="E104:G104"/>
    <mergeCell ref="B101:D101"/>
    <mergeCell ref="A1:B1"/>
    <mergeCell ref="C1:F1"/>
    <mergeCell ref="A2:B2"/>
    <mergeCell ref="C2:F2"/>
    <mergeCell ref="A3:B3"/>
    <mergeCell ref="C4:F4"/>
    <mergeCell ref="C5:F5"/>
    <mergeCell ref="C3:F3"/>
    <mergeCell ref="C6:F6"/>
    <mergeCell ref="A5:B5"/>
    <mergeCell ref="A4:B4"/>
    <mergeCell ref="A6:B6"/>
    <mergeCell ref="A12:J12"/>
    <mergeCell ref="D30:D31"/>
    <mergeCell ref="A7:B7"/>
    <mergeCell ref="I30:I31"/>
    <mergeCell ref="J15:K15"/>
    <mergeCell ref="B24:H24"/>
    <mergeCell ref="A30:A31"/>
    <mergeCell ref="C7:F7"/>
    <mergeCell ref="B30:B31"/>
    <mergeCell ref="B81:D81"/>
    <mergeCell ref="B67:D67"/>
    <mergeCell ref="C8:F8"/>
    <mergeCell ref="B14:I14"/>
    <mergeCell ref="B16:I16"/>
    <mergeCell ref="B15:I15"/>
    <mergeCell ref="B23:H23"/>
    <mergeCell ref="B13:I13"/>
    <mergeCell ref="J13:K13"/>
    <mergeCell ref="B17:I17"/>
    <mergeCell ref="J17:K17"/>
    <mergeCell ref="A8:B8"/>
    <mergeCell ref="B22:H22"/>
    <mergeCell ref="J14:K14"/>
    <mergeCell ref="B20:H20"/>
    <mergeCell ref="B21:H21"/>
    <mergeCell ref="B39:B40"/>
    <mergeCell ref="C30:C31"/>
    <mergeCell ref="H39:H40"/>
    <mergeCell ref="E39:E40"/>
    <mergeCell ref="A72:C72"/>
    <mergeCell ref="L13:M13"/>
    <mergeCell ref="J16:K16"/>
    <mergeCell ref="L16:M16"/>
    <mergeCell ref="L14:M14"/>
    <mergeCell ref="L17:M17"/>
    <mergeCell ref="L15:M15"/>
    <mergeCell ref="B82:D82"/>
    <mergeCell ref="A39:A40"/>
    <mergeCell ref="AA30:AA31"/>
    <mergeCell ref="Y30:Y31"/>
    <mergeCell ref="Z30:Z31"/>
    <mergeCell ref="X30:X31"/>
    <mergeCell ref="AA39:AA40"/>
    <mergeCell ref="X39:X40"/>
    <mergeCell ref="B65:D65"/>
    <mergeCell ref="B69:D69"/>
    <mergeCell ref="G48:G49"/>
    <mergeCell ref="B80:D80"/>
    <mergeCell ref="D39:D40"/>
    <mergeCell ref="F30:F31"/>
    <mergeCell ref="H30:H31"/>
    <mergeCell ref="J30:J31"/>
    <mergeCell ref="K30:K31"/>
    <mergeCell ref="L30:L31"/>
    <mergeCell ref="E30:E31"/>
    <mergeCell ref="G30:G31"/>
    <mergeCell ref="F39:F40"/>
    <mergeCell ref="G39:G40"/>
    <mergeCell ref="J39:J40"/>
    <mergeCell ref="I39:I40"/>
    <mergeCell ref="B110:D110"/>
    <mergeCell ref="E110:G110"/>
    <mergeCell ref="B100:D100"/>
    <mergeCell ref="B111:D111"/>
    <mergeCell ref="B96:D96"/>
    <mergeCell ref="E103:G103"/>
    <mergeCell ref="E108:G108"/>
    <mergeCell ref="Z39:Z40"/>
    <mergeCell ref="Y39:Y40"/>
    <mergeCell ref="K39:K40"/>
    <mergeCell ref="J90:J92"/>
    <mergeCell ref="A73:C73"/>
    <mergeCell ref="H48:H49"/>
    <mergeCell ref="F48:F49"/>
    <mergeCell ref="B66:D66"/>
    <mergeCell ref="C39:C40"/>
    <mergeCell ref="C48:C49"/>
    <mergeCell ref="A47:D47"/>
    <mergeCell ref="A86:I86"/>
    <mergeCell ref="I90:I92"/>
    <mergeCell ref="A92:G92"/>
    <mergeCell ref="H90:H92"/>
    <mergeCell ref="A91:G91"/>
    <mergeCell ref="M90:M92"/>
    <mergeCell ref="M180:N180"/>
    <mergeCell ref="M178:N178"/>
    <mergeCell ref="M131:M132"/>
    <mergeCell ref="H174:H175"/>
    <mergeCell ref="I174:I175"/>
    <mergeCell ref="M174:N175"/>
    <mergeCell ref="B162:I162"/>
    <mergeCell ref="L131:L132"/>
    <mergeCell ref="E131:E132"/>
    <mergeCell ref="G131:G132"/>
    <mergeCell ref="B151:I151"/>
    <mergeCell ref="A171:G171"/>
    <mergeCell ref="A174:A175"/>
    <mergeCell ref="A169:B169"/>
    <mergeCell ref="D174:D175"/>
    <mergeCell ref="B153:I153"/>
    <mergeCell ref="B165:I165"/>
    <mergeCell ref="B174:B175"/>
    <mergeCell ref="B154:I154"/>
    <mergeCell ref="B156:I156"/>
    <mergeCell ref="B158:I158"/>
    <mergeCell ref="B164:I164"/>
    <mergeCell ref="M176:N176"/>
    <mergeCell ref="M179:N179"/>
    <mergeCell ref="E116:G116"/>
    <mergeCell ref="B95:D95"/>
    <mergeCell ref="L124:L125"/>
    <mergeCell ref="A121:I121"/>
    <mergeCell ref="A122:I122"/>
    <mergeCell ref="B120:D120"/>
    <mergeCell ref="E117:G117"/>
    <mergeCell ref="B118:D118"/>
    <mergeCell ref="B115:D115"/>
    <mergeCell ref="B112:D112"/>
    <mergeCell ref="E112:G112"/>
    <mergeCell ref="B114:D114"/>
    <mergeCell ref="E114:G114"/>
    <mergeCell ref="B116:D116"/>
    <mergeCell ref="E115:G115"/>
    <mergeCell ref="E113:G113"/>
    <mergeCell ref="B98:D98"/>
    <mergeCell ref="E98:G98"/>
    <mergeCell ref="B113:D113"/>
    <mergeCell ref="E95:G95"/>
    <mergeCell ref="A124:D124"/>
    <mergeCell ref="E111:G111"/>
    <mergeCell ref="E118:G118"/>
    <mergeCell ref="B117:D117"/>
    <mergeCell ref="F187:F188"/>
    <mergeCell ref="M181:N181"/>
    <mergeCell ref="A184:G184"/>
    <mergeCell ref="A186:H186"/>
    <mergeCell ref="A187:A188"/>
    <mergeCell ref="B187:B188"/>
    <mergeCell ref="C187:C188"/>
    <mergeCell ref="D187:D188"/>
    <mergeCell ref="E187:E188"/>
    <mergeCell ref="L174:L175"/>
    <mergeCell ref="B159:I159"/>
    <mergeCell ref="M177:N177"/>
    <mergeCell ref="B161:I161"/>
    <mergeCell ref="B160:I160"/>
    <mergeCell ref="B157:I157"/>
    <mergeCell ref="B152:I152"/>
    <mergeCell ref="H131:H132"/>
    <mergeCell ref="I131:I132"/>
    <mergeCell ref="A149:I149"/>
    <mergeCell ref="C174:C175"/>
    <mergeCell ref="J174:J175"/>
    <mergeCell ref="A173:E173"/>
    <mergeCell ref="E174:E175"/>
    <mergeCell ref="K174:K175"/>
    <mergeCell ref="F174:F175"/>
    <mergeCell ref="G174:G175"/>
    <mergeCell ref="B155:I155"/>
    <mergeCell ref="B163:I163"/>
    <mergeCell ref="H124:H125"/>
    <mergeCell ref="A142:F142"/>
    <mergeCell ref="I124:I125"/>
    <mergeCell ref="A143:F143"/>
    <mergeCell ref="B119:D119"/>
    <mergeCell ref="E119:G119"/>
    <mergeCell ref="K131:K132"/>
    <mergeCell ref="A139:E139"/>
    <mergeCell ref="E120:G120"/>
    <mergeCell ref="J131:J132"/>
    <mergeCell ref="J124:J125"/>
    <mergeCell ref="A131:D131"/>
    <mergeCell ref="G124:G125"/>
    <mergeCell ref="E124:E125"/>
    <mergeCell ref="F124:F125"/>
    <mergeCell ref="K124:K125"/>
    <mergeCell ref="F131:F132"/>
    <mergeCell ref="A141:F141"/>
  </mergeCells>
  <phoneticPr fontId="11" type="noConversion"/>
  <dataValidations count="34">
    <dataValidation type="list" allowBlank="1" showInputMessage="1" showErrorMessage="1" sqref="B199:B207" xr:uid="{00000000-0002-0000-1200-000000000000}">
      <formula1>Autom</formula1>
    </dataValidation>
    <dataValidation type="list" allowBlank="1" showInputMessage="1" showErrorMessage="1" sqref="C176:C181" xr:uid="{00000000-0002-0000-1200-000001000000}">
      <formula1>DDTARIFF</formula1>
    </dataValidation>
    <dataValidation type="list" allowBlank="1" showInputMessage="1" showErrorMessage="1" sqref="B176:B181 B189:B194" xr:uid="{00000000-0002-0000-1200-000002000000}">
      <formula1>EXPIMP</formula1>
    </dataValidation>
    <dataValidation type="list" allowBlank="1" showInputMessage="1" showErrorMessage="1" sqref="F176:F181 W189:W194" xr:uid="{00000000-0002-0000-1200-000003000000}">
      <formula1>EQTYPE</formula1>
    </dataValidation>
    <dataValidation type="list" allowBlank="1" showInputMessage="1" showErrorMessage="1" sqref="G176:G181 X189:X194" xr:uid="{00000000-0002-0000-1200-000004000000}">
      <formula1>OPREEFER</formula1>
    </dataValidation>
    <dataValidation type="list" allowBlank="1" showInputMessage="1" showErrorMessage="1" sqref="F189:F194" xr:uid="{3975ED31-69A2-4248-8163-A2A757A0C16A}">
      <formula1>CURRENCY</formula1>
    </dataValidation>
    <dataValidation type="whole" allowBlank="1" showInputMessage="1" showErrorMessage="1" error="Only whole numbers can be entered into this field" sqref="D176:D181 D189:D194" xr:uid="{00000000-0002-0000-1200-000006000000}">
      <formula1>1</formula1>
      <formula2>99</formula2>
    </dataValidation>
    <dataValidation type="list" showInputMessage="1" showErrorMessage="1" sqref="E176:E181 E189:E194" xr:uid="{00000000-0002-0000-1200-000007000000}">
      <formula1>DAYS</formula1>
    </dataValidation>
    <dataValidation type="whole" allowBlank="1" showInputMessage="1" showErrorMessage="1" error="Only whole numbers may be entered into this field_x000a_" sqref="G189:G194 S189:S194 O189:O194 K189:K194" xr:uid="{E37E0F86-0ACB-4D2A-9369-3A1ADA047161}">
      <formula1>1</formula1>
      <formula2>99</formula2>
    </dataValidation>
    <dataValidation type="decimal" allowBlank="1" showInputMessage="1" showErrorMessage="1" error="Only numbers may be entered into this field" sqref="H189:J194 L189:N194 P189:R194 T189:V194" xr:uid="{75EAB62A-6B12-4BA0-ABFA-E2DE4E0031C9}">
      <formula1>1</formula1>
      <formula2>1000000000</formula2>
    </dataValidation>
    <dataValidation type="list" showInputMessage="1" showErrorMessage="1" sqref="K126:K129 K133:K136 N66:N69 A41:A44 A50:A53 A32:A35 N81:N84" xr:uid="{00000000-0002-0000-1200-00000A000000}">
      <formula1>$A$14:$A$18</formula1>
    </dataValidation>
    <dataValidation type="list" allowBlank="1" showInputMessage="1" showErrorMessage="1" sqref="J126:J129 J133:J136" xr:uid="{00000000-0002-0000-1200-00000B000000}">
      <formula1>GRIPSS</formula1>
    </dataValidation>
    <dataValidation type="decimal" allowBlank="1" showInputMessage="1" showErrorMessage="1" sqref="F133:I136 F126:I129 I32:L35 I41:K44 J81:M84 I50:L53" xr:uid="{00000000-0002-0000-1200-00000C000000}">
      <formula1>0</formula1>
      <formula2>999999999999999</formula2>
    </dataValidation>
    <dataValidation type="list" allowBlank="1" showInputMessage="1" showErrorMessage="1" sqref="E126:E129 E133:E136" xr:uid="{00000000-0002-0000-1200-00000D000000}">
      <formula1>GRIPSS_EQ</formula1>
    </dataValidation>
    <dataValidation type="list" showInputMessage="1" showErrorMessage="1" sqref="A176:A181 A189:A194" xr:uid="{00000000-0002-0000-1200-00000E000000}">
      <formula1>BULLET</formula1>
    </dataValidation>
    <dataValidation type="date" allowBlank="1" showInputMessage="1" showErrorMessage="1" sqref="X32:Y35 J93:K120" xr:uid="{00000000-0002-0000-1200-00000F000000}">
      <formula1>10101</formula1>
      <formula2>311299</formula2>
    </dataValidation>
    <dataValidation type="list" showDropDown="1" showErrorMessage="1" sqref="O65:P65 O80:P80" xr:uid="{00000000-0002-0000-1200-000010000000}">
      <formula1>Charges</formula1>
    </dataValidation>
    <dataValidation type="list" allowBlank="1" showInputMessage="1" showErrorMessage="1" sqref="O66:P69 O81:P84" xr:uid="{00000000-0002-0000-1200-000011000000}">
      <formula1 xml:space="preserve"> droppull</formula1>
    </dataValidation>
    <dataValidation type="list" allowBlank="1" showInputMessage="1" showErrorMessage="1" sqref="L41:L44 G66:G69 P50:P53 N41:N44 G81:G84" xr:uid="{00000000-0002-0000-1200-000012000000}">
      <formula1>YesNo</formula1>
    </dataValidation>
    <dataValidation type="list" allowBlank="1" showInputMessage="1" showErrorMessage="1" sqref="M50:M53" xr:uid="{00000000-0002-0000-1200-000013000000}">
      <formula1>Equip</formula1>
    </dataValidation>
    <dataValidation type="list" allowBlank="1" showInputMessage="1" showErrorMessage="1" sqref="F66:F69 F81:F84" xr:uid="{00000000-0002-0000-1200-000014000000}">
      <formula1>ArbMode</formula1>
    </dataValidation>
    <dataValidation type="list" allowBlank="1" showInputMessage="1" showErrorMessage="1" sqref="G41:G44 G50:G53 G32:G35" xr:uid="{00000000-0002-0000-1200-000015000000}">
      <formula1>SDD</formula1>
    </dataValidation>
    <dataValidation type="list" allowBlank="1" showInputMessage="1" showErrorMessage="1" sqref="M31:W31 Q49:Y49" xr:uid="{00000000-0002-0000-1200-000016000000}">
      <formula1>Container</formula1>
    </dataValidation>
    <dataValidation type="list" allowBlank="1" showInputMessage="1" showErrorMessage="1" sqref="O40:W40" xr:uid="{00000000-0002-0000-1200-000017000000}">
      <formula1>Reefer</formula1>
    </dataValidation>
    <dataValidation type="list" allowBlank="1" showInputMessage="1" showErrorMessage="1" sqref="F32:F35 F50:F53 F41:F44" xr:uid="{00000000-0002-0000-1200-000018000000}">
      <formula1>Mode</formula1>
    </dataValidation>
    <dataValidation type="list" allowBlank="1" showInputMessage="1" showErrorMessage="1" sqref="M41:M44 O50:O53" xr:uid="{00000000-0002-0000-1200-000019000000}">
      <formula1>ShipperOwn</formula1>
    </dataValidation>
    <dataValidation type="list" allowBlank="1" showInputMessage="1" showErrorMessage="1" sqref="N50:N53" xr:uid="{00000000-0002-0000-1200-00001A000000}">
      <formula1>OOG</formula1>
    </dataValidation>
    <dataValidation type="list" allowBlank="1" showErrorMessage="1" sqref="M30:W30 Q48:Y48 O39:W39" xr:uid="{00000000-0002-0000-1200-00001B000000}">
      <formula1>Exceptions</formula1>
    </dataValidation>
    <dataValidation type="list" allowBlank="1" showInputMessage="1" showErrorMessage="1" sqref="AA32:AA35 AC50:AC53 AA41:AA44" xr:uid="{00000000-0002-0000-1200-00001C000000}">
      <formula1>CST</formula1>
    </dataValidation>
    <dataValidation type="list" allowBlank="1" showInputMessage="1" showErrorMessage="1" sqref="I93:I120" xr:uid="{00000000-0002-0000-1200-00001D000000}">
      <formula1>$A$14:$A$18</formula1>
    </dataValidation>
    <dataValidation type="list" allowBlank="1" showErrorMessage="1" sqref="A93:A120" xr:uid="{00000000-0002-0000-1200-00001E000000}">
      <formula1>Charges</formula1>
    </dataValidation>
    <dataValidation allowBlank="1" showInputMessage="1" showErrorMessage="1" promptTitle="Acceptable Values:" prompt="- Applicable _x000a_- Not applicable _x000a_- Included_x000a_- Amount and OSPF for cases of fixed per D40 OSPF_x000a_    (example-  &quot;375 OSPF&quot;)" sqref="E93:G120" xr:uid="{00000000-0002-0000-1200-00001F000000}"/>
    <dataValidation type="list" allowBlank="1" showInputMessage="1" showErrorMessage="1" errorTitle="Pick up the list" promptTitle="Blank = ALL" sqref="H93:H120" xr:uid="{00000000-0002-0000-1200-000020000000}">
      <formula1>Type_note2</formula1>
    </dataValidation>
    <dataValidation type="list" showInputMessage="1" showErrorMessage="1" sqref="C189:C194" xr:uid="{4A172397-0838-46B1-8109-85638B228A01}">
      <formula1>IF($B189="I",DDTARIFFUS,DDTARIFF)</formula1>
    </dataValidation>
  </dataValidations>
  <pageMargins left="0.25" right="0.25" top="0.25" bottom="0.25" header="0.5" footer="0"/>
  <pageSetup scale="28" fitToHeight="0" orientation="landscape" r:id="rId1"/>
  <headerFooter alignWithMargins="0"/>
  <rowBreaks count="1" manualBreakCount="1">
    <brk id="88" max="16383" man="1"/>
  </rowBreaks>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58">
    <tabColor indexed="12"/>
    <pageSetUpPr fitToPage="1"/>
  </sheetPr>
  <dimension ref="A1:BB216"/>
  <sheetViews>
    <sheetView showGridLines="0" topLeftCell="A169" zoomScale="75" zoomScaleNormal="75" zoomScaleSheetLayoutView="75" workbookViewId="0">
      <selection activeCell="G196" sqref="A196:XFD203"/>
    </sheetView>
  </sheetViews>
  <sheetFormatPr defaultColWidth="9.140625" defaultRowHeight="15.75" x14ac:dyDescent="0.2"/>
  <cols>
    <col min="1" max="1" width="25.140625" style="69" customWidth="1"/>
    <col min="2" max="2" width="18.5703125" style="69" customWidth="1"/>
    <col min="3" max="3" width="18.28515625" style="69" customWidth="1"/>
    <col min="4" max="4" width="17.42578125" style="69" customWidth="1"/>
    <col min="5" max="5" width="19.28515625" style="69" customWidth="1"/>
    <col min="6" max="6" width="12.140625" style="211" customWidth="1"/>
    <col min="7" max="8" width="17.42578125" style="211" customWidth="1"/>
    <col min="9" max="9" width="17.7109375" style="211" customWidth="1"/>
    <col min="10" max="10" width="23.42578125" style="69" bestFit="1" customWidth="1"/>
    <col min="11" max="11" width="18.42578125" style="69" bestFit="1" customWidth="1"/>
    <col min="12" max="12" width="18.5703125" style="69" customWidth="1"/>
    <col min="13" max="13" width="17.28515625" style="69" customWidth="1"/>
    <col min="14" max="14" width="17.7109375" style="69" customWidth="1"/>
    <col min="15" max="16" width="16.5703125" style="69" customWidth="1"/>
    <col min="17" max="17" width="17.5703125" style="69" customWidth="1"/>
    <col min="18" max="18" width="15.85546875" style="69" customWidth="1"/>
    <col min="19" max="19" width="16.7109375" style="69" customWidth="1"/>
    <col min="20" max="20" width="16.5703125" style="69" customWidth="1"/>
    <col min="21" max="21" width="16.7109375" style="69" customWidth="1"/>
    <col min="22" max="22" width="17.5703125" style="69" customWidth="1"/>
    <col min="23" max="23" width="18" style="69" customWidth="1"/>
    <col min="24" max="24" width="12.7109375" style="69" customWidth="1"/>
    <col min="25" max="25" width="16.85546875" style="69" customWidth="1"/>
    <col min="26" max="26" width="9.7109375" style="69" customWidth="1"/>
    <col min="27" max="27" width="14.140625" style="69" customWidth="1"/>
    <col min="28" max="28" width="9.7109375" style="69" customWidth="1"/>
    <col min="29" max="29" width="14.140625" style="69" customWidth="1"/>
    <col min="30" max="16384" width="9.140625" style="69"/>
  </cols>
  <sheetData>
    <row r="1" spans="1:54" x14ac:dyDescent="0.2">
      <c r="A1" s="835" t="s">
        <v>511</v>
      </c>
      <c r="B1" s="837"/>
      <c r="C1" s="902" t="str">
        <f>Cover!B1</f>
        <v>22-XXXX</v>
      </c>
      <c r="D1" s="903"/>
      <c r="E1" s="903"/>
      <c r="F1" s="904"/>
      <c r="G1" s="69"/>
      <c r="H1" s="69"/>
      <c r="I1" s="69"/>
    </row>
    <row r="2" spans="1:54" x14ac:dyDescent="0.2">
      <c r="A2" s="885" t="s">
        <v>1236</v>
      </c>
      <c r="B2" s="886"/>
      <c r="C2" s="887"/>
      <c r="D2" s="888"/>
      <c r="E2" s="888"/>
      <c r="F2" s="889"/>
      <c r="G2" s="69"/>
      <c r="H2" s="69"/>
      <c r="I2" s="69"/>
    </row>
    <row r="3" spans="1:54" x14ac:dyDescent="0.2">
      <c r="A3" s="885" t="s">
        <v>522</v>
      </c>
      <c r="B3" s="886"/>
      <c r="C3" s="905">
        <f>Cover!B2</f>
        <v>0</v>
      </c>
      <c r="D3" s="906"/>
      <c r="E3" s="906"/>
      <c r="F3" s="907"/>
      <c r="G3" s="69"/>
      <c r="H3" s="69"/>
      <c r="I3" s="69"/>
    </row>
    <row r="4" spans="1:54" x14ac:dyDescent="0.2">
      <c r="A4" s="885" t="s">
        <v>1229</v>
      </c>
      <c r="B4" s="886"/>
      <c r="C4" s="884">
        <f>Cover!B7</f>
        <v>0</v>
      </c>
      <c r="D4" s="817"/>
      <c r="E4" s="817"/>
      <c r="F4" s="818"/>
      <c r="G4" s="69"/>
      <c r="H4" s="69"/>
      <c r="I4" s="69"/>
    </row>
    <row r="5" spans="1:54" x14ac:dyDescent="0.2">
      <c r="A5" s="885" t="s">
        <v>528</v>
      </c>
      <c r="B5" s="886"/>
      <c r="C5" s="887" t="s">
        <v>541</v>
      </c>
      <c r="D5" s="888"/>
      <c r="E5" s="888"/>
      <c r="F5" s="889"/>
      <c r="G5" s="69"/>
      <c r="H5" s="69"/>
      <c r="I5" s="69"/>
    </row>
    <row r="6" spans="1:54" ht="15.75" customHeight="1" x14ac:dyDescent="0.2">
      <c r="A6" s="885" t="s">
        <v>512</v>
      </c>
      <c r="B6" s="886"/>
      <c r="C6" s="887" t="s">
        <v>595</v>
      </c>
      <c r="D6" s="888"/>
      <c r="E6" s="888"/>
      <c r="F6" s="889"/>
      <c r="G6" s="69"/>
      <c r="H6" s="69"/>
      <c r="I6" s="69"/>
    </row>
    <row r="7" spans="1:54" ht="15.75" customHeight="1" x14ac:dyDescent="0.2">
      <c r="A7" s="885" t="s">
        <v>612</v>
      </c>
      <c r="B7" s="886"/>
      <c r="C7" s="887" t="s">
        <v>593</v>
      </c>
      <c r="D7" s="888"/>
      <c r="E7" s="888"/>
      <c r="F7" s="889"/>
      <c r="G7" s="69"/>
      <c r="H7" s="69"/>
      <c r="I7" s="69"/>
    </row>
    <row r="8" spans="1:54" ht="2.25" customHeight="1" thickBot="1" x14ac:dyDescent="0.25">
      <c r="A8" s="900"/>
      <c r="B8" s="901"/>
      <c r="C8" s="894"/>
      <c r="D8" s="895"/>
      <c r="E8" s="895"/>
      <c r="F8" s="896"/>
      <c r="G8" s="69"/>
      <c r="H8" s="69"/>
      <c r="I8" s="69"/>
    </row>
    <row r="9" spans="1:54" s="73" customFormat="1" x14ac:dyDescent="0.2">
      <c r="A9" s="442">
        <v>39</v>
      </c>
      <c r="B9" s="443" t="s">
        <v>615</v>
      </c>
      <c r="D9" s="444"/>
      <c r="E9" s="444"/>
      <c r="F9" s="445"/>
    </row>
    <row r="10" spans="1:54" s="73" customFormat="1" ht="16.5" thickBot="1" x14ac:dyDescent="0.25">
      <c r="A10" s="446"/>
      <c r="D10" s="444"/>
      <c r="E10" s="444"/>
      <c r="F10" s="445"/>
      <c r="G10" s="447"/>
      <c r="H10" s="444"/>
      <c r="I10" s="444"/>
      <c r="J10" s="444"/>
    </row>
    <row r="11" spans="1:54" ht="19.5" thickBot="1" x14ac:dyDescent="0.25">
      <c r="A11" s="448" t="s">
        <v>613</v>
      </c>
      <c r="B11" s="449"/>
      <c r="C11" s="73"/>
      <c r="D11" s="444"/>
      <c r="E11" s="444"/>
      <c r="F11" s="445"/>
      <c r="G11" s="447"/>
      <c r="H11" s="444"/>
      <c r="I11" s="444"/>
      <c r="J11" s="444"/>
    </row>
    <row r="12" spans="1:54" s="78" customFormat="1" ht="16.5" thickBot="1" x14ac:dyDescent="0.25">
      <c r="A12" s="897" t="s">
        <v>616</v>
      </c>
      <c r="B12" s="898"/>
      <c r="C12" s="898"/>
      <c r="D12" s="898"/>
      <c r="E12" s="898"/>
      <c r="F12" s="898"/>
      <c r="G12" s="898"/>
      <c r="H12" s="898"/>
      <c r="I12" s="898"/>
      <c r="J12" s="899"/>
    </row>
    <row r="13" spans="1:54" ht="17.25" customHeight="1" x14ac:dyDescent="0.2">
      <c r="A13" s="450" t="s">
        <v>617</v>
      </c>
      <c r="B13" s="881" t="s">
        <v>618</v>
      </c>
      <c r="C13" s="881"/>
      <c r="D13" s="881"/>
      <c r="E13" s="881"/>
      <c r="F13" s="881"/>
      <c r="G13" s="881"/>
      <c r="H13" s="881"/>
      <c r="I13" s="881"/>
      <c r="J13" s="882" t="s">
        <v>622</v>
      </c>
      <c r="K13" s="883"/>
      <c r="L13" s="890" t="s">
        <v>623</v>
      </c>
      <c r="M13" s="891"/>
      <c r="N13" s="350" t="s">
        <v>4</v>
      </c>
    </row>
    <row r="14" spans="1:54" s="81" customFormat="1" x14ac:dyDescent="0.2">
      <c r="A14" s="451" t="s">
        <v>503</v>
      </c>
      <c r="B14" s="862" t="s">
        <v>503</v>
      </c>
      <c r="C14" s="892"/>
      <c r="D14" s="892"/>
      <c r="E14" s="892"/>
      <c r="F14" s="892"/>
      <c r="G14" s="892"/>
      <c r="H14" s="892"/>
      <c r="I14" s="892"/>
      <c r="J14" s="870"/>
      <c r="K14" s="855"/>
      <c r="L14" s="893"/>
      <c r="M14" s="871"/>
      <c r="N14" s="349" t="str">
        <f>IF($A14&gt;0,$A14,"")</f>
        <v>FAK</v>
      </c>
    </row>
    <row r="15" spans="1:54" s="453" customFormat="1" x14ac:dyDescent="0.2">
      <c r="A15" s="452"/>
      <c r="B15" s="879"/>
      <c r="C15" s="880"/>
      <c r="D15" s="880"/>
      <c r="E15" s="880"/>
      <c r="F15" s="880"/>
      <c r="G15" s="880"/>
      <c r="H15" s="880"/>
      <c r="I15" s="880"/>
      <c r="J15" s="870"/>
      <c r="K15" s="855"/>
      <c r="L15" s="870"/>
      <c r="M15" s="871"/>
      <c r="N15" s="349" t="str">
        <f>IF($A15&gt;0,$A15,"")</f>
        <v/>
      </c>
      <c r="BB15" s="81"/>
    </row>
    <row r="16" spans="1:54" s="453" customFormat="1" x14ac:dyDescent="0.2">
      <c r="A16" s="452"/>
      <c r="B16" s="879"/>
      <c r="C16" s="880"/>
      <c r="D16" s="880"/>
      <c r="E16" s="880"/>
      <c r="F16" s="880"/>
      <c r="G16" s="880"/>
      <c r="H16" s="880"/>
      <c r="I16" s="880"/>
      <c r="J16" s="870"/>
      <c r="K16" s="855"/>
      <c r="L16" s="870"/>
      <c r="M16" s="871"/>
      <c r="N16" s="349" t="str">
        <f>IF($A16&gt;0,$A16,"")</f>
        <v/>
      </c>
      <c r="BB16" s="81"/>
    </row>
    <row r="17" spans="1:54" s="453" customFormat="1" ht="16.5" thickBot="1" x14ac:dyDescent="0.25">
      <c r="A17" s="454"/>
      <c r="B17" s="864"/>
      <c r="C17" s="865"/>
      <c r="D17" s="865"/>
      <c r="E17" s="865"/>
      <c r="F17" s="865"/>
      <c r="G17" s="865"/>
      <c r="H17" s="865"/>
      <c r="I17" s="865"/>
      <c r="J17" s="866"/>
      <c r="K17" s="867"/>
      <c r="L17" s="857"/>
      <c r="M17" s="858"/>
      <c r="N17" s="349" t="str">
        <f>IF($A17&gt;0,$A17,"")</f>
        <v/>
      </c>
      <c r="BB17" s="81"/>
    </row>
    <row r="18" spans="1:54" s="462" customFormat="1" ht="16.5" thickBot="1" x14ac:dyDescent="0.25">
      <c r="A18" s="455"/>
      <c r="B18" s="456"/>
      <c r="C18" s="457"/>
      <c r="D18" s="458"/>
      <c r="E18" s="458"/>
      <c r="F18" s="459"/>
      <c r="G18" s="459"/>
      <c r="H18" s="460"/>
      <c r="I18" s="461"/>
      <c r="J18" s="461"/>
      <c r="K18" s="457"/>
      <c r="L18" s="457"/>
      <c r="M18" s="457"/>
      <c r="N18" s="349" t="str">
        <f>IF($A18&gt;0,$A18,"")</f>
        <v/>
      </c>
      <c r="O18" s="457"/>
      <c r="P18" s="457"/>
      <c r="Q18" s="457"/>
      <c r="BB18" s="81"/>
    </row>
    <row r="19" spans="1:54" s="462" customFormat="1" ht="19.5" thickBot="1" x14ac:dyDescent="0.25">
      <c r="A19" s="448" t="s">
        <v>419</v>
      </c>
      <c r="B19" s="463"/>
      <c r="I19" s="461"/>
      <c r="J19" s="461"/>
      <c r="K19" s="457"/>
      <c r="L19" s="457"/>
      <c r="M19" s="457"/>
      <c r="N19" s="457"/>
      <c r="O19" s="457"/>
      <c r="P19" s="457"/>
      <c r="Q19" s="457"/>
    </row>
    <row r="20" spans="1:54" s="462" customFormat="1" x14ac:dyDescent="0.2">
      <c r="A20" s="464" t="s">
        <v>419</v>
      </c>
      <c r="B20" s="859" t="s">
        <v>618</v>
      </c>
      <c r="C20" s="860"/>
      <c r="D20" s="860"/>
      <c r="E20" s="860"/>
      <c r="F20" s="860"/>
      <c r="G20" s="860"/>
      <c r="H20" s="861"/>
      <c r="I20" s="461"/>
      <c r="J20" s="461"/>
      <c r="K20" s="457"/>
      <c r="L20" s="457"/>
      <c r="M20" s="457"/>
      <c r="N20" s="457"/>
      <c r="O20" s="457"/>
      <c r="P20" s="457"/>
      <c r="Q20" s="457"/>
    </row>
    <row r="21" spans="1:54" s="467" customFormat="1" ht="15.75" customHeight="1" x14ac:dyDescent="0.2">
      <c r="A21" s="451" t="s">
        <v>463</v>
      </c>
      <c r="B21" s="862" t="s">
        <v>550</v>
      </c>
      <c r="C21" s="862"/>
      <c r="D21" s="862"/>
      <c r="E21" s="862"/>
      <c r="F21" s="862"/>
      <c r="G21" s="862"/>
      <c r="H21" s="863"/>
      <c r="I21" s="220"/>
      <c r="J21" s="465"/>
      <c r="K21" s="466"/>
      <c r="L21" s="466"/>
      <c r="M21" s="466"/>
      <c r="N21" s="466"/>
      <c r="O21" s="466"/>
      <c r="P21" s="466"/>
      <c r="Q21" s="466"/>
    </row>
    <row r="22" spans="1:54" s="467" customFormat="1" x14ac:dyDescent="0.2">
      <c r="A22" s="468"/>
      <c r="B22" s="862"/>
      <c r="C22" s="862"/>
      <c r="D22" s="862"/>
      <c r="E22" s="862"/>
      <c r="F22" s="862"/>
      <c r="G22" s="862"/>
      <c r="H22" s="863"/>
      <c r="I22" s="465"/>
      <c r="J22" s="465"/>
      <c r="K22" s="466"/>
      <c r="L22" s="466"/>
      <c r="M22" s="466"/>
      <c r="N22" s="466"/>
      <c r="O22" s="466"/>
      <c r="P22" s="466"/>
      <c r="Q22" s="466"/>
    </row>
    <row r="23" spans="1:54" s="467" customFormat="1" x14ac:dyDescent="0.2">
      <c r="A23" s="468"/>
      <c r="B23" s="854"/>
      <c r="C23" s="855"/>
      <c r="D23" s="855"/>
      <c r="E23" s="855"/>
      <c r="F23" s="855"/>
      <c r="G23" s="855"/>
      <c r="H23" s="856"/>
      <c r="I23" s="465"/>
      <c r="J23" s="465"/>
      <c r="K23" s="466"/>
      <c r="L23" s="466"/>
      <c r="M23" s="466"/>
      <c r="N23" s="466"/>
      <c r="O23" s="466"/>
      <c r="P23" s="466"/>
      <c r="Q23" s="466"/>
    </row>
    <row r="24" spans="1:54" s="467" customFormat="1" ht="16.5" thickBot="1" x14ac:dyDescent="0.25">
      <c r="A24" s="469"/>
      <c r="B24" s="877"/>
      <c r="C24" s="867"/>
      <c r="D24" s="867"/>
      <c r="E24" s="867"/>
      <c r="F24" s="867"/>
      <c r="G24" s="867"/>
      <c r="H24" s="878"/>
      <c r="I24" s="465"/>
      <c r="J24" s="465"/>
      <c r="K24" s="466"/>
      <c r="L24" s="466"/>
      <c r="M24" s="466"/>
      <c r="N24" s="466"/>
      <c r="O24" s="466"/>
      <c r="P24" s="466"/>
      <c r="Q24" s="466"/>
    </row>
    <row r="25" spans="1:54" s="462" customFormat="1" ht="16.5" thickBot="1" x14ac:dyDescent="0.25">
      <c r="A25" s="456"/>
      <c r="B25" s="95"/>
      <c r="C25" s="95"/>
      <c r="D25" s="95"/>
      <c r="E25" s="95"/>
      <c r="F25" s="95"/>
      <c r="G25" s="95"/>
      <c r="H25" s="95"/>
      <c r="I25" s="461"/>
      <c r="J25" s="461"/>
      <c r="K25" s="457"/>
      <c r="L25" s="457"/>
      <c r="M25" s="457"/>
      <c r="N25" s="457"/>
      <c r="O25" s="457"/>
      <c r="P25" s="457"/>
      <c r="Q25" s="457"/>
      <c r="R25" s="457"/>
      <c r="S25" s="457"/>
      <c r="T25" s="457"/>
      <c r="U25" s="457"/>
    </row>
    <row r="26" spans="1:54" s="462" customFormat="1" ht="19.5" thickBot="1" x14ac:dyDescent="0.25">
      <c r="A26" s="448" t="s">
        <v>624</v>
      </c>
      <c r="B26" s="449"/>
      <c r="I26" s="461"/>
      <c r="J26" s="461"/>
      <c r="K26" s="457"/>
      <c r="L26" s="457"/>
      <c r="M26" s="457"/>
      <c r="N26" s="457"/>
      <c r="O26" s="457"/>
      <c r="P26" s="457"/>
      <c r="Q26" s="457"/>
      <c r="R26" s="457"/>
      <c r="S26" s="457"/>
      <c r="T26" s="457"/>
      <c r="U26" s="457"/>
    </row>
    <row r="27" spans="1:54" s="462" customFormat="1" x14ac:dyDescent="0.2">
      <c r="A27" s="223" t="s">
        <v>886</v>
      </c>
      <c r="B27" s="470"/>
      <c r="C27" s="471"/>
      <c r="D27" s="472"/>
      <c r="E27" s="472"/>
      <c r="F27" s="473"/>
      <c r="G27" s="473"/>
      <c r="H27" s="473"/>
      <c r="I27" s="474"/>
      <c r="J27" s="475"/>
      <c r="K27" s="476"/>
      <c r="L27" s="457"/>
      <c r="M27" s="457"/>
      <c r="N27" s="457"/>
      <c r="O27" s="457"/>
      <c r="P27" s="457"/>
      <c r="Q27" s="457"/>
      <c r="R27" s="457"/>
      <c r="S27" s="457"/>
      <c r="T27" s="457"/>
      <c r="U27" s="457"/>
      <c r="V27" s="457"/>
    </row>
    <row r="28" spans="1:54" s="462" customFormat="1" x14ac:dyDescent="0.2">
      <c r="A28" s="96" t="s">
        <v>626</v>
      </c>
      <c r="B28" s="214"/>
      <c r="C28" s="477"/>
      <c r="D28" s="478"/>
      <c r="E28" s="478"/>
      <c r="F28" s="479"/>
      <c r="G28" s="479"/>
      <c r="H28" s="479"/>
      <c r="I28" s="480"/>
      <c r="J28" s="481"/>
      <c r="K28" s="482"/>
      <c r="L28" s="457"/>
      <c r="M28" s="457"/>
      <c r="N28" s="457"/>
      <c r="O28" s="457"/>
      <c r="P28" s="457"/>
      <c r="Q28" s="457"/>
      <c r="R28" s="457"/>
    </row>
    <row r="29" spans="1:54" s="462" customFormat="1" ht="16.5" thickBot="1" x14ac:dyDescent="0.25">
      <c r="A29" s="110" t="s">
        <v>172</v>
      </c>
      <c r="B29" s="483"/>
      <c r="C29" s="484"/>
      <c r="D29" s="485"/>
      <c r="E29" s="485"/>
      <c r="F29" s="486"/>
      <c r="G29" s="486"/>
      <c r="H29" s="486"/>
      <c r="I29" s="487"/>
      <c r="J29" s="488"/>
      <c r="K29" s="489"/>
      <c r="L29" s="457"/>
      <c r="M29" s="457"/>
      <c r="N29" s="457"/>
      <c r="O29" s="457"/>
      <c r="P29" s="457"/>
      <c r="Q29" s="457"/>
      <c r="R29" s="457"/>
      <c r="S29" s="118"/>
      <c r="T29" s="118"/>
      <c r="U29" s="118"/>
      <c r="V29" s="457"/>
      <c r="W29" s="457"/>
      <c r="X29" s="457"/>
    </row>
    <row r="30" spans="1:54" s="491" customFormat="1" ht="32.25" customHeight="1" x14ac:dyDescent="0.2">
      <c r="A30" s="875" t="s">
        <v>627</v>
      </c>
      <c r="B30" s="868" t="s">
        <v>628</v>
      </c>
      <c r="C30" s="868" t="s">
        <v>11</v>
      </c>
      <c r="D30" s="868" t="s">
        <v>12</v>
      </c>
      <c r="E30" s="868" t="s">
        <v>13</v>
      </c>
      <c r="F30" s="868" t="s">
        <v>14</v>
      </c>
      <c r="G30" s="868" t="s">
        <v>15</v>
      </c>
      <c r="H30" s="868" t="s">
        <v>16</v>
      </c>
      <c r="I30" s="868" t="s">
        <v>17</v>
      </c>
      <c r="J30" s="868" t="s">
        <v>18</v>
      </c>
      <c r="K30" s="868" t="s">
        <v>19</v>
      </c>
      <c r="L30" s="868" t="s">
        <v>20</v>
      </c>
      <c r="M30" s="490"/>
      <c r="N30" s="490"/>
      <c r="O30" s="490"/>
      <c r="P30" s="490"/>
      <c r="Q30" s="490"/>
      <c r="R30" s="490"/>
      <c r="S30" s="490"/>
      <c r="T30" s="490"/>
      <c r="U30" s="490"/>
      <c r="V30" s="490"/>
      <c r="W30" s="490"/>
      <c r="X30" s="868" t="s">
        <v>22</v>
      </c>
      <c r="Y30" s="868" t="s">
        <v>23</v>
      </c>
      <c r="Z30" s="868" t="s">
        <v>24</v>
      </c>
      <c r="AA30" s="922" t="s">
        <v>352</v>
      </c>
    </row>
    <row r="31" spans="1:54" s="491" customFormat="1" ht="16.5" thickBot="1" x14ac:dyDescent="0.25">
      <c r="A31" s="876"/>
      <c r="B31" s="869"/>
      <c r="C31" s="869"/>
      <c r="D31" s="869"/>
      <c r="E31" s="869"/>
      <c r="F31" s="869"/>
      <c r="G31" s="872"/>
      <c r="H31" s="869"/>
      <c r="I31" s="869"/>
      <c r="J31" s="869"/>
      <c r="K31" s="869"/>
      <c r="L31" s="869"/>
      <c r="M31" s="492"/>
      <c r="N31" s="492"/>
      <c r="O31" s="492"/>
      <c r="P31" s="492"/>
      <c r="Q31" s="492"/>
      <c r="R31" s="492"/>
      <c r="S31" s="492"/>
      <c r="T31" s="492"/>
      <c r="U31" s="492"/>
      <c r="V31" s="492"/>
      <c r="W31" s="492"/>
      <c r="X31" s="869"/>
      <c r="Y31" s="869"/>
      <c r="Z31" s="869"/>
      <c r="AA31" s="923"/>
    </row>
    <row r="32" spans="1:54" s="136" customFormat="1" x14ac:dyDescent="0.2">
      <c r="A32" s="493"/>
      <c r="B32" s="49"/>
      <c r="C32" s="225"/>
      <c r="D32" s="225"/>
      <c r="E32" s="225"/>
      <c r="F32" s="225"/>
      <c r="G32" s="120"/>
      <c r="H32" s="225"/>
      <c r="I32" s="263"/>
      <c r="J32" s="263"/>
      <c r="K32" s="263"/>
      <c r="L32" s="263"/>
      <c r="M32" s="120"/>
      <c r="N32" s="120"/>
      <c r="O32" s="120"/>
      <c r="P32" s="226"/>
      <c r="Q32" s="226"/>
      <c r="R32" s="226"/>
      <c r="S32" s="120"/>
      <c r="T32" s="120"/>
      <c r="U32" s="120"/>
      <c r="V32" s="120"/>
      <c r="W32" s="120"/>
      <c r="X32" s="227"/>
      <c r="Y32" s="227"/>
      <c r="Z32" s="120"/>
      <c r="AA32" s="121"/>
    </row>
    <row r="33" spans="1:29" s="136" customFormat="1" x14ac:dyDescent="0.2">
      <c r="A33" s="494"/>
      <c r="B33" s="123"/>
      <c r="C33" s="123"/>
      <c r="D33" s="123"/>
      <c r="E33" s="123"/>
      <c r="F33" s="123"/>
      <c r="G33" s="124"/>
      <c r="H33" s="123"/>
      <c r="I33" s="255"/>
      <c r="J33" s="255"/>
      <c r="K33" s="255"/>
      <c r="L33" s="255"/>
      <c r="M33" s="125"/>
      <c r="N33" s="124"/>
      <c r="O33" s="124"/>
      <c r="P33" s="125"/>
      <c r="Q33" s="125"/>
      <c r="R33" s="125"/>
      <c r="S33" s="124"/>
      <c r="T33" s="124"/>
      <c r="U33" s="124"/>
      <c r="V33" s="124"/>
      <c r="W33" s="124"/>
      <c r="X33" s="126"/>
      <c r="Y33" s="126"/>
      <c r="Z33" s="124"/>
      <c r="AA33" s="127"/>
    </row>
    <row r="34" spans="1:29" s="136" customFormat="1" x14ac:dyDescent="0.2">
      <c r="A34" s="494"/>
      <c r="B34" s="123"/>
      <c r="C34" s="123"/>
      <c r="D34" s="123"/>
      <c r="E34" s="123"/>
      <c r="F34" s="123"/>
      <c r="G34" s="124"/>
      <c r="H34" s="123"/>
      <c r="I34" s="255"/>
      <c r="J34" s="255"/>
      <c r="K34" s="255"/>
      <c r="L34" s="255"/>
      <c r="M34" s="125"/>
      <c r="N34" s="124"/>
      <c r="O34" s="124"/>
      <c r="P34" s="125"/>
      <c r="Q34" s="125"/>
      <c r="R34" s="125"/>
      <c r="S34" s="124"/>
      <c r="T34" s="124"/>
      <c r="U34" s="124"/>
      <c r="V34" s="124"/>
      <c r="W34" s="124"/>
      <c r="X34" s="126"/>
      <c r="Y34" s="126"/>
      <c r="Z34" s="124"/>
      <c r="AA34" s="127"/>
    </row>
    <row r="35" spans="1:29" s="136" customFormat="1" ht="16.5" thickBot="1" x14ac:dyDescent="0.25">
      <c r="A35" s="495"/>
      <c r="B35" s="128"/>
      <c r="C35" s="128"/>
      <c r="D35" s="128"/>
      <c r="E35" s="128"/>
      <c r="F35" s="128"/>
      <c r="G35" s="129"/>
      <c r="H35" s="128"/>
      <c r="I35" s="256"/>
      <c r="J35" s="256"/>
      <c r="K35" s="256"/>
      <c r="L35" s="256"/>
      <c r="M35" s="129"/>
      <c r="N35" s="129"/>
      <c r="O35" s="129"/>
      <c r="P35" s="130"/>
      <c r="Q35" s="130"/>
      <c r="R35" s="130"/>
      <c r="S35" s="129"/>
      <c r="T35" s="129"/>
      <c r="U35" s="129"/>
      <c r="V35" s="129"/>
      <c r="W35" s="129"/>
      <c r="X35" s="131"/>
      <c r="Y35" s="131"/>
      <c r="Z35" s="129"/>
      <c r="AA35" s="132"/>
    </row>
    <row r="36" spans="1:29" s="73" customFormat="1" x14ac:dyDescent="0.2">
      <c r="A36" s="133"/>
      <c r="B36" s="133"/>
      <c r="C36" s="133"/>
      <c r="D36" s="133"/>
      <c r="E36" s="133"/>
      <c r="F36" s="133"/>
      <c r="G36" s="118"/>
      <c r="H36" s="118"/>
      <c r="I36" s="118"/>
      <c r="J36" s="118"/>
      <c r="K36" s="118"/>
      <c r="L36" s="118"/>
      <c r="M36" s="134"/>
      <c r="N36" s="118"/>
      <c r="O36" s="159"/>
      <c r="P36" s="159"/>
      <c r="Q36" s="159"/>
      <c r="R36" s="159"/>
      <c r="S36" s="159"/>
      <c r="T36" s="159"/>
      <c r="U36" s="159"/>
      <c r="V36" s="159"/>
      <c r="W36" s="466"/>
    </row>
    <row r="37" spans="1:29" s="73" customFormat="1" ht="16.5" thickBot="1" x14ac:dyDescent="0.25">
      <c r="A37" s="133"/>
      <c r="B37" s="133"/>
      <c r="C37" s="133"/>
      <c r="D37" s="133"/>
      <c r="E37" s="133"/>
      <c r="F37" s="133"/>
      <c r="G37" s="118"/>
      <c r="H37" s="118"/>
      <c r="I37" s="118"/>
      <c r="J37" s="118"/>
      <c r="K37" s="118"/>
      <c r="N37" s="118"/>
      <c r="O37" s="159"/>
      <c r="P37" s="159"/>
      <c r="Q37" s="159"/>
      <c r="R37" s="159"/>
      <c r="S37" s="159"/>
      <c r="T37" s="159"/>
      <c r="U37" s="159"/>
      <c r="V37" s="159"/>
      <c r="W37" s="467"/>
    </row>
    <row r="38" spans="1:29" s="73" customFormat="1" ht="16.5" thickBot="1" x14ac:dyDescent="0.25">
      <c r="A38" s="496" t="s">
        <v>25</v>
      </c>
      <c r="B38" s="133"/>
      <c r="C38" s="133"/>
      <c r="D38" s="133"/>
      <c r="E38" s="133"/>
      <c r="F38" s="133"/>
      <c r="G38" s="118"/>
      <c r="H38" s="118"/>
      <c r="I38" s="118"/>
      <c r="J38" s="118"/>
      <c r="K38" s="118"/>
      <c r="M38" s="118"/>
      <c r="N38" s="118"/>
      <c r="O38" s="159"/>
      <c r="P38" s="136"/>
      <c r="Q38" s="136"/>
      <c r="R38" s="136"/>
      <c r="S38" s="466"/>
      <c r="T38" s="466"/>
      <c r="U38" s="466"/>
      <c r="V38" s="466"/>
      <c r="W38" s="159"/>
    </row>
    <row r="39" spans="1:29" s="73" customFormat="1" ht="15.75" customHeight="1" x14ac:dyDescent="0.2">
      <c r="A39" s="875" t="s">
        <v>627</v>
      </c>
      <c r="B39" s="868" t="s">
        <v>628</v>
      </c>
      <c r="C39" s="868" t="s">
        <v>11</v>
      </c>
      <c r="D39" s="868" t="s">
        <v>12</v>
      </c>
      <c r="E39" s="868" t="s">
        <v>13</v>
      </c>
      <c r="F39" s="868" t="s">
        <v>14</v>
      </c>
      <c r="G39" s="868" t="s">
        <v>15</v>
      </c>
      <c r="H39" s="868" t="s">
        <v>16</v>
      </c>
      <c r="I39" s="868" t="s">
        <v>26</v>
      </c>
      <c r="J39" s="868" t="s">
        <v>27</v>
      </c>
      <c r="K39" s="945" t="s">
        <v>295</v>
      </c>
      <c r="L39" s="497" t="s">
        <v>63</v>
      </c>
      <c r="M39" s="498" t="s">
        <v>64</v>
      </c>
      <c r="N39" s="499" t="s">
        <v>65</v>
      </c>
      <c r="O39" s="490"/>
      <c r="P39" s="490"/>
      <c r="Q39" s="490"/>
      <c r="R39" s="490"/>
      <c r="S39" s="490"/>
      <c r="T39" s="490"/>
      <c r="U39" s="490"/>
      <c r="V39" s="490"/>
      <c r="W39" s="490"/>
      <c r="X39" s="868" t="s">
        <v>22</v>
      </c>
      <c r="Y39" s="868" t="s">
        <v>23</v>
      </c>
      <c r="Z39" s="868" t="s">
        <v>24</v>
      </c>
      <c r="AA39" s="922" t="s">
        <v>352</v>
      </c>
    </row>
    <row r="40" spans="1:29" s="73" customFormat="1" ht="31.7" customHeight="1" thickBot="1" x14ac:dyDescent="0.25">
      <c r="A40" s="876"/>
      <c r="B40" s="869"/>
      <c r="C40" s="869"/>
      <c r="D40" s="869"/>
      <c r="E40" s="869"/>
      <c r="F40" s="869"/>
      <c r="G40" s="872"/>
      <c r="H40" s="869"/>
      <c r="I40" s="869"/>
      <c r="J40" s="869"/>
      <c r="K40" s="946"/>
      <c r="L40" s="500" t="s">
        <v>66</v>
      </c>
      <c r="M40" s="501" t="s">
        <v>67</v>
      </c>
      <c r="N40" s="502" t="s">
        <v>68</v>
      </c>
      <c r="O40" s="503"/>
      <c r="P40" s="492"/>
      <c r="Q40" s="492"/>
      <c r="R40" s="492"/>
      <c r="S40" s="492"/>
      <c r="T40" s="492"/>
      <c r="U40" s="492"/>
      <c r="V40" s="492"/>
      <c r="W40" s="492"/>
      <c r="X40" s="869"/>
      <c r="Y40" s="869"/>
      <c r="Z40" s="869"/>
      <c r="AA40" s="923"/>
    </row>
    <row r="41" spans="1:29" s="136" customFormat="1" x14ac:dyDescent="0.2">
      <c r="A41" s="493"/>
      <c r="B41" s="225"/>
      <c r="C41" s="225"/>
      <c r="D41" s="225"/>
      <c r="E41" s="225"/>
      <c r="F41" s="225"/>
      <c r="G41" s="120"/>
      <c r="H41" s="225"/>
      <c r="I41" s="263"/>
      <c r="J41" s="263"/>
      <c r="K41" s="265"/>
      <c r="L41" s="268"/>
      <c r="M41" s="120"/>
      <c r="N41" s="121"/>
      <c r="O41" s="269"/>
      <c r="P41" s="226"/>
      <c r="Q41" s="226"/>
      <c r="R41" s="226"/>
      <c r="S41" s="120"/>
      <c r="T41" s="120"/>
      <c r="U41" s="120"/>
      <c r="V41" s="120"/>
      <c r="W41" s="120"/>
      <c r="X41" s="227"/>
      <c r="Y41" s="227"/>
      <c r="Z41" s="120"/>
      <c r="AA41" s="121"/>
    </row>
    <row r="42" spans="1:29" s="136" customFormat="1" x14ac:dyDescent="0.2">
      <c r="A42" s="494"/>
      <c r="B42" s="123"/>
      <c r="C42" s="123"/>
      <c r="D42" s="123"/>
      <c r="E42" s="123"/>
      <c r="F42" s="123"/>
      <c r="G42" s="124"/>
      <c r="H42" s="123"/>
      <c r="I42" s="255"/>
      <c r="J42" s="255"/>
      <c r="K42" s="266"/>
      <c r="L42" s="259"/>
      <c r="M42" s="124"/>
      <c r="N42" s="127"/>
      <c r="O42" s="248"/>
      <c r="P42" s="125"/>
      <c r="Q42" s="125"/>
      <c r="R42" s="125"/>
      <c r="S42" s="124"/>
      <c r="T42" s="124"/>
      <c r="U42" s="124"/>
      <c r="V42" s="124"/>
      <c r="W42" s="124"/>
      <c r="X42" s="126"/>
      <c r="Y42" s="126"/>
      <c r="Z42" s="124"/>
      <c r="AA42" s="127"/>
    </row>
    <row r="43" spans="1:29" s="136" customFormat="1" x14ac:dyDescent="0.2">
      <c r="A43" s="494"/>
      <c r="B43" s="123"/>
      <c r="C43" s="123"/>
      <c r="D43" s="123"/>
      <c r="E43" s="123"/>
      <c r="F43" s="123"/>
      <c r="G43" s="124"/>
      <c r="H43" s="123"/>
      <c r="I43" s="255"/>
      <c r="J43" s="255"/>
      <c r="K43" s="266"/>
      <c r="L43" s="259"/>
      <c r="M43" s="124"/>
      <c r="N43" s="127"/>
      <c r="O43" s="248"/>
      <c r="P43" s="125"/>
      <c r="Q43" s="125"/>
      <c r="R43" s="125"/>
      <c r="S43" s="124"/>
      <c r="T43" s="124"/>
      <c r="U43" s="124"/>
      <c r="V43" s="124"/>
      <c r="W43" s="124"/>
      <c r="X43" s="126"/>
      <c r="Y43" s="126"/>
      <c r="Z43" s="124"/>
      <c r="AA43" s="127"/>
    </row>
    <row r="44" spans="1:29" s="136" customFormat="1" ht="16.5" thickBot="1" x14ac:dyDescent="0.25">
      <c r="A44" s="495"/>
      <c r="B44" s="128"/>
      <c r="C44" s="128"/>
      <c r="D44" s="128"/>
      <c r="E44" s="128"/>
      <c r="F44" s="128"/>
      <c r="G44" s="129"/>
      <c r="H44" s="128"/>
      <c r="I44" s="256"/>
      <c r="J44" s="256"/>
      <c r="K44" s="267"/>
      <c r="L44" s="137"/>
      <c r="M44" s="129"/>
      <c r="N44" s="132"/>
      <c r="O44" s="137"/>
      <c r="P44" s="129"/>
      <c r="Q44" s="129"/>
      <c r="R44" s="129"/>
      <c r="S44" s="129"/>
      <c r="T44" s="129"/>
      <c r="U44" s="129"/>
      <c r="V44" s="129"/>
      <c r="W44" s="129"/>
      <c r="X44" s="131"/>
      <c r="Y44" s="131"/>
      <c r="Z44" s="129"/>
      <c r="AA44" s="132"/>
    </row>
    <row r="45" spans="1:29" s="73" customFormat="1" x14ac:dyDescent="0.2">
      <c r="A45" s="133"/>
      <c r="B45" s="133"/>
      <c r="C45" s="133"/>
      <c r="D45" s="133"/>
      <c r="E45" s="133"/>
      <c r="F45" s="133"/>
      <c r="G45" s="118"/>
      <c r="H45" s="118"/>
      <c r="I45" s="118"/>
      <c r="J45" s="118"/>
      <c r="K45" s="118"/>
      <c r="L45" s="118"/>
      <c r="M45" s="118"/>
      <c r="N45" s="118"/>
      <c r="O45" s="160"/>
      <c r="P45" s="159"/>
      <c r="Q45" s="159"/>
      <c r="R45" s="159"/>
      <c r="S45" s="136"/>
      <c r="T45" s="136"/>
      <c r="U45" s="136"/>
      <c r="V45" s="136"/>
      <c r="W45" s="136"/>
      <c r="X45" s="118"/>
    </row>
    <row r="46" spans="1:29" s="73" customFormat="1" ht="16.5" thickBot="1" x14ac:dyDescent="0.25">
      <c r="A46" s="133"/>
      <c r="B46" s="133"/>
      <c r="C46" s="133"/>
      <c r="D46" s="133"/>
      <c r="E46" s="133"/>
      <c r="F46" s="133"/>
      <c r="G46" s="118"/>
      <c r="H46" s="118"/>
      <c r="I46" s="118"/>
      <c r="J46" s="118"/>
      <c r="K46" s="118"/>
      <c r="L46" s="118"/>
      <c r="M46" s="118"/>
      <c r="N46" s="118"/>
      <c r="O46" s="160"/>
      <c r="P46" s="159"/>
      <c r="Q46" s="159"/>
      <c r="R46" s="159"/>
      <c r="S46" s="136"/>
      <c r="T46" s="136"/>
      <c r="U46" s="136"/>
      <c r="V46" s="136"/>
      <c r="W46" s="136"/>
      <c r="X46" s="118"/>
    </row>
    <row r="47" spans="1:29" s="73" customFormat="1" ht="16.5" thickBot="1" x14ac:dyDescent="0.25">
      <c r="A47" s="822" t="s">
        <v>307</v>
      </c>
      <c r="B47" s="873"/>
      <c r="C47" s="873"/>
      <c r="D47" s="874"/>
      <c r="E47" s="133"/>
      <c r="F47" s="133"/>
      <c r="G47" s="118"/>
      <c r="H47" s="118"/>
      <c r="I47" s="118"/>
      <c r="J47" s="118"/>
      <c r="K47" s="118"/>
      <c r="L47" s="118"/>
      <c r="M47" s="118"/>
      <c r="N47" s="118"/>
      <c r="O47" s="136"/>
      <c r="P47" s="159"/>
      <c r="Q47" s="159"/>
      <c r="R47" s="159"/>
      <c r="S47" s="466"/>
      <c r="T47" s="466"/>
      <c r="U47" s="466"/>
      <c r="V47" s="466"/>
      <c r="W47" s="159"/>
      <c r="X47" s="118"/>
      <c r="Y47" s="118"/>
    </row>
    <row r="48" spans="1:29" s="73" customFormat="1" ht="15.75" customHeight="1" x14ac:dyDescent="0.2">
      <c r="A48" s="875" t="s">
        <v>627</v>
      </c>
      <c r="B48" s="868" t="s">
        <v>628</v>
      </c>
      <c r="C48" s="868" t="s">
        <v>11</v>
      </c>
      <c r="D48" s="868" t="s">
        <v>12</v>
      </c>
      <c r="E48" s="868" t="s">
        <v>13</v>
      </c>
      <c r="F48" s="868" t="s">
        <v>14</v>
      </c>
      <c r="G48" s="868" t="s">
        <v>15</v>
      </c>
      <c r="H48" s="868" t="s">
        <v>16</v>
      </c>
      <c r="I48" s="868">
        <v>20</v>
      </c>
      <c r="J48" s="868">
        <v>40</v>
      </c>
      <c r="K48" s="868" t="s">
        <v>19</v>
      </c>
      <c r="L48" s="922" t="s">
        <v>20</v>
      </c>
      <c r="M48" s="943" t="s">
        <v>28</v>
      </c>
      <c r="N48" s="504" t="s">
        <v>69</v>
      </c>
      <c r="O48" s="498" t="s">
        <v>64</v>
      </c>
      <c r="P48" s="499" t="s">
        <v>65</v>
      </c>
      <c r="Q48" s="490" t="s">
        <v>147</v>
      </c>
      <c r="R48" s="490" t="s">
        <v>71</v>
      </c>
      <c r="S48" s="490"/>
      <c r="T48" s="490"/>
      <c r="U48" s="490"/>
      <c r="V48" s="490"/>
      <c r="W48" s="490"/>
      <c r="X48" s="490"/>
      <c r="Y48" s="490"/>
      <c r="Z48" s="868" t="s">
        <v>22</v>
      </c>
      <c r="AA48" s="868" t="s">
        <v>23</v>
      </c>
      <c r="AB48" s="868" t="s">
        <v>24</v>
      </c>
      <c r="AC48" s="922" t="s">
        <v>352</v>
      </c>
    </row>
    <row r="49" spans="1:29" s="73" customFormat="1" ht="48" thickBot="1" x14ac:dyDescent="0.25">
      <c r="A49" s="876"/>
      <c r="B49" s="869"/>
      <c r="C49" s="869"/>
      <c r="D49" s="869"/>
      <c r="E49" s="869"/>
      <c r="F49" s="869"/>
      <c r="G49" s="872"/>
      <c r="H49" s="869"/>
      <c r="I49" s="869"/>
      <c r="J49" s="869"/>
      <c r="K49" s="869"/>
      <c r="L49" s="923"/>
      <c r="M49" s="944"/>
      <c r="N49" s="505" t="s">
        <v>70</v>
      </c>
      <c r="O49" s="501" t="s">
        <v>67</v>
      </c>
      <c r="P49" s="502" t="s">
        <v>68</v>
      </c>
      <c r="Q49" s="503" t="s">
        <v>84</v>
      </c>
      <c r="R49" s="492" t="s">
        <v>84</v>
      </c>
      <c r="S49" s="492"/>
      <c r="T49" s="492"/>
      <c r="U49" s="492"/>
      <c r="V49" s="492"/>
      <c r="W49" s="492"/>
      <c r="X49" s="492"/>
      <c r="Y49" s="492"/>
      <c r="Z49" s="924"/>
      <c r="AA49" s="924"/>
      <c r="AB49" s="924"/>
      <c r="AC49" s="923"/>
    </row>
    <row r="50" spans="1:29" s="136" customFormat="1" x14ac:dyDescent="0.2">
      <c r="A50" s="493"/>
      <c r="B50" s="225"/>
      <c r="C50" s="225"/>
      <c r="D50" s="225"/>
      <c r="E50" s="225"/>
      <c r="F50" s="225"/>
      <c r="G50" s="120"/>
      <c r="H50" s="225"/>
      <c r="I50" s="263"/>
      <c r="J50" s="263"/>
      <c r="K50" s="263"/>
      <c r="L50" s="265"/>
      <c r="M50" s="270"/>
      <c r="N50" s="268"/>
      <c r="O50" s="120"/>
      <c r="P50" s="121"/>
      <c r="Q50" s="269"/>
      <c r="R50" s="226"/>
      <c r="S50" s="226"/>
      <c r="T50" s="226"/>
      <c r="U50" s="226"/>
      <c r="V50" s="226"/>
      <c r="W50" s="120"/>
      <c r="X50" s="120"/>
      <c r="Y50" s="120"/>
      <c r="Z50" s="227"/>
      <c r="AA50" s="227"/>
      <c r="AB50" s="120"/>
      <c r="AC50" s="121"/>
    </row>
    <row r="51" spans="1:29" s="136" customFormat="1" x14ac:dyDescent="0.2">
      <c r="A51" s="494"/>
      <c r="B51" s="123"/>
      <c r="C51" s="123"/>
      <c r="D51" s="123"/>
      <c r="E51" s="123"/>
      <c r="F51" s="123"/>
      <c r="G51" s="124"/>
      <c r="H51" s="123"/>
      <c r="I51" s="255"/>
      <c r="J51" s="255"/>
      <c r="K51" s="255"/>
      <c r="L51" s="266"/>
      <c r="M51" s="271"/>
      <c r="N51" s="259"/>
      <c r="O51" s="124"/>
      <c r="P51" s="127"/>
      <c r="Q51" s="248"/>
      <c r="R51" s="125"/>
      <c r="S51" s="125"/>
      <c r="T51" s="125"/>
      <c r="U51" s="125"/>
      <c r="V51" s="125"/>
      <c r="W51" s="124"/>
      <c r="X51" s="124"/>
      <c r="Y51" s="124"/>
      <c r="Z51" s="126"/>
      <c r="AA51" s="126"/>
      <c r="AB51" s="124"/>
      <c r="AC51" s="127"/>
    </row>
    <row r="52" spans="1:29" s="136" customFormat="1" x14ac:dyDescent="0.2">
      <c r="A52" s="494"/>
      <c r="B52" s="123"/>
      <c r="C52" s="123"/>
      <c r="D52" s="123"/>
      <c r="E52" s="123"/>
      <c r="F52" s="123"/>
      <c r="G52" s="124"/>
      <c r="H52" s="123"/>
      <c r="I52" s="255"/>
      <c r="J52" s="255"/>
      <c r="K52" s="255"/>
      <c r="L52" s="266"/>
      <c r="M52" s="271"/>
      <c r="N52" s="259"/>
      <c r="O52" s="124"/>
      <c r="P52" s="127"/>
      <c r="Q52" s="248"/>
      <c r="R52" s="125"/>
      <c r="S52" s="125"/>
      <c r="T52" s="125"/>
      <c r="U52" s="125"/>
      <c r="V52" s="125"/>
      <c r="W52" s="124"/>
      <c r="X52" s="124"/>
      <c r="Y52" s="124"/>
      <c r="Z52" s="126"/>
      <c r="AA52" s="126"/>
      <c r="AB52" s="124"/>
      <c r="AC52" s="127"/>
    </row>
    <row r="53" spans="1:29" s="136" customFormat="1" ht="16.5" thickBot="1" x14ac:dyDescent="0.25">
      <c r="A53" s="495"/>
      <c r="B53" s="128"/>
      <c r="C53" s="128"/>
      <c r="D53" s="128"/>
      <c r="E53" s="128"/>
      <c r="F53" s="128"/>
      <c r="G53" s="129"/>
      <c r="H53" s="128"/>
      <c r="I53" s="256"/>
      <c r="J53" s="256"/>
      <c r="K53" s="256"/>
      <c r="L53" s="267"/>
      <c r="M53" s="161"/>
      <c r="N53" s="137"/>
      <c r="O53" s="129"/>
      <c r="P53" s="132"/>
      <c r="Q53" s="137"/>
      <c r="R53" s="129"/>
      <c r="S53" s="129"/>
      <c r="T53" s="129"/>
      <c r="U53" s="129"/>
      <c r="V53" s="129"/>
      <c r="W53" s="129"/>
      <c r="X53" s="129"/>
      <c r="Y53" s="129"/>
      <c r="Z53" s="131"/>
      <c r="AA53" s="131"/>
      <c r="AB53" s="129"/>
      <c r="AC53" s="132"/>
    </row>
    <row r="54" spans="1:29" s="73" customFormat="1" x14ac:dyDescent="0.2">
      <c r="A54" s="133"/>
      <c r="B54" s="133"/>
      <c r="C54" s="133"/>
      <c r="D54" s="133"/>
      <c r="E54" s="133"/>
      <c r="F54" s="133"/>
      <c r="G54" s="118"/>
      <c r="H54" s="118"/>
      <c r="I54" s="118"/>
      <c r="J54" s="118"/>
      <c r="K54" s="118"/>
      <c r="M54" s="118"/>
      <c r="V54" s="118"/>
      <c r="W54" s="118"/>
    </row>
    <row r="55" spans="1:29" s="73" customFormat="1" x14ac:dyDescent="0.2">
      <c r="A55" s="133"/>
      <c r="B55" s="133"/>
      <c r="C55" s="133"/>
      <c r="D55" s="133"/>
      <c r="E55" s="133"/>
      <c r="F55" s="118"/>
      <c r="G55" s="118"/>
      <c r="H55" s="118"/>
      <c r="I55" s="118"/>
      <c r="J55" s="118"/>
      <c r="K55" s="134"/>
      <c r="L55" s="118"/>
      <c r="M55" s="118"/>
      <c r="N55" s="118"/>
      <c r="S55" s="118"/>
      <c r="T55" s="118"/>
      <c r="U55" s="118"/>
    </row>
    <row r="56" spans="1:29" s="456" customFormat="1" ht="16.5" thickBot="1" x14ac:dyDescent="0.25">
      <c r="A56" s="133"/>
      <c r="B56" s="133"/>
      <c r="C56" s="133"/>
      <c r="D56" s="133"/>
      <c r="E56" s="118"/>
      <c r="F56" s="118"/>
      <c r="G56" s="118"/>
      <c r="H56" s="118"/>
      <c r="I56" s="118"/>
      <c r="J56" s="134"/>
      <c r="K56" s="134"/>
      <c r="L56" s="134"/>
      <c r="M56" s="134"/>
      <c r="R56" s="134"/>
    </row>
    <row r="57" spans="1:29" s="456" customFormat="1" ht="19.5" thickBot="1" x14ac:dyDescent="0.25">
      <c r="A57" s="938" t="s">
        <v>29</v>
      </c>
      <c r="B57" s="939"/>
      <c r="C57" s="940"/>
      <c r="D57" s="133"/>
      <c r="E57" s="133"/>
      <c r="F57" s="118"/>
      <c r="G57" s="118"/>
      <c r="H57" s="118"/>
      <c r="I57" s="118"/>
      <c r="J57" s="118"/>
      <c r="K57" s="134"/>
      <c r="L57" s="134"/>
      <c r="M57" s="134"/>
      <c r="N57" s="134"/>
      <c r="S57" s="134"/>
      <c r="T57" s="134"/>
      <c r="U57" s="134"/>
    </row>
    <row r="58" spans="1:29" s="456" customFormat="1" ht="16.5" thickBot="1" x14ac:dyDescent="0.25">
      <c r="A58" s="800" t="s">
        <v>625</v>
      </c>
      <c r="B58" s="801"/>
      <c r="C58" s="802"/>
      <c r="D58" s="133"/>
      <c r="E58" s="133"/>
      <c r="F58" s="133"/>
      <c r="G58" s="118"/>
      <c r="H58" s="118"/>
      <c r="I58" s="118"/>
      <c r="J58" s="118"/>
      <c r="K58" s="118"/>
      <c r="L58" s="134"/>
      <c r="N58" s="134"/>
      <c r="O58" s="134"/>
      <c r="V58" s="134"/>
    </row>
    <row r="59" spans="1:29" s="456" customFormat="1" x14ac:dyDescent="0.2">
      <c r="A59" s="506" t="s">
        <v>30</v>
      </c>
      <c r="B59" s="507"/>
      <c r="C59" s="508" t="s">
        <v>155</v>
      </c>
      <c r="D59" s="509"/>
      <c r="E59" s="509"/>
      <c r="F59" s="510"/>
      <c r="G59" s="510"/>
      <c r="H59" s="509"/>
      <c r="I59" s="510"/>
      <c r="J59" s="509"/>
      <c r="K59" s="143"/>
      <c r="L59" s="144"/>
      <c r="N59" s="134"/>
      <c r="O59" s="134"/>
      <c r="P59" s="134"/>
    </row>
    <row r="60" spans="1:29" s="456" customFormat="1" x14ac:dyDescent="0.2">
      <c r="A60" s="96" t="s">
        <v>626</v>
      </c>
      <c r="B60" s="511"/>
      <c r="C60" s="511"/>
      <c r="D60" s="512"/>
      <c r="E60" s="512"/>
      <c r="F60" s="215"/>
      <c r="G60" s="215"/>
      <c r="H60" s="512"/>
      <c r="I60" s="215"/>
      <c r="J60" s="512"/>
      <c r="K60" s="149"/>
      <c r="L60" s="150"/>
      <c r="N60" s="134"/>
      <c r="O60" s="134"/>
      <c r="P60" s="134"/>
    </row>
    <row r="61" spans="1:29" s="456" customFormat="1" x14ac:dyDescent="0.2">
      <c r="A61" s="96" t="s">
        <v>173</v>
      </c>
      <c r="B61" s="511"/>
      <c r="C61" s="511"/>
      <c r="D61" s="512"/>
      <c r="E61" s="512"/>
      <c r="F61" s="215"/>
      <c r="G61" s="215"/>
      <c r="H61" s="512"/>
      <c r="I61" s="215"/>
      <c r="J61" s="512"/>
      <c r="K61" s="149"/>
      <c r="L61" s="150"/>
      <c r="N61" s="134"/>
      <c r="O61" s="134"/>
      <c r="P61" s="134"/>
    </row>
    <row r="62" spans="1:29" s="456" customFormat="1" x14ac:dyDescent="0.2">
      <c r="A62" s="96" t="s">
        <v>987</v>
      </c>
      <c r="B62" s="511"/>
      <c r="C62" s="511"/>
      <c r="D62" s="512"/>
      <c r="E62" s="512"/>
      <c r="F62" s="215"/>
      <c r="G62" s="215"/>
      <c r="H62" s="512"/>
      <c r="I62" s="215"/>
      <c r="J62" s="512"/>
      <c r="K62" s="149"/>
      <c r="L62" s="150"/>
      <c r="N62" s="134"/>
      <c r="O62" s="134"/>
      <c r="P62" s="134"/>
    </row>
    <row r="63" spans="1:29" s="456" customFormat="1" ht="16.5" thickBot="1" x14ac:dyDescent="0.25">
      <c r="A63" s="110" t="s">
        <v>988</v>
      </c>
      <c r="B63" s="513"/>
      <c r="C63" s="513"/>
      <c r="D63" s="514"/>
      <c r="E63" s="514"/>
      <c r="F63" s="515"/>
      <c r="G63" s="515"/>
      <c r="H63" s="514"/>
      <c r="I63" s="515"/>
      <c r="J63" s="514"/>
      <c r="K63" s="154"/>
      <c r="L63" s="155"/>
      <c r="N63" s="134"/>
      <c r="O63" s="134"/>
      <c r="P63" s="134"/>
    </row>
    <row r="64" spans="1:29" s="456" customFormat="1" ht="16.5" thickBot="1" x14ac:dyDescent="0.25">
      <c r="A64" s="516"/>
      <c r="B64" s="517"/>
      <c r="C64" s="134"/>
      <c r="D64" s="133"/>
      <c r="E64" s="133"/>
      <c r="F64" s="133"/>
      <c r="G64" s="133"/>
      <c r="H64" s="118"/>
      <c r="I64" s="118"/>
      <c r="J64" s="118"/>
      <c r="K64" s="118"/>
      <c r="L64" s="118"/>
      <c r="M64" s="134"/>
      <c r="O64" s="134"/>
      <c r="P64" s="134"/>
      <c r="Q64" s="118"/>
    </row>
    <row r="65" spans="1:24" s="14" customFormat="1" ht="48" thickBot="1" x14ac:dyDescent="0.25">
      <c r="A65" s="518" t="s">
        <v>31</v>
      </c>
      <c r="B65" s="932" t="s">
        <v>628</v>
      </c>
      <c r="C65" s="933"/>
      <c r="D65" s="934"/>
      <c r="E65" s="519" t="s">
        <v>11</v>
      </c>
      <c r="F65" s="519" t="s">
        <v>14</v>
      </c>
      <c r="G65" s="519" t="s">
        <v>287</v>
      </c>
      <c r="H65" s="519" t="s">
        <v>32</v>
      </c>
      <c r="I65" s="519" t="s">
        <v>16</v>
      </c>
      <c r="J65" s="519" t="s">
        <v>17</v>
      </c>
      <c r="K65" s="519" t="s">
        <v>18</v>
      </c>
      <c r="L65" s="519" t="s">
        <v>19</v>
      </c>
      <c r="M65" s="519" t="s">
        <v>20</v>
      </c>
      <c r="N65" s="520" t="s">
        <v>123</v>
      </c>
      <c r="O65" s="519" t="s">
        <v>96</v>
      </c>
      <c r="P65" s="521" t="s">
        <v>809</v>
      </c>
    </row>
    <row r="66" spans="1:24" s="303" customFormat="1" x14ac:dyDescent="0.2">
      <c r="A66" s="269"/>
      <c r="B66" s="925"/>
      <c r="C66" s="926"/>
      <c r="D66" s="926"/>
      <c r="E66" s="226"/>
      <c r="F66" s="226"/>
      <c r="G66" s="226"/>
      <c r="H66" s="226"/>
      <c r="I66" s="226"/>
      <c r="J66" s="273"/>
      <c r="K66" s="263"/>
      <c r="L66" s="263"/>
      <c r="M66" s="306"/>
      <c r="N66" s="49"/>
      <c r="O66" s="226"/>
      <c r="P66" s="274"/>
      <c r="Q66" s="159"/>
      <c r="R66" s="159"/>
      <c r="S66" s="159"/>
      <c r="T66" s="159"/>
      <c r="U66" s="159"/>
      <c r="V66" s="160"/>
      <c r="W66" s="160"/>
      <c r="X66" s="160"/>
    </row>
    <row r="67" spans="1:24" s="303" customFormat="1" x14ac:dyDescent="0.2">
      <c r="A67" s="248"/>
      <c r="B67" s="927"/>
      <c r="C67" s="928"/>
      <c r="D67" s="928"/>
      <c r="E67" s="125"/>
      <c r="F67" s="125"/>
      <c r="G67" s="125"/>
      <c r="H67" s="125"/>
      <c r="I67" s="125"/>
      <c r="J67" s="275"/>
      <c r="K67" s="255"/>
      <c r="L67" s="255"/>
      <c r="M67" s="307"/>
      <c r="N67" s="21"/>
      <c r="O67" s="125"/>
      <c r="P67" s="276"/>
      <c r="Q67" s="159"/>
      <c r="R67" s="159"/>
      <c r="S67" s="159"/>
      <c r="T67" s="159"/>
      <c r="U67" s="159"/>
      <c r="V67" s="160"/>
      <c r="W67" s="160"/>
      <c r="X67" s="160"/>
    </row>
    <row r="68" spans="1:24" s="303" customFormat="1" x14ac:dyDescent="0.2">
      <c r="A68" s="248"/>
      <c r="B68" s="927"/>
      <c r="C68" s="928"/>
      <c r="D68" s="928"/>
      <c r="E68" s="125"/>
      <c r="F68" s="125"/>
      <c r="G68" s="125"/>
      <c r="H68" s="125"/>
      <c r="I68" s="125"/>
      <c r="J68" s="275"/>
      <c r="K68" s="255"/>
      <c r="L68" s="255"/>
      <c r="M68" s="307"/>
      <c r="N68" s="21"/>
      <c r="O68" s="125"/>
      <c r="P68" s="276"/>
      <c r="Q68" s="159"/>
      <c r="R68" s="159"/>
      <c r="S68" s="159"/>
      <c r="T68" s="159"/>
      <c r="U68" s="159"/>
      <c r="V68" s="160"/>
      <c r="W68" s="160"/>
      <c r="X68" s="160"/>
    </row>
    <row r="69" spans="1:24" s="303" customFormat="1" ht="16.5" thickBot="1" x14ac:dyDescent="0.25">
      <c r="A69" s="304"/>
      <c r="B69" s="912"/>
      <c r="C69" s="913"/>
      <c r="D69" s="913"/>
      <c r="E69" s="130"/>
      <c r="F69" s="130"/>
      <c r="G69" s="130"/>
      <c r="H69" s="130"/>
      <c r="I69" s="130"/>
      <c r="J69" s="258"/>
      <c r="K69" s="256"/>
      <c r="L69" s="256"/>
      <c r="M69" s="305"/>
      <c r="N69" s="29"/>
      <c r="O69" s="129"/>
      <c r="P69" s="132"/>
      <c r="Q69" s="159"/>
      <c r="R69" s="159"/>
      <c r="S69" s="159"/>
      <c r="T69" s="159"/>
      <c r="U69" s="159"/>
      <c r="V69" s="160"/>
      <c r="W69" s="160"/>
      <c r="X69" s="160"/>
    </row>
    <row r="70" spans="1:24" s="456" customFormat="1" x14ac:dyDescent="0.2">
      <c r="A70" s="134"/>
      <c r="B70" s="134"/>
      <c r="C70" s="522"/>
      <c r="D70" s="522"/>
      <c r="E70" s="134"/>
      <c r="F70" s="134"/>
      <c r="G70" s="134"/>
      <c r="H70" s="134"/>
      <c r="I70" s="134"/>
      <c r="J70" s="134"/>
      <c r="K70" s="134"/>
      <c r="L70" s="134"/>
      <c r="M70" s="134"/>
      <c r="O70" s="118"/>
      <c r="P70" s="118"/>
      <c r="Q70" s="118"/>
      <c r="R70" s="118"/>
      <c r="S70" s="118"/>
      <c r="T70" s="118"/>
      <c r="U70" s="118"/>
      <c r="V70" s="134"/>
      <c r="W70" s="134"/>
      <c r="X70" s="134"/>
    </row>
    <row r="71" spans="1:24" s="456" customFormat="1" ht="16.5" thickBot="1" x14ac:dyDescent="0.25">
      <c r="A71" s="133"/>
      <c r="B71" s="133"/>
      <c r="C71" s="133"/>
      <c r="D71" s="133"/>
      <c r="E71" s="133"/>
      <c r="F71" s="133"/>
      <c r="G71" s="133"/>
      <c r="H71" s="133"/>
      <c r="I71" s="118"/>
      <c r="J71" s="118"/>
      <c r="K71" s="118"/>
      <c r="L71" s="118"/>
      <c r="M71" s="118"/>
      <c r="N71" s="134"/>
      <c r="O71" s="134"/>
      <c r="P71" s="134"/>
      <c r="Q71" s="134"/>
      <c r="R71" s="134"/>
      <c r="S71" s="134"/>
      <c r="T71" s="134"/>
      <c r="U71" s="134"/>
      <c r="V71" s="134"/>
      <c r="W71" s="118"/>
    </row>
    <row r="72" spans="1:24" s="456" customFormat="1" ht="19.5" thickBot="1" x14ac:dyDescent="0.25">
      <c r="A72" s="938" t="s">
        <v>34</v>
      </c>
      <c r="B72" s="939"/>
      <c r="C72" s="940"/>
      <c r="D72" s="523"/>
      <c r="E72" s="133"/>
      <c r="F72" s="133"/>
      <c r="G72" s="133"/>
      <c r="H72" s="133"/>
      <c r="I72" s="118"/>
      <c r="J72" s="118"/>
      <c r="K72" s="118"/>
      <c r="L72" s="118"/>
      <c r="M72" s="118"/>
      <c r="N72" s="134"/>
      <c r="O72" s="134"/>
      <c r="P72" s="134"/>
      <c r="Q72" s="134"/>
      <c r="R72" s="134"/>
      <c r="S72" s="134"/>
      <c r="T72" s="134"/>
      <c r="U72" s="134"/>
      <c r="V72" s="134"/>
      <c r="W72" s="118"/>
    </row>
    <row r="73" spans="1:24" s="456" customFormat="1" ht="16.5" thickBot="1" x14ac:dyDescent="0.25">
      <c r="A73" s="800" t="s">
        <v>625</v>
      </c>
      <c r="B73" s="801"/>
      <c r="C73" s="802"/>
      <c r="D73" s="200"/>
      <c r="E73" s="200"/>
      <c r="F73" s="200"/>
      <c r="G73" s="200"/>
      <c r="H73" s="194"/>
      <c r="I73" s="194"/>
      <c r="J73" s="200"/>
      <c r="K73" s="194"/>
      <c r="L73" s="200"/>
      <c r="M73" s="118"/>
      <c r="N73" s="134"/>
      <c r="O73" s="134"/>
      <c r="P73" s="134"/>
      <c r="Q73" s="134"/>
      <c r="R73" s="134"/>
      <c r="S73" s="134"/>
      <c r="T73" s="134"/>
      <c r="U73" s="134"/>
      <c r="V73" s="134"/>
      <c r="W73" s="118"/>
    </row>
    <row r="74" spans="1:24" s="456" customFormat="1" x14ac:dyDescent="0.2">
      <c r="A74" s="506" t="s">
        <v>30</v>
      </c>
      <c r="B74" s="470"/>
      <c r="C74" s="508" t="s">
        <v>155</v>
      </c>
      <c r="D74" s="508"/>
      <c r="E74" s="509"/>
      <c r="F74" s="509"/>
      <c r="G74" s="509"/>
      <c r="H74" s="510"/>
      <c r="I74" s="510"/>
      <c r="J74" s="509"/>
      <c r="K74" s="510"/>
      <c r="L74" s="524"/>
      <c r="M74" s="118"/>
      <c r="N74" s="134"/>
      <c r="O74" s="134"/>
      <c r="P74" s="134"/>
      <c r="Q74" s="134"/>
      <c r="R74" s="134"/>
      <c r="S74" s="134"/>
      <c r="T74" s="134"/>
      <c r="U74" s="134"/>
      <c r="V74" s="134"/>
      <c r="W74" s="118"/>
    </row>
    <row r="75" spans="1:24" s="456" customFormat="1" x14ac:dyDescent="0.2">
      <c r="A75" s="96" t="s">
        <v>35</v>
      </c>
      <c r="B75" s="512"/>
      <c r="C75" s="512"/>
      <c r="D75" s="512"/>
      <c r="E75" s="512"/>
      <c r="F75" s="512"/>
      <c r="G75" s="512"/>
      <c r="H75" s="215"/>
      <c r="I75" s="215"/>
      <c r="J75" s="512"/>
      <c r="K75" s="215"/>
      <c r="L75" s="525"/>
      <c r="M75" s="118"/>
      <c r="N75" s="134"/>
      <c r="O75" s="134"/>
      <c r="P75" s="134"/>
      <c r="Q75" s="134"/>
      <c r="R75" s="134"/>
      <c r="S75" s="134"/>
      <c r="T75" s="134"/>
      <c r="U75" s="134"/>
      <c r="V75" s="134"/>
      <c r="W75" s="118"/>
    </row>
    <row r="76" spans="1:24" s="456" customFormat="1" x14ac:dyDescent="0.2">
      <c r="A76" s="96" t="s">
        <v>174</v>
      </c>
      <c r="B76" s="512"/>
      <c r="C76" s="512"/>
      <c r="D76" s="512"/>
      <c r="E76" s="512"/>
      <c r="F76" s="512"/>
      <c r="G76" s="512"/>
      <c r="H76" s="215"/>
      <c r="I76" s="215"/>
      <c r="J76" s="512"/>
      <c r="K76" s="215"/>
      <c r="L76" s="525"/>
      <c r="M76" s="118"/>
      <c r="N76" s="134"/>
      <c r="O76" s="134"/>
      <c r="P76" s="134"/>
      <c r="Q76" s="134"/>
      <c r="R76" s="134"/>
      <c r="S76" s="134"/>
      <c r="T76" s="134"/>
      <c r="U76" s="134"/>
      <c r="V76" s="134"/>
      <c r="W76" s="118"/>
    </row>
    <row r="77" spans="1:24" s="456" customFormat="1" x14ac:dyDescent="0.2">
      <c r="A77" s="96" t="s">
        <v>987</v>
      </c>
      <c r="B77" s="512"/>
      <c r="C77" s="512"/>
      <c r="D77" s="512"/>
      <c r="E77" s="512"/>
      <c r="F77" s="512"/>
      <c r="G77" s="512"/>
      <c r="H77" s="215"/>
      <c r="I77" s="215"/>
      <c r="J77" s="512"/>
      <c r="K77" s="215"/>
      <c r="L77" s="525"/>
      <c r="M77" s="118"/>
      <c r="N77" s="134"/>
      <c r="O77" s="134"/>
      <c r="P77" s="134"/>
      <c r="Q77" s="134"/>
      <c r="R77" s="134"/>
      <c r="S77" s="134"/>
      <c r="T77" s="134"/>
      <c r="U77" s="134"/>
      <c r="V77" s="134"/>
      <c r="W77" s="118"/>
    </row>
    <row r="78" spans="1:24" s="456" customFormat="1" ht="16.5" thickBot="1" x14ac:dyDescent="0.25">
      <c r="A78" s="110" t="s">
        <v>988</v>
      </c>
      <c r="B78" s="514"/>
      <c r="C78" s="514"/>
      <c r="D78" s="514"/>
      <c r="E78" s="514"/>
      <c r="F78" s="514"/>
      <c r="G78" s="514"/>
      <c r="H78" s="515"/>
      <c r="I78" s="515"/>
      <c r="J78" s="514"/>
      <c r="K78" s="515"/>
      <c r="L78" s="526"/>
      <c r="M78" s="118"/>
      <c r="N78" s="134"/>
      <c r="O78" s="134"/>
      <c r="P78" s="134"/>
      <c r="Q78" s="134"/>
      <c r="R78" s="134"/>
      <c r="S78" s="134"/>
      <c r="T78" s="134"/>
      <c r="U78" s="134"/>
      <c r="V78" s="134"/>
      <c r="W78" s="118"/>
    </row>
    <row r="79" spans="1:24" s="456" customFormat="1" ht="16.5" thickBot="1" x14ac:dyDescent="0.25">
      <c r="A79" s="527"/>
      <c r="E79" s="200"/>
      <c r="F79" s="200"/>
      <c r="G79" s="200"/>
      <c r="H79" s="194"/>
      <c r="I79" s="517"/>
      <c r="J79" s="200"/>
      <c r="K79" s="194"/>
      <c r="L79" s="200"/>
      <c r="M79" s="118"/>
      <c r="N79" s="134"/>
      <c r="O79" s="134"/>
      <c r="P79" s="134"/>
      <c r="Q79" s="134"/>
      <c r="R79" s="118"/>
      <c r="V79" s="528"/>
      <c r="W79" s="528"/>
    </row>
    <row r="80" spans="1:24" s="14" customFormat="1" ht="32.25" thickBot="1" x14ac:dyDescent="0.25">
      <c r="A80" s="518" t="s">
        <v>31</v>
      </c>
      <c r="B80" s="932" t="s">
        <v>13</v>
      </c>
      <c r="C80" s="933"/>
      <c r="D80" s="934"/>
      <c r="E80" s="519" t="s">
        <v>12</v>
      </c>
      <c r="F80" s="519" t="s">
        <v>14</v>
      </c>
      <c r="G80" s="519" t="s">
        <v>276</v>
      </c>
      <c r="H80" s="519" t="s">
        <v>32</v>
      </c>
      <c r="I80" s="519" t="s">
        <v>16</v>
      </c>
      <c r="J80" s="519" t="s">
        <v>17</v>
      </c>
      <c r="K80" s="519" t="s">
        <v>18</v>
      </c>
      <c r="L80" s="519" t="s">
        <v>19</v>
      </c>
      <c r="M80" s="519" t="s">
        <v>20</v>
      </c>
      <c r="N80" s="520" t="s">
        <v>123</v>
      </c>
      <c r="O80" s="519" t="s">
        <v>94</v>
      </c>
      <c r="P80" s="521" t="s">
        <v>807</v>
      </c>
      <c r="W80" s="13"/>
    </row>
    <row r="81" spans="1:23" s="303" customFormat="1" x14ac:dyDescent="0.2">
      <c r="A81" s="269"/>
      <c r="B81" s="925"/>
      <c r="C81" s="926"/>
      <c r="D81" s="926"/>
      <c r="E81" s="226"/>
      <c r="F81" s="226"/>
      <c r="G81" s="226"/>
      <c r="H81" s="226"/>
      <c r="I81" s="226"/>
      <c r="J81" s="263"/>
      <c r="K81" s="263"/>
      <c r="L81" s="263"/>
      <c r="M81" s="263"/>
      <c r="N81" s="49"/>
      <c r="O81" s="226"/>
      <c r="P81" s="274"/>
      <c r="Q81" s="160"/>
      <c r="R81" s="160"/>
      <c r="S81" s="160"/>
      <c r="T81" s="160"/>
      <c r="U81" s="160"/>
      <c r="V81" s="160"/>
      <c r="W81" s="159"/>
    </row>
    <row r="82" spans="1:23" s="303" customFormat="1" x14ac:dyDescent="0.2">
      <c r="A82" s="248"/>
      <c r="B82" s="927"/>
      <c r="C82" s="928"/>
      <c r="D82" s="928"/>
      <c r="E82" s="125"/>
      <c r="F82" s="125"/>
      <c r="G82" s="125"/>
      <c r="H82" s="125"/>
      <c r="I82" s="125"/>
      <c r="J82" s="255"/>
      <c r="K82" s="255"/>
      <c r="L82" s="255"/>
      <c r="M82" s="255"/>
      <c r="N82" s="21"/>
      <c r="O82" s="125"/>
      <c r="P82" s="276"/>
      <c r="Q82" s="160"/>
      <c r="R82" s="160"/>
      <c r="S82" s="160"/>
      <c r="T82" s="160"/>
      <c r="U82" s="160"/>
      <c r="V82" s="160"/>
      <c r="W82" s="159"/>
    </row>
    <row r="83" spans="1:23" s="303" customFormat="1" x14ac:dyDescent="0.2">
      <c r="A83" s="248"/>
      <c r="B83" s="927"/>
      <c r="C83" s="928"/>
      <c r="D83" s="928"/>
      <c r="E83" s="125"/>
      <c r="F83" s="125"/>
      <c r="G83" s="125"/>
      <c r="H83" s="125"/>
      <c r="I83" s="125"/>
      <c r="J83" s="255"/>
      <c r="K83" s="255"/>
      <c r="L83" s="255"/>
      <c r="M83" s="255"/>
      <c r="N83" s="21"/>
      <c r="O83" s="125"/>
      <c r="P83" s="276"/>
      <c r="Q83" s="160"/>
      <c r="R83" s="160"/>
      <c r="S83" s="160"/>
      <c r="T83" s="160"/>
      <c r="U83" s="160"/>
      <c r="V83" s="160"/>
      <c r="W83" s="159"/>
    </row>
    <row r="84" spans="1:23" s="303" customFormat="1" ht="16.5" thickBot="1" x14ac:dyDescent="0.25">
      <c r="A84" s="304"/>
      <c r="B84" s="912"/>
      <c r="C84" s="913"/>
      <c r="D84" s="913"/>
      <c r="E84" s="130"/>
      <c r="F84" s="130"/>
      <c r="G84" s="130"/>
      <c r="H84" s="130"/>
      <c r="I84" s="130"/>
      <c r="J84" s="256"/>
      <c r="K84" s="256"/>
      <c r="L84" s="256"/>
      <c r="M84" s="256"/>
      <c r="N84" s="29"/>
      <c r="O84" s="129"/>
      <c r="P84" s="132"/>
      <c r="Q84" s="160"/>
      <c r="R84" s="160"/>
      <c r="S84" s="160"/>
      <c r="T84" s="160"/>
      <c r="U84" s="160"/>
      <c r="V84" s="160"/>
      <c r="W84" s="159"/>
    </row>
    <row r="85" spans="1:23" s="456" customFormat="1" ht="16.5" thickBot="1" x14ac:dyDescent="0.25">
      <c r="A85" s="133"/>
      <c r="B85" s="133"/>
      <c r="C85" s="133"/>
      <c r="D85" s="133"/>
      <c r="E85" s="133"/>
      <c r="F85" s="133"/>
      <c r="G85" s="133"/>
      <c r="H85" s="118"/>
      <c r="I85" s="118"/>
      <c r="J85" s="118"/>
      <c r="K85" s="118"/>
      <c r="L85" s="118"/>
      <c r="M85" s="134"/>
      <c r="N85" s="134"/>
      <c r="O85" s="134"/>
      <c r="P85" s="134"/>
      <c r="Q85" s="134"/>
      <c r="R85" s="134"/>
      <c r="S85" s="134"/>
      <c r="T85" s="134"/>
      <c r="U85" s="134"/>
      <c r="V85" s="118"/>
    </row>
    <row r="86" spans="1:23" s="73" customFormat="1" ht="16.5" thickBot="1" x14ac:dyDescent="0.25">
      <c r="A86" s="822" t="s">
        <v>36</v>
      </c>
      <c r="B86" s="823"/>
      <c r="C86" s="823"/>
      <c r="D86" s="823"/>
      <c r="E86" s="823"/>
      <c r="F86" s="823"/>
      <c r="G86" s="823"/>
      <c r="H86" s="823"/>
      <c r="I86" s="824"/>
      <c r="J86" s="169"/>
      <c r="K86" s="118"/>
      <c r="L86" s="134"/>
      <c r="M86" s="134"/>
      <c r="N86" s="134"/>
      <c r="O86" s="134"/>
      <c r="P86" s="134"/>
      <c r="Q86" s="134"/>
      <c r="R86" s="134"/>
      <c r="S86" s="118"/>
      <c r="T86" s="118"/>
      <c r="U86" s="118"/>
    </row>
    <row r="87" spans="1:23" s="73" customFormat="1" ht="16.5" thickBot="1" x14ac:dyDescent="0.25">
      <c r="A87" s="935" t="s">
        <v>37</v>
      </c>
      <c r="B87" s="936"/>
      <c r="C87" s="936"/>
      <c r="D87" s="936"/>
      <c r="E87" s="936"/>
      <c r="F87" s="936"/>
      <c r="G87" s="936"/>
      <c r="H87" s="936"/>
      <c r="I87" s="937"/>
      <c r="J87" s="170"/>
      <c r="K87" s="118"/>
      <c r="L87" s="134"/>
      <c r="M87" s="134"/>
      <c r="N87" s="134"/>
      <c r="O87" s="134"/>
      <c r="P87" s="134"/>
      <c r="Q87" s="134"/>
      <c r="R87" s="134"/>
      <c r="S87" s="118"/>
      <c r="T87" s="118"/>
      <c r="U87" s="118"/>
    </row>
    <row r="88" spans="1:23" s="308" customFormat="1" ht="15.75" customHeight="1" thickBot="1" x14ac:dyDescent="0.25">
      <c r="A88" s="665" t="s">
        <v>296</v>
      </c>
      <c r="B88" s="909" t="s">
        <v>1129</v>
      </c>
      <c r="C88" s="910"/>
      <c r="D88" s="910"/>
      <c r="E88" s="910"/>
      <c r="F88" s="910"/>
      <c r="G88" s="910"/>
      <c r="H88" s="910"/>
      <c r="I88" s="911"/>
      <c r="J88" s="171"/>
      <c r="K88" s="172"/>
      <c r="L88" s="173"/>
      <c r="M88" s="173"/>
      <c r="N88" s="173"/>
      <c r="O88" s="173"/>
      <c r="P88" s="173"/>
      <c r="Q88" s="173"/>
      <c r="R88" s="173"/>
      <c r="S88" s="172"/>
      <c r="T88" s="172"/>
      <c r="U88" s="172"/>
    </row>
    <row r="89" spans="1:23" s="73" customFormat="1" ht="16.5" thickBot="1" x14ac:dyDescent="0.25">
      <c r="A89" s="196"/>
      <c r="B89" s="169"/>
      <c r="C89" s="169"/>
      <c r="D89" s="169"/>
      <c r="E89" s="169"/>
      <c r="F89" s="176"/>
      <c r="G89" s="176"/>
      <c r="H89" s="176"/>
      <c r="I89" s="176"/>
      <c r="J89" s="176"/>
      <c r="K89" s="118"/>
      <c r="L89" s="134"/>
      <c r="M89" s="134"/>
      <c r="N89" s="134"/>
      <c r="O89" s="134"/>
      <c r="P89" s="134"/>
      <c r="Q89" s="118"/>
    </row>
    <row r="90" spans="1:23" s="73" customFormat="1" ht="16.5" customHeight="1" thickBot="1" x14ac:dyDescent="0.25">
      <c r="A90" s="917" t="s">
        <v>214</v>
      </c>
      <c r="B90" s="918"/>
      <c r="C90" s="918"/>
      <c r="D90" s="918"/>
      <c r="E90" s="918"/>
      <c r="F90" s="918"/>
      <c r="G90" s="918"/>
      <c r="H90" s="930" t="s">
        <v>226</v>
      </c>
      <c r="I90" s="786" t="s">
        <v>627</v>
      </c>
      <c r="J90" s="786" t="s">
        <v>215</v>
      </c>
      <c r="K90" s="786" t="s">
        <v>23</v>
      </c>
      <c r="L90" s="786" t="s">
        <v>302</v>
      </c>
      <c r="M90" s="788" t="s">
        <v>83</v>
      </c>
      <c r="N90" s="134"/>
      <c r="O90" s="118"/>
      <c r="P90" s="456"/>
      <c r="Q90" s="528"/>
      <c r="R90" s="528"/>
    </row>
    <row r="91" spans="1:23" s="446" customFormat="1" ht="16.5" thickBot="1" x14ac:dyDescent="0.25">
      <c r="A91" s="919" t="s">
        <v>887</v>
      </c>
      <c r="B91" s="920"/>
      <c r="C91" s="920"/>
      <c r="D91" s="920"/>
      <c r="E91" s="920"/>
      <c r="F91" s="920"/>
      <c r="G91" s="921"/>
      <c r="H91" s="931"/>
      <c r="I91" s="908"/>
      <c r="J91" s="908"/>
      <c r="K91" s="908"/>
      <c r="L91" s="908"/>
      <c r="M91" s="929"/>
      <c r="N91" s="177"/>
      <c r="O91" s="177"/>
      <c r="P91" s="177"/>
      <c r="Q91" s="177"/>
      <c r="R91" s="177"/>
    </row>
    <row r="92" spans="1:23" s="446" customFormat="1" ht="15.75" customHeight="1" thickBot="1" x14ac:dyDescent="0.25">
      <c r="A92" s="914" t="s">
        <v>353</v>
      </c>
      <c r="B92" s="915"/>
      <c r="C92" s="915"/>
      <c r="D92" s="915"/>
      <c r="E92" s="915"/>
      <c r="F92" s="915"/>
      <c r="G92" s="916"/>
      <c r="H92" s="931"/>
      <c r="I92" s="908"/>
      <c r="J92" s="908"/>
      <c r="K92" s="908"/>
      <c r="L92" s="908"/>
      <c r="M92" s="929"/>
      <c r="N92" s="177"/>
      <c r="O92" s="177"/>
      <c r="P92" s="177"/>
      <c r="Q92" s="177"/>
      <c r="R92" s="177"/>
    </row>
    <row r="93" spans="1:23" s="136" customFormat="1" ht="15.75" customHeight="1" x14ac:dyDescent="0.2">
      <c r="A93" s="178" t="s">
        <v>234</v>
      </c>
      <c r="B93" s="942" t="str">
        <f>IF($A93="","",VLOOKUP($A93,Listes!$A$3:$C$193,2,FALSE))</f>
        <v>Bunker Adjustment Factor</v>
      </c>
      <c r="C93" s="942"/>
      <c r="D93" s="942"/>
      <c r="E93" s="941" t="s">
        <v>51</v>
      </c>
      <c r="F93" s="941"/>
      <c r="G93" s="941"/>
      <c r="H93" s="658"/>
      <c r="I93" s="529"/>
      <c r="J93" s="529"/>
      <c r="K93" s="529"/>
      <c r="L93" s="529"/>
      <c r="M93" s="530"/>
      <c r="N93" s="160"/>
      <c r="O93" s="160"/>
      <c r="P93" s="160"/>
      <c r="Q93" s="160"/>
      <c r="R93" s="159"/>
    </row>
    <row r="94" spans="1:23" s="136" customFormat="1" ht="15.75" customHeight="1" x14ac:dyDescent="0.2">
      <c r="A94" s="182" t="s">
        <v>86</v>
      </c>
      <c r="B94" s="813" t="str">
        <f>IF($A94="","",VLOOKUP($A94,Listes!$A$3:$C$193,2,FALSE))</f>
        <v>Currency Adjustment Factor</v>
      </c>
      <c r="C94" s="813"/>
      <c r="D94" s="813"/>
      <c r="E94" s="814" t="s">
        <v>53</v>
      </c>
      <c r="F94" s="814"/>
      <c r="G94" s="814"/>
      <c r="H94" s="657"/>
      <c r="I94" s="531"/>
      <c r="J94" s="531"/>
      <c r="K94" s="531"/>
      <c r="L94" s="531"/>
      <c r="M94" s="532"/>
      <c r="N94" s="160"/>
      <c r="O94" s="160"/>
      <c r="P94" s="160"/>
      <c r="Q94" s="160"/>
      <c r="R94" s="159"/>
    </row>
    <row r="95" spans="1:23" s="136" customFormat="1" ht="15.75" customHeight="1" x14ac:dyDescent="0.2">
      <c r="A95" s="182" t="s">
        <v>557</v>
      </c>
      <c r="B95" s="813" t="str">
        <f>IF($A95="","",VLOOKUP($A95,Listes!$A$3:$C$193,2,FALSE))</f>
        <v>Cargo Facility Charge</v>
      </c>
      <c r="C95" s="813"/>
      <c r="D95" s="813"/>
      <c r="E95" s="814" t="s">
        <v>51</v>
      </c>
      <c r="F95" s="814"/>
      <c r="G95" s="814"/>
      <c r="H95" s="657"/>
      <c r="I95" s="531"/>
      <c r="J95" s="531"/>
      <c r="K95" s="531"/>
      <c r="L95" s="531"/>
      <c r="M95" s="532"/>
      <c r="N95" s="160"/>
      <c r="O95" s="160"/>
      <c r="P95" s="160"/>
      <c r="Q95" s="160"/>
      <c r="R95" s="159"/>
    </row>
    <row r="96" spans="1:23" s="136" customFormat="1" ht="15.75" customHeight="1" x14ac:dyDescent="0.2">
      <c r="A96" s="182" t="s">
        <v>202</v>
      </c>
      <c r="B96" s="813" t="str">
        <f>IF($A96="","",VLOOKUP($A96,Listes!$A$3:$C$193,2,FALSE))</f>
        <v>Container Inspection Fee/Survey Fee</v>
      </c>
      <c r="C96" s="813"/>
      <c r="D96" s="813"/>
      <c r="E96" s="814" t="s">
        <v>51</v>
      </c>
      <c r="F96" s="814"/>
      <c r="G96" s="814"/>
      <c r="H96" s="657"/>
      <c r="I96" s="531"/>
      <c r="J96" s="531"/>
      <c r="K96" s="531"/>
      <c r="L96" s="531"/>
      <c r="M96" s="532"/>
      <c r="N96" s="160"/>
      <c r="O96" s="160"/>
      <c r="P96" s="160"/>
      <c r="Q96" s="160"/>
      <c r="R96" s="159"/>
    </row>
    <row r="97" spans="1:18" s="136" customFormat="1" ht="15.75" customHeight="1" x14ac:dyDescent="0.2">
      <c r="A97" s="182" t="s">
        <v>1103</v>
      </c>
      <c r="B97" s="813" t="str">
        <f>IF($A97="","",VLOOKUP($A97,Listes!$A$3:$C$193,2,FALSE))</f>
        <v>Chassis Administration Fee Pre-Carriage</v>
      </c>
      <c r="C97" s="813"/>
      <c r="D97" s="813"/>
      <c r="E97" s="814" t="s">
        <v>51</v>
      </c>
      <c r="F97" s="814"/>
      <c r="G97" s="814"/>
      <c r="H97" s="657"/>
      <c r="I97" s="531"/>
      <c r="J97" s="531"/>
      <c r="K97" s="531"/>
      <c r="L97" s="531"/>
      <c r="M97" s="532"/>
      <c r="N97" s="160"/>
      <c r="O97" s="160"/>
      <c r="P97" s="160"/>
      <c r="Q97" s="160"/>
      <c r="R97" s="159"/>
    </row>
    <row r="98" spans="1:18" s="136" customFormat="1" ht="15.75" customHeight="1" x14ac:dyDescent="0.2">
      <c r="A98" s="182" t="s">
        <v>551</v>
      </c>
      <c r="B98" s="813" t="str">
        <f>IF($A98="","",VLOOKUP($A98,Listes!$A$3:$C$193,2,FALSE))</f>
        <v>Chassis Provision Charge</v>
      </c>
      <c r="C98" s="813"/>
      <c r="D98" s="813"/>
      <c r="E98" s="814" t="s">
        <v>51</v>
      </c>
      <c r="F98" s="814"/>
      <c r="G98" s="814"/>
      <c r="H98" s="657"/>
      <c r="I98" s="531"/>
      <c r="J98" s="531"/>
      <c r="K98" s="531"/>
      <c r="L98" s="531"/>
      <c r="M98" s="532"/>
      <c r="N98" s="160"/>
      <c r="O98" s="160"/>
      <c r="P98" s="160"/>
      <c r="Q98" s="160"/>
      <c r="R98" s="159"/>
    </row>
    <row r="99" spans="1:18" s="136" customFormat="1" ht="15.75" customHeight="1" x14ac:dyDescent="0.2">
      <c r="A99" s="182" t="s">
        <v>263</v>
      </c>
      <c r="B99" s="813" t="str">
        <f>IF($A99="","",VLOOKUP($A99,Listes!$A$3:$C$193,2,FALSE))</f>
        <v>Carrier Security Charge</v>
      </c>
      <c r="C99" s="813"/>
      <c r="D99" s="813"/>
      <c r="E99" s="814" t="s">
        <v>51</v>
      </c>
      <c r="F99" s="814"/>
      <c r="G99" s="814"/>
      <c r="H99" s="657"/>
      <c r="I99" s="531"/>
      <c r="J99" s="531"/>
      <c r="K99" s="531"/>
      <c r="L99" s="531"/>
      <c r="M99" s="532"/>
      <c r="N99" s="160"/>
      <c r="O99" s="160"/>
      <c r="P99" s="160"/>
      <c r="Q99" s="160"/>
      <c r="R99" s="159"/>
    </row>
    <row r="100" spans="1:18" s="136" customFormat="1" ht="15.75" customHeight="1" x14ac:dyDescent="0.2">
      <c r="A100" s="182" t="s">
        <v>1262</v>
      </c>
      <c r="B100" s="813" t="str">
        <f>IF($A100="","",VLOOKUP($A100,Listes!$A$3:$C$193,2,FALSE))</f>
        <v>Container Maintenance Charge Destination</v>
      </c>
      <c r="C100" s="813"/>
      <c r="D100" s="813"/>
      <c r="E100" s="814" t="s">
        <v>51</v>
      </c>
      <c r="F100" s="814"/>
      <c r="G100" s="814"/>
      <c r="H100" s="657"/>
      <c r="I100" s="531"/>
      <c r="J100" s="531"/>
      <c r="K100" s="531"/>
      <c r="L100" s="531"/>
      <c r="M100" s="532"/>
      <c r="N100" s="160"/>
      <c r="O100" s="160"/>
      <c r="P100" s="160"/>
      <c r="Q100" s="160"/>
      <c r="R100" s="159"/>
    </row>
    <row r="101" spans="1:18" s="136" customFormat="1" ht="15.75" customHeight="1" x14ac:dyDescent="0.2">
      <c r="A101" s="182" t="s">
        <v>230</v>
      </c>
      <c r="B101" s="813" t="str">
        <f>IF($A101="","",VLOOKUP($A101,Listes!$A$3:$C$193,2,FALSE))</f>
        <v>Destination THC / Destination Receiving Charge</v>
      </c>
      <c r="C101" s="813"/>
      <c r="D101" s="813"/>
      <c r="E101" s="814" t="s">
        <v>51</v>
      </c>
      <c r="F101" s="814"/>
      <c r="G101" s="814"/>
      <c r="H101" s="657"/>
      <c r="I101" s="531"/>
      <c r="J101" s="531"/>
      <c r="K101" s="531"/>
      <c r="L101" s="531"/>
      <c r="M101" s="532"/>
      <c r="N101" s="160"/>
      <c r="O101" s="160"/>
      <c r="P101" s="160"/>
      <c r="Q101" s="160"/>
      <c r="R101" s="159"/>
    </row>
    <row r="102" spans="1:18" s="136" customFormat="1" ht="15.75" customHeight="1" x14ac:dyDescent="0.2">
      <c r="A102" s="182" t="s">
        <v>1081</v>
      </c>
      <c r="B102" s="813" t="str">
        <f>IF($A102="","",VLOOKUP($A102,Listes!$A$3:$C$193,2,FALSE))</f>
        <v>Equipment Imbalance Surcharge at Origin</v>
      </c>
      <c r="C102" s="813"/>
      <c r="D102" s="813"/>
      <c r="E102" s="814" t="s">
        <v>51</v>
      </c>
      <c r="F102" s="814"/>
      <c r="G102" s="814"/>
      <c r="H102" s="657"/>
      <c r="I102" s="531"/>
      <c r="J102" s="531"/>
      <c r="K102" s="531"/>
      <c r="L102" s="531"/>
      <c r="M102" s="532"/>
      <c r="N102" s="160"/>
      <c r="O102" s="160"/>
      <c r="P102" s="160"/>
      <c r="Q102" s="160"/>
      <c r="R102" s="159"/>
    </row>
    <row r="103" spans="1:18" s="136" customFormat="1" ht="15.75" customHeight="1" x14ac:dyDescent="0.2">
      <c r="A103" s="182" t="s">
        <v>1082</v>
      </c>
      <c r="B103" s="813" t="str">
        <f>IF($A103="","",VLOOKUP($A103,Listes!$A$3:$C$193,2,FALSE))</f>
        <v>Equipment Imbalance Surcharge at Destination</v>
      </c>
      <c r="C103" s="813"/>
      <c r="D103" s="813"/>
      <c r="E103" s="814" t="s">
        <v>51</v>
      </c>
      <c r="F103" s="814"/>
      <c r="G103" s="814"/>
      <c r="H103" s="657"/>
      <c r="I103" s="531"/>
      <c r="J103" s="531"/>
      <c r="K103" s="531"/>
      <c r="L103" s="531"/>
      <c r="M103" s="532"/>
      <c r="N103" s="160"/>
      <c r="O103" s="160"/>
      <c r="P103" s="160"/>
      <c r="Q103" s="160"/>
      <c r="R103" s="159"/>
    </row>
    <row r="104" spans="1:18" s="136" customFormat="1" ht="15.75" customHeight="1" x14ac:dyDescent="0.2">
      <c r="A104" s="182" t="s">
        <v>874</v>
      </c>
      <c r="B104" s="813" t="str">
        <f>IF($A104="","",VLOOKUP($A104,Listes!$A$3:$C$193,2,FALSE))</f>
        <v>Export Documentation Fees - Carrier</v>
      </c>
      <c r="C104" s="813"/>
      <c r="D104" s="813"/>
      <c r="E104" s="814" t="s">
        <v>51</v>
      </c>
      <c r="F104" s="814"/>
      <c r="G104" s="814"/>
      <c r="H104" s="657"/>
      <c r="I104" s="531"/>
      <c r="J104" s="531"/>
      <c r="K104" s="531"/>
      <c r="L104" s="531"/>
      <c r="M104" s="532"/>
      <c r="N104" s="160"/>
      <c r="O104" s="160"/>
      <c r="P104" s="160"/>
      <c r="Q104" s="160"/>
      <c r="R104" s="159"/>
    </row>
    <row r="105" spans="1:18" s="136" customFormat="1" ht="15.75" customHeight="1" x14ac:dyDescent="0.2">
      <c r="A105" s="182" t="s">
        <v>854</v>
      </c>
      <c r="B105" s="813" t="str">
        <f>IF($A105="","",VLOOKUP($A105,Listes!$A$3:$C$193,2,FALSE))</f>
        <v>Export Declaration Surcharge</v>
      </c>
      <c r="C105" s="813"/>
      <c r="D105" s="813"/>
      <c r="E105" s="814" t="s">
        <v>51</v>
      </c>
      <c r="F105" s="814"/>
      <c r="G105" s="814"/>
      <c r="H105" s="657"/>
      <c r="I105" s="531"/>
      <c r="J105" s="531"/>
      <c r="K105" s="531"/>
      <c r="L105" s="531"/>
      <c r="M105" s="532"/>
      <c r="N105" s="160"/>
      <c r="O105" s="160"/>
      <c r="P105" s="160"/>
      <c r="Q105" s="160"/>
      <c r="R105" s="159"/>
    </row>
    <row r="106" spans="1:18" s="136" customFormat="1" ht="15.75" customHeight="1" x14ac:dyDescent="0.2">
      <c r="A106" s="182" t="s">
        <v>472</v>
      </c>
      <c r="B106" s="813" t="str">
        <f>IF($A106="","",VLOOKUP($A106,Listes!$A$3:$C$193,2,FALSE))</f>
        <v>Extra Container Handling Charge Destination</v>
      </c>
      <c r="C106" s="813"/>
      <c r="D106" s="813"/>
      <c r="E106" s="814" t="s">
        <v>51</v>
      </c>
      <c r="F106" s="814"/>
      <c r="G106" s="814"/>
      <c r="H106" s="657"/>
      <c r="I106" s="531"/>
      <c r="J106" s="531"/>
      <c r="K106" s="531"/>
      <c r="L106" s="531"/>
      <c r="M106" s="532"/>
      <c r="N106" s="160"/>
      <c r="O106" s="160"/>
      <c r="P106" s="160"/>
      <c r="Q106" s="160"/>
      <c r="R106" s="159"/>
    </row>
    <row r="107" spans="1:18" s="136" customFormat="1" ht="15.75" customHeight="1" x14ac:dyDescent="0.2">
      <c r="A107" s="182" t="s">
        <v>82</v>
      </c>
      <c r="B107" s="813" t="str">
        <f>IF($A107="","",VLOOKUP($A107,Listes!$A$3:$C$193,2,FALSE))</f>
        <v>General Rate Increase</v>
      </c>
      <c r="C107" s="813"/>
      <c r="D107" s="813"/>
      <c r="E107" s="814" t="s">
        <v>51</v>
      </c>
      <c r="F107" s="814"/>
      <c r="G107" s="814"/>
      <c r="H107" s="657"/>
      <c r="I107" s="531"/>
      <c r="J107" s="531"/>
      <c r="K107" s="531"/>
      <c r="L107" s="531"/>
      <c r="M107" s="532"/>
      <c r="N107" s="160"/>
      <c r="O107" s="160"/>
      <c r="P107" s="160"/>
      <c r="Q107" s="160"/>
      <c r="R107" s="159"/>
    </row>
    <row r="108" spans="1:18" s="136" customFormat="1" ht="15.75" customHeight="1" x14ac:dyDescent="0.2">
      <c r="A108" s="182" t="s">
        <v>358</v>
      </c>
      <c r="B108" s="813" t="str">
        <f>IF($A108="","",VLOOKUP($A108,Listes!$A$3:$C$193,2,FALSE))</f>
        <v>Harbor Dues / Port Dues</v>
      </c>
      <c r="C108" s="813"/>
      <c r="D108" s="813"/>
      <c r="E108" s="814" t="s">
        <v>630</v>
      </c>
      <c r="F108" s="814"/>
      <c r="G108" s="814"/>
      <c r="H108" s="657"/>
      <c r="I108" s="531"/>
      <c r="J108" s="531"/>
      <c r="K108" s="531"/>
      <c r="L108" s="531"/>
      <c r="M108" s="532"/>
      <c r="N108" s="160"/>
      <c r="O108" s="160"/>
      <c r="P108" s="160"/>
      <c r="Q108" s="160"/>
      <c r="R108" s="159"/>
    </row>
    <row r="109" spans="1:18" s="136" customFormat="1" ht="15.75" customHeight="1" x14ac:dyDescent="0.2">
      <c r="A109" s="182" t="s">
        <v>260</v>
      </c>
      <c r="B109" s="813" t="str">
        <f>IF($A109="","",VLOOKUP($A109,Listes!$A$3:$C$193,2,FALSE))</f>
        <v>Hazardous Fees (Ocean)</v>
      </c>
      <c r="C109" s="813"/>
      <c r="D109" s="813"/>
      <c r="E109" s="814" t="s">
        <v>51</v>
      </c>
      <c r="F109" s="814"/>
      <c r="G109" s="814"/>
      <c r="H109" s="657"/>
      <c r="I109" s="531"/>
      <c r="J109" s="531"/>
      <c r="K109" s="531"/>
      <c r="L109" s="531"/>
      <c r="M109" s="532"/>
      <c r="N109" s="160"/>
      <c r="O109" s="160"/>
      <c r="P109" s="160"/>
      <c r="Q109" s="160"/>
      <c r="R109" s="159"/>
    </row>
    <row r="110" spans="1:18" s="136" customFormat="1" ht="15.75" customHeight="1" x14ac:dyDescent="0.2">
      <c r="A110" s="182" t="s">
        <v>897</v>
      </c>
      <c r="B110" s="813" t="str">
        <f>IF($A110="","",VLOOKUP($A110,Listes!$A$3:$C$193,2,FALSE))</f>
        <v xml:space="preserve">Intermodal Door Precarriage Additional for </v>
      </c>
      <c r="C110" s="813"/>
      <c r="D110" s="813"/>
      <c r="E110" s="814" t="s">
        <v>51</v>
      </c>
      <c r="F110" s="814"/>
      <c r="G110" s="814"/>
      <c r="H110" s="657"/>
      <c r="I110" s="531"/>
      <c r="J110" s="531"/>
      <c r="K110" s="531"/>
      <c r="L110" s="531"/>
      <c r="M110" s="532"/>
      <c r="N110" s="160"/>
      <c r="O110" s="160"/>
      <c r="P110" s="160"/>
      <c r="Q110" s="160"/>
      <c r="R110" s="159"/>
    </row>
    <row r="111" spans="1:18" s="136" customFormat="1" ht="15.75" customHeight="1" x14ac:dyDescent="0.2">
      <c r="A111" s="182" t="s">
        <v>96</v>
      </c>
      <c r="B111" s="813" t="str">
        <f>IF($A111="","",VLOOKUP($A111,Listes!$A$3:$C$193,2,FALSE))</f>
        <v xml:space="preserve">Precarriage Inland Fuel Charge </v>
      </c>
      <c r="C111" s="813"/>
      <c r="D111" s="813"/>
      <c r="E111" s="814" t="s">
        <v>51</v>
      </c>
      <c r="F111" s="814"/>
      <c r="G111" s="814"/>
      <c r="H111" s="657"/>
      <c r="I111" s="531"/>
      <c r="J111" s="531"/>
      <c r="K111" s="531"/>
      <c r="L111" s="531"/>
      <c r="M111" s="532"/>
      <c r="N111" s="160"/>
      <c r="O111" s="160"/>
      <c r="P111" s="160"/>
      <c r="Q111" s="160"/>
      <c r="R111" s="159"/>
    </row>
    <row r="112" spans="1:18" s="136" customFormat="1" ht="15.75" customHeight="1" x14ac:dyDescent="0.2">
      <c r="A112" s="182" t="s">
        <v>1290</v>
      </c>
      <c r="B112" s="813" t="str">
        <f>IF($A112="","",VLOOKUP($A112,Listes!$A$3:$C$193,2,FALSE))</f>
        <v>Local Port Charge Destination Sanitary Fee</v>
      </c>
      <c r="C112" s="813"/>
      <c r="D112" s="813"/>
      <c r="E112" s="814" t="s">
        <v>51</v>
      </c>
      <c r="F112" s="814"/>
      <c r="G112" s="814"/>
      <c r="H112" s="675"/>
      <c r="I112" s="531"/>
      <c r="J112" s="531"/>
      <c r="K112" s="531"/>
      <c r="L112" s="531"/>
      <c r="M112" s="532"/>
      <c r="N112" s="160"/>
      <c r="O112" s="160"/>
      <c r="P112" s="160"/>
      <c r="Q112" s="160"/>
      <c r="R112" s="159"/>
    </row>
    <row r="113" spans="1:18" s="136" customFormat="1" ht="15.75" customHeight="1" x14ac:dyDescent="0.2">
      <c r="A113" s="182" t="s">
        <v>1292</v>
      </c>
      <c r="B113" s="813" t="str">
        <f>IF($A113="","",VLOOKUP($A113,Listes!$A$3:$C$193,2,FALSE))</f>
        <v>Local Port Charge Origin Sanitary Fee</v>
      </c>
      <c r="C113" s="813"/>
      <c r="D113" s="813"/>
      <c r="E113" s="814" t="s">
        <v>51</v>
      </c>
      <c r="F113" s="814"/>
      <c r="G113" s="814"/>
      <c r="H113" s="675"/>
      <c r="I113" s="531"/>
      <c r="J113" s="531"/>
      <c r="K113" s="531"/>
      <c r="L113" s="531"/>
      <c r="M113" s="532"/>
      <c r="N113" s="160"/>
      <c r="O113" s="160"/>
      <c r="P113" s="160"/>
      <c r="Q113" s="160"/>
      <c r="R113" s="159"/>
    </row>
    <row r="114" spans="1:18" s="136" customFormat="1" ht="15.75" customHeight="1" x14ac:dyDescent="0.2">
      <c r="A114" s="182" t="s">
        <v>199</v>
      </c>
      <c r="B114" s="813" t="str">
        <f>IF($A114="","",VLOOKUP($A114,Listes!$A$3:$C$193,2,FALSE))</f>
        <v>Low Sulfur Surcharge</v>
      </c>
      <c r="C114" s="813"/>
      <c r="D114" s="813"/>
      <c r="E114" s="814" t="s">
        <v>53</v>
      </c>
      <c r="F114" s="814"/>
      <c r="G114" s="814"/>
      <c r="H114" s="657"/>
      <c r="I114" s="531"/>
      <c r="J114" s="531"/>
      <c r="K114" s="531"/>
      <c r="L114" s="531"/>
      <c r="M114" s="532"/>
      <c r="N114" s="160"/>
      <c r="O114" s="160"/>
      <c r="P114" s="160"/>
      <c r="Q114" s="160"/>
      <c r="R114" s="159"/>
    </row>
    <row r="115" spans="1:18" s="136" customFormat="1" ht="15.75" customHeight="1" x14ac:dyDescent="0.2">
      <c r="A115" s="182" t="s">
        <v>1124</v>
      </c>
      <c r="B115" s="813" t="str">
        <f>IF($A115="","",VLOOKUP($A115,Listes!$A$3:$C$193,2,FALSE))</f>
        <v>Low Sulfur Surcharge IMO2020</v>
      </c>
      <c r="C115" s="813"/>
      <c r="D115" s="813"/>
      <c r="E115" s="814" t="s">
        <v>53</v>
      </c>
      <c r="F115" s="814"/>
      <c r="G115" s="814"/>
      <c r="H115" s="667"/>
      <c r="I115" s="531"/>
      <c r="J115" s="531"/>
      <c r="K115" s="531"/>
      <c r="L115" s="531"/>
      <c r="M115" s="532"/>
      <c r="N115" s="160"/>
      <c r="O115" s="160"/>
      <c r="P115" s="160"/>
      <c r="Q115" s="160"/>
      <c r="R115" s="159"/>
    </row>
    <row r="116" spans="1:18" s="136" customFormat="1" ht="15.75" customHeight="1" x14ac:dyDescent="0.2">
      <c r="A116" s="182" t="s">
        <v>1029</v>
      </c>
      <c r="B116" s="813" t="str">
        <f>IF($A116="","",VLOOKUP($A116,Listes!$A$3:$C$193,2,FALSE))</f>
        <v>OnCarriage Barge - Congestion</v>
      </c>
      <c r="C116" s="813"/>
      <c r="D116" s="813"/>
      <c r="E116" s="814" t="s">
        <v>51</v>
      </c>
      <c r="F116" s="814"/>
      <c r="G116" s="814"/>
      <c r="H116" s="657"/>
      <c r="I116" s="531"/>
      <c r="J116" s="531"/>
      <c r="K116" s="531"/>
      <c r="L116" s="531"/>
      <c r="M116" s="532"/>
      <c r="N116" s="160"/>
      <c r="O116" s="160"/>
      <c r="P116" s="160"/>
      <c r="Q116" s="160"/>
      <c r="R116" s="159"/>
    </row>
    <row r="117" spans="1:18" s="136" customFormat="1" ht="15.75" customHeight="1" x14ac:dyDescent="0.2">
      <c r="A117" s="182" t="s">
        <v>497</v>
      </c>
      <c r="B117" s="813" t="str">
        <f>IF($A117="","",VLOOKUP($A117,Listes!$A$3:$C$193,2,FALSE))</f>
        <v>Inland Hazardous Charge Oncarriage</v>
      </c>
      <c r="C117" s="813"/>
      <c r="D117" s="813"/>
      <c r="E117" s="814" t="s">
        <v>51</v>
      </c>
      <c r="F117" s="814"/>
      <c r="G117" s="814"/>
      <c r="H117" s="657"/>
      <c r="I117" s="531"/>
      <c r="J117" s="531"/>
      <c r="K117" s="531"/>
      <c r="L117" s="531"/>
      <c r="M117" s="532"/>
      <c r="N117" s="160"/>
      <c r="O117" s="160"/>
      <c r="P117" s="160"/>
      <c r="Q117" s="160"/>
      <c r="R117" s="159"/>
    </row>
    <row r="118" spans="1:18" s="136" customFormat="1" x14ac:dyDescent="0.2">
      <c r="A118" s="182" t="s">
        <v>89</v>
      </c>
      <c r="B118" s="813" t="str">
        <f>IF($A118="","",VLOOKUP($A118,Listes!$A$3:$C$193,2,FALSE))</f>
        <v>Origin THC / Origin Receiving Charge</v>
      </c>
      <c r="C118" s="813"/>
      <c r="D118" s="813"/>
      <c r="E118" s="814" t="s">
        <v>53</v>
      </c>
      <c r="F118" s="814"/>
      <c r="G118" s="814"/>
      <c r="H118" s="657"/>
      <c r="I118" s="531"/>
      <c r="J118" s="531"/>
      <c r="K118" s="531"/>
      <c r="L118" s="531"/>
      <c r="M118" s="532"/>
      <c r="N118" s="160"/>
      <c r="O118" s="160"/>
      <c r="P118" s="160"/>
      <c r="Q118" s="160"/>
      <c r="R118" s="159"/>
    </row>
    <row r="119" spans="1:18" s="136" customFormat="1" x14ac:dyDescent="0.2">
      <c r="A119" s="182" t="s">
        <v>1060</v>
      </c>
      <c r="B119" s="813" t="str">
        <f>IF($A119="","",VLOOKUP($A119,Listes!$A$3:$C$193,2,FALSE))</f>
        <v>Pre-Carriage Emergency Inland Fuel Surcharge</v>
      </c>
      <c r="C119" s="813"/>
      <c r="D119" s="813"/>
      <c r="E119" s="814" t="s">
        <v>51</v>
      </c>
      <c r="F119" s="814"/>
      <c r="G119" s="814"/>
      <c r="H119" s="657"/>
      <c r="I119" s="531"/>
      <c r="J119" s="531"/>
      <c r="K119" s="531"/>
      <c r="L119" s="531"/>
      <c r="M119" s="532"/>
      <c r="N119" s="160"/>
      <c r="O119" s="160"/>
      <c r="P119" s="160"/>
      <c r="Q119" s="160"/>
      <c r="R119" s="159"/>
    </row>
    <row r="120" spans="1:18" s="136" customFormat="1" ht="31.5" x14ac:dyDescent="0.2">
      <c r="A120" s="182" t="s">
        <v>1046</v>
      </c>
      <c r="B120" s="813" t="str">
        <f>IF($A120="","",VLOOKUP($A120,Listes!$A$3:$C$193,2,FALSE))</f>
        <v>Pre-Carriage Emergency Intermodal Surcharge</v>
      </c>
      <c r="C120" s="813"/>
      <c r="D120" s="813"/>
      <c r="E120" s="814" t="s">
        <v>51</v>
      </c>
      <c r="F120" s="814"/>
      <c r="G120" s="814"/>
      <c r="H120" s="657"/>
      <c r="I120" s="531"/>
      <c r="J120" s="531"/>
      <c r="K120" s="531"/>
      <c r="L120" s="531"/>
      <c r="M120" s="532"/>
      <c r="N120" s="160"/>
      <c r="O120" s="160"/>
      <c r="P120" s="160"/>
      <c r="Q120" s="160"/>
      <c r="R120" s="159"/>
    </row>
    <row r="121" spans="1:18" s="136" customFormat="1" ht="15.75" customHeight="1" x14ac:dyDescent="0.2">
      <c r="A121" s="182" t="s">
        <v>500</v>
      </c>
      <c r="B121" s="813" t="str">
        <f>IF($A121="","",VLOOKUP($A121,Listes!$A$3:$C$193,2,FALSE))</f>
        <v>Inland Hazardous Charge Precarriage</v>
      </c>
      <c r="C121" s="813"/>
      <c r="D121" s="813"/>
      <c r="E121" s="814" t="s">
        <v>51</v>
      </c>
      <c r="F121" s="814"/>
      <c r="G121" s="814"/>
      <c r="H121" s="657"/>
      <c r="I121" s="531"/>
      <c r="J121" s="531"/>
      <c r="K121" s="531"/>
      <c r="L121" s="531"/>
      <c r="M121" s="532"/>
      <c r="N121" s="160"/>
      <c r="O121" s="160"/>
      <c r="P121" s="160"/>
      <c r="Q121" s="160"/>
      <c r="R121" s="159"/>
    </row>
    <row r="122" spans="1:18" s="136" customFormat="1" ht="15.75" customHeight="1" x14ac:dyDescent="0.2">
      <c r="A122" s="182" t="s">
        <v>826</v>
      </c>
      <c r="B122" s="813" t="str">
        <f>IF($A122="","",VLOOKUP($A122,Listes!$A$3:$C$193,2,FALSE))</f>
        <v>Port Service Charge / Port Additional Surcharge Destination</v>
      </c>
      <c r="C122" s="813"/>
      <c r="D122" s="813"/>
      <c r="E122" s="814" t="s">
        <v>51</v>
      </c>
      <c r="F122" s="814"/>
      <c r="G122" s="814"/>
      <c r="H122" s="657"/>
      <c r="I122" s="531"/>
      <c r="J122" s="531"/>
      <c r="K122" s="531"/>
      <c r="L122" s="531"/>
      <c r="M122" s="532"/>
      <c r="N122" s="160"/>
      <c r="O122" s="160"/>
      <c r="P122" s="160"/>
      <c r="Q122" s="160"/>
      <c r="R122" s="159"/>
    </row>
    <row r="123" spans="1:18" s="136" customFormat="1" ht="15.75" customHeight="1" x14ac:dyDescent="0.2">
      <c r="A123" s="182" t="s">
        <v>278</v>
      </c>
      <c r="B123" s="813" t="str">
        <f>IF($A123="","",VLOOKUP($A123,Listes!$A$3:$C$193,2,FALSE))</f>
        <v>Destination Terminal Security Charge</v>
      </c>
      <c r="C123" s="813"/>
      <c r="D123" s="813"/>
      <c r="E123" s="814" t="s">
        <v>51</v>
      </c>
      <c r="F123" s="814"/>
      <c r="G123" s="814"/>
      <c r="H123" s="657"/>
      <c r="I123" s="531"/>
      <c r="J123" s="531"/>
      <c r="K123" s="531"/>
      <c r="L123" s="531"/>
      <c r="M123" s="532"/>
      <c r="N123" s="160"/>
      <c r="O123" s="160"/>
      <c r="P123" s="160"/>
      <c r="Q123" s="160"/>
      <c r="R123" s="159"/>
    </row>
    <row r="124" spans="1:18" s="136" customFormat="1" ht="15.75" customHeight="1" x14ac:dyDescent="0.2">
      <c r="A124" s="182" t="s">
        <v>277</v>
      </c>
      <c r="B124" s="813" t="str">
        <f>IF($A124="","",VLOOKUP($A124,Listes!$A$3:$C$193,2,FALSE))</f>
        <v>Origin Terminal Security Charge</v>
      </c>
      <c r="C124" s="813"/>
      <c r="D124" s="813"/>
      <c r="E124" s="814" t="s">
        <v>51</v>
      </c>
      <c r="F124" s="814"/>
      <c r="G124" s="814"/>
      <c r="H124" s="657"/>
      <c r="I124" s="531"/>
      <c r="J124" s="531"/>
      <c r="K124" s="531"/>
      <c r="L124" s="531"/>
      <c r="M124" s="532"/>
      <c r="N124" s="160"/>
      <c r="O124" s="160"/>
      <c r="P124" s="160"/>
      <c r="Q124" s="160"/>
      <c r="R124" s="159"/>
    </row>
    <row r="125" spans="1:18" s="136" customFormat="1" ht="15.75" customHeight="1" x14ac:dyDescent="0.2">
      <c r="A125" s="182" t="s">
        <v>489</v>
      </c>
      <c r="B125" s="813" t="str">
        <f>IF($A125="","",VLOOKUP($A125,Listes!$A$3:$C$193,2,FALSE))</f>
        <v>Shipper Owned Container Surcharge</v>
      </c>
      <c r="C125" s="813"/>
      <c r="D125" s="813"/>
      <c r="E125" s="814" t="s">
        <v>51</v>
      </c>
      <c r="F125" s="814"/>
      <c r="G125" s="814"/>
      <c r="H125" s="657"/>
      <c r="I125" s="531"/>
      <c r="J125" s="531"/>
      <c r="K125" s="531"/>
      <c r="L125" s="531"/>
      <c r="M125" s="532"/>
      <c r="N125" s="160"/>
      <c r="O125" s="160"/>
      <c r="P125" s="160"/>
      <c r="Q125" s="160"/>
      <c r="R125" s="159"/>
    </row>
    <row r="126" spans="1:18" s="136" customFormat="1" ht="31.5" x14ac:dyDescent="0.2">
      <c r="A126" s="182" t="s">
        <v>368</v>
      </c>
      <c r="B126" s="813" t="str">
        <f>IF($A126="","",VLOOKUP($A126,Listes!$A$3:$C$193,2,FALSE))</f>
        <v>Tri-Axle / Super Chassis Precarriage Surcharge</v>
      </c>
      <c r="C126" s="813"/>
      <c r="D126" s="813"/>
      <c r="E126" s="814" t="s">
        <v>51</v>
      </c>
      <c r="F126" s="814"/>
      <c r="G126" s="814"/>
      <c r="H126" s="657"/>
      <c r="I126" s="531"/>
      <c r="J126" s="531"/>
      <c r="K126" s="531"/>
      <c r="L126" s="531"/>
      <c r="M126" s="532"/>
      <c r="N126" s="160"/>
      <c r="O126" s="160"/>
      <c r="P126" s="160"/>
      <c r="Q126" s="160"/>
      <c r="R126" s="159"/>
    </row>
    <row r="127" spans="1:18" s="136" customFormat="1" ht="15.75" customHeight="1" x14ac:dyDescent="0.2">
      <c r="A127" s="182" t="s">
        <v>742</v>
      </c>
      <c r="B127" s="813" t="str">
        <f>IF($A127="","",VLOOKUP($A127,Listes!$A$3:$C$193,2,FALSE))</f>
        <v>Wharfage (Destination)</v>
      </c>
      <c r="C127" s="813"/>
      <c r="D127" s="813"/>
      <c r="E127" s="814" t="s">
        <v>51</v>
      </c>
      <c r="F127" s="814"/>
      <c r="G127" s="814"/>
      <c r="H127" s="657"/>
      <c r="I127" s="531"/>
      <c r="J127" s="531"/>
      <c r="K127" s="531"/>
      <c r="L127" s="531"/>
      <c r="M127" s="532"/>
      <c r="N127" s="160"/>
      <c r="O127" s="160"/>
      <c r="P127" s="160"/>
      <c r="Q127" s="160"/>
      <c r="R127" s="159"/>
    </row>
    <row r="128" spans="1:18" s="136" customFormat="1" ht="15.75" customHeight="1" x14ac:dyDescent="0.2">
      <c r="A128" s="182" t="s">
        <v>833</v>
      </c>
      <c r="B128" s="813" t="str">
        <f>IF($A128="","",VLOOKUP($A128,Listes!$A$3:$C$193,2,FALSE))</f>
        <v>Wharfage (Origin)</v>
      </c>
      <c r="C128" s="813"/>
      <c r="D128" s="813"/>
      <c r="E128" s="814" t="s">
        <v>51</v>
      </c>
      <c r="F128" s="814"/>
      <c r="G128" s="814"/>
      <c r="H128" s="657"/>
      <c r="I128" s="531"/>
      <c r="J128" s="531"/>
      <c r="K128" s="531"/>
      <c r="L128" s="531"/>
      <c r="M128" s="532"/>
      <c r="N128" s="160"/>
      <c r="O128" s="160"/>
      <c r="P128" s="160"/>
      <c r="Q128" s="160"/>
      <c r="R128" s="159"/>
    </row>
    <row r="129" spans="1:23" s="136" customFormat="1" ht="16.5" thickBot="1" x14ac:dyDescent="0.25">
      <c r="A129" s="185" t="s">
        <v>274</v>
      </c>
      <c r="B129" s="812" t="str">
        <f>IF($A129="","",VLOOKUP($A129,Listes!$A$3:$C$193,2,FALSE))</f>
        <v>Winter Surcharge</v>
      </c>
      <c r="C129" s="812"/>
      <c r="D129" s="812"/>
      <c r="E129" s="815" t="s">
        <v>51</v>
      </c>
      <c r="F129" s="815"/>
      <c r="G129" s="815"/>
      <c r="H129" s="659"/>
      <c r="I129" s="533"/>
      <c r="J129" s="533"/>
      <c r="K129" s="533"/>
      <c r="L129" s="533"/>
      <c r="M129" s="534"/>
      <c r="N129" s="160"/>
      <c r="O129" s="160"/>
      <c r="P129" s="160"/>
      <c r="Q129" s="160"/>
      <c r="R129" s="159"/>
    </row>
    <row r="130" spans="1:23" s="73" customFormat="1" ht="16.5" thickBot="1" x14ac:dyDescent="0.25">
      <c r="A130" s="850" t="s">
        <v>216</v>
      </c>
      <c r="B130" s="851"/>
      <c r="C130" s="851"/>
      <c r="D130" s="851"/>
      <c r="E130" s="852"/>
      <c r="F130" s="852"/>
      <c r="G130" s="852"/>
      <c r="H130" s="852"/>
      <c r="I130" s="853"/>
      <c r="J130" s="169"/>
      <c r="K130" s="118"/>
      <c r="L130" s="134"/>
      <c r="M130" s="134"/>
      <c r="N130" s="134"/>
      <c r="O130" s="134"/>
      <c r="P130" s="134"/>
      <c r="Q130" s="118"/>
    </row>
    <row r="131" spans="1:23" s="73" customFormat="1" ht="16.5" thickBot="1" x14ac:dyDescent="0.25">
      <c r="A131" s="849" t="s">
        <v>597</v>
      </c>
      <c r="B131" s="833"/>
      <c r="C131" s="833"/>
      <c r="D131" s="833"/>
      <c r="E131" s="833"/>
      <c r="F131" s="833"/>
      <c r="G131" s="833"/>
      <c r="H131" s="833"/>
      <c r="I131" s="834"/>
      <c r="J131" s="169"/>
      <c r="K131" s="134"/>
      <c r="L131" s="134"/>
      <c r="M131" s="134"/>
      <c r="N131" s="134"/>
      <c r="O131" s="118"/>
    </row>
    <row r="132" spans="1:23" s="73" customFormat="1" ht="16.5" thickBot="1" x14ac:dyDescent="0.25">
      <c r="A132" s="187"/>
      <c r="B132" s="187"/>
      <c r="C132" s="188"/>
      <c r="D132" s="189"/>
      <c r="E132" s="170"/>
      <c r="F132" s="170"/>
      <c r="G132" s="170"/>
      <c r="H132" s="170"/>
      <c r="I132" s="170"/>
      <c r="J132" s="189"/>
      <c r="K132" s="169"/>
      <c r="L132" s="118"/>
      <c r="M132" s="134"/>
      <c r="N132" s="134"/>
      <c r="O132" s="134"/>
      <c r="P132" s="134"/>
      <c r="Q132" s="134"/>
      <c r="R132" s="118"/>
    </row>
    <row r="133" spans="1:23" s="73" customFormat="1" ht="15.6" customHeight="1" x14ac:dyDescent="0.2">
      <c r="A133" s="830" t="s">
        <v>523</v>
      </c>
      <c r="B133" s="831"/>
      <c r="C133" s="831"/>
      <c r="D133" s="831"/>
      <c r="E133" s="842" t="s">
        <v>288</v>
      </c>
      <c r="F133" s="842">
        <v>20</v>
      </c>
      <c r="G133" s="842">
        <v>40</v>
      </c>
      <c r="H133" s="842" t="s">
        <v>19</v>
      </c>
      <c r="I133" s="842" t="s">
        <v>20</v>
      </c>
      <c r="J133" s="848" t="s">
        <v>297</v>
      </c>
      <c r="K133" s="848" t="s">
        <v>33</v>
      </c>
      <c r="L133" s="846" t="s">
        <v>217</v>
      </c>
      <c r="M133" s="189"/>
      <c r="N133" s="134"/>
      <c r="O133" s="134"/>
      <c r="P133" s="134"/>
      <c r="Q133" s="134"/>
      <c r="R133" s="134"/>
      <c r="S133" s="134"/>
      <c r="T133" s="134"/>
      <c r="U133" s="134"/>
    </row>
    <row r="134" spans="1:23" s="73" customFormat="1" x14ac:dyDescent="0.2">
      <c r="A134" s="537" t="s">
        <v>218</v>
      </c>
      <c r="B134" s="538" t="s">
        <v>11</v>
      </c>
      <c r="C134" s="538" t="s">
        <v>12</v>
      </c>
      <c r="D134" s="538" t="s">
        <v>219</v>
      </c>
      <c r="E134" s="843"/>
      <c r="F134" s="843"/>
      <c r="G134" s="843"/>
      <c r="H134" s="843"/>
      <c r="I134" s="843"/>
      <c r="J134" s="843"/>
      <c r="K134" s="843"/>
      <c r="L134" s="847"/>
      <c r="M134" s="189"/>
      <c r="N134" s="134"/>
      <c r="O134" s="134"/>
      <c r="P134" s="134"/>
      <c r="Q134" s="134"/>
      <c r="R134" s="134"/>
      <c r="S134" s="134"/>
      <c r="T134" s="134"/>
      <c r="U134" s="134"/>
    </row>
    <row r="135" spans="1:23" s="136" customFormat="1" x14ac:dyDescent="0.2">
      <c r="A135" s="539"/>
      <c r="B135" s="540"/>
      <c r="C135" s="540"/>
      <c r="D135" s="540"/>
      <c r="E135" s="540"/>
      <c r="F135" s="255"/>
      <c r="G135" s="255"/>
      <c r="H135" s="255"/>
      <c r="I135" s="255"/>
      <c r="J135" s="540"/>
      <c r="K135" s="21"/>
      <c r="L135" s="541"/>
      <c r="M135" s="190"/>
      <c r="N135" s="160"/>
      <c r="O135" s="160"/>
      <c r="P135" s="160"/>
      <c r="Q135" s="160"/>
      <c r="R135" s="160"/>
      <c r="S135" s="160"/>
      <c r="T135" s="160"/>
      <c r="U135" s="160"/>
    </row>
    <row r="136" spans="1:23" s="136" customFormat="1" x14ac:dyDescent="0.2">
      <c r="A136" s="542"/>
      <c r="B136" s="540"/>
      <c r="C136" s="540"/>
      <c r="D136" s="540"/>
      <c r="E136" s="540"/>
      <c r="F136" s="255"/>
      <c r="G136" s="255"/>
      <c r="H136" s="255"/>
      <c r="I136" s="255"/>
      <c r="J136" s="24"/>
      <c r="K136" s="21"/>
      <c r="L136" s="25"/>
      <c r="M136" s="191"/>
      <c r="N136" s="160"/>
      <c r="O136" s="160"/>
      <c r="P136" s="160"/>
      <c r="Q136" s="160"/>
      <c r="R136" s="160"/>
      <c r="S136" s="160"/>
      <c r="T136" s="160"/>
      <c r="U136" s="160"/>
    </row>
    <row r="137" spans="1:23" s="136" customFormat="1" x14ac:dyDescent="0.2">
      <c r="A137" s="542"/>
      <c r="B137" s="540"/>
      <c r="C137" s="540"/>
      <c r="D137" s="540"/>
      <c r="E137" s="540"/>
      <c r="F137" s="255"/>
      <c r="G137" s="255"/>
      <c r="H137" s="255"/>
      <c r="I137" s="255"/>
      <c r="J137" s="24"/>
      <c r="K137" s="21"/>
      <c r="L137" s="25"/>
      <c r="M137" s="191"/>
      <c r="N137" s="160"/>
      <c r="O137" s="160"/>
      <c r="P137" s="160"/>
      <c r="Q137" s="160"/>
      <c r="R137" s="160"/>
      <c r="S137" s="160"/>
      <c r="T137" s="160"/>
      <c r="U137" s="160"/>
    </row>
    <row r="138" spans="1:23" s="136" customFormat="1" ht="16.5" thickBot="1" x14ac:dyDescent="0.25">
      <c r="A138" s="543"/>
      <c r="B138" s="544"/>
      <c r="C138" s="544"/>
      <c r="D138" s="544"/>
      <c r="E138" s="544"/>
      <c r="F138" s="256"/>
      <c r="G138" s="256"/>
      <c r="H138" s="256"/>
      <c r="I138" s="256"/>
      <c r="J138" s="28"/>
      <c r="K138" s="29"/>
      <c r="L138" s="30"/>
      <c r="M138" s="191"/>
      <c r="N138" s="160"/>
      <c r="O138" s="160"/>
      <c r="P138" s="160"/>
      <c r="Q138" s="160"/>
      <c r="R138" s="160"/>
      <c r="S138" s="160"/>
      <c r="T138" s="160"/>
      <c r="U138" s="160"/>
    </row>
    <row r="139" spans="1:23" s="136" customFormat="1" x14ac:dyDescent="0.2">
      <c r="A139" s="173"/>
      <c r="B139" s="545"/>
      <c r="C139" s="545"/>
      <c r="D139" s="545"/>
      <c r="E139" s="545"/>
      <c r="F139" s="545"/>
      <c r="G139" s="545"/>
      <c r="H139" s="545"/>
      <c r="I139" s="545"/>
      <c r="J139" s="33"/>
      <c r="K139" s="33"/>
      <c r="L139" s="34"/>
      <c r="M139" s="191"/>
      <c r="N139" s="160"/>
      <c r="O139" s="160"/>
      <c r="P139" s="160"/>
      <c r="Q139" s="160"/>
      <c r="R139" s="160"/>
      <c r="S139" s="160"/>
      <c r="T139" s="160"/>
      <c r="U139" s="160"/>
    </row>
    <row r="140" spans="1:23" s="73" customFormat="1" ht="15.6" customHeight="1" x14ac:dyDescent="0.2">
      <c r="A140" s="841" t="s">
        <v>596</v>
      </c>
      <c r="B140" s="840"/>
      <c r="C140" s="840"/>
      <c r="D140" s="840"/>
      <c r="E140" s="840" t="s">
        <v>288</v>
      </c>
      <c r="F140" s="840">
        <v>20</v>
      </c>
      <c r="G140" s="840">
        <v>40</v>
      </c>
      <c r="H140" s="840" t="s">
        <v>19</v>
      </c>
      <c r="I140" s="840" t="s">
        <v>20</v>
      </c>
      <c r="J140" s="845" t="s">
        <v>297</v>
      </c>
      <c r="K140" s="845" t="s">
        <v>33</v>
      </c>
      <c r="L140" s="844" t="s">
        <v>217</v>
      </c>
      <c r="M140" s="844" t="s">
        <v>23</v>
      </c>
      <c r="N140" s="169"/>
      <c r="O140" s="118"/>
      <c r="P140" s="134"/>
      <c r="Q140" s="134"/>
      <c r="R140" s="134"/>
      <c r="S140" s="134"/>
      <c r="T140" s="134"/>
      <c r="U140" s="134"/>
      <c r="V140" s="134"/>
      <c r="W140" s="134"/>
    </row>
    <row r="141" spans="1:23" s="73" customFormat="1" x14ac:dyDescent="0.2">
      <c r="A141" s="546" t="s">
        <v>218</v>
      </c>
      <c r="B141" s="546" t="s">
        <v>11</v>
      </c>
      <c r="C141" s="546" t="s">
        <v>12</v>
      </c>
      <c r="D141" s="546" t="s">
        <v>219</v>
      </c>
      <c r="E141" s="840"/>
      <c r="F141" s="840"/>
      <c r="G141" s="840"/>
      <c r="H141" s="840"/>
      <c r="I141" s="840"/>
      <c r="J141" s="840"/>
      <c r="K141" s="840"/>
      <c r="L141" s="844"/>
      <c r="M141" s="844"/>
      <c r="N141" s="169"/>
      <c r="O141" s="118"/>
      <c r="P141" s="134"/>
      <c r="Q141" s="134"/>
      <c r="R141" s="134"/>
      <c r="S141" s="134"/>
      <c r="T141" s="134"/>
      <c r="U141" s="134"/>
      <c r="V141" s="134"/>
      <c r="W141" s="134"/>
    </row>
    <row r="142" spans="1:23" s="136" customFormat="1" x14ac:dyDescent="0.2">
      <c r="A142" s="372"/>
      <c r="B142" s="547"/>
      <c r="C142" s="547"/>
      <c r="D142" s="547"/>
      <c r="E142" s="547"/>
      <c r="F142" s="368"/>
      <c r="G142" s="368"/>
      <c r="H142" s="368"/>
      <c r="I142" s="368"/>
      <c r="J142" s="369"/>
      <c r="K142" s="370"/>
      <c r="L142" s="548"/>
      <c r="M142" s="548"/>
      <c r="N142" s="192"/>
      <c r="O142" s="159"/>
      <c r="P142" s="160"/>
      <c r="Q142" s="160"/>
      <c r="R142" s="160"/>
      <c r="S142" s="160"/>
      <c r="T142" s="160"/>
      <c r="U142" s="160"/>
      <c r="V142" s="160"/>
      <c r="W142" s="160"/>
    </row>
    <row r="143" spans="1:23" s="136" customFormat="1" x14ac:dyDescent="0.2">
      <c r="A143" s="372"/>
      <c r="B143" s="547"/>
      <c r="C143" s="547"/>
      <c r="D143" s="547"/>
      <c r="E143" s="547"/>
      <c r="F143" s="368"/>
      <c r="G143" s="368"/>
      <c r="H143" s="368"/>
      <c r="I143" s="368"/>
      <c r="J143" s="369"/>
      <c r="K143" s="370"/>
      <c r="L143" s="548"/>
      <c r="M143" s="548"/>
      <c r="N143" s="192"/>
      <c r="O143" s="159"/>
      <c r="P143" s="160"/>
      <c r="Q143" s="160"/>
      <c r="R143" s="160"/>
      <c r="S143" s="160"/>
      <c r="T143" s="160"/>
      <c r="U143" s="160"/>
      <c r="V143" s="160"/>
      <c r="W143" s="160"/>
    </row>
    <row r="144" spans="1:23" s="136" customFormat="1" x14ac:dyDescent="0.2">
      <c r="A144" s="372"/>
      <c r="B144" s="547"/>
      <c r="C144" s="547"/>
      <c r="D144" s="547"/>
      <c r="E144" s="547"/>
      <c r="F144" s="368"/>
      <c r="G144" s="368"/>
      <c r="H144" s="368"/>
      <c r="I144" s="368"/>
      <c r="J144" s="369"/>
      <c r="K144" s="370"/>
      <c r="L144" s="548"/>
      <c r="M144" s="548"/>
      <c r="N144" s="192"/>
      <c r="O144" s="159"/>
      <c r="P144" s="160"/>
      <c r="Q144" s="160"/>
      <c r="R144" s="160"/>
      <c r="S144" s="160"/>
      <c r="T144" s="160"/>
      <c r="U144" s="160"/>
      <c r="V144" s="160"/>
      <c r="W144" s="160"/>
    </row>
    <row r="145" spans="1:23" s="136" customFormat="1" x14ac:dyDescent="0.2">
      <c r="A145" s="372"/>
      <c r="B145" s="547"/>
      <c r="C145" s="547"/>
      <c r="D145" s="547"/>
      <c r="E145" s="547"/>
      <c r="F145" s="368"/>
      <c r="G145" s="368"/>
      <c r="H145" s="368"/>
      <c r="I145" s="368"/>
      <c r="J145" s="369"/>
      <c r="K145" s="370"/>
      <c r="L145" s="373"/>
      <c r="M145" s="373"/>
      <c r="N145" s="191"/>
      <c r="O145" s="159"/>
      <c r="P145" s="160"/>
      <c r="Q145" s="160"/>
      <c r="R145" s="160"/>
      <c r="S145" s="160"/>
      <c r="T145" s="160"/>
      <c r="U145" s="160"/>
      <c r="V145" s="160"/>
      <c r="W145" s="160"/>
    </row>
    <row r="146" spans="1:23" s="73" customFormat="1" x14ac:dyDescent="0.2">
      <c r="A146" s="456"/>
      <c r="B146" s="549"/>
      <c r="C146" s="549"/>
      <c r="D146" s="549"/>
      <c r="E146" s="549"/>
      <c r="F146" s="194"/>
      <c r="G146" s="522"/>
      <c r="H146" s="195"/>
      <c r="I146" s="195"/>
      <c r="J146" s="176"/>
      <c r="K146" s="118"/>
      <c r="L146" s="134"/>
      <c r="M146" s="134"/>
      <c r="N146" s="134"/>
      <c r="O146" s="134"/>
      <c r="P146" s="134"/>
      <c r="Q146" s="134"/>
    </row>
    <row r="147" spans="1:23" s="456" customFormat="1" ht="16.5" thickBot="1" x14ac:dyDescent="0.25">
      <c r="A147" s="196"/>
      <c r="B147" s="197"/>
      <c r="C147" s="198"/>
      <c r="D147" s="198"/>
      <c r="E147" s="169"/>
      <c r="F147" s="176"/>
      <c r="G147" s="176"/>
      <c r="H147" s="176"/>
      <c r="I147" s="176"/>
      <c r="J147" s="170"/>
      <c r="K147" s="118"/>
      <c r="L147" s="134"/>
      <c r="M147" s="134"/>
      <c r="N147" s="134"/>
      <c r="O147" s="134"/>
      <c r="P147" s="134"/>
      <c r="Q147" s="134"/>
      <c r="R147" s="134"/>
      <c r="S147" s="118"/>
      <c r="T147" s="118"/>
      <c r="U147" s="118"/>
    </row>
    <row r="148" spans="1:23" s="456" customFormat="1" ht="16.5" thickBot="1" x14ac:dyDescent="0.25">
      <c r="A148" s="822" t="s">
        <v>220</v>
      </c>
      <c r="B148" s="823"/>
      <c r="C148" s="823"/>
      <c r="D148" s="823"/>
      <c r="E148" s="824"/>
      <c r="F148" s="176"/>
      <c r="G148" s="176"/>
      <c r="H148" s="176"/>
      <c r="I148" s="176"/>
      <c r="J148" s="170"/>
      <c r="K148" s="118"/>
      <c r="L148" s="134"/>
      <c r="M148" s="134"/>
      <c r="N148" s="134"/>
      <c r="O148" s="134"/>
      <c r="P148" s="134"/>
      <c r="Q148" s="134"/>
      <c r="R148" s="134"/>
      <c r="S148" s="118"/>
      <c r="T148" s="118"/>
      <c r="U148" s="118"/>
    </row>
    <row r="149" spans="1:23" s="73" customFormat="1" ht="16.5" thickBot="1" x14ac:dyDescent="0.25">
      <c r="A149" s="550"/>
      <c r="B149" s="456"/>
      <c r="C149" s="456"/>
      <c r="D149" s="456"/>
      <c r="E149" s="456"/>
      <c r="F149" s="194"/>
      <c r="G149" s="456"/>
      <c r="H149" s="200"/>
      <c r="I149" s="194"/>
      <c r="J149" s="194"/>
      <c r="K149" s="118"/>
      <c r="L149" s="134"/>
      <c r="M149" s="134"/>
      <c r="N149" s="134"/>
      <c r="O149" s="134"/>
      <c r="P149" s="134"/>
      <c r="Q149" s="134"/>
      <c r="R149" s="134"/>
      <c r="S149" s="118"/>
      <c r="T149" s="118"/>
      <c r="U149" s="118"/>
    </row>
    <row r="150" spans="1:23" s="73" customFormat="1" ht="16.5" thickBot="1" x14ac:dyDescent="0.25">
      <c r="A150" s="825" t="s">
        <v>221</v>
      </c>
      <c r="B150" s="838"/>
      <c r="C150" s="838"/>
      <c r="D150" s="838"/>
      <c r="E150" s="838"/>
      <c r="F150" s="839"/>
      <c r="G150" s="456"/>
      <c r="H150" s="200"/>
      <c r="I150" s="194"/>
      <c r="J150" s="194"/>
      <c r="K150" s="118"/>
      <c r="L150" s="134"/>
      <c r="M150" s="134"/>
      <c r="N150" s="134"/>
      <c r="O150" s="134"/>
      <c r="P150" s="134"/>
      <c r="Q150" s="134"/>
      <c r="R150" s="134"/>
      <c r="S150" s="118"/>
      <c r="T150" s="118"/>
      <c r="U150" s="118"/>
    </row>
    <row r="151" spans="1:23" s="73" customFormat="1" ht="16.5" customHeight="1" x14ac:dyDescent="0.2">
      <c r="A151" s="835" t="s">
        <v>222</v>
      </c>
      <c r="B151" s="836"/>
      <c r="C151" s="836"/>
      <c r="D151" s="836"/>
      <c r="E151" s="836"/>
      <c r="F151" s="837"/>
      <c r="G151" s="456"/>
      <c r="H151" s="201"/>
      <c r="I151" s="170"/>
      <c r="J151" s="170"/>
      <c r="K151" s="118"/>
      <c r="L151" s="134"/>
      <c r="M151" s="134"/>
      <c r="N151" s="134"/>
      <c r="O151" s="134"/>
      <c r="P151" s="134"/>
      <c r="Q151" s="134"/>
      <c r="R151" s="134"/>
      <c r="S151" s="118"/>
      <c r="T151" s="118"/>
      <c r="U151" s="118"/>
    </row>
    <row r="152" spans="1:23" ht="16.5" thickBot="1" x14ac:dyDescent="0.25">
      <c r="A152" s="832" t="s">
        <v>223</v>
      </c>
      <c r="B152" s="833"/>
      <c r="C152" s="833"/>
      <c r="D152" s="833"/>
      <c r="E152" s="833"/>
      <c r="F152" s="834"/>
      <c r="G152" s="176"/>
      <c r="H152" s="176"/>
      <c r="I152" s="176"/>
      <c r="J152" s="169"/>
      <c r="K152" s="169"/>
      <c r="L152" s="169"/>
      <c r="M152" s="169"/>
      <c r="N152" s="169"/>
      <c r="O152" s="169"/>
      <c r="P152" s="169"/>
      <c r="Q152" s="169"/>
      <c r="R152" s="169"/>
      <c r="S152" s="169"/>
      <c r="T152" s="169"/>
      <c r="U152" s="169"/>
    </row>
    <row r="153" spans="1:23" x14ac:dyDescent="0.2">
      <c r="A153" s="551" t="s">
        <v>224</v>
      </c>
      <c r="B153" s="450" t="s">
        <v>225</v>
      </c>
      <c r="C153" s="552" t="s">
        <v>226</v>
      </c>
      <c r="D153" s="553" t="s">
        <v>227</v>
      </c>
      <c r="E153" s="176"/>
      <c r="F153" s="176"/>
      <c r="G153" s="176"/>
      <c r="H153" s="169"/>
      <c r="I153" s="169"/>
      <c r="J153" s="169"/>
      <c r="K153" s="169"/>
      <c r="L153" s="169"/>
      <c r="M153" s="169"/>
      <c r="N153" s="169"/>
      <c r="O153" s="169"/>
      <c r="P153" s="169"/>
      <c r="Q153" s="169"/>
      <c r="R153" s="169"/>
    </row>
    <row r="154" spans="1:23" s="192" customFormat="1" x14ac:dyDescent="0.2">
      <c r="A154" s="203"/>
      <c r="B154" s="204"/>
      <c r="C154" s="205"/>
      <c r="D154" s="206"/>
      <c r="E154" s="191"/>
      <c r="F154" s="191"/>
      <c r="G154" s="191"/>
    </row>
    <row r="155" spans="1:23" s="192" customFormat="1" x14ac:dyDescent="0.2">
      <c r="A155" s="203"/>
      <c r="B155" s="204"/>
      <c r="C155" s="205"/>
      <c r="D155" s="206"/>
      <c r="E155" s="191"/>
      <c r="F155" s="191"/>
      <c r="G155" s="191"/>
    </row>
    <row r="156" spans="1:23" s="192" customFormat="1" ht="16.5" thickBot="1" x14ac:dyDescent="0.25">
      <c r="A156" s="207"/>
      <c r="B156" s="208"/>
      <c r="C156" s="209"/>
      <c r="D156" s="210"/>
      <c r="E156" s="191"/>
      <c r="F156" s="191"/>
      <c r="G156" s="191"/>
    </row>
    <row r="157" spans="1:23" ht="16.5" thickBot="1" x14ac:dyDescent="0.25"/>
    <row r="158" spans="1:23" s="73" customFormat="1" ht="16.5" thickBot="1" x14ac:dyDescent="0.25">
      <c r="A158" s="822" t="s">
        <v>228</v>
      </c>
      <c r="B158" s="823"/>
      <c r="C158" s="823"/>
      <c r="D158" s="823"/>
      <c r="E158" s="823"/>
      <c r="F158" s="823"/>
      <c r="G158" s="823"/>
      <c r="H158" s="823"/>
      <c r="I158" s="824"/>
      <c r="J158" s="169"/>
      <c r="K158" s="118"/>
      <c r="L158" s="134"/>
      <c r="M158" s="134"/>
      <c r="N158" s="134"/>
      <c r="O158" s="134"/>
      <c r="P158" s="134"/>
      <c r="Q158" s="134"/>
      <c r="R158" s="134"/>
      <c r="S158" s="118"/>
      <c r="T158" s="118"/>
      <c r="U158" s="118"/>
    </row>
    <row r="159" spans="1:23" s="73" customFormat="1" ht="16.5" thickBot="1" x14ac:dyDescent="0.25">
      <c r="A159" s="554" t="s">
        <v>229</v>
      </c>
      <c r="B159" s="213"/>
      <c r="C159" s="214"/>
      <c r="D159" s="214"/>
      <c r="E159" s="214"/>
      <c r="F159" s="214"/>
      <c r="G159" s="215"/>
      <c r="H159" s="216"/>
      <c r="I159" s="217"/>
      <c r="J159" s="170"/>
      <c r="K159" s="118"/>
      <c r="L159" s="134"/>
      <c r="M159" s="134"/>
      <c r="N159" s="134"/>
      <c r="O159" s="134"/>
      <c r="P159" s="134"/>
      <c r="Q159" s="134"/>
      <c r="R159" s="134"/>
      <c r="S159" s="118"/>
      <c r="T159" s="118"/>
      <c r="U159" s="118"/>
    </row>
    <row r="160" spans="1:23" s="308" customFormat="1" ht="180" customHeight="1" x14ac:dyDescent="0.2">
      <c r="A160" s="228" t="s">
        <v>504</v>
      </c>
      <c r="B160" s="827" t="s">
        <v>1063</v>
      </c>
      <c r="C160" s="828"/>
      <c r="D160" s="828"/>
      <c r="E160" s="828"/>
      <c r="F160" s="828"/>
      <c r="G160" s="828"/>
      <c r="H160" s="828"/>
      <c r="I160" s="829"/>
      <c r="J160" s="171"/>
      <c r="K160" s="172"/>
      <c r="L160" s="173"/>
      <c r="M160" s="173"/>
      <c r="N160" s="173"/>
      <c r="O160" s="173"/>
      <c r="P160" s="173"/>
      <c r="Q160" s="173"/>
      <c r="R160" s="173"/>
      <c r="S160" s="172"/>
    </row>
    <row r="161" spans="1:9" s="218" customFormat="1" x14ac:dyDescent="0.2">
      <c r="A161" s="281"/>
      <c r="B161" s="816"/>
      <c r="C161" s="817"/>
      <c r="D161" s="817"/>
      <c r="E161" s="817"/>
      <c r="F161" s="817"/>
      <c r="G161" s="817"/>
      <c r="H161" s="817"/>
      <c r="I161" s="818"/>
    </row>
    <row r="162" spans="1:9" s="218" customFormat="1" x14ac:dyDescent="0.2">
      <c r="A162" s="281"/>
      <c r="B162" s="816"/>
      <c r="C162" s="817"/>
      <c r="D162" s="817"/>
      <c r="E162" s="817"/>
      <c r="F162" s="817"/>
      <c r="G162" s="817"/>
      <c r="H162" s="817"/>
      <c r="I162" s="818"/>
    </row>
    <row r="163" spans="1:9" s="218" customFormat="1" x14ac:dyDescent="0.2">
      <c r="A163" s="281"/>
      <c r="B163" s="816"/>
      <c r="C163" s="817"/>
      <c r="D163" s="817"/>
      <c r="E163" s="817"/>
      <c r="F163" s="817"/>
      <c r="G163" s="817"/>
      <c r="H163" s="817"/>
      <c r="I163" s="818"/>
    </row>
    <row r="164" spans="1:9" s="218" customFormat="1" x14ac:dyDescent="0.2">
      <c r="A164" s="281"/>
      <c r="B164" s="816"/>
      <c r="C164" s="817"/>
      <c r="D164" s="817"/>
      <c r="E164" s="817"/>
      <c r="F164" s="817"/>
      <c r="G164" s="817"/>
      <c r="H164" s="817"/>
      <c r="I164" s="818"/>
    </row>
    <row r="165" spans="1:9" s="218" customFormat="1" x14ac:dyDescent="0.2">
      <c r="A165" s="281"/>
      <c r="B165" s="816"/>
      <c r="C165" s="817"/>
      <c r="D165" s="817"/>
      <c r="E165" s="817"/>
      <c r="F165" s="817"/>
      <c r="G165" s="817"/>
      <c r="H165" s="817"/>
      <c r="I165" s="818"/>
    </row>
    <row r="166" spans="1:9" s="218" customFormat="1" x14ac:dyDescent="0.2">
      <c r="A166" s="281"/>
      <c r="B166" s="816"/>
      <c r="C166" s="817"/>
      <c r="D166" s="817"/>
      <c r="E166" s="817"/>
      <c r="F166" s="817"/>
      <c r="G166" s="817"/>
      <c r="H166" s="817"/>
      <c r="I166" s="818"/>
    </row>
    <row r="167" spans="1:9" s="218" customFormat="1" x14ac:dyDescent="0.2">
      <c r="A167" s="281"/>
      <c r="B167" s="816"/>
      <c r="C167" s="817"/>
      <c r="D167" s="817"/>
      <c r="E167" s="817"/>
      <c r="F167" s="817"/>
      <c r="G167" s="817"/>
      <c r="H167" s="817"/>
      <c r="I167" s="818"/>
    </row>
    <row r="168" spans="1:9" s="218" customFormat="1" x14ac:dyDescent="0.2">
      <c r="A168" s="281"/>
      <c r="B168" s="816"/>
      <c r="C168" s="817"/>
      <c r="D168" s="817"/>
      <c r="E168" s="817"/>
      <c r="F168" s="817"/>
      <c r="G168" s="817"/>
      <c r="H168" s="817"/>
      <c r="I168" s="818"/>
    </row>
    <row r="169" spans="1:9" s="218" customFormat="1" x14ac:dyDescent="0.2">
      <c r="A169" s="281"/>
      <c r="B169" s="816"/>
      <c r="C169" s="817"/>
      <c r="D169" s="817"/>
      <c r="E169" s="817"/>
      <c r="F169" s="817"/>
      <c r="G169" s="817"/>
      <c r="H169" s="817"/>
      <c r="I169" s="818"/>
    </row>
    <row r="170" spans="1:9" s="218" customFormat="1" x14ac:dyDescent="0.2">
      <c r="A170" s="281"/>
      <c r="B170" s="816"/>
      <c r="C170" s="817"/>
      <c r="D170" s="817"/>
      <c r="E170" s="817"/>
      <c r="F170" s="817"/>
      <c r="G170" s="817"/>
      <c r="H170" s="817"/>
      <c r="I170" s="818"/>
    </row>
    <row r="171" spans="1:9" s="218" customFormat="1" x14ac:dyDescent="0.2">
      <c r="A171" s="281"/>
      <c r="B171" s="816"/>
      <c r="C171" s="817"/>
      <c r="D171" s="817"/>
      <c r="E171" s="817"/>
      <c r="F171" s="817"/>
      <c r="G171" s="817"/>
      <c r="H171" s="817"/>
      <c r="I171" s="818"/>
    </row>
    <row r="172" spans="1:9" s="218" customFormat="1" x14ac:dyDescent="0.2">
      <c r="A172" s="281"/>
      <c r="B172" s="816"/>
      <c r="C172" s="817"/>
      <c r="D172" s="817"/>
      <c r="E172" s="817"/>
      <c r="F172" s="817"/>
      <c r="G172" s="817"/>
      <c r="H172" s="817"/>
      <c r="I172" s="818"/>
    </row>
    <row r="173" spans="1:9" s="218" customFormat="1" x14ac:dyDescent="0.2">
      <c r="A173" s="281"/>
      <c r="B173" s="816"/>
      <c r="C173" s="817"/>
      <c r="D173" s="817"/>
      <c r="E173" s="817"/>
      <c r="F173" s="817"/>
      <c r="G173" s="817"/>
      <c r="H173" s="817"/>
      <c r="I173" s="818"/>
    </row>
    <row r="174" spans="1:9" s="218" customFormat="1" ht="16.5" thickBot="1" x14ac:dyDescent="0.25">
      <c r="A174" s="282"/>
      <c r="B174" s="819"/>
      <c r="C174" s="820"/>
      <c r="D174" s="820"/>
      <c r="E174" s="820"/>
      <c r="F174" s="820"/>
      <c r="G174" s="820"/>
      <c r="H174" s="820"/>
      <c r="I174" s="821"/>
    </row>
    <row r="176" spans="1:9" s="218" customFormat="1" x14ac:dyDescent="0.2">
      <c r="F176" s="337"/>
      <c r="G176" s="337"/>
      <c r="H176" s="337"/>
      <c r="I176" s="337"/>
    </row>
    <row r="177" spans="1:14" s="218" customFormat="1" ht="16.5" thickBot="1" x14ac:dyDescent="0.25">
      <c r="F177" s="337"/>
      <c r="G177" s="337"/>
      <c r="H177" s="337"/>
      <c r="I177" s="337"/>
    </row>
    <row r="178" spans="1:14" s="218" customFormat="1" ht="16.5" thickBot="1" x14ac:dyDescent="0.25">
      <c r="A178" s="825" t="s">
        <v>3</v>
      </c>
      <c r="B178" s="826"/>
      <c r="F178" s="337"/>
      <c r="G178" s="337"/>
      <c r="H178" s="337"/>
      <c r="I178" s="337"/>
    </row>
    <row r="179" spans="1:14" s="347" customFormat="1" ht="16.5" thickBot="1" x14ac:dyDescent="0.25">
      <c r="A179" s="338"/>
      <c r="B179" s="338"/>
      <c r="F179" s="348"/>
      <c r="G179" s="348"/>
      <c r="H179" s="348"/>
      <c r="I179" s="348"/>
    </row>
    <row r="180" spans="1:14" s="218" customFormat="1" ht="15.75" customHeight="1" thickBot="1" x14ac:dyDescent="0.25">
      <c r="A180" s="800" t="s">
        <v>2</v>
      </c>
      <c r="B180" s="801"/>
      <c r="C180" s="801"/>
      <c r="D180" s="801"/>
      <c r="E180" s="801"/>
      <c r="F180" s="801"/>
      <c r="G180" s="802"/>
      <c r="H180" s="337"/>
      <c r="I180" s="337"/>
    </row>
    <row r="181" spans="1:14" s="347" customFormat="1" ht="15.75" customHeight="1" thickBot="1" x14ac:dyDescent="0.25">
      <c r="A181" s="338"/>
      <c r="B181" s="338"/>
      <c r="C181" s="338"/>
      <c r="D181" s="338"/>
      <c r="E181" s="338"/>
      <c r="F181" s="338"/>
      <c r="G181" s="338"/>
      <c r="H181" s="348"/>
      <c r="I181" s="348"/>
    </row>
    <row r="182" spans="1:14" s="218" customFormat="1" ht="15.75" customHeight="1" thickBot="1" x14ac:dyDescent="0.25">
      <c r="A182" s="807" t="s">
        <v>1</v>
      </c>
      <c r="B182" s="808"/>
      <c r="C182" s="808"/>
      <c r="D182" s="808"/>
      <c r="E182" s="809"/>
      <c r="F182" s="339"/>
      <c r="G182" s="339"/>
      <c r="H182" s="337"/>
      <c r="I182" s="337"/>
    </row>
    <row r="183" spans="1:14" s="218" customFormat="1" x14ac:dyDescent="0.2">
      <c r="A183" s="803" t="s">
        <v>627</v>
      </c>
      <c r="B183" s="805" t="s">
        <v>888</v>
      </c>
      <c r="C183" s="786" t="s">
        <v>0</v>
      </c>
      <c r="D183" s="786" t="s">
        <v>609</v>
      </c>
      <c r="E183" s="805" t="s">
        <v>889</v>
      </c>
      <c r="F183" s="786" t="s">
        <v>436</v>
      </c>
      <c r="G183" s="786" t="s">
        <v>421</v>
      </c>
      <c r="H183" s="786" t="s">
        <v>628</v>
      </c>
      <c r="I183" s="786" t="s">
        <v>11</v>
      </c>
      <c r="J183" s="786" t="s">
        <v>12</v>
      </c>
      <c r="K183" s="786" t="s">
        <v>13</v>
      </c>
      <c r="L183" s="786" t="s">
        <v>449</v>
      </c>
      <c r="M183" s="786" t="s">
        <v>610</v>
      </c>
      <c r="N183" s="788"/>
    </row>
    <row r="184" spans="1:14" s="218" customFormat="1" ht="32.25" customHeight="1" thickBot="1" x14ac:dyDescent="0.25">
      <c r="A184" s="804"/>
      <c r="B184" s="806"/>
      <c r="C184" s="787"/>
      <c r="D184" s="787"/>
      <c r="E184" s="806"/>
      <c r="F184" s="787"/>
      <c r="G184" s="787"/>
      <c r="H184" s="787"/>
      <c r="I184" s="787"/>
      <c r="J184" s="787"/>
      <c r="K184" s="787"/>
      <c r="L184" s="787"/>
      <c r="M184" s="787"/>
      <c r="N184" s="789"/>
    </row>
    <row r="185" spans="1:14" s="218" customFormat="1" x14ac:dyDescent="0.2">
      <c r="A185" s="344"/>
      <c r="B185" s="340"/>
      <c r="C185" s="394"/>
      <c r="D185" s="340"/>
      <c r="E185" s="340"/>
      <c r="F185" s="340"/>
      <c r="G185" s="340"/>
      <c r="H185" s="340"/>
      <c r="I185" s="340"/>
      <c r="J185" s="340"/>
      <c r="K185" s="340"/>
      <c r="L185" s="661"/>
      <c r="M185" s="810"/>
      <c r="N185" s="811"/>
    </row>
    <row r="186" spans="1:14" s="218" customFormat="1" x14ac:dyDescent="0.2">
      <c r="A186" s="345"/>
      <c r="B186" s="341"/>
      <c r="C186" s="392"/>
      <c r="D186" s="341"/>
      <c r="E186" s="341"/>
      <c r="F186" s="341"/>
      <c r="G186" s="341"/>
      <c r="H186" s="341"/>
      <c r="I186" s="341"/>
      <c r="J186" s="341"/>
      <c r="K186" s="341"/>
      <c r="L186" s="662"/>
      <c r="M186" s="790"/>
      <c r="N186" s="791"/>
    </row>
    <row r="187" spans="1:14" s="218" customFormat="1" x14ac:dyDescent="0.2">
      <c r="A187" s="345"/>
      <c r="B187" s="341"/>
      <c r="C187" s="392"/>
      <c r="D187" s="341"/>
      <c r="E187" s="341"/>
      <c r="F187" s="341"/>
      <c r="G187" s="341"/>
      <c r="H187" s="341"/>
      <c r="I187" s="341"/>
      <c r="J187" s="341"/>
      <c r="K187" s="341"/>
      <c r="L187" s="662"/>
      <c r="M187" s="790"/>
      <c r="N187" s="791"/>
    </row>
    <row r="188" spans="1:14" s="218" customFormat="1" x14ac:dyDescent="0.2">
      <c r="A188" s="345"/>
      <c r="B188" s="341"/>
      <c r="C188" s="392"/>
      <c r="D188" s="341"/>
      <c r="E188" s="341"/>
      <c r="F188" s="341"/>
      <c r="G188" s="341"/>
      <c r="H188" s="341"/>
      <c r="I188" s="341"/>
      <c r="J188" s="341"/>
      <c r="K188" s="341"/>
      <c r="L188" s="662"/>
      <c r="M188" s="790"/>
      <c r="N188" s="791"/>
    </row>
    <row r="189" spans="1:14" s="218" customFormat="1" x14ac:dyDescent="0.2">
      <c r="A189" s="345"/>
      <c r="B189" s="341"/>
      <c r="C189" s="392"/>
      <c r="D189" s="341"/>
      <c r="E189" s="341"/>
      <c r="F189" s="341"/>
      <c r="G189" s="341"/>
      <c r="H189" s="341"/>
      <c r="I189" s="341"/>
      <c r="J189" s="341"/>
      <c r="K189" s="341"/>
      <c r="L189" s="662"/>
      <c r="M189" s="790"/>
      <c r="N189" s="791"/>
    </row>
    <row r="190" spans="1:14" s="218" customFormat="1" ht="16.5" thickBot="1" x14ac:dyDescent="0.25">
      <c r="A190" s="346"/>
      <c r="B190" s="342"/>
      <c r="C190" s="336"/>
      <c r="D190" s="342"/>
      <c r="E190" s="342"/>
      <c r="F190" s="342"/>
      <c r="G190" s="342"/>
      <c r="H190" s="342"/>
      <c r="I190" s="342"/>
      <c r="J190" s="342"/>
      <c r="K190" s="342"/>
      <c r="L190" s="663"/>
      <c r="M190" s="794"/>
      <c r="N190" s="795"/>
    </row>
    <row r="191" spans="1:14" s="218" customFormat="1" x14ac:dyDescent="0.2">
      <c r="F191" s="337"/>
      <c r="G191" s="337"/>
      <c r="H191" s="337"/>
      <c r="I191" s="337"/>
    </row>
    <row r="192" spans="1:14" s="218" customFormat="1" ht="16.5" thickBot="1" x14ac:dyDescent="0.25">
      <c r="F192" s="337"/>
      <c r="G192" s="337"/>
      <c r="H192" s="337"/>
      <c r="I192" s="337"/>
    </row>
    <row r="193" spans="1:31" s="218" customFormat="1" ht="16.5" thickBot="1" x14ac:dyDescent="0.25">
      <c r="A193" s="800" t="s">
        <v>790</v>
      </c>
      <c r="B193" s="801"/>
      <c r="C193" s="801"/>
      <c r="D193" s="801"/>
      <c r="E193" s="801"/>
      <c r="F193" s="801"/>
      <c r="G193" s="802"/>
      <c r="H193" s="337"/>
      <c r="I193" s="337"/>
    </row>
    <row r="194" spans="1:31" s="192" customFormat="1" ht="16.5" thickBot="1" x14ac:dyDescent="0.25">
      <c r="F194" s="191"/>
      <c r="G194" s="191"/>
      <c r="H194" s="191"/>
      <c r="I194" s="191"/>
    </row>
    <row r="195" spans="1:31" s="218" customFormat="1" ht="16.5" thickBot="1" x14ac:dyDescent="0.25">
      <c r="A195" s="807" t="s">
        <v>1</v>
      </c>
      <c r="B195" s="808"/>
      <c r="C195" s="808"/>
      <c r="D195" s="808"/>
      <c r="E195" s="808"/>
      <c r="F195" s="808"/>
      <c r="G195" s="808"/>
      <c r="H195" s="809"/>
      <c r="I195" s="337"/>
    </row>
    <row r="196" spans="1:31" s="1169" customFormat="1" ht="36.75" customHeight="1" thickBot="1" x14ac:dyDescent="0.25">
      <c r="A196" s="803" t="s">
        <v>627</v>
      </c>
      <c r="B196" s="805" t="s">
        <v>888</v>
      </c>
      <c r="C196" s="786" t="s">
        <v>0</v>
      </c>
      <c r="D196" s="786" t="s">
        <v>609</v>
      </c>
      <c r="E196" s="805" t="s">
        <v>889</v>
      </c>
      <c r="F196" s="971" t="s">
        <v>42</v>
      </c>
      <c r="G196" s="1165" t="s">
        <v>789</v>
      </c>
      <c r="H196" s="1163"/>
      <c r="I196" s="1163"/>
      <c r="J196" s="1163"/>
      <c r="K196" s="1163"/>
      <c r="L196" s="1163"/>
      <c r="M196" s="1163"/>
      <c r="N196" s="1163"/>
      <c r="O196" s="1163"/>
      <c r="P196" s="1163"/>
      <c r="Q196" s="1163"/>
      <c r="R196" s="1163"/>
      <c r="S196" s="1163"/>
      <c r="T196" s="1163"/>
      <c r="U196" s="1163"/>
      <c r="V196" s="1164"/>
      <c r="W196" s="930" t="s">
        <v>436</v>
      </c>
      <c r="X196" s="786" t="s">
        <v>421</v>
      </c>
      <c r="Y196" s="786" t="s">
        <v>628</v>
      </c>
      <c r="Z196" s="786" t="s">
        <v>11</v>
      </c>
      <c r="AA196" s="786" t="s">
        <v>12</v>
      </c>
      <c r="AB196" s="786" t="s">
        <v>13</v>
      </c>
      <c r="AC196" s="786" t="s">
        <v>449</v>
      </c>
      <c r="AD196" s="971" t="s">
        <v>610</v>
      </c>
      <c r="AE196" s="1161"/>
    </row>
    <row r="197" spans="1:31" s="1169" customFormat="1" ht="45.75" customHeight="1" thickBot="1" x14ac:dyDescent="0.25">
      <c r="A197" s="804"/>
      <c r="B197" s="806"/>
      <c r="C197" s="787"/>
      <c r="D197" s="787"/>
      <c r="E197" s="806"/>
      <c r="F197" s="787"/>
      <c r="G197" s="1186" t="s">
        <v>432</v>
      </c>
      <c r="H197" s="1186" t="s">
        <v>1380</v>
      </c>
      <c r="I197" s="1186" t="s">
        <v>1381</v>
      </c>
      <c r="J197" s="1186" t="s">
        <v>1382</v>
      </c>
      <c r="K197" s="1186" t="s">
        <v>433</v>
      </c>
      <c r="L197" s="1186" t="s">
        <v>1383</v>
      </c>
      <c r="M197" s="1182" t="s">
        <v>1386</v>
      </c>
      <c r="N197" s="1182" t="s">
        <v>1387</v>
      </c>
      <c r="O197" s="1186" t="s">
        <v>434</v>
      </c>
      <c r="P197" s="1186" t="s">
        <v>1384</v>
      </c>
      <c r="Q197" s="1182" t="s">
        <v>1388</v>
      </c>
      <c r="R197" s="1182" t="s">
        <v>1389</v>
      </c>
      <c r="S197" s="1186" t="s">
        <v>435</v>
      </c>
      <c r="T197" s="1186" t="s">
        <v>1385</v>
      </c>
      <c r="U197" s="1182" t="s">
        <v>1390</v>
      </c>
      <c r="V197" s="1182" t="s">
        <v>1391</v>
      </c>
      <c r="W197" s="959"/>
      <c r="X197" s="787"/>
      <c r="Y197" s="787"/>
      <c r="Z197" s="787"/>
      <c r="AA197" s="787"/>
      <c r="AB197" s="787"/>
      <c r="AC197" s="787"/>
      <c r="AD197" s="972"/>
      <c r="AE197" s="1162"/>
    </row>
    <row r="198" spans="1:31" s="1169" customFormat="1" x14ac:dyDescent="0.2">
      <c r="A198" s="1176"/>
      <c r="B198" s="1173"/>
      <c r="C198" s="1171"/>
      <c r="D198" s="1173"/>
      <c r="E198" s="1173"/>
      <c r="F198" s="1179"/>
      <c r="G198" s="1173"/>
      <c r="H198" s="1173"/>
      <c r="I198" s="1173"/>
      <c r="J198" s="1173"/>
      <c r="K198" s="1173"/>
      <c r="L198" s="1173"/>
      <c r="M198" s="1173"/>
      <c r="N198" s="1173"/>
      <c r="O198" s="1173"/>
      <c r="P198" s="1173"/>
      <c r="Q198" s="1173"/>
      <c r="R198" s="1173"/>
      <c r="S198" s="1173"/>
      <c r="T198" s="1173"/>
      <c r="U198" s="1173"/>
      <c r="V198" s="1173"/>
      <c r="W198" s="1173"/>
      <c r="X198" s="1173"/>
      <c r="Y198" s="1173"/>
      <c r="Z198" s="1173"/>
      <c r="AA198" s="1173"/>
      <c r="AB198" s="1173"/>
      <c r="AC198" s="1183"/>
      <c r="AD198" s="796"/>
      <c r="AE198" s="797"/>
    </row>
    <row r="199" spans="1:31" s="1169" customFormat="1" x14ac:dyDescent="0.2">
      <c r="A199" s="1177"/>
      <c r="B199" s="1174"/>
      <c r="C199" s="1170"/>
      <c r="D199" s="1174"/>
      <c r="E199" s="1174"/>
      <c r="F199" s="1180"/>
      <c r="G199" s="1174"/>
      <c r="H199" s="1174"/>
      <c r="I199" s="1174"/>
      <c r="J199" s="1174"/>
      <c r="K199" s="1174"/>
      <c r="L199" s="1174"/>
      <c r="M199" s="1174"/>
      <c r="N199" s="1174"/>
      <c r="O199" s="1174"/>
      <c r="P199" s="1174"/>
      <c r="Q199" s="1174"/>
      <c r="R199" s="1174"/>
      <c r="S199" s="1174"/>
      <c r="T199" s="1174"/>
      <c r="U199" s="1174"/>
      <c r="V199" s="1174"/>
      <c r="W199" s="1174"/>
      <c r="X199" s="1174"/>
      <c r="Y199" s="1174"/>
      <c r="Z199" s="1174"/>
      <c r="AA199" s="1174"/>
      <c r="AB199" s="1174"/>
      <c r="AC199" s="1184"/>
      <c r="AD199" s="798"/>
      <c r="AE199" s="799"/>
    </row>
    <row r="200" spans="1:31" s="1169" customFormat="1" x14ac:dyDescent="0.2">
      <c r="A200" s="1177"/>
      <c r="B200" s="1174"/>
      <c r="C200" s="1170"/>
      <c r="D200" s="1174"/>
      <c r="E200" s="1174"/>
      <c r="F200" s="1180"/>
      <c r="G200" s="1174"/>
      <c r="H200" s="1174"/>
      <c r="I200" s="1174"/>
      <c r="J200" s="1174"/>
      <c r="K200" s="1174"/>
      <c r="L200" s="1174"/>
      <c r="M200" s="1174"/>
      <c r="N200" s="1174"/>
      <c r="O200" s="1174"/>
      <c r="P200" s="1174"/>
      <c r="Q200" s="1174"/>
      <c r="R200" s="1174"/>
      <c r="S200" s="1174"/>
      <c r="T200" s="1174"/>
      <c r="U200" s="1174"/>
      <c r="V200" s="1174"/>
      <c r="W200" s="1174"/>
      <c r="X200" s="1174"/>
      <c r="Y200" s="1174"/>
      <c r="Z200" s="1174"/>
      <c r="AA200" s="1174"/>
      <c r="AB200" s="1174"/>
      <c r="AC200" s="1184"/>
      <c r="AD200" s="798"/>
      <c r="AE200" s="799"/>
    </row>
    <row r="201" spans="1:31" s="1169" customFormat="1" x14ac:dyDescent="0.2">
      <c r="A201" s="1177"/>
      <c r="B201" s="1174"/>
      <c r="C201" s="1170"/>
      <c r="D201" s="1174"/>
      <c r="E201" s="1174"/>
      <c r="F201" s="1180"/>
      <c r="G201" s="1174"/>
      <c r="H201" s="1174"/>
      <c r="I201" s="1174"/>
      <c r="J201" s="1174"/>
      <c r="K201" s="1174"/>
      <c r="L201" s="1174"/>
      <c r="M201" s="1174"/>
      <c r="N201" s="1174"/>
      <c r="O201" s="1174"/>
      <c r="P201" s="1174"/>
      <c r="Q201" s="1174"/>
      <c r="R201" s="1174"/>
      <c r="S201" s="1174"/>
      <c r="T201" s="1174"/>
      <c r="U201" s="1174"/>
      <c r="V201" s="1174"/>
      <c r="W201" s="1174"/>
      <c r="X201" s="1174"/>
      <c r="Y201" s="1174"/>
      <c r="Z201" s="1174"/>
      <c r="AA201" s="1174"/>
      <c r="AB201" s="1174"/>
      <c r="AC201" s="1184"/>
      <c r="AD201" s="798"/>
      <c r="AE201" s="799"/>
    </row>
    <row r="202" spans="1:31" s="1169" customFormat="1" x14ac:dyDescent="0.2">
      <c r="A202" s="1177"/>
      <c r="B202" s="1174"/>
      <c r="C202" s="1170"/>
      <c r="D202" s="1174"/>
      <c r="E202" s="1174"/>
      <c r="F202" s="1180"/>
      <c r="G202" s="1174"/>
      <c r="H202" s="1174"/>
      <c r="I202" s="1174"/>
      <c r="J202" s="1174"/>
      <c r="K202" s="1174"/>
      <c r="L202" s="1174"/>
      <c r="M202" s="1174"/>
      <c r="N202" s="1174"/>
      <c r="O202" s="1174"/>
      <c r="P202" s="1174"/>
      <c r="Q202" s="1174"/>
      <c r="R202" s="1174"/>
      <c r="S202" s="1174"/>
      <c r="T202" s="1174"/>
      <c r="U202" s="1174"/>
      <c r="V202" s="1174"/>
      <c r="W202" s="1174"/>
      <c r="X202" s="1174"/>
      <c r="Y202" s="1174"/>
      <c r="Z202" s="1174"/>
      <c r="AA202" s="1174"/>
      <c r="AB202" s="1174"/>
      <c r="AC202" s="1184"/>
      <c r="AD202" s="798"/>
      <c r="AE202" s="799"/>
    </row>
    <row r="203" spans="1:31" s="1169" customFormat="1" ht="16.5" thickBot="1" x14ac:dyDescent="0.25">
      <c r="A203" s="1178"/>
      <c r="B203" s="1175"/>
      <c r="C203" s="1172"/>
      <c r="D203" s="1175"/>
      <c r="E203" s="1175"/>
      <c r="F203" s="1181"/>
      <c r="G203" s="1175"/>
      <c r="H203" s="1175"/>
      <c r="I203" s="1175"/>
      <c r="J203" s="1175"/>
      <c r="K203" s="1175"/>
      <c r="L203" s="1175"/>
      <c r="M203" s="1175"/>
      <c r="N203" s="1175"/>
      <c r="O203" s="1175"/>
      <c r="P203" s="1175"/>
      <c r="Q203" s="1175"/>
      <c r="R203" s="1175"/>
      <c r="S203" s="1175"/>
      <c r="T203" s="1175"/>
      <c r="U203" s="1175"/>
      <c r="V203" s="1175"/>
      <c r="W203" s="1175"/>
      <c r="X203" s="1175"/>
      <c r="Y203" s="1175"/>
      <c r="Z203" s="1175"/>
      <c r="AA203" s="1175"/>
      <c r="AB203" s="1175"/>
      <c r="AC203" s="1185"/>
      <c r="AD203" s="792"/>
      <c r="AE203" s="793"/>
    </row>
    <row r="204" spans="1:31" s="218" customFormat="1" x14ac:dyDescent="0.2">
      <c r="F204" s="337"/>
      <c r="G204" s="337"/>
      <c r="H204" s="337"/>
      <c r="I204" s="337"/>
    </row>
    <row r="205" spans="1:31" s="218" customFormat="1" x14ac:dyDescent="0.2">
      <c r="F205" s="337"/>
      <c r="G205" s="337"/>
      <c r="H205" s="337"/>
      <c r="I205" s="337"/>
    </row>
    <row r="206" spans="1:31" s="218" customFormat="1" ht="16.5" thickBot="1" x14ac:dyDescent="0.25">
      <c r="F206" s="337"/>
      <c r="G206" s="337"/>
      <c r="H206" s="337"/>
      <c r="I206" s="337"/>
    </row>
    <row r="207" spans="1:31" ht="16.5" thickBot="1" x14ac:dyDescent="0.25">
      <c r="A207" s="555" t="s">
        <v>454</v>
      </c>
      <c r="B207" s="556" t="s">
        <v>455</v>
      </c>
    </row>
    <row r="208" spans="1:31" x14ac:dyDescent="0.2">
      <c r="A208" s="450" t="s">
        <v>456</v>
      </c>
      <c r="B208" s="557" t="s">
        <v>51</v>
      </c>
    </row>
    <row r="209" spans="1:9" x14ac:dyDescent="0.2">
      <c r="A209" s="558" t="s">
        <v>65</v>
      </c>
      <c r="B209" s="559" t="s">
        <v>51</v>
      </c>
    </row>
    <row r="210" spans="1:9" x14ac:dyDescent="0.2">
      <c r="A210" s="558" t="s">
        <v>257</v>
      </c>
      <c r="B210" s="559" t="s">
        <v>51</v>
      </c>
    </row>
    <row r="211" spans="1:9" x14ac:dyDescent="0.2">
      <c r="A211" s="558" t="s">
        <v>258</v>
      </c>
      <c r="B211" s="559" t="s">
        <v>51</v>
      </c>
    </row>
    <row r="212" spans="1:9" x14ac:dyDescent="0.2">
      <c r="A212" s="558" t="s">
        <v>259</v>
      </c>
      <c r="B212" s="559" t="s">
        <v>53</v>
      </c>
    </row>
    <row r="213" spans="1:9" x14ac:dyDescent="0.2">
      <c r="A213" s="558" t="s">
        <v>281</v>
      </c>
      <c r="B213" s="559" t="s">
        <v>53</v>
      </c>
      <c r="F213" s="69"/>
      <c r="G213" s="69"/>
      <c r="H213" s="69"/>
      <c r="I213" s="69"/>
    </row>
    <row r="214" spans="1:9" x14ac:dyDescent="0.2">
      <c r="A214" s="560" t="s">
        <v>279</v>
      </c>
      <c r="B214" s="559" t="s">
        <v>53</v>
      </c>
      <c r="F214" s="69"/>
      <c r="G214" s="69"/>
      <c r="H214" s="69"/>
      <c r="I214" s="69"/>
    </row>
    <row r="215" spans="1:9" x14ac:dyDescent="0.2">
      <c r="A215" s="560" t="s">
        <v>457</v>
      </c>
      <c r="B215" s="559" t="s">
        <v>53</v>
      </c>
      <c r="F215" s="69"/>
      <c r="G215" s="69"/>
      <c r="H215" s="69"/>
      <c r="I215" s="69"/>
    </row>
    <row r="216" spans="1:9" ht="16.5" thickBot="1" x14ac:dyDescent="0.25">
      <c r="A216" s="561" t="s">
        <v>460</v>
      </c>
      <c r="B216" s="562" t="s">
        <v>51</v>
      </c>
      <c r="F216" s="69"/>
      <c r="G216" s="69"/>
      <c r="H216" s="69"/>
      <c r="I216" s="69"/>
    </row>
  </sheetData>
  <sheetProtection formatCells="0" formatColumns="0" formatRows="0" insertColumns="0" insertRows="0" deleteColumns="0" deleteRows="0" sort="0" autoFilter="0"/>
  <autoFilter ref="A30:AB30" xr:uid="{00000000-0009-0000-0000-000013000000}"/>
  <sortState xmlns:xlrd2="http://schemas.microsoft.com/office/spreadsheetml/2017/richdata2" ref="A90:A123">
    <sortCondition ref="A89"/>
  </sortState>
  <dataConsolidate>
    <dataRefs count="2">
      <dataRef ref="B9" sheet="APPENDIX B-1  (FE - USWC)"/>
      <dataRef ref="A14:A18" sheet="APPENDIX B-1  (FE - USWC)"/>
    </dataRefs>
  </dataConsolidate>
  <mergeCells count="272">
    <mergeCell ref="AD198:AE198"/>
    <mergeCell ref="AD199:AE199"/>
    <mergeCell ref="AD200:AE200"/>
    <mergeCell ref="AD201:AE201"/>
    <mergeCell ref="AD202:AE202"/>
    <mergeCell ref="AD203:AE203"/>
    <mergeCell ref="G196:V196"/>
    <mergeCell ref="W196:W197"/>
    <mergeCell ref="X196:X197"/>
    <mergeCell ref="Y196:Y197"/>
    <mergeCell ref="Z196:Z197"/>
    <mergeCell ref="AA196:AA197"/>
    <mergeCell ref="AB196:AB197"/>
    <mergeCell ref="AC196:AC197"/>
    <mergeCell ref="AD196:AE197"/>
    <mergeCell ref="E121:G121"/>
    <mergeCell ref="E123:G123"/>
    <mergeCell ref="B123:D123"/>
    <mergeCell ref="A183:A184"/>
    <mergeCell ref="E125:G125"/>
    <mergeCell ref="B160:I160"/>
    <mergeCell ref="A152:F152"/>
    <mergeCell ref="A151:F151"/>
    <mergeCell ref="C183:C184"/>
    <mergeCell ref="D183:D184"/>
    <mergeCell ref="E183:E184"/>
    <mergeCell ref="B174:I174"/>
    <mergeCell ref="B125:D125"/>
    <mergeCell ref="B166:I166"/>
    <mergeCell ref="A140:D140"/>
    <mergeCell ref="I140:I141"/>
    <mergeCell ref="E129:G129"/>
    <mergeCell ref="B164:I164"/>
    <mergeCell ref="G140:G141"/>
    <mergeCell ref="H140:H141"/>
    <mergeCell ref="A148:E148"/>
    <mergeCell ref="E140:E141"/>
    <mergeCell ref="F140:F141"/>
    <mergeCell ref="A150:F150"/>
    <mergeCell ref="M140:M141"/>
    <mergeCell ref="J140:J141"/>
    <mergeCell ref="E119:G119"/>
    <mergeCell ref="B165:I165"/>
    <mergeCell ref="A158:I158"/>
    <mergeCell ref="B161:I161"/>
    <mergeCell ref="B162:I162"/>
    <mergeCell ref="A133:D133"/>
    <mergeCell ref="E133:E134"/>
    <mergeCell ref="L133:L134"/>
    <mergeCell ref="J133:J134"/>
    <mergeCell ref="K133:K134"/>
    <mergeCell ref="H133:H134"/>
    <mergeCell ref="B163:I163"/>
    <mergeCell ref="G133:G134"/>
    <mergeCell ref="I133:I134"/>
    <mergeCell ref="L140:L141"/>
    <mergeCell ref="K140:K141"/>
    <mergeCell ref="F133:F134"/>
    <mergeCell ref="E124:G124"/>
    <mergeCell ref="A130:I130"/>
    <mergeCell ref="A131:I131"/>
    <mergeCell ref="B128:D128"/>
    <mergeCell ref="E128:G128"/>
    <mergeCell ref="M189:N189"/>
    <mergeCell ref="M185:N185"/>
    <mergeCell ref="G183:G184"/>
    <mergeCell ref="F183:F184"/>
    <mergeCell ref="M183:N184"/>
    <mergeCell ref="J183:J184"/>
    <mergeCell ref="B183:B184"/>
    <mergeCell ref="B170:I170"/>
    <mergeCell ref="B167:I167"/>
    <mergeCell ref="B168:I168"/>
    <mergeCell ref="B169:I169"/>
    <mergeCell ref="L183:L184"/>
    <mergeCell ref="K183:K184"/>
    <mergeCell ref="M188:N188"/>
    <mergeCell ref="M187:N187"/>
    <mergeCell ref="M186:N186"/>
    <mergeCell ref="B173:I173"/>
    <mergeCell ref="A180:G180"/>
    <mergeCell ref="I183:I184"/>
    <mergeCell ref="H183:H184"/>
    <mergeCell ref="B171:I171"/>
    <mergeCell ref="B172:I172"/>
    <mergeCell ref="A182:E182"/>
    <mergeCell ref="A178:B178"/>
    <mergeCell ref="M190:N190"/>
    <mergeCell ref="A193:G193"/>
    <mergeCell ref="A195:H195"/>
    <mergeCell ref="A196:A197"/>
    <mergeCell ref="E196:E197"/>
    <mergeCell ref="B196:B197"/>
    <mergeCell ref="C196:C197"/>
    <mergeCell ref="D196:D197"/>
    <mergeCell ref="F196:F197"/>
    <mergeCell ref="E111:G111"/>
    <mergeCell ref="B127:D127"/>
    <mergeCell ref="E127:G127"/>
    <mergeCell ref="E122:G122"/>
    <mergeCell ref="B129:D129"/>
    <mergeCell ref="B122:D122"/>
    <mergeCell ref="B124:D124"/>
    <mergeCell ref="B118:D118"/>
    <mergeCell ref="E118:G118"/>
    <mergeCell ref="B114:D114"/>
    <mergeCell ref="E114:G114"/>
    <mergeCell ref="B126:D126"/>
    <mergeCell ref="E126:G126"/>
    <mergeCell ref="E116:G116"/>
    <mergeCell ref="B116:D116"/>
    <mergeCell ref="E117:G117"/>
    <mergeCell ref="B120:D120"/>
    <mergeCell ref="E120:G120"/>
    <mergeCell ref="B119:D119"/>
    <mergeCell ref="B112:D112"/>
    <mergeCell ref="E112:G112"/>
    <mergeCell ref="B113:D113"/>
    <mergeCell ref="E113:G113"/>
    <mergeCell ref="B121:D121"/>
    <mergeCell ref="A12:J12"/>
    <mergeCell ref="C6:F6"/>
    <mergeCell ref="A8:B8"/>
    <mergeCell ref="A7:B7"/>
    <mergeCell ref="C7:F7"/>
    <mergeCell ref="B111:D111"/>
    <mergeCell ref="B24:H24"/>
    <mergeCell ref="G48:G49"/>
    <mergeCell ref="E30:E31"/>
    <mergeCell ref="E39:E40"/>
    <mergeCell ref="G30:G31"/>
    <mergeCell ref="H39:H40"/>
    <mergeCell ref="A47:D47"/>
    <mergeCell ref="B48:B49"/>
    <mergeCell ref="B83:D83"/>
    <mergeCell ref="B69:D69"/>
    <mergeCell ref="A73:C73"/>
    <mergeCell ref="A72:C72"/>
    <mergeCell ref="H90:H92"/>
    <mergeCell ref="C48:C49"/>
    <mergeCell ref="B95:D95"/>
    <mergeCell ref="B99:D99"/>
    <mergeCell ref="E99:G99"/>
    <mergeCell ref="B94:D94"/>
    <mergeCell ref="B93:D93"/>
    <mergeCell ref="E95:G95"/>
    <mergeCell ref="E98:G98"/>
    <mergeCell ref="B97:D97"/>
    <mergeCell ref="E97:G97"/>
    <mergeCell ref="B100:D100"/>
    <mergeCell ref="E100:G100"/>
    <mergeCell ref="E93:G93"/>
    <mergeCell ref="B96:D96"/>
    <mergeCell ref="E96:G96"/>
    <mergeCell ref="E94:G94"/>
    <mergeCell ref="A1:B1"/>
    <mergeCell ref="C1:F1"/>
    <mergeCell ref="A2:B2"/>
    <mergeCell ref="C2:F2"/>
    <mergeCell ref="A5:B5"/>
    <mergeCell ref="C8:F8"/>
    <mergeCell ref="C5:F5"/>
    <mergeCell ref="A6:B6"/>
    <mergeCell ref="A3:B3"/>
    <mergeCell ref="C3:F3"/>
    <mergeCell ref="A4:B4"/>
    <mergeCell ref="C4:F4"/>
    <mergeCell ref="L13:M13"/>
    <mergeCell ref="J16:K16"/>
    <mergeCell ref="B17:I17"/>
    <mergeCell ref="B20:H20"/>
    <mergeCell ref="J14:K14"/>
    <mergeCell ref="L14:M14"/>
    <mergeCell ref="B13:I13"/>
    <mergeCell ref="J13:K13"/>
    <mergeCell ref="B16:I16"/>
    <mergeCell ref="B15:I15"/>
    <mergeCell ref="J17:K17"/>
    <mergeCell ref="J15:K15"/>
    <mergeCell ref="B14:I14"/>
    <mergeCell ref="AC48:AC49"/>
    <mergeCell ref="AA48:AA49"/>
    <mergeCell ref="J48:J49"/>
    <mergeCell ref="AB48:AB49"/>
    <mergeCell ref="L15:M15"/>
    <mergeCell ref="B23:H23"/>
    <mergeCell ref="B22:H22"/>
    <mergeCell ref="L16:M16"/>
    <mergeCell ref="L17:M17"/>
    <mergeCell ref="B21:H21"/>
    <mergeCell ref="AA30:AA31"/>
    <mergeCell ref="AA39:AA40"/>
    <mergeCell ref="Z30:Z31"/>
    <mergeCell ref="Y39:Y40"/>
    <mergeCell ref="L30:L31"/>
    <mergeCell ref="I39:I40"/>
    <mergeCell ref="I48:I49"/>
    <mergeCell ref="H48:H49"/>
    <mergeCell ref="Z48:Z49"/>
    <mergeCell ref="K48:K49"/>
    <mergeCell ref="L48:L49"/>
    <mergeCell ref="Z39:Z40"/>
    <mergeCell ref="Y30:Y31"/>
    <mergeCell ref="X39:X40"/>
    <mergeCell ref="X30:X31"/>
    <mergeCell ref="J39:J40"/>
    <mergeCell ref="K39:K40"/>
    <mergeCell ref="A39:A40"/>
    <mergeCell ref="A30:A31"/>
    <mergeCell ref="A48:A49"/>
    <mergeCell ref="A57:C57"/>
    <mergeCell ref="A58:C58"/>
    <mergeCell ref="B84:D84"/>
    <mergeCell ref="B66:D66"/>
    <mergeCell ref="B67:D67"/>
    <mergeCell ref="K30:K31"/>
    <mergeCell ref="I30:I31"/>
    <mergeCell ref="F30:F31"/>
    <mergeCell ref="M48:M49"/>
    <mergeCell ref="E48:E49"/>
    <mergeCell ref="F48:F49"/>
    <mergeCell ref="D48:D49"/>
    <mergeCell ref="J30:J31"/>
    <mergeCell ref="B81:D81"/>
    <mergeCell ref="B82:D82"/>
    <mergeCell ref="B68:D68"/>
    <mergeCell ref="B39:B40"/>
    <mergeCell ref="C39:C40"/>
    <mergeCell ref="M90:M92"/>
    <mergeCell ref="C30:C31"/>
    <mergeCell ref="D30:D31"/>
    <mergeCell ref="H30:H31"/>
    <mergeCell ref="K90:K92"/>
    <mergeCell ref="I90:I92"/>
    <mergeCell ref="L90:L92"/>
    <mergeCell ref="B65:D65"/>
    <mergeCell ref="J90:J92"/>
    <mergeCell ref="A86:I86"/>
    <mergeCell ref="A87:I87"/>
    <mergeCell ref="A91:G91"/>
    <mergeCell ref="B88:I88"/>
    <mergeCell ref="B30:B31"/>
    <mergeCell ref="F39:F40"/>
    <mergeCell ref="G39:G40"/>
    <mergeCell ref="B80:D80"/>
    <mergeCell ref="A90:G90"/>
    <mergeCell ref="A92:G92"/>
    <mergeCell ref="D39:D40"/>
    <mergeCell ref="B110:D110"/>
    <mergeCell ref="B117:D117"/>
    <mergeCell ref="B102:D102"/>
    <mergeCell ref="E101:G101"/>
    <mergeCell ref="B98:D98"/>
    <mergeCell ref="E102:G102"/>
    <mergeCell ref="E110:G110"/>
    <mergeCell ref="B105:D105"/>
    <mergeCell ref="E105:G105"/>
    <mergeCell ref="B106:D106"/>
    <mergeCell ref="B104:D104"/>
    <mergeCell ref="E109:G109"/>
    <mergeCell ref="B109:D109"/>
    <mergeCell ref="E108:G108"/>
    <mergeCell ref="E107:G107"/>
    <mergeCell ref="E104:G104"/>
    <mergeCell ref="B107:D107"/>
    <mergeCell ref="B103:D103"/>
    <mergeCell ref="E103:G103"/>
    <mergeCell ref="B108:D108"/>
    <mergeCell ref="E106:G106"/>
    <mergeCell ref="B101:D101"/>
    <mergeCell ref="B115:D115"/>
    <mergeCell ref="E115:G115"/>
  </mergeCells>
  <phoneticPr fontId="11" type="noConversion"/>
  <dataValidations count="33">
    <dataValidation type="list" allowBlank="1" showInputMessage="1" showErrorMessage="1" sqref="B208:B216" xr:uid="{00000000-0002-0000-1300-000000000000}">
      <formula1>Autom</formula1>
    </dataValidation>
    <dataValidation type="list" showInputMessage="1" showErrorMessage="1" sqref="C185:C190 C198:C203" xr:uid="{00000000-0002-0000-1300-000001000000}">
      <formula1>IF($B185="I",DDTARIFF,DDTARIFFUSE)</formula1>
    </dataValidation>
    <dataValidation type="list" allowBlank="1" showInputMessage="1" showErrorMessage="1" sqref="B185:B190 B198:B203" xr:uid="{00000000-0002-0000-1300-000002000000}">
      <formula1>EXPIMP</formula1>
    </dataValidation>
    <dataValidation type="list" allowBlank="1" showInputMessage="1" showErrorMessage="1" sqref="F185:F190 W198:W203" xr:uid="{00000000-0002-0000-1300-000003000000}">
      <formula1>EQTYPE</formula1>
    </dataValidation>
    <dataValidation type="list" allowBlank="1" showInputMessage="1" showErrorMessage="1" sqref="G185:G190 X198:X203" xr:uid="{00000000-0002-0000-1300-000004000000}">
      <formula1>OPREEFER</formula1>
    </dataValidation>
    <dataValidation type="list" allowBlank="1" showInputMessage="1" showErrorMessage="1" sqref="F198:F203" xr:uid="{0316EF12-AEDF-496D-9ECE-0035012C9079}">
      <formula1>CURRENCY</formula1>
    </dataValidation>
    <dataValidation type="whole" allowBlank="1" showInputMessage="1" showErrorMessage="1" error="Only whole numbers can be entered into this field" sqref="D185:D190 D198:D203" xr:uid="{00000000-0002-0000-1300-000006000000}">
      <formula1>1</formula1>
      <formula2>99</formula2>
    </dataValidation>
    <dataValidation type="list" showInputMessage="1" showErrorMessage="1" sqref="E185:E190 E198:E203" xr:uid="{00000000-0002-0000-1300-000007000000}">
      <formula1>DAYS</formula1>
    </dataValidation>
    <dataValidation type="whole" allowBlank="1" showInputMessage="1" showErrorMessage="1" error="Only whole numbers may be entered into this field_x000a_" sqref="G198:G203 S198:S203 O198:O203 K198:K203" xr:uid="{3592A3CD-691A-4C78-B5E0-CD80D0D9B7B7}">
      <formula1>1</formula1>
      <formula2>99</formula2>
    </dataValidation>
    <dataValidation type="decimal" allowBlank="1" showInputMessage="1" showErrorMessage="1" error="Only numbers may be entered into this field" sqref="H198:J203 L198:N203 P198:R203 T198:V203" xr:uid="{70680239-F86E-4A36-BCCF-090D3F7F9BA9}">
      <formula1>1</formula1>
      <formula2>1000000000</formula2>
    </dataValidation>
    <dataValidation type="list" showInputMessage="1" showErrorMessage="1" sqref="K135:K138 K142:K145 N66:N69 A41:A44 A50:A53 A32:A35 N81:N84" xr:uid="{00000000-0002-0000-1300-00000A000000}">
      <formula1>$A$14:$A$18</formula1>
    </dataValidation>
    <dataValidation type="list" allowBlank="1" showInputMessage="1" showErrorMessage="1" sqref="J135:J138 J142:J145" xr:uid="{00000000-0002-0000-1300-00000B000000}">
      <formula1>GRIPSS</formula1>
    </dataValidation>
    <dataValidation type="decimal" allowBlank="1" showInputMessage="1" showErrorMessage="1" sqref="F142:I145 F135:I138 I32:L35 I41:K44 J81:M84 I50:L53" xr:uid="{00000000-0002-0000-1300-00000C000000}">
      <formula1>0</formula1>
      <formula2>999999999999999</formula2>
    </dataValidation>
    <dataValidation type="list" allowBlank="1" showInputMessage="1" showErrorMessage="1" sqref="E135:E138 E142:E145" xr:uid="{00000000-0002-0000-1300-00000D000000}">
      <formula1>GRIPSS_EQ</formula1>
    </dataValidation>
    <dataValidation type="list" showInputMessage="1" showErrorMessage="1" sqref="A185:A190 A198:A203" xr:uid="{00000000-0002-0000-1300-00000E000000}">
      <formula1>BULLET</formula1>
    </dataValidation>
    <dataValidation type="date" allowBlank="1" showInputMessage="1" showErrorMessage="1" sqref="X32:Y35 J93:K129" xr:uid="{00000000-0002-0000-1300-00000F000000}">
      <formula1>10101</formula1>
      <formula2>311299</formula2>
    </dataValidation>
    <dataValidation type="list" showDropDown="1" showErrorMessage="1" sqref="O65:P65 O80:P80" xr:uid="{00000000-0002-0000-1300-000010000000}">
      <formula1>Charges</formula1>
    </dataValidation>
    <dataValidation type="list" allowBlank="1" showInputMessage="1" showErrorMessage="1" sqref="O66:P69 O81:P84" xr:uid="{00000000-0002-0000-1300-000011000000}">
      <formula1 xml:space="preserve"> droppull</formula1>
    </dataValidation>
    <dataValidation type="list" allowBlank="1" showInputMessage="1" showErrorMessage="1" sqref="L41:L44 G66:G69 P50:P53 N41:N44 G81:G84" xr:uid="{00000000-0002-0000-1300-000012000000}">
      <formula1>YesNo</formula1>
    </dataValidation>
    <dataValidation type="list" allowBlank="1" showInputMessage="1" showErrorMessage="1" sqref="M50:M53" xr:uid="{00000000-0002-0000-1300-000013000000}">
      <formula1>Equip</formula1>
    </dataValidation>
    <dataValidation type="list" allowBlank="1" showInputMessage="1" showErrorMessage="1" sqref="F66:F69 F81:F84" xr:uid="{00000000-0002-0000-1300-000014000000}">
      <formula1>ArbMode</formula1>
    </dataValidation>
    <dataValidation type="list" allowBlank="1" showInputMessage="1" showErrorMessage="1" sqref="G41:G44 G50:G53 G32:G35" xr:uid="{00000000-0002-0000-1300-000015000000}">
      <formula1>SDD</formula1>
    </dataValidation>
    <dataValidation type="list" allowBlank="1" showInputMessage="1" showErrorMessage="1" sqref="M31:W31 Q49:Y49" xr:uid="{00000000-0002-0000-1300-000016000000}">
      <formula1>Container</formula1>
    </dataValidation>
    <dataValidation type="list" allowBlank="1" showInputMessage="1" showErrorMessage="1" sqref="O40:W40" xr:uid="{00000000-0002-0000-1300-000017000000}">
      <formula1>Reefer</formula1>
    </dataValidation>
    <dataValidation type="list" allowBlank="1" showInputMessage="1" showErrorMessage="1" sqref="F32:F35 F50:F53 F41:F44" xr:uid="{00000000-0002-0000-1300-000018000000}">
      <formula1>Mode</formula1>
    </dataValidation>
    <dataValidation type="list" allowBlank="1" showInputMessage="1" showErrorMessage="1" sqref="M41:M44 O50:O53" xr:uid="{00000000-0002-0000-1300-000019000000}">
      <formula1>ShipperOwn</formula1>
    </dataValidation>
    <dataValidation type="list" allowBlank="1" showInputMessage="1" showErrorMessage="1" sqref="N50:N53" xr:uid="{00000000-0002-0000-1300-00001A000000}">
      <formula1>OOG</formula1>
    </dataValidation>
    <dataValidation type="list" allowBlank="1" showErrorMessage="1" sqref="M30:W30 Q48:Y48 O39:W39" xr:uid="{00000000-0002-0000-1300-00001B000000}">
      <formula1>Exceptions</formula1>
    </dataValidation>
    <dataValidation type="list" allowBlank="1" showInputMessage="1" showErrorMessage="1" sqref="AA32:AA35 AC50:AC53 AA41:AA44" xr:uid="{00000000-0002-0000-1300-00001C000000}">
      <formula1>CST</formula1>
    </dataValidation>
    <dataValidation type="list" allowBlank="1" showInputMessage="1" showErrorMessage="1" sqref="I93:I129" xr:uid="{00000000-0002-0000-1300-00001D000000}">
      <formula1>$A$14:$A$18</formula1>
    </dataValidation>
    <dataValidation type="list" allowBlank="1" showErrorMessage="1" sqref="A93:A129" xr:uid="{00000000-0002-0000-1300-00001E000000}">
      <formula1>Charges</formula1>
    </dataValidation>
    <dataValidation allowBlank="1" showInputMessage="1" showErrorMessage="1" promptTitle="Acceptable Values:" prompt="- Applicable _x000a_- Not applicable _x000a_- Included_x000a_- Amount and OSPF for cases of fixed per D40 OSPF_x000a_    (example-  &quot;375 OSPF&quot;)" sqref="E93:G129" xr:uid="{00000000-0002-0000-1300-00001F000000}"/>
    <dataValidation type="list" allowBlank="1" showInputMessage="1" showErrorMessage="1" errorTitle="Pick up the list" promptTitle="Blank = ALL" sqref="H93:H129" xr:uid="{00000000-0002-0000-1300-000020000000}">
      <formula1>Type_note2</formula1>
    </dataValidation>
  </dataValidations>
  <pageMargins left="0.25" right="0.25" top="0.25" bottom="0.25" header="0.5" footer="0"/>
  <pageSetup scale="28" fitToHeight="0" orientation="landscape" r:id="rId1"/>
  <headerFooter alignWithMargins="0"/>
  <rowBreaks count="1" manualBreakCount="1">
    <brk id="88" max="16383" man="1"/>
  </rowBreaks>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60">
    <tabColor indexed="46"/>
    <pageSetUpPr fitToPage="1"/>
  </sheetPr>
  <dimension ref="A1:BB213"/>
  <sheetViews>
    <sheetView showGridLines="0" topLeftCell="A172" zoomScale="75" zoomScaleNormal="75" zoomScaleSheetLayoutView="75" workbookViewId="0">
      <selection activeCell="G193" sqref="A193:XFD200"/>
    </sheetView>
  </sheetViews>
  <sheetFormatPr defaultColWidth="9.140625" defaultRowHeight="15.75" x14ac:dyDescent="0.2"/>
  <cols>
    <col min="1" max="1" width="25.140625" style="69" customWidth="1"/>
    <col min="2" max="2" width="18.5703125" style="69" customWidth="1"/>
    <col min="3" max="3" width="18.28515625" style="69" customWidth="1"/>
    <col min="4" max="4" width="17.42578125" style="69" customWidth="1"/>
    <col min="5" max="5" width="19.28515625" style="69" customWidth="1"/>
    <col min="6" max="6" width="12.140625" style="211" customWidth="1"/>
    <col min="7" max="8" width="17.42578125" style="211" customWidth="1"/>
    <col min="9" max="9" width="17.7109375" style="211" customWidth="1"/>
    <col min="10" max="10" width="17.85546875" style="69" customWidth="1"/>
    <col min="11" max="11" width="16.5703125" style="69" customWidth="1"/>
    <col min="12" max="12" width="18.5703125" style="69" customWidth="1"/>
    <col min="13" max="13" width="17.28515625" style="69" customWidth="1"/>
    <col min="14" max="14" width="17.7109375" style="69" customWidth="1"/>
    <col min="15" max="16" width="16.5703125" style="69" customWidth="1"/>
    <col min="17" max="17" width="17.5703125" style="69" customWidth="1"/>
    <col min="18" max="18" width="15.85546875" style="69" customWidth="1"/>
    <col min="19" max="19" width="16.7109375" style="69" customWidth="1"/>
    <col min="20" max="20" width="16.5703125" style="69" customWidth="1"/>
    <col min="21" max="21" width="16.7109375" style="69" customWidth="1"/>
    <col min="22" max="22" width="17.5703125" style="69" customWidth="1"/>
    <col min="23" max="23" width="18" style="69" customWidth="1"/>
    <col min="24" max="24" width="12.7109375" style="69" customWidth="1"/>
    <col min="25" max="25" width="16.85546875" style="69" customWidth="1"/>
    <col min="26" max="26" width="9.7109375" style="69" customWidth="1"/>
    <col min="27" max="27" width="14.140625" style="69" customWidth="1"/>
    <col min="28" max="28" width="9.7109375" style="69" customWidth="1"/>
    <col min="29" max="29" width="14.140625" style="69" customWidth="1"/>
    <col min="30" max="16384" width="9.140625" style="69"/>
  </cols>
  <sheetData>
    <row r="1" spans="1:54" x14ac:dyDescent="0.2">
      <c r="A1" s="835" t="s">
        <v>511</v>
      </c>
      <c r="B1" s="837"/>
      <c r="C1" s="902" t="str">
        <f>Cover!B1</f>
        <v>22-XXXX</v>
      </c>
      <c r="D1" s="903"/>
      <c r="E1" s="903"/>
      <c r="F1" s="904"/>
      <c r="G1" s="69"/>
      <c r="H1" s="69"/>
      <c r="I1" s="69"/>
    </row>
    <row r="2" spans="1:54" x14ac:dyDescent="0.2">
      <c r="A2" s="885" t="s">
        <v>1236</v>
      </c>
      <c r="B2" s="886"/>
      <c r="C2" s="887"/>
      <c r="D2" s="888"/>
      <c r="E2" s="888"/>
      <c r="F2" s="889"/>
      <c r="G2" s="69"/>
      <c r="H2" s="69"/>
      <c r="I2" s="69"/>
    </row>
    <row r="3" spans="1:54" x14ac:dyDescent="0.2">
      <c r="A3" s="885" t="s">
        <v>522</v>
      </c>
      <c r="B3" s="886"/>
      <c r="C3" s="905">
        <f>Cover!B2</f>
        <v>0</v>
      </c>
      <c r="D3" s="906"/>
      <c r="E3" s="906"/>
      <c r="F3" s="907"/>
      <c r="G3" s="69"/>
      <c r="H3" s="69"/>
      <c r="I3" s="69"/>
    </row>
    <row r="4" spans="1:54" x14ac:dyDescent="0.2">
      <c r="A4" s="885" t="s">
        <v>1229</v>
      </c>
      <c r="B4" s="886"/>
      <c r="C4" s="884">
        <f>Cover!B7</f>
        <v>0</v>
      </c>
      <c r="D4" s="817"/>
      <c r="E4" s="817"/>
      <c r="F4" s="818"/>
      <c r="G4" s="69"/>
      <c r="H4" s="69"/>
      <c r="I4" s="69"/>
    </row>
    <row r="5" spans="1:54" x14ac:dyDescent="0.2">
      <c r="A5" s="885" t="s">
        <v>528</v>
      </c>
      <c r="B5" s="886"/>
      <c r="C5" s="887" t="s">
        <v>573</v>
      </c>
      <c r="D5" s="888"/>
      <c r="E5" s="888"/>
      <c r="F5" s="889"/>
      <c r="G5" s="69"/>
      <c r="H5" s="69"/>
      <c r="I5" s="69"/>
    </row>
    <row r="6" spans="1:54" ht="15.75" customHeight="1" x14ac:dyDescent="0.2">
      <c r="A6" s="885" t="s">
        <v>512</v>
      </c>
      <c r="B6" s="886"/>
      <c r="C6" s="887" t="s">
        <v>584</v>
      </c>
      <c r="D6" s="888"/>
      <c r="E6" s="888"/>
      <c r="F6" s="889"/>
      <c r="G6" s="69"/>
      <c r="H6" s="69"/>
      <c r="I6" s="69"/>
    </row>
    <row r="7" spans="1:54" ht="15.75" customHeight="1" x14ac:dyDescent="0.2">
      <c r="A7" s="885" t="s">
        <v>612</v>
      </c>
      <c r="B7" s="886"/>
      <c r="C7" s="887" t="s">
        <v>188</v>
      </c>
      <c r="D7" s="888"/>
      <c r="E7" s="888"/>
      <c r="F7" s="889"/>
      <c r="G7" s="69"/>
      <c r="H7" s="69"/>
      <c r="I7" s="69"/>
    </row>
    <row r="8" spans="1:54" ht="2.25" customHeight="1" thickBot="1" x14ac:dyDescent="0.25">
      <c r="A8" s="900"/>
      <c r="B8" s="901"/>
      <c r="C8" s="894"/>
      <c r="D8" s="895"/>
      <c r="E8" s="895"/>
      <c r="F8" s="896"/>
      <c r="G8" s="69"/>
      <c r="H8" s="69"/>
      <c r="I8" s="69"/>
    </row>
    <row r="9" spans="1:54" s="73" customFormat="1" x14ac:dyDescent="0.2">
      <c r="A9" s="442">
        <v>39</v>
      </c>
      <c r="B9" s="443" t="s">
        <v>614</v>
      </c>
      <c r="D9" s="444"/>
      <c r="E9" s="444"/>
      <c r="F9" s="445"/>
    </row>
    <row r="10" spans="1:54" s="73" customFormat="1" ht="16.5" thickBot="1" x14ac:dyDescent="0.25">
      <c r="A10" s="446"/>
      <c r="D10" s="444"/>
      <c r="E10" s="444"/>
      <c r="F10" s="445"/>
      <c r="G10" s="447"/>
      <c r="H10" s="444"/>
      <c r="I10" s="444"/>
      <c r="J10" s="444"/>
    </row>
    <row r="11" spans="1:54" ht="19.5" thickBot="1" x14ac:dyDescent="0.25">
      <c r="A11" s="448" t="s">
        <v>613</v>
      </c>
      <c r="B11" s="449"/>
      <c r="C11" s="73"/>
      <c r="D11" s="444"/>
      <c r="E11" s="444"/>
      <c r="F11" s="445"/>
      <c r="G11" s="447"/>
      <c r="H11" s="444"/>
      <c r="I11" s="444"/>
      <c r="J11" s="444"/>
    </row>
    <row r="12" spans="1:54" s="78" customFormat="1" ht="16.5" thickBot="1" x14ac:dyDescent="0.25">
      <c r="A12" s="897" t="s">
        <v>616</v>
      </c>
      <c r="B12" s="898"/>
      <c r="C12" s="898"/>
      <c r="D12" s="898"/>
      <c r="E12" s="898"/>
      <c r="F12" s="898"/>
      <c r="G12" s="898"/>
      <c r="H12" s="898"/>
      <c r="I12" s="898"/>
      <c r="J12" s="899"/>
    </row>
    <row r="13" spans="1:54" ht="17.25" customHeight="1" x14ac:dyDescent="0.2">
      <c r="A13" s="450" t="s">
        <v>617</v>
      </c>
      <c r="B13" s="881" t="s">
        <v>618</v>
      </c>
      <c r="C13" s="881"/>
      <c r="D13" s="881"/>
      <c r="E13" s="881"/>
      <c r="F13" s="881"/>
      <c r="G13" s="881"/>
      <c r="H13" s="881"/>
      <c r="I13" s="881"/>
      <c r="J13" s="882" t="s">
        <v>622</v>
      </c>
      <c r="K13" s="883"/>
      <c r="L13" s="890" t="s">
        <v>623</v>
      </c>
      <c r="M13" s="891"/>
      <c r="N13" s="350" t="s">
        <v>4</v>
      </c>
    </row>
    <row r="14" spans="1:54" s="81" customFormat="1" x14ac:dyDescent="0.2">
      <c r="A14" s="451"/>
      <c r="B14" s="862"/>
      <c r="C14" s="892"/>
      <c r="D14" s="892"/>
      <c r="E14" s="892"/>
      <c r="F14" s="892"/>
      <c r="G14" s="892"/>
      <c r="H14" s="892"/>
      <c r="I14" s="892"/>
      <c r="J14" s="870"/>
      <c r="K14" s="855"/>
      <c r="L14" s="893"/>
      <c r="M14" s="871"/>
      <c r="N14" s="349" t="str">
        <f>IF($A14&gt;0,$A14,"")</f>
        <v/>
      </c>
    </row>
    <row r="15" spans="1:54" s="453" customFormat="1" x14ac:dyDescent="0.2">
      <c r="A15" s="452"/>
      <c r="B15" s="879"/>
      <c r="C15" s="880"/>
      <c r="D15" s="880"/>
      <c r="E15" s="880"/>
      <c r="F15" s="880"/>
      <c r="G15" s="880"/>
      <c r="H15" s="880"/>
      <c r="I15" s="880"/>
      <c r="J15" s="870"/>
      <c r="K15" s="855"/>
      <c r="L15" s="870"/>
      <c r="M15" s="871"/>
      <c r="N15" s="349" t="str">
        <f>IF($A15&gt;0,$A15,"")</f>
        <v/>
      </c>
      <c r="BB15" s="81"/>
    </row>
    <row r="16" spans="1:54" s="453" customFormat="1" x14ac:dyDescent="0.2">
      <c r="A16" s="452"/>
      <c r="B16" s="879"/>
      <c r="C16" s="880"/>
      <c r="D16" s="880"/>
      <c r="E16" s="880"/>
      <c r="F16" s="880"/>
      <c r="G16" s="880"/>
      <c r="H16" s="880"/>
      <c r="I16" s="880"/>
      <c r="J16" s="870"/>
      <c r="K16" s="855"/>
      <c r="L16" s="870"/>
      <c r="M16" s="871"/>
      <c r="N16" s="349" t="str">
        <f>IF($A16&gt;0,$A16,"")</f>
        <v/>
      </c>
      <c r="BB16" s="81"/>
    </row>
    <row r="17" spans="1:54" s="453" customFormat="1" ht="16.5" thickBot="1" x14ac:dyDescent="0.25">
      <c r="A17" s="454"/>
      <c r="B17" s="864"/>
      <c r="C17" s="865"/>
      <c r="D17" s="865"/>
      <c r="E17" s="865"/>
      <c r="F17" s="865"/>
      <c r="G17" s="865"/>
      <c r="H17" s="865"/>
      <c r="I17" s="865"/>
      <c r="J17" s="866"/>
      <c r="K17" s="867"/>
      <c r="L17" s="857"/>
      <c r="M17" s="858"/>
      <c r="N17" s="349" t="str">
        <f>IF($A17&gt;0,$A17,"")</f>
        <v/>
      </c>
      <c r="BB17" s="81"/>
    </row>
    <row r="18" spans="1:54" s="462" customFormat="1" ht="16.5" thickBot="1" x14ac:dyDescent="0.25">
      <c r="A18" s="455"/>
      <c r="B18" s="456"/>
      <c r="C18" s="457"/>
      <c r="D18" s="458"/>
      <c r="E18" s="458"/>
      <c r="F18" s="459"/>
      <c r="G18" s="459"/>
      <c r="H18" s="460"/>
      <c r="I18" s="461"/>
      <c r="J18" s="461"/>
      <c r="K18" s="457"/>
      <c r="L18" s="457"/>
      <c r="M18" s="457"/>
      <c r="N18" s="349" t="str">
        <f>IF($A18&gt;0,$A18,"")</f>
        <v/>
      </c>
      <c r="O18" s="457"/>
      <c r="P18" s="457"/>
      <c r="Q18" s="457"/>
      <c r="BB18" s="81"/>
    </row>
    <row r="19" spans="1:54" s="462" customFormat="1" ht="19.5" thickBot="1" x14ac:dyDescent="0.25">
      <c r="A19" s="448" t="s">
        <v>419</v>
      </c>
      <c r="B19" s="463"/>
      <c r="I19" s="461"/>
      <c r="J19" s="461"/>
      <c r="K19" s="457"/>
      <c r="L19" s="457"/>
      <c r="M19" s="457"/>
      <c r="N19" s="457"/>
      <c r="O19" s="457"/>
      <c r="P19" s="457"/>
      <c r="Q19" s="457"/>
    </row>
    <row r="20" spans="1:54" s="462" customFormat="1" x14ac:dyDescent="0.2">
      <c r="A20" s="464" t="s">
        <v>419</v>
      </c>
      <c r="B20" s="859" t="s">
        <v>618</v>
      </c>
      <c r="C20" s="860"/>
      <c r="D20" s="860"/>
      <c r="E20" s="860"/>
      <c r="F20" s="860"/>
      <c r="G20" s="860"/>
      <c r="H20" s="861"/>
      <c r="I20" s="461"/>
      <c r="J20" s="461"/>
      <c r="K20" s="457"/>
      <c r="L20" s="457"/>
      <c r="M20" s="457"/>
      <c r="N20" s="457"/>
      <c r="O20" s="457"/>
      <c r="P20" s="457"/>
      <c r="Q20" s="457"/>
    </row>
    <row r="21" spans="1:54" s="467" customFormat="1" ht="15.75" customHeight="1" x14ac:dyDescent="0.2">
      <c r="A21" s="451" t="s">
        <v>917</v>
      </c>
      <c r="B21" s="862" t="s">
        <v>922</v>
      </c>
      <c r="C21" s="862"/>
      <c r="D21" s="862"/>
      <c r="E21" s="862"/>
      <c r="F21" s="862"/>
      <c r="G21" s="862"/>
      <c r="H21" s="863"/>
      <c r="I21" s="220"/>
      <c r="J21" s="465"/>
      <c r="K21" s="466"/>
      <c r="L21" s="466"/>
      <c r="M21" s="466"/>
      <c r="N21" s="466"/>
      <c r="O21" s="466"/>
      <c r="P21" s="466"/>
      <c r="Q21" s="466"/>
    </row>
    <row r="22" spans="1:54" s="467" customFormat="1" x14ac:dyDescent="0.2">
      <c r="A22" s="468" t="s">
        <v>918</v>
      </c>
      <c r="B22" s="862" t="s">
        <v>1022</v>
      </c>
      <c r="C22" s="862"/>
      <c r="D22" s="862"/>
      <c r="E22" s="862"/>
      <c r="F22" s="862"/>
      <c r="G22" s="862"/>
      <c r="H22" s="863"/>
      <c r="I22" s="465"/>
      <c r="J22" s="465"/>
      <c r="K22" s="466"/>
      <c r="L22" s="466"/>
      <c r="M22" s="466"/>
      <c r="N22" s="466"/>
      <c r="O22" s="466"/>
      <c r="P22" s="466"/>
      <c r="Q22" s="466"/>
    </row>
    <row r="23" spans="1:54" s="467" customFormat="1" x14ac:dyDescent="0.2">
      <c r="A23" s="468" t="s">
        <v>919</v>
      </c>
      <c r="B23" s="862" t="s">
        <v>485</v>
      </c>
      <c r="C23" s="862"/>
      <c r="D23" s="862"/>
      <c r="E23" s="862"/>
      <c r="F23" s="862"/>
      <c r="G23" s="862"/>
      <c r="H23" s="863"/>
      <c r="I23" s="465"/>
      <c r="J23" s="465"/>
      <c r="K23" s="466"/>
      <c r="L23" s="466"/>
      <c r="M23" s="466"/>
      <c r="N23" s="466"/>
      <c r="O23" s="466"/>
      <c r="P23" s="466"/>
      <c r="Q23" s="466"/>
    </row>
    <row r="24" spans="1:54" s="467" customFormat="1" x14ac:dyDescent="0.2">
      <c r="A24" s="468" t="s">
        <v>920</v>
      </c>
      <c r="B24" s="862" t="s">
        <v>923</v>
      </c>
      <c r="C24" s="862"/>
      <c r="D24" s="862"/>
      <c r="E24" s="862"/>
      <c r="F24" s="862"/>
      <c r="G24" s="862"/>
      <c r="H24" s="863"/>
      <c r="I24" s="465"/>
      <c r="J24" s="465"/>
      <c r="K24" s="466"/>
      <c r="L24" s="466"/>
      <c r="M24" s="466"/>
      <c r="N24" s="466"/>
      <c r="O24" s="466"/>
      <c r="P24" s="466"/>
      <c r="Q24" s="466"/>
    </row>
    <row r="25" spans="1:54" s="467" customFormat="1" x14ac:dyDescent="0.2">
      <c r="A25" s="468" t="s">
        <v>921</v>
      </c>
      <c r="B25" s="854" t="s">
        <v>924</v>
      </c>
      <c r="C25" s="855"/>
      <c r="D25" s="855"/>
      <c r="E25" s="855"/>
      <c r="F25" s="855"/>
      <c r="G25" s="855"/>
      <c r="H25" s="856"/>
      <c r="I25" s="465"/>
      <c r="J25" s="465"/>
      <c r="K25" s="466"/>
      <c r="L25" s="466"/>
      <c r="M25" s="466"/>
      <c r="N25" s="466"/>
      <c r="O25" s="466"/>
      <c r="P25" s="466"/>
      <c r="Q25" s="466"/>
    </row>
    <row r="26" spans="1:54" s="467" customFormat="1" ht="16.5" thickBot="1" x14ac:dyDescent="0.25">
      <c r="A26" s="469"/>
      <c r="B26" s="877"/>
      <c r="C26" s="867"/>
      <c r="D26" s="867"/>
      <c r="E26" s="867"/>
      <c r="F26" s="867"/>
      <c r="G26" s="867"/>
      <c r="H26" s="878"/>
      <c r="I26" s="465"/>
      <c r="J26" s="465"/>
      <c r="K26" s="466"/>
      <c r="L26" s="466"/>
      <c r="M26" s="466"/>
      <c r="N26" s="466"/>
      <c r="O26" s="466"/>
      <c r="P26" s="466"/>
      <c r="Q26" s="466"/>
    </row>
    <row r="27" spans="1:54" s="462" customFormat="1" ht="16.5" thickBot="1" x14ac:dyDescent="0.25">
      <c r="A27" s="456"/>
      <c r="B27" s="95"/>
      <c r="C27" s="95"/>
      <c r="D27" s="95"/>
      <c r="E27" s="95"/>
      <c r="F27" s="95"/>
      <c r="G27" s="95"/>
      <c r="H27" s="95"/>
      <c r="I27" s="461"/>
      <c r="J27" s="461"/>
      <c r="K27" s="457"/>
      <c r="L27" s="457"/>
      <c r="M27" s="457"/>
      <c r="N27" s="457"/>
      <c r="O27" s="457"/>
      <c r="P27" s="457"/>
      <c r="Q27" s="457"/>
      <c r="R27" s="457"/>
      <c r="S27" s="457"/>
      <c r="T27" s="457"/>
      <c r="U27" s="457"/>
    </row>
    <row r="28" spans="1:54" s="462" customFormat="1" ht="19.5" thickBot="1" x14ac:dyDescent="0.25">
      <c r="A28" s="448" t="s">
        <v>624</v>
      </c>
      <c r="B28" s="449"/>
      <c r="I28" s="461"/>
      <c r="J28" s="461"/>
      <c r="K28" s="457"/>
      <c r="L28" s="457"/>
      <c r="M28" s="457"/>
      <c r="N28" s="457"/>
      <c r="O28" s="457"/>
      <c r="P28" s="457"/>
      <c r="Q28" s="457"/>
      <c r="R28" s="457"/>
      <c r="S28" s="457"/>
      <c r="T28" s="457"/>
      <c r="U28" s="457"/>
    </row>
    <row r="29" spans="1:54" s="462" customFormat="1" x14ac:dyDescent="0.2">
      <c r="A29" s="223" t="s">
        <v>886</v>
      </c>
      <c r="B29" s="470"/>
      <c r="C29" s="471"/>
      <c r="D29" s="472"/>
      <c r="E29" s="472"/>
      <c r="F29" s="473"/>
      <c r="G29" s="473"/>
      <c r="H29" s="473"/>
      <c r="I29" s="474"/>
      <c r="J29" s="475"/>
      <c r="K29" s="476"/>
      <c r="L29" s="457"/>
      <c r="M29" s="457"/>
      <c r="N29" s="457"/>
      <c r="O29" s="457"/>
      <c r="P29" s="457"/>
      <c r="Q29" s="457"/>
      <c r="R29" s="457"/>
      <c r="S29" s="457"/>
      <c r="T29" s="457"/>
      <c r="U29" s="457"/>
      <c r="V29" s="457"/>
    </row>
    <row r="30" spans="1:54" s="462" customFormat="1" x14ac:dyDescent="0.2">
      <c r="A30" s="96" t="s">
        <v>626</v>
      </c>
      <c r="B30" s="214"/>
      <c r="C30" s="477"/>
      <c r="D30" s="478"/>
      <c r="E30" s="478"/>
      <c r="F30" s="479"/>
      <c r="G30" s="479"/>
      <c r="H30" s="479"/>
      <c r="I30" s="480"/>
      <c r="J30" s="481"/>
      <c r="K30" s="482"/>
      <c r="L30" s="457"/>
      <c r="M30" s="457"/>
      <c r="N30" s="457"/>
      <c r="O30" s="457"/>
      <c r="P30" s="457"/>
      <c r="Q30" s="457"/>
      <c r="R30" s="457"/>
    </row>
    <row r="31" spans="1:54" s="462" customFormat="1" ht="16.5" thickBot="1" x14ac:dyDescent="0.25">
      <c r="A31" s="110" t="s">
        <v>172</v>
      </c>
      <c r="B31" s="483"/>
      <c r="C31" s="484"/>
      <c r="D31" s="485"/>
      <c r="E31" s="485"/>
      <c r="F31" s="486"/>
      <c r="G31" s="486"/>
      <c r="H31" s="486"/>
      <c r="I31" s="487"/>
      <c r="J31" s="488"/>
      <c r="K31" s="489"/>
      <c r="L31" s="457"/>
      <c r="M31" s="457"/>
      <c r="N31" s="457"/>
      <c r="O31" s="457"/>
      <c r="P31" s="457"/>
      <c r="Q31" s="457"/>
      <c r="R31" s="457"/>
      <c r="S31" s="118"/>
      <c r="T31" s="118"/>
      <c r="U31" s="118"/>
      <c r="V31" s="457"/>
      <c r="W31" s="457"/>
      <c r="X31" s="457"/>
    </row>
    <row r="32" spans="1:54" s="491" customFormat="1" ht="32.25" customHeight="1" x14ac:dyDescent="0.2">
      <c r="A32" s="875" t="s">
        <v>627</v>
      </c>
      <c r="B32" s="868" t="s">
        <v>628</v>
      </c>
      <c r="C32" s="868" t="s">
        <v>11</v>
      </c>
      <c r="D32" s="868" t="s">
        <v>12</v>
      </c>
      <c r="E32" s="868" t="s">
        <v>13</v>
      </c>
      <c r="F32" s="868" t="s">
        <v>14</v>
      </c>
      <c r="G32" s="868" t="s">
        <v>15</v>
      </c>
      <c r="H32" s="868" t="s">
        <v>16</v>
      </c>
      <c r="I32" s="868" t="s">
        <v>17</v>
      </c>
      <c r="J32" s="868" t="s">
        <v>18</v>
      </c>
      <c r="K32" s="868" t="s">
        <v>19</v>
      </c>
      <c r="L32" s="868" t="s">
        <v>20</v>
      </c>
      <c r="M32" s="490"/>
      <c r="N32" s="490"/>
      <c r="O32" s="490"/>
      <c r="P32" s="490"/>
      <c r="Q32" s="490"/>
      <c r="R32" s="490"/>
      <c r="S32" s="490"/>
      <c r="T32" s="490"/>
      <c r="U32" s="490"/>
      <c r="V32" s="490"/>
      <c r="W32" s="490"/>
      <c r="X32" s="868" t="s">
        <v>22</v>
      </c>
      <c r="Y32" s="868" t="s">
        <v>23</v>
      </c>
      <c r="Z32" s="868" t="s">
        <v>24</v>
      </c>
      <c r="AA32" s="922" t="s">
        <v>352</v>
      </c>
    </row>
    <row r="33" spans="1:27" s="491" customFormat="1" ht="16.5" thickBot="1" x14ac:dyDescent="0.25">
      <c r="A33" s="876"/>
      <c r="B33" s="869"/>
      <c r="C33" s="869"/>
      <c r="D33" s="869"/>
      <c r="E33" s="869"/>
      <c r="F33" s="869"/>
      <c r="G33" s="872"/>
      <c r="H33" s="869"/>
      <c r="I33" s="869"/>
      <c r="J33" s="869"/>
      <c r="K33" s="869"/>
      <c r="L33" s="869"/>
      <c r="M33" s="492"/>
      <c r="N33" s="492"/>
      <c r="O33" s="492"/>
      <c r="P33" s="492"/>
      <c r="Q33" s="492"/>
      <c r="R33" s="492"/>
      <c r="S33" s="492"/>
      <c r="T33" s="492"/>
      <c r="U33" s="492"/>
      <c r="V33" s="492"/>
      <c r="W33" s="492"/>
      <c r="X33" s="869"/>
      <c r="Y33" s="869"/>
      <c r="Z33" s="869"/>
      <c r="AA33" s="923"/>
    </row>
    <row r="34" spans="1:27" s="136" customFormat="1" x14ac:dyDescent="0.2">
      <c r="A34" s="493"/>
      <c r="B34" s="49"/>
      <c r="C34" s="225"/>
      <c r="D34" s="225"/>
      <c r="E34" s="225"/>
      <c r="F34" s="225"/>
      <c r="G34" s="120"/>
      <c r="H34" s="225"/>
      <c r="I34" s="263"/>
      <c r="J34" s="263"/>
      <c r="K34" s="263"/>
      <c r="L34" s="263"/>
      <c r="M34" s="120"/>
      <c r="N34" s="120"/>
      <c r="O34" s="120"/>
      <c r="P34" s="226"/>
      <c r="Q34" s="226"/>
      <c r="R34" s="226"/>
      <c r="S34" s="120"/>
      <c r="T34" s="120"/>
      <c r="U34" s="120"/>
      <c r="V34" s="120"/>
      <c r="W34" s="120"/>
      <c r="X34" s="227"/>
      <c r="Y34" s="227"/>
      <c r="Z34" s="120"/>
      <c r="AA34" s="121"/>
    </row>
    <row r="35" spans="1:27" s="136" customFormat="1" x14ac:dyDescent="0.2">
      <c r="A35" s="494"/>
      <c r="B35" s="123"/>
      <c r="C35" s="123"/>
      <c r="D35" s="123"/>
      <c r="E35" s="123"/>
      <c r="F35" s="123"/>
      <c r="G35" s="124"/>
      <c r="H35" s="123"/>
      <c r="I35" s="255"/>
      <c r="J35" s="255"/>
      <c r="K35" s="255"/>
      <c r="L35" s="255"/>
      <c r="M35" s="125"/>
      <c r="N35" s="124"/>
      <c r="O35" s="124"/>
      <c r="P35" s="125"/>
      <c r="Q35" s="125"/>
      <c r="R35" s="125"/>
      <c r="S35" s="124"/>
      <c r="T35" s="124"/>
      <c r="U35" s="124"/>
      <c r="V35" s="124"/>
      <c r="W35" s="124"/>
      <c r="X35" s="126"/>
      <c r="Y35" s="126"/>
      <c r="Z35" s="124"/>
      <c r="AA35" s="127"/>
    </row>
    <row r="36" spans="1:27" s="136" customFormat="1" x14ac:dyDescent="0.2">
      <c r="A36" s="494"/>
      <c r="B36" s="123"/>
      <c r="C36" s="123"/>
      <c r="D36" s="123"/>
      <c r="E36" s="123"/>
      <c r="F36" s="123"/>
      <c r="G36" s="124"/>
      <c r="H36" s="123"/>
      <c r="I36" s="255"/>
      <c r="J36" s="255"/>
      <c r="K36" s="255"/>
      <c r="L36" s="255"/>
      <c r="M36" s="125"/>
      <c r="N36" s="124"/>
      <c r="O36" s="124"/>
      <c r="P36" s="125"/>
      <c r="Q36" s="125"/>
      <c r="R36" s="125"/>
      <c r="S36" s="124"/>
      <c r="T36" s="124"/>
      <c r="U36" s="124"/>
      <c r="V36" s="124"/>
      <c r="W36" s="124"/>
      <c r="X36" s="126"/>
      <c r="Y36" s="126"/>
      <c r="Z36" s="124"/>
      <c r="AA36" s="127"/>
    </row>
    <row r="37" spans="1:27" s="136" customFormat="1" ht="16.5" thickBot="1" x14ac:dyDescent="0.25">
      <c r="A37" s="495"/>
      <c r="B37" s="128"/>
      <c r="C37" s="128"/>
      <c r="D37" s="128"/>
      <c r="E37" s="128"/>
      <c r="F37" s="128"/>
      <c r="G37" s="129"/>
      <c r="H37" s="128"/>
      <c r="I37" s="256"/>
      <c r="J37" s="256"/>
      <c r="K37" s="256"/>
      <c r="L37" s="256"/>
      <c r="M37" s="129"/>
      <c r="N37" s="129"/>
      <c r="O37" s="129"/>
      <c r="P37" s="130"/>
      <c r="Q37" s="130"/>
      <c r="R37" s="130"/>
      <c r="S37" s="129"/>
      <c r="T37" s="129"/>
      <c r="U37" s="129"/>
      <c r="V37" s="129"/>
      <c r="W37" s="129"/>
      <c r="X37" s="131"/>
      <c r="Y37" s="131"/>
      <c r="Z37" s="129"/>
      <c r="AA37" s="132"/>
    </row>
    <row r="38" spans="1:27" s="73" customFormat="1" x14ac:dyDescent="0.2">
      <c r="A38" s="133"/>
      <c r="B38" s="133"/>
      <c r="C38" s="133"/>
      <c r="D38" s="133"/>
      <c r="E38" s="133"/>
      <c r="F38" s="133"/>
      <c r="G38" s="118"/>
      <c r="H38" s="118"/>
      <c r="I38" s="118"/>
      <c r="J38" s="118"/>
      <c r="K38" s="118"/>
      <c r="L38" s="118"/>
      <c r="M38" s="134"/>
      <c r="N38" s="118"/>
      <c r="O38" s="159"/>
      <c r="P38" s="159"/>
      <c r="Q38" s="159"/>
      <c r="R38" s="159"/>
      <c r="S38" s="159"/>
      <c r="T38" s="159"/>
      <c r="U38" s="159"/>
      <c r="V38" s="159"/>
      <c r="W38" s="466"/>
    </row>
    <row r="39" spans="1:27" s="73" customFormat="1" ht="16.5" thickBot="1" x14ac:dyDescent="0.25">
      <c r="A39" s="133"/>
      <c r="B39" s="133"/>
      <c r="C39" s="133"/>
      <c r="D39" s="133"/>
      <c r="E39" s="133"/>
      <c r="F39" s="133"/>
      <c r="G39" s="118"/>
      <c r="H39" s="118"/>
      <c r="I39" s="118"/>
      <c r="J39" s="118"/>
      <c r="K39" s="118"/>
      <c r="N39" s="118"/>
      <c r="O39" s="159"/>
      <c r="P39" s="159"/>
      <c r="Q39" s="159"/>
      <c r="R39" s="159"/>
      <c r="S39" s="159"/>
      <c r="T39" s="159"/>
      <c r="U39" s="159"/>
      <c r="V39" s="159"/>
      <c r="W39" s="467"/>
    </row>
    <row r="40" spans="1:27" s="73" customFormat="1" ht="16.5" thickBot="1" x14ac:dyDescent="0.25">
      <c r="A40" s="496" t="s">
        <v>25</v>
      </c>
      <c r="B40" s="133"/>
      <c r="C40" s="133"/>
      <c r="D40" s="133"/>
      <c r="E40" s="133"/>
      <c r="F40" s="133"/>
      <c r="G40" s="118"/>
      <c r="H40" s="118"/>
      <c r="I40" s="118"/>
      <c r="J40" s="118"/>
      <c r="K40" s="118"/>
      <c r="M40" s="118"/>
      <c r="N40" s="118"/>
      <c r="O40" s="159"/>
      <c r="P40" s="136"/>
      <c r="Q40" s="136"/>
      <c r="R40" s="136"/>
      <c r="S40" s="466"/>
      <c r="T40" s="466"/>
      <c r="U40" s="466"/>
      <c r="V40" s="466"/>
      <c r="W40" s="159"/>
    </row>
    <row r="41" spans="1:27" s="73" customFormat="1" ht="15.75" customHeight="1" x14ac:dyDescent="0.2">
      <c r="A41" s="875" t="s">
        <v>627</v>
      </c>
      <c r="B41" s="868" t="s">
        <v>628</v>
      </c>
      <c r="C41" s="868" t="s">
        <v>11</v>
      </c>
      <c r="D41" s="868" t="s">
        <v>12</v>
      </c>
      <c r="E41" s="868" t="s">
        <v>13</v>
      </c>
      <c r="F41" s="868" t="s">
        <v>14</v>
      </c>
      <c r="G41" s="868" t="s">
        <v>15</v>
      </c>
      <c r="H41" s="868" t="s">
        <v>16</v>
      </c>
      <c r="I41" s="868" t="s">
        <v>26</v>
      </c>
      <c r="J41" s="868" t="s">
        <v>27</v>
      </c>
      <c r="K41" s="945" t="s">
        <v>295</v>
      </c>
      <c r="L41" s="497" t="s">
        <v>63</v>
      </c>
      <c r="M41" s="498" t="s">
        <v>64</v>
      </c>
      <c r="N41" s="499" t="s">
        <v>65</v>
      </c>
      <c r="O41" s="490"/>
      <c r="P41" s="490"/>
      <c r="Q41" s="490"/>
      <c r="R41" s="490"/>
      <c r="S41" s="490"/>
      <c r="T41" s="490"/>
      <c r="U41" s="490"/>
      <c r="V41" s="490"/>
      <c r="W41" s="490"/>
      <c r="X41" s="868" t="s">
        <v>22</v>
      </c>
      <c r="Y41" s="868" t="s">
        <v>23</v>
      </c>
      <c r="Z41" s="868" t="s">
        <v>24</v>
      </c>
      <c r="AA41" s="922" t="s">
        <v>352</v>
      </c>
    </row>
    <row r="42" spans="1:27" s="73" customFormat="1" ht="31.7" customHeight="1" thickBot="1" x14ac:dyDescent="0.25">
      <c r="A42" s="876"/>
      <c r="B42" s="869"/>
      <c r="C42" s="869"/>
      <c r="D42" s="869"/>
      <c r="E42" s="869"/>
      <c r="F42" s="869"/>
      <c r="G42" s="872"/>
      <c r="H42" s="869"/>
      <c r="I42" s="869"/>
      <c r="J42" s="869"/>
      <c r="K42" s="946"/>
      <c r="L42" s="500" t="s">
        <v>66</v>
      </c>
      <c r="M42" s="501" t="s">
        <v>67</v>
      </c>
      <c r="N42" s="502" t="s">
        <v>68</v>
      </c>
      <c r="O42" s="503"/>
      <c r="P42" s="492"/>
      <c r="Q42" s="492"/>
      <c r="R42" s="492"/>
      <c r="S42" s="492"/>
      <c r="T42" s="492"/>
      <c r="U42" s="492"/>
      <c r="V42" s="492"/>
      <c r="W42" s="492"/>
      <c r="X42" s="869"/>
      <c r="Y42" s="869"/>
      <c r="Z42" s="869"/>
      <c r="AA42" s="923"/>
    </row>
    <row r="43" spans="1:27" s="136" customFormat="1" x14ac:dyDescent="0.2">
      <c r="A43" s="493"/>
      <c r="B43" s="225"/>
      <c r="C43" s="225"/>
      <c r="D43" s="225"/>
      <c r="E43" s="225"/>
      <c r="F43" s="225"/>
      <c r="G43" s="120"/>
      <c r="H43" s="225"/>
      <c r="I43" s="263"/>
      <c r="J43" s="263"/>
      <c r="K43" s="265"/>
      <c r="L43" s="268"/>
      <c r="M43" s="120"/>
      <c r="N43" s="121"/>
      <c r="O43" s="269"/>
      <c r="P43" s="226"/>
      <c r="Q43" s="226"/>
      <c r="R43" s="226"/>
      <c r="S43" s="120"/>
      <c r="T43" s="120"/>
      <c r="U43" s="120"/>
      <c r="V43" s="120"/>
      <c r="W43" s="120"/>
      <c r="X43" s="227"/>
      <c r="Y43" s="227"/>
      <c r="Z43" s="120"/>
      <c r="AA43" s="121"/>
    </row>
    <row r="44" spans="1:27" s="136" customFormat="1" x14ac:dyDescent="0.2">
      <c r="A44" s="494"/>
      <c r="B44" s="123"/>
      <c r="C44" s="123"/>
      <c r="D44" s="123"/>
      <c r="E44" s="123"/>
      <c r="F44" s="123"/>
      <c r="G44" s="124"/>
      <c r="H44" s="123"/>
      <c r="I44" s="255"/>
      <c r="J44" s="255"/>
      <c r="K44" s="266"/>
      <c r="L44" s="259"/>
      <c r="M44" s="124"/>
      <c r="N44" s="127"/>
      <c r="O44" s="248"/>
      <c r="P44" s="125"/>
      <c r="Q44" s="125"/>
      <c r="R44" s="125"/>
      <c r="S44" s="124"/>
      <c r="T44" s="124"/>
      <c r="U44" s="124"/>
      <c r="V44" s="124"/>
      <c r="W44" s="124"/>
      <c r="X44" s="126"/>
      <c r="Y44" s="126"/>
      <c r="Z44" s="124"/>
      <c r="AA44" s="127"/>
    </row>
    <row r="45" spans="1:27" s="136" customFormat="1" x14ac:dyDescent="0.2">
      <c r="A45" s="494"/>
      <c r="B45" s="123"/>
      <c r="C45" s="123"/>
      <c r="D45" s="123"/>
      <c r="E45" s="123"/>
      <c r="F45" s="123"/>
      <c r="G45" s="124"/>
      <c r="H45" s="123"/>
      <c r="I45" s="255"/>
      <c r="J45" s="255"/>
      <c r="K45" s="266"/>
      <c r="L45" s="259"/>
      <c r="M45" s="124"/>
      <c r="N45" s="127"/>
      <c r="O45" s="248"/>
      <c r="P45" s="125"/>
      <c r="Q45" s="125"/>
      <c r="R45" s="125"/>
      <c r="S45" s="124"/>
      <c r="T45" s="124"/>
      <c r="U45" s="124"/>
      <c r="V45" s="124"/>
      <c r="W45" s="124"/>
      <c r="X45" s="126"/>
      <c r="Y45" s="126"/>
      <c r="Z45" s="124"/>
      <c r="AA45" s="127"/>
    </row>
    <row r="46" spans="1:27" s="136" customFormat="1" ht="16.5" thickBot="1" x14ac:dyDescent="0.25">
      <c r="A46" s="495"/>
      <c r="B46" s="128"/>
      <c r="C46" s="128"/>
      <c r="D46" s="128"/>
      <c r="E46" s="128"/>
      <c r="F46" s="128"/>
      <c r="G46" s="129"/>
      <c r="H46" s="128"/>
      <c r="I46" s="256"/>
      <c r="J46" s="256"/>
      <c r="K46" s="267"/>
      <c r="L46" s="137"/>
      <c r="M46" s="129"/>
      <c r="N46" s="132"/>
      <c r="O46" s="137"/>
      <c r="P46" s="129"/>
      <c r="Q46" s="129"/>
      <c r="R46" s="129"/>
      <c r="S46" s="129"/>
      <c r="T46" s="129"/>
      <c r="U46" s="129"/>
      <c r="V46" s="129"/>
      <c r="W46" s="129"/>
      <c r="X46" s="131"/>
      <c r="Y46" s="131"/>
      <c r="Z46" s="129"/>
      <c r="AA46" s="132"/>
    </row>
    <row r="47" spans="1:27" s="73" customFormat="1" x14ac:dyDescent="0.2">
      <c r="A47" s="133"/>
      <c r="B47" s="133"/>
      <c r="C47" s="133"/>
      <c r="D47" s="133"/>
      <c r="E47" s="133"/>
      <c r="F47" s="133"/>
      <c r="G47" s="118"/>
      <c r="H47" s="118"/>
      <c r="I47" s="118"/>
      <c r="J47" s="118"/>
      <c r="K47" s="118"/>
      <c r="L47" s="118"/>
      <c r="M47" s="118"/>
      <c r="N47" s="118"/>
      <c r="O47" s="160"/>
      <c r="P47" s="159"/>
      <c r="Q47" s="159"/>
      <c r="R47" s="159"/>
      <c r="S47" s="136"/>
      <c r="T47" s="136"/>
      <c r="U47" s="136"/>
      <c r="V47" s="136"/>
      <c r="W47" s="136"/>
      <c r="X47" s="118"/>
    </row>
    <row r="48" spans="1:27" s="73" customFormat="1" ht="16.5" thickBot="1" x14ac:dyDescent="0.25">
      <c r="A48" s="133"/>
      <c r="B48" s="133"/>
      <c r="C48" s="133"/>
      <c r="D48" s="133"/>
      <c r="E48" s="133"/>
      <c r="F48" s="133"/>
      <c r="G48" s="118"/>
      <c r="H48" s="118"/>
      <c r="I48" s="118"/>
      <c r="J48" s="118"/>
      <c r="K48" s="118"/>
      <c r="L48" s="118"/>
      <c r="M48" s="118"/>
      <c r="N48" s="118"/>
      <c r="O48" s="160"/>
      <c r="P48" s="159"/>
      <c r="Q48" s="159"/>
      <c r="R48" s="159"/>
      <c r="S48" s="136"/>
      <c r="T48" s="136"/>
      <c r="U48" s="136"/>
      <c r="V48" s="136"/>
      <c r="W48" s="136"/>
      <c r="X48" s="118"/>
    </row>
    <row r="49" spans="1:29" s="73" customFormat="1" ht="16.5" thickBot="1" x14ac:dyDescent="0.25">
      <c r="A49" s="822" t="s">
        <v>307</v>
      </c>
      <c r="B49" s="873"/>
      <c r="C49" s="873"/>
      <c r="D49" s="874"/>
      <c r="E49" s="133"/>
      <c r="F49" s="133"/>
      <c r="G49" s="118"/>
      <c r="H49" s="118"/>
      <c r="I49" s="118"/>
      <c r="J49" s="118"/>
      <c r="K49" s="118"/>
      <c r="L49" s="118"/>
      <c r="M49" s="118"/>
      <c r="N49" s="118"/>
      <c r="O49" s="136"/>
      <c r="P49" s="159"/>
      <c r="Q49" s="159"/>
      <c r="R49" s="159"/>
      <c r="S49" s="466"/>
      <c r="T49" s="466"/>
      <c r="U49" s="466"/>
      <c r="V49" s="466"/>
      <c r="W49" s="159"/>
      <c r="X49" s="118"/>
      <c r="Y49" s="118"/>
    </row>
    <row r="50" spans="1:29" s="73" customFormat="1" ht="15.75" customHeight="1" x14ac:dyDescent="0.2">
      <c r="A50" s="875" t="s">
        <v>627</v>
      </c>
      <c r="B50" s="868" t="s">
        <v>628</v>
      </c>
      <c r="C50" s="868" t="s">
        <v>11</v>
      </c>
      <c r="D50" s="868" t="s">
        <v>12</v>
      </c>
      <c r="E50" s="868" t="s">
        <v>13</v>
      </c>
      <c r="F50" s="868" t="s">
        <v>14</v>
      </c>
      <c r="G50" s="868" t="s">
        <v>15</v>
      </c>
      <c r="H50" s="868" t="s">
        <v>16</v>
      </c>
      <c r="I50" s="868">
        <v>20</v>
      </c>
      <c r="J50" s="868">
        <v>40</v>
      </c>
      <c r="K50" s="868" t="s">
        <v>19</v>
      </c>
      <c r="L50" s="922" t="s">
        <v>20</v>
      </c>
      <c r="M50" s="943" t="s">
        <v>28</v>
      </c>
      <c r="N50" s="504" t="s">
        <v>69</v>
      </c>
      <c r="O50" s="498" t="s">
        <v>64</v>
      </c>
      <c r="P50" s="499" t="s">
        <v>65</v>
      </c>
      <c r="Q50" s="490" t="s">
        <v>147</v>
      </c>
      <c r="R50" s="490" t="s">
        <v>71</v>
      </c>
      <c r="S50" s="490"/>
      <c r="T50" s="490"/>
      <c r="U50" s="490"/>
      <c r="V50" s="490"/>
      <c r="W50" s="490"/>
      <c r="X50" s="490"/>
      <c r="Y50" s="490"/>
      <c r="Z50" s="868" t="s">
        <v>22</v>
      </c>
      <c r="AA50" s="868" t="s">
        <v>23</v>
      </c>
      <c r="AB50" s="868" t="s">
        <v>24</v>
      </c>
      <c r="AC50" s="922" t="s">
        <v>352</v>
      </c>
    </row>
    <row r="51" spans="1:29" s="73" customFormat="1" ht="48" thickBot="1" x14ac:dyDescent="0.25">
      <c r="A51" s="876"/>
      <c r="B51" s="869"/>
      <c r="C51" s="869"/>
      <c r="D51" s="869"/>
      <c r="E51" s="869"/>
      <c r="F51" s="869"/>
      <c r="G51" s="872"/>
      <c r="H51" s="869"/>
      <c r="I51" s="869"/>
      <c r="J51" s="869"/>
      <c r="K51" s="869"/>
      <c r="L51" s="923"/>
      <c r="M51" s="944"/>
      <c r="N51" s="505" t="s">
        <v>70</v>
      </c>
      <c r="O51" s="501" t="s">
        <v>67</v>
      </c>
      <c r="P51" s="502" t="s">
        <v>68</v>
      </c>
      <c r="Q51" s="503" t="s">
        <v>84</v>
      </c>
      <c r="R51" s="492" t="s">
        <v>84</v>
      </c>
      <c r="S51" s="492"/>
      <c r="T51" s="492"/>
      <c r="U51" s="492"/>
      <c r="V51" s="492"/>
      <c r="W51" s="492"/>
      <c r="X51" s="492"/>
      <c r="Y51" s="492"/>
      <c r="Z51" s="924"/>
      <c r="AA51" s="924"/>
      <c r="AB51" s="924"/>
      <c r="AC51" s="923"/>
    </row>
    <row r="52" spans="1:29" s="136" customFormat="1" x14ac:dyDescent="0.2">
      <c r="A52" s="493"/>
      <c r="B52" s="225"/>
      <c r="C52" s="225"/>
      <c r="D52" s="225"/>
      <c r="E52" s="225"/>
      <c r="F52" s="225"/>
      <c r="G52" s="120"/>
      <c r="H52" s="225"/>
      <c r="I52" s="263"/>
      <c r="J52" s="263"/>
      <c r="K52" s="263"/>
      <c r="L52" s="265"/>
      <c r="M52" s="270"/>
      <c r="N52" s="268"/>
      <c r="O52" s="120"/>
      <c r="P52" s="121"/>
      <c r="Q52" s="269"/>
      <c r="R52" s="226"/>
      <c r="S52" s="226"/>
      <c r="T52" s="226"/>
      <c r="U52" s="226"/>
      <c r="V52" s="226"/>
      <c r="W52" s="120"/>
      <c r="X52" s="120"/>
      <c r="Y52" s="120"/>
      <c r="Z52" s="227"/>
      <c r="AA52" s="227"/>
      <c r="AB52" s="120"/>
      <c r="AC52" s="121"/>
    </row>
    <row r="53" spans="1:29" s="136" customFormat="1" x14ac:dyDescent="0.2">
      <c r="A53" s="494"/>
      <c r="B53" s="123"/>
      <c r="C53" s="123"/>
      <c r="D53" s="123"/>
      <c r="E53" s="123"/>
      <c r="F53" s="123"/>
      <c r="G53" s="124"/>
      <c r="H53" s="123"/>
      <c r="I53" s="255"/>
      <c r="J53" s="255"/>
      <c r="K53" s="255"/>
      <c r="L53" s="266"/>
      <c r="M53" s="271"/>
      <c r="N53" s="259"/>
      <c r="O53" s="124"/>
      <c r="P53" s="127"/>
      <c r="Q53" s="248"/>
      <c r="R53" s="125"/>
      <c r="S53" s="125"/>
      <c r="T53" s="125"/>
      <c r="U53" s="125"/>
      <c r="V53" s="125"/>
      <c r="W53" s="124"/>
      <c r="X53" s="124"/>
      <c r="Y53" s="124"/>
      <c r="Z53" s="126"/>
      <c r="AA53" s="126"/>
      <c r="AB53" s="124"/>
      <c r="AC53" s="127"/>
    </row>
    <row r="54" spans="1:29" s="136" customFormat="1" x14ac:dyDescent="0.2">
      <c r="A54" s="494"/>
      <c r="B54" s="123"/>
      <c r="C54" s="123"/>
      <c r="D54" s="123"/>
      <c r="E54" s="123"/>
      <c r="F54" s="123"/>
      <c r="G54" s="124"/>
      <c r="H54" s="123"/>
      <c r="I54" s="255"/>
      <c r="J54" s="255"/>
      <c r="K54" s="255"/>
      <c r="L54" s="266"/>
      <c r="M54" s="271"/>
      <c r="N54" s="259"/>
      <c r="O54" s="124"/>
      <c r="P54" s="127"/>
      <c r="Q54" s="248"/>
      <c r="R54" s="125"/>
      <c r="S54" s="125"/>
      <c r="T54" s="125"/>
      <c r="U54" s="125"/>
      <c r="V54" s="125"/>
      <c r="W54" s="124"/>
      <c r="X54" s="124"/>
      <c r="Y54" s="124"/>
      <c r="Z54" s="126"/>
      <c r="AA54" s="126"/>
      <c r="AB54" s="124"/>
      <c r="AC54" s="127"/>
    </row>
    <row r="55" spans="1:29" s="136" customFormat="1" ht="16.5" thickBot="1" x14ac:dyDescent="0.25">
      <c r="A55" s="495"/>
      <c r="B55" s="128"/>
      <c r="C55" s="128"/>
      <c r="D55" s="128"/>
      <c r="E55" s="128"/>
      <c r="F55" s="128"/>
      <c r="G55" s="129"/>
      <c r="H55" s="128"/>
      <c r="I55" s="256"/>
      <c r="J55" s="256"/>
      <c r="K55" s="256"/>
      <c r="L55" s="267"/>
      <c r="M55" s="161"/>
      <c r="N55" s="137"/>
      <c r="O55" s="129"/>
      <c r="P55" s="132"/>
      <c r="Q55" s="137"/>
      <c r="R55" s="129"/>
      <c r="S55" s="129"/>
      <c r="T55" s="129"/>
      <c r="U55" s="129"/>
      <c r="V55" s="129"/>
      <c r="W55" s="129"/>
      <c r="X55" s="129"/>
      <c r="Y55" s="129"/>
      <c r="Z55" s="131"/>
      <c r="AA55" s="131"/>
      <c r="AB55" s="129"/>
      <c r="AC55" s="132"/>
    </row>
    <row r="56" spans="1:29" s="73" customFormat="1" x14ac:dyDescent="0.2">
      <c r="A56" s="133"/>
      <c r="B56" s="133"/>
      <c r="C56" s="133"/>
      <c r="D56" s="133"/>
      <c r="E56" s="133"/>
      <c r="F56" s="133"/>
      <c r="G56" s="118"/>
      <c r="H56" s="118"/>
      <c r="I56" s="118"/>
      <c r="J56" s="118"/>
      <c r="K56" s="118"/>
      <c r="M56" s="118"/>
      <c r="V56" s="118"/>
      <c r="W56" s="118"/>
    </row>
    <row r="57" spans="1:29" s="73" customFormat="1" x14ac:dyDescent="0.2">
      <c r="A57" s="133"/>
      <c r="B57" s="133"/>
      <c r="C57" s="133"/>
      <c r="D57" s="133"/>
      <c r="E57" s="133"/>
      <c r="F57" s="118"/>
      <c r="G57" s="118"/>
      <c r="H57" s="118"/>
      <c r="I57" s="118"/>
      <c r="J57" s="118"/>
      <c r="K57" s="134"/>
      <c r="L57" s="118"/>
      <c r="M57" s="118"/>
      <c r="N57" s="118"/>
      <c r="S57" s="118"/>
      <c r="T57" s="118"/>
      <c r="U57" s="118"/>
    </row>
    <row r="58" spans="1:29" s="456" customFormat="1" ht="16.5" thickBot="1" x14ac:dyDescent="0.25">
      <c r="A58" s="133"/>
      <c r="B58" s="133"/>
      <c r="C58" s="133"/>
      <c r="D58" s="133"/>
      <c r="E58" s="118"/>
      <c r="F58" s="118"/>
      <c r="G58" s="118"/>
      <c r="H58" s="118"/>
      <c r="I58" s="118"/>
      <c r="J58" s="134"/>
      <c r="K58" s="134"/>
      <c r="L58" s="134"/>
      <c r="M58" s="134"/>
      <c r="R58" s="134"/>
    </row>
    <row r="59" spans="1:29" s="456" customFormat="1" ht="19.5" thickBot="1" x14ac:dyDescent="0.25">
      <c r="A59" s="938" t="s">
        <v>29</v>
      </c>
      <c r="B59" s="939"/>
      <c r="C59" s="940"/>
      <c r="D59" s="133"/>
      <c r="E59" s="133"/>
      <c r="F59" s="118"/>
      <c r="G59" s="118"/>
      <c r="H59" s="118"/>
      <c r="I59" s="118"/>
      <c r="J59" s="118"/>
      <c r="K59" s="134"/>
      <c r="L59" s="134"/>
      <c r="M59" s="134"/>
      <c r="N59" s="134"/>
      <c r="S59" s="134"/>
      <c r="T59" s="134"/>
      <c r="U59" s="134"/>
    </row>
    <row r="60" spans="1:29" s="456" customFormat="1" ht="16.5" thickBot="1" x14ac:dyDescent="0.25">
      <c r="A60" s="800" t="s">
        <v>625</v>
      </c>
      <c r="B60" s="801"/>
      <c r="C60" s="802"/>
      <c r="D60" s="133"/>
      <c r="E60" s="133"/>
      <c r="F60" s="133"/>
      <c r="G60" s="118"/>
      <c r="H60" s="118"/>
      <c r="I60" s="118"/>
      <c r="J60" s="118"/>
      <c r="K60" s="118"/>
      <c r="L60" s="134"/>
      <c r="N60" s="134"/>
      <c r="O60" s="134"/>
      <c r="V60" s="134"/>
    </row>
    <row r="61" spans="1:29" s="456" customFormat="1" x14ac:dyDescent="0.2">
      <c r="A61" s="506" t="s">
        <v>30</v>
      </c>
      <c r="B61" s="507"/>
      <c r="C61" s="508" t="s">
        <v>155</v>
      </c>
      <c r="D61" s="509"/>
      <c r="E61" s="509"/>
      <c r="F61" s="510"/>
      <c r="G61" s="510"/>
      <c r="H61" s="509"/>
      <c r="I61" s="510"/>
      <c r="J61" s="509"/>
      <c r="K61" s="143"/>
      <c r="L61" s="144"/>
      <c r="N61" s="134"/>
      <c r="O61" s="134"/>
      <c r="P61" s="134"/>
    </row>
    <row r="62" spans="1:29" s="456" customFormat="1" x14ac:dyDescent="0.2">
      <c r="A62" s="96" t="s">
        <v>626</v>
      </c>
      <c r="B62" s="511"/>
      <c r="C62" s="511"/>
      <c r="D62" s="512"/>
      <c r="E62" s="512"/>
      <c r="F62" s="215"/>
      <c r="G62" s="215"/>
      <c r="H62" s="512"/>
      <c r="I62" s="215"/>
      <c r="J62" s="512"/>
      <c r="K62" s="149"/>
      <c r="L62" s="150"/>
      <c r="N62" s="134"/>
      <c r="O62" s="134"/>
      <c r="P62" s="134"/>
    </row>
    <row r="63" spans="1:29" s="456" customFormat="1" x14ac:dyDescent="0.2">
      <c r="A63" s="96" t="s">
        <v>173</v>
      </c>
      <c r="B63" s="511"/>
      <c r="C63" s="511"/>
      <c r="D63" s="512"/>
      <c r="E63" s="512"/>
      <c r="F63" s="215"/>
      <c r="G63" s="215"/>
      <c r="H63" s="512"/>
      <c r="I63" s="215"/>
      <c r="J63" s="512"/>
      <c r="K63" s="149"/>
      <c r="L63" s="150"/>
      <c r="N63" s="134"/>
      <c r="O63" s="134"/>
      <c r="P63" s="134"/>
    </row>
    <row r="64" spans="1:29" s="456" customFormat="1" x14ac:dyDescent="0.2">
      <c r="A64" s="96" t="s">
        <v>987</v>
      </c>
      <c r="B64" s="511"/>
      <c r="C64" s="511"/>
      <c r="D64" s="512"/>
      <c r="E64" s="512"/>
      <c r="F64" s="215"/>
      <c r="G64" s="215"/>
      <c r="H64" s="512"/>
      <c r="I64" s="215"/>
      <c r="J64" s="512"/>
      <c r="K64" s="149"/>
      <c r="L64" s="150"/>
      <c r="N64" s="134"/>
      <c r="O64" s="134"/>
      <c r="P64" s="134"/>
    </row>
    <row r="65" spans="1:24" s="456" customFormat="1" ht="16.5" thickBot="1" x14ac:dyDescent="0.25">
      <c r="A65" s="110" t="s">
        <v>988</v>
      </c>
      <c r="B65" s="513"/>
      <c r="C65" s="513"/>
      <c r="D65" s="514"/>
      <c r="E65" s="514"/>
      <c r="F65" s="515"/>
      <c r="G65" s="515"/>
      <c r="H65" s="514"/>
      <c r="I65" s="515"/>
      <c r="J65" s="514"/>
      <c r="K65" s="154"/>
      <c r="L65" s="155"/>
      <c r="N65" s="134"/>
      <c r="O65" s="134"/>
      <c r="P65" s="134"/>
    </row>
    <row r="66" spans="1:24" s="456" customFormat="1" ht="16.5" thickBot="1" x14ac:dyDescent="0.25">
      <c r="A66" s="516"/>
      <c r="B66" s="517"/>
      <c r="C66" s="134"/>
      <c r="D66" s="133"/>
      <c r="E66" s="133"/>
      <c r="F66" s="133"/>
      <c r="G66" s="133"/>
      <c r="H66" s="118"/>
      <c r="I66" s="118"/>
      <c r="J66" s="118"/>
      <c r="K66" s="118"/>
      <c r="L66" s="118"/>
      <c r="M66" s="134"/>
      <c r="O66" s="134"/>
      <c r="P66" s="134"/>
      <c r="Q66" s="118"/>
    </row>
    <row r="67" spans="1:24" s="14" customFormat="1" ht="48" thickBot="1" x14ac:dyDescent="0.25">
      <c r="A67" s="518" t="s">
        <v>31</v>
      </c>
      <c r="B67" s="932" t="s">
        <v>628</v>
      </c>
      <c r="C67" s="933"/>
      <c r="D67" s="934"/>
      <c r="E67" s="519" t="s">
        <v>11</v>
      </c>
      <c r="F67" s="519" t="s">
        <v>14</v>
      </c>
      <c r="G67" s="519" t="s">
        <v>287</v>
      </c>
      <c r="H67" s="519" t="s">
        <v>32</v>
      </c>
      <c r="I67" s="519" t="s">
        <v>16</v>
      </c>
      <c r="J67" s="519" t="s">
        <v>17</v>
      </c>
      <c r="K67" s="519" t="s">
        <v>18</v>
      </c>
      <c r="L67" s="519" t="s">
        <v>19</v>
      </c>
      <c r="M67" s="519" t="s">
        <v>20</v>
      </c>
      <c r="N67" s="520" t="s">
        <v>123</v>
      </c>
      <c r="O67" s="519" t="s">
        <v>96</v>
      </c>
      <c r="P67" s="521" t="s">
        <v>809</v>
      </c>
    </row>
    <row r="68" spans="1:24" s="303" customFormat="1" x14ac:dyDescent="0.2">
      <c r="A68" s="269"/>
      <c r="B68" s="925"/>
      <c r="C68" s="926"/>
      <c r="D68" s="926"/>
      <c r="E68" s="226"/>
      <c r="F68" s="226"/>
      <c r="G68" s="226"/>
      <c r="H68" s="226"/>
      <c r="I68" s="226"/>
      <c r="J68" s="273"/>
      <c r="K68" s="263"/>
      <c r="L68" s="263"/>
      <c r="M68" s="306"/>
      <c r="N68" s="49"/>
      <c r="O68" s="226"/>
      <c r="P68" s="274"/>
      <c r="Q68" s="159"/>
      <c r="R68" s="159"/>
      <c r="S68" s="159"/>
      <c r="T68" s="159"/>
      <c r="U68" s="159"/>
      <c r="V68" s="160"/>
      <c r="W68" s="160"/>
      <c r="X68" s="160"/>
    </row>
    <row r="69" spans="1:24" s="303" customFormat="1" x14ac:dyDescent="0.2">
      <c r="A69" s="248"/>
      <c r="B69" s="927"/>
      <c r="C69" s="928"/>
      <c r="D69" s="928"/>
      <c r="E69" s="125"/>
      <c r="F69" s="125"/>
      <c r="G69" s="125"/>
      <c r="H69" s="125"/>
      <c r="I69" s="125"/>
      <c r="J69" s="275"/>
      <c r="K69" s="255"/>
      <c r="L69" s="255"/>
      <c r="M69" s="307"/>
      <c r="N69" s="21"/>
      <c r="O69" s="125"/>
      <c r="P69" s="276"/>
      <c r="Q69" s="159"/>
      <c r="R69" s="159"/>
      <c r="S69" s="159"/>
      <c r="T69" s="159"/>
      <c r="U69" s="159"/>
      <c r="V69" s="160"/>
      <c r="W69" s="160"/>
      <c r="X69" s="160"/>
    </row>
    <row r="70" spans="1:24" s="303" customFormat="1" x14ac:dyDescent="0.2">
      <c r="A70" s="248"/>
      <c r="B70" s="927"/>
      <c r="C70" s="928"/>
      <c r="D70" s="928"/>
      <c r="E70" s="125"/>
      <c r="F70" s="125"/>
      <c r="G70" s="125"/>
      <c r="H70" s="125"/>
      <c r="I70" s="125"/>
      <c r="J70" s="275"/>
      <c r="K70" s="255"/>
      <c r="L70" s="255"/>
      <c r="M70" s="307"/>
      <c r="N70" s="21"/>
      <c r="O70" s="125"/>
      <c r="P70" s="276"/>
      <c r="Q70" s="159"/>
      <c r="R70" s="159"/>
      <c r="S70" s="159"/>
      <c r="T70" s="159"/>
      <c r="U70" s="159"/>
      <c r="V70" s="160"/>
      <c r="W70" s="160"/>
      <c r="X70" s="160"/>
    </row>
    <row r="71" spans="1:24" s="303" customFormat="1" ht="16.5" thickBot="1" x14ac:dyDescent="0.25">
      <c r="A71" s="304"/>
      <c r="B71" s="912"/>
      <c r="C71" s="913"/>
      <c r="D71" s="913"/>
      <c r="E71" s="130"/>
      <c r="F71" s="130"/>
      <c r="G71" s="130"/>
      <c r="H71" s="130"/>
      <c r="I71" s="130"/>
      <c r="J71" s="258"/>
      <c r="K71" s="256"/>
      <c r="L71" s="256"/>
      <c r="M71" s="305"/>
      <c r="N71" s="29"/>
      <c r="O71" s="129"/>
      <c r="P71" s="132"/>
      <c r="Q71" s="159"/>
      <c r="R71" s="159"/>
      <c r="S71" s="159"/>
      <c r="T71" s="159"/>
      <c r="U71" s="159"/>
      <c r="V71" s="160"/>
      <c r="W71" s="160"/>
      <c r="X71" s="160"/>
    </row>
    <row r="72" spans="1:24" s="456" customFormat="1" x14ac:dyDescent="0.2">
      <c r="A72" s="134"/>
      <c r="B72" s="134"/>
      <c r="C72" s="522"/>
      <c r="D72" s="522"/>
      <c r="E72" s="134"/>
      <c r="F72" s="134"/>
      <c r="G72" s="134"/>
      <c r="H72" s="134"/>
      <c r="I72" s="134"/>
      <c r="J72" s="134"/>
      <c r="K72" s="134"/>
      <c r="L72" s="134"/>
      <c r="M72" s="134"/>
      <c r="O72" s="118"/>
      <c r="P72" s="118"/>
      <c r="Q72" s="118"/>
      <c r="R72" s="118"/>
      <c r="S72" s="118"/>
      <c r="T72" s="118"/>
      <c r="U72" s="118"/>
      <c r="V72" s="134"/>
      <c r="W72" s="134"/>
      <c r="X72" s="134"/>
    </row>
    <row r="73" spans="1:24" s="456" customFormat="1" ht="16.5" thickBot="1" x14ac:dyDescent="0.25">
      <c r="A73" s="133"/>
      <c r="B73" s="133"/>
      <c r="C73" s="133"/>
      <c r="D73" s="133"/>
      <c r="E73" s="133"/>
      <c r="F73" s="133"/>
      <c r="G73" s="133"/>
      <c r="H73" s="133"/>
      <c r="I73" s="118"/>
      <c r="J73" s="118"/>
      <c r="K73" s="118"/>
      <c r="L73" s="118"/>
      <c r="M73" s="118"/>
      <c r="N73" s="134"/>
      <c r="O73" s="134"/>
      <c r="P73" s="134"/>
      <c r="Q73" s="134"/>
      <c r="R73" s="134"/>
      <c r="S73" s="134"/>
      <c r="T73" s="134"/>
      <c r="U73" s="134"/>
      <c r="V73" s="134"/>
      <c r="W73" s="118"/>
    </row>
    <row r="74" spans="1:24" s="456" customFormat="1" ht="19.5" thickBot="1" x14ac:dyDescent="0.25">
      <c r="A74" s="938" t="s">
        <v>34</v>
      </c>
      <c r="B74" s="939"/>
      <c r="C74" s="940"/>
      <c r="D74" s="523"/>
      <c r="E74" s="133"/>
      <c r="F74" s="133"/>
      <c r="G74" s="133"/>
      <c r="H74" s="133"/>
      <c r="I74" s="118"/>
      <c r="J74" s="118"/>
      <c r="K74" s="118"/>
      <c r="L74" s="118"/>
      <c r="M74" s="118"/>
      <c r="N74" s="134"/>
      <c r="O74" s="134"/>
      <c r="P74" s="134"/>
      <c r="Q74" s="134"/>
      <c r="R74" s="134"/>
      <c r="S74" s="134"/>
      <c r="T74" s="134"/>
      <c r="U74" s="134"/>
      <c r="V74" s="134"/>
      <c r="W74" s="118"/>
    </row>
    <row r="75" spans="1:24" s="456" customFormat="1" ht="16.5" thickBot="1" x14ac:dyDescent="0.25">
      <c r="A75" s="800" t="s">
        <v>625</v>
      </c>
      <c r="B75" s="801"/>
      <c r="C75" s="802"/>
      <c r="D75" s="200"/>
      <c r="E75" s="200"/>
      <c r="F75" s="200"/>
      <c r="G75" s="200"/>
      <c r="H75" s="194"/>
      <c r="I75" s="194"/>
      <c r="J75" s="200"/>
      <c r="K75" s="194"/>
      <c r="L75" s="200"/>
      <c r="M75" s="118"/>
      <c r="N75" s="134"/>
      <c r="O75" s="134"/>
      <c r="P75" s="134"/>
      <c r="Q75" s="134"/>
      <c r="R75" s="134"/>
      <c r="S75" s="134"/>
      <c r="T75" s="134"/>
      <c r="U75" s="134"/>
      <c r="V75" s="134"/>
      <c r="W75" s="118"/>
    </row>
    <row r="76" spans="1:24" s="456" customFormat="1" x14ac:dyDescent="0.2">
      <c r="A76" s="506" t="s">
        <v>30</v>
      </c>
      <c r="B76" s="470"/>
      <c r="C76" s="508" t="s">
        <v>155</v>
      </c>
      <c r="D76" s="508"/>
      <c r="E76" s="509"/>
      <c r="F76" s="509"/>
      <c r="G76" s="509"/>
      <c r="H76" s="510"/>
      <c r="I76" s="510"/>
      <c r="J76" s="509"/>
      <c r="K76" s="510"/>
      <c r="L76" s="524"/>
      <c r="M76" s="118"/>
      <c r="N76" s="134"/>
      <c r="O76" s="134"/>
      <c r="P76" s="134"/>
      <c r="Q76" s="134"/>
      <c r="R76" s="134"/>
      <c r="S76" s="134"/>
      <c r="T76" s="134"/>
      <c r="U76" s="134"/>
      <c r="V76" s="134"/>
      <c r="W76" s="118"/>
    </row>
    <row r="77" spans="1:24" s="456" customFormat="1" x14ac:dyDescent="0.2">
      <c r="A77" s="96" t="s">
        <v>35</v>
      </c>
      <c r="B77" s="512"/>
      <c r="C77" s="512"/>
      <c r="D77" s="512"/>
      <c r="E77" s="512"/>
      <c r="F77" s="512"/>
      <c r="G77" s="512"/>
      <c r="H77" s="215"/>
      <c r="I77" s="215"/>
      <c r="J77" s="512"/>
      <c r="K77" s="215"/>
      <c r="L77" s="525"/>
      <c r="M77" s="118"/>
      <c r="N77" s="134"/>
      <c r="O77" s="134"/>
      <c r="P77" s="134"/>
      <c r="Q77" s="134"/>
      <c r="R77" s="134"/>
      <c r="S77" s="134"/>
      <c r="T77" s="134"/>
      <c r="U77" s="134"/>
      <c r="V77" s="134"/>
      <c r="W77" s="118"/>
    </row>
    <row r="78" spans="1:24" s="456" customFormat="1" x14ac:dyDescent="0.2">
      <c r="A78" s="96" t="s">
        <v>174</v>
      </c>
      <c r="B78" s="512"/>
      <c r="C78" s="512"/>
      <c r="D78" s="512"/>
      <c r="E78" s="512"/>
      <c r="F78" s="512"/>
      <c r="G78" s="512"/>
      <c r="H78" s="215"/>
      <c r="I78" s="215"/>
      <c r="J78" s="512"/>
      <c r="K78" s="215"/>
      <c r="L78" s="525"/>
      <c r="M78" s="118"/>
      <c r="N78" s="134"/>
      <c r="O78" s="134"/>
      <c r="P78" s="134"/>
      <c r="Q78" s="134"/>
      <c r="R78" s="134"/>
      <c r="S78" s="134"/>
      <c r="T78" s="134"/>
      <c r="U78" s="134"/>
      <c r="V78" s="134"/>
      <c r="W78" s="118"/>
    </row>
    <row r="79" spans="1:24" s="456" customFormat="1" x14ac:dyDescent="0.2">
      <c r="A79" s="96" t="s">
        <v>987</v>
      </c>
      <c r="B79" s="512"/>
      <c r="C79" s="512"/>
      <c r="D79" s="512"/>
      <c r="E79" s="512"/>
      <c r="F79" s="512"/>
      <c r="G79" s="512"/>
      <c r="H79" s="215"/>
      <c r="I79" s="215"/>
      <c r="J79" s="512"/>
      <c r="K79" s="215"/>
      <c r="L79" s="525"/>
      <c r="M79" s="118"/>
      <c r="N79" s="134"/>
      <c r="O79" s="134"/>
      <c r="P79" s="134"/>
      <c r="Q79" s="134"/>
      <c r="R79" s="134"/>
      <c r="S79" s="134"/>
      <c r="T79" s="134"/>
      <c r="U79" s="134"/>
      <c r="V79" s="134"/>
      <c r="W79" s="118"/>
    </row>
    <row r="80" spans="1:24" s="456" customFormat="1" ht="16.5" thickBot="1" x14ac:dyDescent="0.25">
      <c r="A80" s="110" t="s">
        <v>988</v>
      </c>
      <c r="B80" s="514"/>
      <c r="C80" s="514"/>
      <c r="D80" s="514"/>
      <c r="E80" s="514"/>
      <c r="F80" s="514"/>
      <c r="G80" s="514"/>
      <c r="H80" s="515"/>
      <c r="I80" s="515"/>
      <c r="J80" s="514"/>
      <c r="K80" s="515"/>
      <c r="L80" s="526"/>
      <c r="M80" s="118"/>
      <c r="N80" s="134"/>
      <c r="O80" s="134"/>
      <c r="P80" s="134"/>
      <c r="Q80" s="134"/>
      <c r="R80" s="134"/>
      <c r="S80" s="134"/>
      <c r="T80" s="134"/>
      <c r="U80" s="134"/>
      <c r="V80" s="134"/>
      <c r="W80" s="118"/>
    </row>
    <row r="81" spans="1:23" s="456" customFormat="1" ht="16.5" thickBot="1" x14ac:dyDescent="0.25">
      <c r="A81" s="527"/>
      <c r="E81" s="200"/>
      <c r="F81" s="200"/>
      <c r="G81" s="200"/>
      <c r="H81" s="194"/>
      <c r="I81" s="517"/>
      <c r="J81" s="200"/>
      <c r="K81" s="194"/>
      <c r="L81" s="200"/>
      <c r="M81" s="118"/>
      <c r="N81" s="134"/>
      <c r="O81" s="134"/>
      <c r="P81" s="134"/>
      <c r="Q81" s="134"/>
      <c r="R81" s="118"/>
      <c r="V81" s="528"/>
      <c r="W81" s="528"/>
    </row>
    <row r="82" spans="1:23" s="14" customFormat="1" ht="32.25" thickBot="1" x14ac:dyDescent="0.25">
      <c r="A82" s="518" t="s">
        <v>31</v>
      </c>
      <c r="B82" s="932" t="s">
        <v>13</v>
      </c>
      <c r="C82" s="933"/>
      <c r="D82" s="934"/>
      <c r="E82" s="519" t="s">
        <v>12</v>
      </c>
      <c r="F82" s="519" t="s">
        <v>14</v>
      </c>
      <c r="G82" s="519" t="s">
        <v>276</v>
      </c>
      <c r="H82" s="519" t="s">
        <v>32</v>
      </c>
      <c r="I82" s="519" t="s">
        <v>16</v>
      </c>
      <c r="J82" s="519" t="s">
        <v>17</v>
      </c>
      <c r="K82" s="519" t="s">
        <v>18</v>
      </c>
      <c r="L82" s="519" t="s">
        <v>19</v>
      </c>
      <c r="M82" s="519" t="s">
        <v>20</v>
      </c>
      <c r="N82" s="520" t="s">
        <v>123</v>
      </c>
      <c r="O82" s="519" t="s">
        <v>94</v>
      </c>
      <c r="P82" s="521" t="s">
        <v>807</v>
      </c>
      <c r="W82" s="13"/>
    </row>
    <row r="83" spans="1:23" s="303" customFormat="1" x14ac:dyDescent="0.2">
      <c r="A83" s="269"/>
      <c r="B83" s="925"/>
      <c r="C83" s="926"/>
      <c r="D83" s="926"/>
      <c r="E83" s="226"/>
      <c r="F83" s="226"/>
      <c r="G83" s="226"/>
      <c r="H83" s="226"/>
      <c r="I83" s="226"/>
      <c r="J83" s="263"/>
      <c r="K83" s="263"/>
      <c r="L83" s="263"/>
      <c r="M83" s="263"/>
      <c r="N83" s="49"/>
      <c r="O83" s="226"/>
      <c r="P83" s="274"/>
      <c r="Q83" s="160"/>
      <c r="R83" s="160"/>
      <c r="S83" s="160"/>
      <c r="T83" s="160"/>
      <c r="U83" s="160"/>
      <c r="V83" s="160"/>
      <c r="W83" s="159"/>
    </row>
    <row r="84" spans="1:23" s="303" customFormat="1" x14ac:dyDescent="0.2">
      <c r="A84" s="248"/>
      <c r="B84" s="927"/>
      <c r="C84" s="928"/>
      <c r="D84" s="928"/>
      <c r="E84" s="125"/>
      <c r="F84" s="125"/>
      <c r="G84" s="125"/>
      <c r="H84" s="125"/>
      <c r="I84" s="125"/>
      <c r="J84" s="255"/>
      <c r="K84" s="255"/>
      <c r="L84" s="255"/>
      <c r="M84" s="255"/>
      <c r="N84" s="21"/>
      <c r="O84" s="125"/>
      <c r="P84" s="276"/>
      <c r="Q84" s="160"/>
      <c r="R84" s="160"/>
      <c r="S84" s="160"/>
      <c r="T84" s="160"/>
      <c r="U84" s="160"/>
      <c r="V84" s="160"/>
      <c r="W84" s="159"/>
    </row>
    <row r="85" spans="1:23" s="303" customFormat="1" x14ac:dyDescent="0.2">
      <c r="A85" s="248"/>
      <c r="B85" s="927"/>
      <c r="C85" s="928"/>
      <c r="D85" s="928"/>
      <c r="E85" s="125"/>
      <c r="F85" s="125"/>
      <c r="G85" s="125"/>
      <c r="H85" s="125"/>
      <c r="I85" s="125"/>
      <c r="J85" s="255"/>
      <c r="K85" s="255"/>
      <c r="L85" s="255"/>
      <c r="M85" s="255"/>
      <c r="N85" s="21"/>
      <c r="O85" s="125"/>
      <c r="P85" s="276"/>
      <c r="Q85" s="160"/>
      <c r="R85" s="160"/>
      <c r="S85" s="160"/>
      <c r="T85" s="160"/>
      <c r="U85" s="160"/>
      <c r="V85" s="160"/>
      <c r="W85" s="159"/>
    </row>
    <row r="86" spans="1:23" s="303" customFormat="1" ht="16.5" thickBot="1" x14ac:dyDescent="0.25">
      <c r="A86" s="304"/>
      <c r="B86" s="912"/>
      <c r="C86" s="913"/>
      <c r="D86" s="913"/>
      <c r="E86" s="130"/>
      <c r="F86" s="130"/>
      <c r="G86" s="130"/>
      <c r="H86" s="130"/>
      <c r="I86" s="130"/>
      <c r="J86" s="256"/>
      <c r="K86" s="256"/>
      <c r="L86" s="256"/>
      <c r="M86" s="256"/>
      <c r="N86" s="29"/>
      <c r="O86" s="129"/>
      <c r="P86" s="132"/>
      <c r="Q86" s="160"/>
      <c r="R86" s="160"/>
      <c r="S86" s="160"/>
      <c r="T86" s="160"/>
      <c r="U86" s="160"/>
      <c r="V86" s="160"/>
      <c r="W86" s="159"/>
    </row>
    <row r="87" spans="1:23" s="456" customFormat="1" ht="16.5" thickBot="1" x14ac:dyDescent="0.25">
      <c r="A87" s="133"/>
      <c r="B87" s="133"/>
      <c r="C87" s="133"/>
      <c r="D87" s="133"/>
      <c r="E87" s="133"/>
      <c r="F87" s="133"/>
      <c r="G87" s="133"/>
      <c r="H87" s="118"/>
      <c r="I87" s="118"/>
      <c r="J87" s="118"/>
      <c r="K87" s="118"/>
      <c r="L87" s="118"/>
      <c r="M87" s="134"/>
      <c r="N87" s="134"/>
      <c r="O87" s="134"/>
      <c r="P87" s="134"/>
      <c r="Q87" s="134"/>
      <c r="R87" s="134"/>
      <c r="S87" s="134"/>
      <c r="T87" s="134"/>
      <c r="U87" s="134"/>
      <c r="V87" s="118"/>
    </row>
    <row r="88" spans="1:23" s="73" customFormat="1" ht="16.5" thickBot="1" x14ac:dyDescent="0.25">
      <c r="A88" s="822" t="s">
        <v>36</v>
      </c>
      <c r="B88" s="823"/>
      <c r="C88" s="823"/>
      <c r="D88" s="823"/>
      <c r="E88" s="823"/>
      <c r="F88" s="823"/>
      <c r="G88" s="823"/>
      <c r="H88" s="823"/>
      <c r="I88" s="824"/>
      <c r="J88" s="169"/>
      <c r="K88" s="118"/>
      <c r="L88" s="134"/>
      <c r="M88" s="134"/>
      <c r="N88" s="134"/>
      <c r="O88" s="134"/>
      <c r="P88" s="134"/>
      <c r="Q88" s="134"/>
      <c r="R88" s="134"/>
      <c r="S88" s="118"/>
      <c r="T88" s="118"/>
      <c r="U88" s="118"/>
    </row>
    <row r="89" spans="1:23" s="73" customFormat="1" ht="16.5" thickBot="1" x14ac:dyDescent="0.25">
      <c r="A89" s="935" t="s">
        <v>37</v>
      </c>
      <c r="B89" s="936"/>
      <c r="C89" s="936"/>
      <c r="D89" s="936"/>
      <c r="E89" s="936"/>
      <c r="F89" s="936"/>
      <c r="G89" s="936"/>
      <c r="H89" s="936"/>
      <c r="I89" s="937"/>
      <c r="J89" s="170"/>
      <c r="K89" s="118"/>
      <c r="L89" s="134"/>
      <c r="M89" s="134"/>
      <c r="N89" s="134"/>
      <c r="O89" s="134"/>
      <c r="P89" s="134"/>
      <c r="Q89" s="134"/>
      <c r="R89" s="134"/>
      <c r="S89" s="118"/>
      <c r="T89" s="118"/>
      <c r="U89" s="118"/>
    </row>
    <row r="90" spans="1:23" s="308" customFormat="1" ht="15.75" customHeight="1" thickBot="1" x14ac:dyDescent="0.25">
      <c r="A90" s="665" t="s">
        <v>296</v>
      </c>
      <c r="B90" s="909" t="s">
        <v>1129</v>
      </c>
      <c r="C90" s="910"/>
      <c r="D90" s="910"/>
      <c r="E90" s="910"/>
      <c r="F90" s="910"/>
      <c r="G90" s="910"/>
      <c r="H90" s="910"/>
      <c r="I90" s="911"/>
      <c r="J90" s="171"/>
      <c r="K90" s="172"/>
      <c r="L90" s="173"/>
      <c r="M90" s="173"/>
      <c r="N90" s="173"/>
      <c r="O90" s="173"/>
      <c r="P90" s="173"/>
      <c r="Q90" s="173"/>
      <c r="R90" s="173"/>
      <c r="S90" s="172"/>
      <c r="T90" s="172"/>
      <c r="U90" s="172"/>
    </row>
    <row r="91" spans="1:23" s="73" customFormat="1" ht="16.5" thickBot="1" x14ac:dyDescent="0.25">
      <c r="A91" s="196"/>
      <c r="B91" s="169"/>
      <c r="C91" s="169"/>
      <c r="D91" s="169"/>
      <c r="E91" s="169"/>
      <c r="F91" s="176"/>
      <c r="G91" s="176"/>
      <c r="H91" s="176"/>
      <c r="I91" s="176"/>
      <c r="J91" s="176"/>
      <c r="K91" s="118"/>
      <c r="L91" s="134"/>
      <c r="M91" s="134"/>
      <c r="N91" s="134"/>
      <c r="O91" s="134"/>
      <c r="P91" s="134"/>
      <c r="Q91" s="118"/>
    </row>
    <row r="92" spans="1:23" s="73" customFormat="1" ht="16.5" customHeight="1" thickBot="1" x14ac:dyDescent="0.25">
      <c r="A92" s="917" t="s">
        <v>214</v>
      </c>
      <c r="B92" s="918"/>
      <c r="C92" s="918"/>
      <c r="D92" s="918"/>
      <c r="E92" s="918"/>
      <c r="F92" s="918"/>
      <c r="G92" s="918"/>
      <c r="H92" s="930" t="s">
        <v>226</v>
      </c>
      <c r="I92" s="786" t="s">
        <v>627</v>
      </c>
      <c r="J92" s="786" t="s">
        <v>215</v>
      </c>
      <c r="K92" s="786" t="s">
        <v>23</v>
      </c>
      <c r="L92" s="786" t="s">
        <v>302</v>
      </c>
      <c r="M92" s="788" t="s">
        <v>83</v>
      </c>
      <c r="N92" s="134"/>
      <c r="O92" s="118"/>
      <c r="P92" s="456"/>
      <c r="Q92" s="528"/>
      <c r="R92" s="528"/>
    </row>
    <row r="93" spans="1:23" s="446" customFormat="1" ht="16.5" thickBot="1" x14ac:dyDescent="0.25">
      <c r="A93" s="919" t="s">
        <v>887</v>
      </c>
      <c r="B93" s="920"/>
      <c r="C93" s="920"/>
      <c r="D93" s="920"/>
      <c r="E93" s="920"/>
      <c r="F93" s="920"/>
      <c r="G93" s="921"/>
      <c r="H93" s="931"/>
      <c r="I93" s="908"/>
      <c r="J93" s="908"/>
      <c r="K93" s="908"/>
      <c r="L93" s="908"/>
      <c r="M93" s="929"/>
      <c r="N93" s="177"/>
      <c r="O93" s="177"/>
      <c r="P93" s="177"/>
      <c r="Q93" s="177"/>
      <c r="R93" s="177"/>
    </row>
    <row r="94" spans="1:23" s="446" customFormat="1" ht="15.75" customHeight="1" thickBot="1" x14ac:dyDescent="0.25">
      <c r="A94" s="914" t="s">
        <v>353</v>
      </c>
      <c r="B94" s="915"/>
      <c r="C94" s="915"/>
      <c r="D94" s="915"/>
      <c r="E94" s="915"/>
      <c r="F94" s="915"/>
      <c r="G94" s="916"/>
      <c r="H94" s="931"/>
      <c r="I94" s="908"/>
      <c r="J94" s="908"/>
      <c r="K94" s="908"/>
      <c r="L94" s="908"/>
      <c r="M94" s="929"/>
      <c r="N94" s="177"/>
      <c r="O94" s="177"/>
      <c r="P94" s="177"/>
      <c r="Q94" s="177"/>
      <c r="R94" s="177"/>
    </row>
    <row r="95" spans="1:23" s="136" customFormat="1" ht="15.75" customHeight="1" x14ac:dyDescent="0.2">
      <c r="A95" s="178" t="s">
        <v>234</v>
      </c>
      <c r="B95" s="925" t="str">
        <f>IF($A95="","",VLOOKUP($A95,Listes!$A$3:$C$193,2,FALSE))</f>
        <v>Bunker Adjustment Factor</v>
      </c>
      <c r="C95" s="925"/>
      <c r="D95" s="925"/>
      <c r="E95" s="994" t="s">
        <v>51</v>
      </c>
      <c r="F95" s="994"/>
      <c r="G95" s="994"/>
      <c r="H95" s="614"/>
      <c r="I95" s="529"/>
      <c r="J95" s="529"/>
      <c r="K95" s="529"/>
      <c r="L95" s="529"/>
      <c r="M95" s="530"/>
      <c r="N95" s="160"/>
      <c r="O95" s="160"/>
      <c r="P95" s="160"/>
      <c r="Q95" s="160"/>
      <c r="R95" s="159"/>
    </row>
    <row r="96" spans="1:23" s="136" customFormat="1" ht="15.75" customHeight="1" x14ac:dyDescent="0.2">
      <c r="A96" s="376" t="s">
        <v>86</v>
      </c>
      <c r="B96" s="927" t="str">
        <f>IF($A96="","",VLOOKUP($A96,Listes!$A$3:$C$193,2,FALSE))</f>
        <v>Currency Adjustment Factor</v>
      </c>
      <c r="C96" s="927"/>
      <c r="D96" s="927"/>
      <c r="E96" s="976" t="s">
        <v>51</v>
      </c>
      <c r="F96" s="976"/>
      <c r="G96" s="976"/>
      <c r="H96" s="612"/>
      <c r="I96" s="531"/>
      <c r="J96" s="531"/>
      <c r="K96" s="531"/>
      <c r="L96" s="531"/>
      <c r="M96" s="532"/>
      <c r="N96" s="160"/>
      <c r="O96" s="160"/>
      <c r="P96" s="160"/>
      <c r="Q96" s="160"/>
      <c r="R96" s="159"/>
    </row>
    <row r="97" spans="1:18" s="136" customFormat="1" ht="15.75" customHeight="1" x14ac:dyDescent="0.2">
      <c r="A97" s="376" t="s">
        <v>557</v>
      </c>
      <c r="B97" s="813" t="str">
        <f>IF($A97="","",VLOOKUP($A97,Listes!$A$3:$C$193,2,FALSE))</f>
        <v>Cargo Facility Charge</v>
      </c>
      <c r="C97" s="813"/>
      <c r="D97" s="813"/>
      <c r="E97" s="814" t="s">
        <v>51</v>
      </c>
      <c r="F97" s="814"/>
      <c r="G97" s="814"/>
      <c r="H97" s="612"/>
      <c r="I97" s="531"/>
      <c r="J97" s="531"/>
      <c r="K97" s="531"/>
      <c r="L97" s="531"/>
      <c r="M97" s="532"/>
      <c r="N97" s="160"/>
      <c r="O97" s="160"/>
      <c r="P97" s="160"/>
      <c r="Q97" s="160"/>
      <c r="R97" s="159"/>
    </row>
    <row r="98" spans="1:18" s="136" customFormat="1" ht="15.75" customHeight="1" x14ac:dyDescent="0.2">
      <c r="A98" s="182" t="s">
        <v>1105</v>
      </c>
      <c r="B98" s="813" t="str">
        <f>IF($A98="","",VLOOKUP($A98,Listes!$A$3:$C$193,2,FALSE))</f>
        <v>Chassis Administration Fee On-Carriage</v>
      </c>
      <c r="C98" s="813"/>
      <c r="D98" s="813"/>
      <c r="E98" s="814" t="s">
        <v>51</v>
      </c>
      <c r="F98" s="814"/>
      <c r="G98" s="814"/>
      <c r="H98" s="647"/>
      <c r="I98" s="531"/>
      <c r="J98" s="531"/>
      <c r="K98" s="531"/>
      <c r="L98" s="531"/>
      <c r="M98" s="532"/>
      <c r="N98" s="160"/>
      <c r="O98" s="160"/>
      <c r="P98" s="160"/>
      <c r="Q98" s="160"/>
      <c r="R98" s="159"/>
    </row>
    <row r="99" spans="1:18" s="136" customFormat="1" ht="15.75" customHeight="1" x14ac:dyDescent="0.2">
      <c r="A99" s="182" t="s">
        <v>551</v>
      </c>
      <c r="B99" s="813" t="str">
        <f>IF($A99="","",VLOOKUP($A99,Listes!$A$3:$C$193,2,FALSE))</f>
        <v>Chassis Provision Charge</v>
      </c>
      <c r="C99" s="813"/>
      <c r="D99" s="813"/>
      <c r="E99" s="814" t="s">
        <v>51</v>
      </c>
      <c r="F99" s="814"/>
      <c r="G99" s="814"/>
      <c r="H99" s="612"/>
      <c r="I99" s="531"/>
      <c r="J99" s="531"/>
      <c r="K99" s="531"/>
      <c r="L99" s="531"/>
      <c r="M99" s="532"/>
      <c r="N99" s="160"/>
      <c r="O99" s="160"/>
      <c r="P99" s="160"/>
      <c r="Q99" s="160"/>
      <c r="R99" s="159"/>
    </row>
    <row r="100" spans="1:18" s="136" customFormat="1" ht="15.75" customHeight="1" x14ac:dyDescent="0.2">
      <c r="A100" s="376" t="s">
        <v>263</v>
      </c>
      <c r="B100" s="927" t="str">
        <f>IF($A100="","",VLOOKUP($A100,Listes!$A$3:$C$193,2,FALSE))</f>
        <v>Carrier Security Charge</v>
      </c>
      <c r="C100" s="927"/>
      <c r="D100" s="927"/>
      <c r="E100" s="976" t="s">
        <v>51</v>
      </c>
      <c r="F100" s="976"/>
      <c r="G100" s="976"/>
      <c r="H100" s="612"/>
      <c r="I100" s="531"/>
      <c r="J100" s="531"/>
      <c r="K100" s="531"/>
      <c r="L100" s="531"/>
      <c r="M100" s="532"/>
      <c r="N100" s="160"/>
      <c r="O100" s="160"/>
      <c r="P100" s="160"/>
      <c r="Q100" s="160"/>
      <c r="R100" s="159"/>
    </row>
    <row r="101" spans="1:18" s="136" customFormat="1" ht="15.75" customHeight="1" x14ac:dyDescent="0.2">
      <c r="A101" s="376" t="s">
        <v>1262</v>
      </c>
      <c r="B101" s="927" t="str">
        <f>IF($A101="","",VLOOKUP($A101,Listes!$A$3:$C$193,2,FALSE))</f>
        <v>Container Maintenance Charge Destination</v>
      </c>
      <c r="C101" s="927"/>
      <c r="D101" s="927"/>
      <c r="E101" s="976" t="s">
        <v>51</v>
      </c>
      <c r="F101" s="976"/>
      <c r="G101" s="976"/>
      <c r="H101" s="647"/>
      <c r="I101" s="531"/>
      <c r="J101" s="531"/>
      <c r="K101" s="531"/>
      <c r="L101" s="531"/>
      <c r="M101" s="532"/>
      <c r="N101" s="160"/>
      <c r="O101" s="160"/>
      <c r="P101" s="160"/>
      <c r="Q101" s="160"/>
      <c r="R101" s="159"/>
    </row>
    <row r="102" spans="1:18" s="136" customFormat="1" ht="15.75" customHeight="1" x14ac:dyDescent="0.2">
      <c r="A102" s="376" t="s">
        <v>1266</v>
      </c>
      <c r="B102" s="927" t="str">
        <f>IF($A102="","",VLOOKUP($A102,Listes!$A$3:$C$193,2,FALSE))</f>
        <v>Container Maintenance Charge Origin</v>
      </c>
      <c r="C102" s="927"/>
      <c r="D102" s="927"/>
      <c r="E102" s="976" t="s">
        <v>51</v>
      </c>
      <c r="F102" s="976"/>
      <c r="G102" s="976"/>
      <c r="H102" s="674"/>
      <c r="I102" s="531"/>
      <c r="J102" s="531"/>
      <c r="K102" s="531"/>
      <c r="L102" s="531"/>
      <c r="M102" s="532"/>
      <c r="N102" s="160"/>
      <c r="O102" s="160"/>
      <c r="P102" s="160"/>
      <c r="Q102" s="160"/>
      <c r="R102" s="159"/>
    </row>
    <row r="103" spans="1:18" s="136" customFormat="1" ht="15.75" customHeight="1" x14ac:dyDescent="0.2">
      <c r="A103" s="376" t="s">
        <v>230</v>
      </c>
      <c r="B103" s="927" t="str">
        <f>IF($A103="","",VLOOKUP($A103,Listes!$A$3:$C$193,2,FALSE))</f>
        <v>Destination THC / Destination Receiving Charge</v>
      </c>
      <c r="C103" s="927"/>
      <c r="D103" s="927"/>
      <c r="E103" s="976" t="s">
        <v>51</v>
      </c>
      <c r="F103" s="976"/>
      <c r="G103" s="976"/>
      <c r="H103" s="612"/>
      <c r="I103" s="531"/>
      <c r="J103" s="531"/>
      <c r="K103" s="531"/>
      <c r="L103" s="531"/>
      <c r="M103" s="532"/>
      <c r="N103" s="160"/>
      <c r="O103" s="160"/>
      <c r="P103" s="160"/>
      <c r="Q103" s="160"/>
      <c r="R103" s="159"/>
    </row>
    <row r="104" spans="1:18" s="136" customFormat="1" ht="15.75" customHeight="1" x14ac:dyDescent="0.2">
      <c r="A104" s="376" t="s">
        <v>874</v>
      </c>
      <c r="B104" s="927" t="str">
        <f>IF($A104="","",VLOOKUP($A104,Listes!$A$3:$C$193,2,FALSE))</f>
        <v>Export Documentation Fees - Carrier</v>
      </c>
      <c r="C104" s="927"/>
      <c r="D104" s="927"/>
      <c r="E104" s="976" t="s">
        <v>51</v>
      </c>
      <c r="F104" s="976"/>
      <c r="G104" s="976"/>
      <c r="H104" s="612"/>
      <c r="I104" s="531"/>
      <c r="J104" s="531"/>
      <c r="K104" s="531"/>
      <c r="L104" s="531"/>
      <c r="M104" s="532"/>
      <c r="N104" s="160"/>
      <c r="O104" s="160"/>
      <c r="P104" s="160"/>
      <c r="Q104" s="160"/>
      <c r="R104" s="159"/>
    </row>
    <row r="105" spans="1:18" s="136" customFormat="1" ht="15.75" customHeight="1" x14ac:dyDescent="0.2">
      <c r="A105" s="376" t="s">
        <v>854</v>
      </c>
      <c r="B105" s="927" t="str">
        <f>IF($A105="","",VLOOKUP($A105,Listes!$A$3:$C$193,2,FALSE))</f>
        <v>Export Declaration Surcharge</v>
      </c>
      <c r="C105" s="927"/>
      <c r="D105" s="927"/>
      <c r="E105" s="976" t="s">
        <v>51</v>
      </c>
      <c r="F105" s="976"/>
      <c r="G105" s="976"/>
      <c r="H105" s="612"/>
      <c r="I105" s="531"/>
      <c r="J105" s="531"/>
      <c r="K105" s="531"/>
      <c r="L105" s="531"/>
      <c r="M105" s="532"/>
      <c r="N105" s="160"/>
      <c r="O105" s="160"/>
      <c r="P105" s="160"/>
      <c r="Q105" s="160"/>
      <c r="R105" s="159"/>
    </row>
    <row r="106" spans="1:18" s="136" customFormat="1" ht="15.75" customHeight="1" x14ac:dyDescent="0.2">
      <c r="A106" s="182" t="s">
        <v>194</v>
      </c>
      <c r="B106" s="927" t="str">
        <f>IF($A106="","",VLOOKUP($A106,Listes!$A$3:$C$193,2,FALSE))</f>
        <v>Extra Container Handling Charge Origin</v>
      </c>
      <c r="C106" s="927"/>
      <c r="D106" s="927"/>
      <c r="E106" s="814" t="s">
        <v>51</v>
      </c>
      <c r="F106" s="814"/>
      <c r="G106" s="814"/>
      <c r="H106" s="612"/>
      <c r="I106" s="531"/>
      <c r="J106" s="531"/>
      <c r="K106" s="531"/>
      <c r="L106" s="531"/>
      <c r="M106" s="532"/>
      <c r="N106" s="160"/>
      <c r="O106" s="160"/>
      <c r="P106" s="160"/>
      <c r="Q106" s="160"/>
      <c r="R106" s="159"/>
    </row>
    <row r="107" spans="1:18" s="136" customFormat="1" ht="15.75" customHeight="1" x14ac:dyDescent="0.2">
      <c r="A107" s="182" t="s">
        <v>293</v>
      </c>
      <c r="B107" s="927" t="str">
        <f>IF($A107="","",VLOOKUP($A107,Listes!$A$3:$C$193,2,FALSE))</f>
        <v>Forwarding Agent Commission</v>
      </c>
      <c r="C107" s="927"/>
      <c r="D107" s="927"/>
      <c r="E107" s="976" t="s">
        <v>53</v>
      </c>
      <c r="F107" s="976"/>
      <c r="G107" s="976"/>
      <c r="H107" s="612"/>
      <c r="I107" s="531"/>
      <c r="J107" s="531"/>
      <c r="K107" s="531"/>
      <c r="L107" s="531"/>
      <c r="M107" s="532"/>
      <c r="N107" s="160"/>
      <c r="O107" s="160"/>
      <c r="P107" s="160"/>
      <c r="Q107" s="160"/>
      <c r="R107" s="159"/>
    </row>
    <row r="108" spans="1:18" s="136" customFormat="1" ht="15.75" customHeight="1" x14ac:dyDescent="0.2">
      <c r="A108" s="376" t="s">
        <v>82</v>
      </c>
      <c r="B108" s="927" t="str">
        <f>IF($A108="","",VLOOKUP($A108,Listes!$A$3:$C$193,2,FALSE))</f>
        <v>General Rate Increase</v>
      </c>
      <c r="C108" s="927"/>
      <c r="D108" s="927"/>
      <c r="E108" s="976" t="s">
        <v>51</v>
      </c>
      <c r="F108" s="976"/>
      <c r="G108" s="976"/>
      <c r="H108" s="612"/>
      <c r="I108" s="531"/>
      <c r="J108" s="531"/>
      <c r="K108" s="531"/>
      <c r="L108" s="531"/>
      <c r="M108" s="532"/>
      <c r="N108" s="160"/>
      <c r="O108" s="160"/>
      <c r="P108" s="160"/>
      <c r="Q108" s="160"/>
      <c r="R108" s="159"/>
    </row>
    <row r="109" spans="1:18" s="136" customFormat="1" ht="15.75" customHeight="1" x14ac:dyDescent="0.2">
      <c r="A109" s="376" t="s">
        <v>260</v>
      </c>
      <c r="B109" s="927" t="str">
        <f>IF($A109="","",VLOOKUP($A109,Listes!$A$3:$C$193,2,FALSE))</f>
        <v>Hazardous Fees (Ocean)</v>
      </c>
      <c r="C109" s="927"/>
      <c r="D109" s="927"/>
      <c r="E109" s="976" t="s">
        <v>51</v>
      </c>
      <c r="F109" s="976"/>
      <c r="G109" s="976"/>
      <c r="H109" s="612"/>
      <c r="I109" s="531"/>
      <c r="J109" s="531"/>
      <c r="K109" s="531"/>
      <c r="L109" s="531"/>
      <c r="M109" s="532"/>
      <c r="N109" s="160"/>
      <c r="O109" s="160"/>
      <c r="P109" s="160"/>
      <c r="Q109" s="160"/>
      <c r="R109" s="159"/>
    </row>
    <row r="110" spans="1:18" s="136" customFormat="1" ht="15.75" customHeight="1" x14ac:dyDescent="0.2">
      <c r="A110" s="376" t="s">
        <v>898</v>
      </c>
      <c r="B110" s="927" t="str">
        <f>IF($A110="","",VLOOKUP($A110,Listes!$A$3:$C$193,2,FALSE))</f>
        <v>Oncarriage Additional Intermodal Door Delivery Surcharge</v>
      </c>
      <c r="C110" s="927"/>
      <c r="D110" s="927"/>
      <c r="E110" s="976" t="s">
        <v>51</v>
      </c>
      <c r="F110" s="976"/>
      <c r="G110" s="976"/>
      <c r="H110" s="612"/>
      <c r="I110" s="531"/>
      <c r="J110" s="531"/>
      <c r="K110" s="531"/>
      <c r="L110" s="531"/>
      <c r="M110" s="532"/>
      <c r="N110" s="160"/>
      <c r="O110" s="160"/>
      <c r="P110" s="160"/>
      <c r="Q110" s="160"/>
      <c r="R110" s="159"/>
    </row>
    <row r="111" spans="1:18" s="136" customFormat="1" ht="15.75" customHeight="1" x14ac:dyDescent="0.2">
      <c r="A111" s="376" t="s">
        <v>94</v>
      </c>
      <c r="B111" s="927" t="str">
        <f>IF($A111="","",VLOOKUP($A111,Listes!$A$3:$C$193,2,FALSE))</f>
        <v>Oncarriage Inland Fuel Charge</v>
      </c>
      <c r="C111" s="927"/>
      <c r="D111" s="927"/>
      <c r="E111" s="976" t="s">
        <v>51</v>
      </c>
      <c r="F111" s="976"/>
      <c r="G111" s="976"/>
      <c r="H111" s="612"/>
      <c r="I111" s="531"/>
      <c r="J111" s="531"/>
      <c r="K111" s="531"/>
      <c r="L111" s="531"/>
      <c r="M111" s="532"/>
      <c r="N111" s="160"/>
      <c r="O111" s="160"/>
      <c r="P111" s="160"/>
      <c r="Q111" s="160"/>
      <c r="R111" s="159"/>
    </row>
    <row r="112" spans="1:18" s="136" customFormat="1" ht="15.75" customHeight="1" x14ac:dyDescent="0.2">
      <c r="A112" s="182" t="s">
        <v>1290</v>
      </c>
      <c r="B112" s="813" t="str">
        <f>IF($A112="","",VLOOKUP($A112,Listes!$A$3:$C$193,2,FALSE))</f>
        <v>Local Port Charge Destination Sanitary Fee</v>
      </c>
      <c r="C112" s="813"/>
      <c r="D112" s="813"/>
      <c r="E112" s="814" t="s">
        <v>51</v>
      </c>
      <c r="F112" s="814"/>
      <c r="G112" s="814"/>
      <c r="H112" s="675"/>
      <c r="I112" s="531"/>
      <c r="J112" s="531"/>
      <c r="K112" s="531"/>
      <c r="L112" s="531"/>
      <c r="M112" s="532"/>
      <c r="N112" s="160"/>
      <c r="O112" s="160"/>
      <c r="P112" s="160"/>
      <c r="Q112" s="160"/>
      <c r="R112" s="159"/>
    </row>
    <row r="113" spans="1:18" s="136" customFormat="1" ht="15.75" customHeight="1" x14ac:dyDescent="0.2">
      <c r="A113" s="182" t="s">
        <v>1292</v>
      </c>
      <c r="B113" s="813" t="str">
        <f>IF($A113="","",VLOOKUP($A113,Listes!$A$3:$C$193,2,FALSE))</f>
        <v>Local Port Charge Origin Sanitary Fee</v>
      </c>
      <c r="C113" s="813"/>
      <c r="D113" s="813"/>
      <c r="E113" s="814" t="s">
        <v>51</v>
      </c>
      <c r="F113" s="814"/>
      <c r="G113" s="814"/>
      <c r="H113" s="675"/>
      <c r="I113" s="531"/>
      <c r="J113" s="531"/>
      <c r="K113" s="531"/>
      <c r="L113" s="531"/>
      <c r="M113" s="532"/>
      <c r="N113" s="160"/>
      <c r="O113" s="160"/>
      <c r="P113" s="160"/>
      <c r="Q113" s="160"/>
      <c r="R113" s="159"/>
    </row>
    <row r="114" spans="1:18" s="136" customFormat="1" ht="15.75" customHeight="1" x14ac:dyDescent="0.2">
      <c r="A114" s="376" t="s">
        <v>199</v>
      </c>
      <c r="B114" s="813" t="str">
        <f>IF($A114="","",VLOOKUP($A114,Listes!$A$3:$C$193,2,FALSE))</f>
        <v>Low Sulfur Surcharge</v>
      </c>
      <c r="C114" s="813"/>
      <c r="D114" s="813"/>
      <c r="E114" s="814" t="s">
        <v>53</v>
      </c>
      <c r="F114" s="814"/>
      <c r="G114" s="814"/>
      <c r="H114" s="612"/>
      <c r="I114" s="531"/>
      <c r="J114" s="531"/>
      <c r="K114" s="531"/>
      <c r="L114" s="531"/>
      <c r="M114" s="532"/>
      <c r="N114" s="160"/>
      <c r="O114" s="160"/>
      <c r="P114" s="160"/>
      <c r="Q114" s="160"/>
      <c r="R114" s="159"/>
    </row>
    <row r="115" spans="1:18" s="136" customFormat="1" ht="15.75" customHeight="1" x14ac:dyDescent="0.2">
      <c r="A115" s="376" t="s">
        <v>1124</v>
      </c>
      <c r="B115" s="813" t="str">
        <f>IF($A115="","",VLOOKUP($A115,Listes!$A$3:$C$193,2,FALSE))</f>
        <v>Low Sulfur Surcharge IMO2020</v>
      </c>
      <c r="C115" s="813"/>
      <c r="D115" s="813"/>
      <c r="E115" s="814" t="s">
        <v>53</v>
      </c>
      <c r="F115" s="814"/>
      <c r="G115" s="814"/>
      <c r="H115" s="667"/>
      <c r="I115" s="531"/>
      <c r="J115" s="531"/>
      <c r="K115" s="531"/>
      <c r="L115" s="531"/>
      <c r="M115" s="532"/>
      <c r="N115" s="160"/>
      <c r="O115" s="160"/>
      <c r="P115" s="160"/>
      <c r="Q115" s="160"/>
      <c r="R115" s="159"/>
    </row>
    <row r="116" spans="1:18" s="136" customFormat="1" x14ac:dyDescent="0.2">
      <c r="A116" s="182" t="s">
        <v>1059</v>
      </c>
      <c r="B116" s="813" t="str">
        <f>IF($A116="","",VLOOKUP($A116,Listes!$A$3:$C$193,2,FALSE))</f>
        <v>On-Carriage Emergency Inland Fuel Surcharge</v>
      </c>
      <c r="C116" s="813"/>
      <c r="D116" s="813"/>
      <c r="E116" s="814" t="s">
        <v>51</v>
      </c>
      <c r="F116" s="814"/>
      <c r="G116" s="814"/>
      <c r="H116" s="645"/>
      <c r="I116" s="531"/>
      <c r="J116" s="531"/>
      <c r="K116" s="531"/>
      <c r="L116" s="531"/>
      <c r="M116" s="532"/>
      <c r="N116" s="160"/>
      <c r="O116" s="160"/>
      <c r="P116" s="160"/>
      <c r="Q116" s="160"/>
      <c r="R116" s="159"/>
    </row>
    <row r="117" spans="1:18" s="136" customFormat="1" ht="31.5" x14ac:dyDescent="0.2">
      <c r="A117" s="182" t="s">
        <v>1088</v>
      </c>
      <c r="B117" s="813" t="str">
        <f>IF($A117="","",VLOOKUP($A117,Listes!$A$3:$C$193,2,FALSE))</f>
        <v>On-Carriage Emergency Intermodal Surcharge</v>
      </c>
      <c r="C117" s="813"/>
      <c r="D117" s="813"/>
      <c r="E117" s="814" t="s">
        <v>51</v>
      </c>
      <c r="F117" s="814"/>
      <c r="G117" s="814"/>
      <c r="H117" s="647"/>
      <c r="I117" s="531"/>
      <c r="J117" s="531"/>
      <c r="K117" s="531"/>
      <c r="L117" s="531"/>
      <c r="M117" s="532"/>
      <c r="N117" s="160"/>
      <c r="O117" s="160"/>
      <c r="P117" s="160"/>
      <c r="Q117" s="160"/>
      <c r="R117" s="159"/>
    </row>
    <row r="118" spans="1:18" s="136" customFormat="1" ht="15.75" customHeight="1" x14ac:dyDescent="0.2">
      <c r="A118" s="182" t="s">
        <v>497</v>
      </c>
      <c r="B118" s="813" t="str">
        <f>IF($A118="","",VLOOKUP($A118,Listes!$A$3:$C$193,2,FALSE))</f>
        <v>Inland Hazardous Charge Oncarriage</v>
      </c>
      <c r="C118" s="813"/>
      <c r="D118" s="813"/>
      <c r="E118" s="814" t="s">
        <v>51</v>
      </c>
      <c r="F118" s="814"/>
      <c r="G118" s="814"/>
      <c r="H118" s="612"/>
      <c r="I118" s="531"/>
      <c r="J118" s="531"/>
      <c r="K118" s="531"/>
      <c r="L118" s="531"/>
      <c r="M118" s="532"/>
      <c r="N118" s="160"/>
      <c r="O118" s="160"/>
      <c r="P118" s="160"/>
      <c r="Q118" s="160"/>
      <c r="R118" s="159"/>
    </row>
    <row r="119" spans="1:18" s="136" customFormat="1" x14ac:dyDescent="0.2">
      <c r="A119" s="182" t="s">
        <v>89</v>
      </c>
      <c r="B119" s="813" t="str">
        <f>IF($A119="","",VLOOKUP($A119,Listes!$A$3:$C$193,2,FALSE))</f>
        <v>Origin THC / Origin Receiving Charge</v>
      </c>
      <c r="C119" s="813"/>
      <c r="D119" s="813"/>
      <c r="E119" s="814" t="s">
        <v>51</v>
      </c>
      <c r="F119" s="814"/>
      <c r="G119" s="814"/>
      <c r="H119" s="628"/>
      <c r="I119" s="531"/>
      <c r="J119" s="531"/>
      <c r="K119" s="531"/>
      <c r="L119" s="531"/>
      <c r="M119" s="532"/>
      <c r="N119" s="160"/>
      <c r="O119" s="160"/>
      <c r="P119" s="160"/>
      <c r="Q119" s="160"/>
      <c r="R119" s="159"/>
    </row>
    <row r="120" spans="1:18" s="136" customFormat="1" x14ac:dyDescent="0.2">
      <c r="A120" s="182" t="s">
        <v>1028</v>
      </c>
      <c r="B120" s="813" t="str">
        <f>IF($A120="","",VLOOKUP($A120,Listes!$A$3:$C$193,2,FALSE))</f>
        <v>PreCarriage Barge - Congestion</v>
      </c>
      <c r="C120" s="813"/>
      <c r="D120" s="813"/>
      <c r="E120" s="814" t="s">
        <v>51</v>
      </c>
      <c r="F120" s="814"/>
      <c r="G120" s="814"/>
      <c r="H120" s="612"/>
      <c r="I120" s="531"/>
      <c r="J120" s="531"/>
      <c r="K120" s="531"/>
      <c r="L120" s="531"/>
      <c r="M120" s="532"/>
      <c r="N120" s="160"/>
      <c r="O120" s="160"/>
      <c r="P120" s="160"/>
      <c r="Q120" s="160"/>
      <c r="R120" s="159"/>
    </row>
    <row r="121" spans="1:18" s="136" customFormat="1" ht="15.75" customHeight="1" x14ac:dyDescent="0.2">
      <c r="A121" s="182" t="s">
        <v>500</v>
      </c>
      <c r="B121" s="813" t="str">
        <f>IF($A121="","",VLOOKUP($A121,Listes!$A$3:$C$193,2,FALSE))</f>
        <v>Inland Hazardous Charge Precarriage</v>
      </c>
      <c r="C121" s="813"/>
      <c r="D121" s="813"/>
      <c r="E121" s="814" t="s">
        <v>51</v>
      </c>
      <c r="F121" s="814"/>
      <c r="G121" s="814"/>
      <c r="H121" s="612"/>
      <c r="I121" s="531"/>
      <c r="J121" s="531"/>
      <c r="K121" s="531"/>
      <c r="L121" s="531"/>
      <c r="M121" s="532"/>
      <c r="N121" s="160"/>
      <c r="O121" s="160"/>
      <c r="P121" s="160"/>
      <c r="Q121" s="160"/>
      <c r="R121" s="159"/>
    </row>
    <row r="122" spans="1:18" s="136" customFormat="1" ht="15.75" customHeight="1" x14ac:dyDescent="0.2">
      <c r="A122" s="376" t="s">
        <v>278</v>
      </c>
      <c r="B122" s="927" t="str">
        <f>IF($A122="","",VLOOKUP($A122,Listes!$A$3:$C$193,2,FALSE))</f>
        <v>Destination Terminal Security Charge</v>
      </c>
      <c r="C122" s="927"/>
      <c r="D122" s="927"/>
      <c r="E122" s="976" t="s">
        <v>51</v>
      </c>
      <c r="F122" s="976"/>
      <c r="G122" s="976"/>
      <c r="H122" s="612"/>
      <c r="I122" s="531"/>
      <c r="J122" s="531"/>
      <c r="K122" s="531"/>
      <c r="L122" s="531"/>
      <c r="M122" s="532"/>
      <c r="N122" s="160"/>
      <c r="O122" s="160"/>
      <c r="P122" s="160"/>
      <c r="Q122" s="160"/>
      <c r="R122" s="159"/>
    </row>
    <row r="123" spans="1:18" s="136" customFormat="1" ht="15.75" customHeight="1" x14ac:dyDescent="0.2">
      <c r="A123" s="376" t="s">
        <v>277</v>
      </c>
      <c r="B123" s="927" t="str">
        <f>IF($A123="","",VLOOKUP($A123,Listes!$A$3:$C$193,2,FALSE))</f>
        <v>Origin Terminal Security Charge</v>
      </c>
      <c r="C123" s="927"/>
      <c r="D123" s="927"/>
      <c r="E123" s="976" t="s">
        <v>51</v>
      </c>
      <c r="F123" s="976"/>
      <c r="G123" s="976"/>
      <c r="H123" s="612"/>
      <c r="I123" s="531"/>
      <c r="J123" s="531"/>
      <c r="K123" s="531"/>
      <c r="L123" s="531"/>
      <c r="M123" s="532"/>
      <c r="N123" s="160"/>
      <c r="O123" s="160"/>
      <c r="P123" s="160"/>
      <c r="Q123" s="160"/>
      <c r="R123" s="159"/>
    </row>
    <row r="124" spans="1:18" s="136" customFormat="1" ht="31.5" x14ac:dyDescent="0.2">
      <c r="A124" s="376" t="s">
        <v>367</v>
      </c>
      <c r="B124" s="813" t="str">
        <f>IF($A124="","",VLOOKUP($A124,Listes!$A$3:$C$193,2,FALSE))</f>
        <v>Tri-Axle / Super Chassis Oncarriage Surcharge</v>
      </c>
      <c r="C124" s="813"/>
      <c r="D124" s="813"/>
      <c r="E124" s="814" t="s">
        <v>51</v>
      </c>
      <c r="F124" s="814"/>
      <c r="G124" s="814"/>
      <c r="H124" s="612"/>
      <c r="I124" s="531"/>
      <c r="J124" s="531"/>
      <c r="K124" s="531"/>
      <c r="L124" s="531"/>
      <c r="M124" s="532"/>
      <c r="N124" s="160"/>
      <c r="O124" s="160"/>
      <c r="P124" s="160"/>
      <c r="Q124" s="160"/>
      <c r="R124" s="159"/>
    </row>
    <row r="125" spans="1:18" s="136" customFormat="1" ht="15.75" customHeight="1" x14ac:dyDescent="0.2">
      <c r="A125" s="376" t="s">
        <v>742</v>
      </c>
      <c r="B125" s="927" t="str">
        <f>IF($A125="","",VLOOKUP($A125,Listes!$A$3:$C$193,2,FALSE))</f>
        <v>Wharfage (Destination)</v>
      </c>
      <c r="C125" s="927"/>
      <c r="D125" s="927"/>
      <c r="E125" s="976" t="s">
        <v>51</v>
      </c>
      <c r="F125" s="976"/>
      <c r="G125" s="976"/>
      <c r="H125" s="612"/>
      <c r="I125" s="531"/>
      <c r="J125" s="531"/>
      <c r="K125" s="531"/>
      <c r="L125" s="531"/>
      <c r="M125" s="532"/>
      <c r="N125" s="160"/>
      <c r="O125" s="160"/>
      <c r="P125" s="160"/>
      <c r="Q125" s="160"/>
      <c r="R125" s="159"/>
    </row>
    <row r="126" spans="1:18" s="136" customFormat="1" ht="16.5" thickBot="1" x14ac:dyDescent="0.25">
      <c r="A126" s="616" t="s">
        <v>833</v>
      </c>
      <c r="B126" s="812" t="str">
        <f>IF($A126="","",VLOOKUP($A126,Listes!$A$3:$C$193,2,FALSE))</f>
        <v>Wharfage (Origin)</v>
      </c>
      <c r="C126" s="812"/>
      <c r="D126" s="812"/>
      <c r="E126" s="815" t="s">
        <v>51</v>
      </c>
      <c r="F126" s="815"/>
      <c r="G126" s="815"/>
      <c r="H126" s="613"/>
      <c r="I126" s="533"/>
      <c r="J126" s="533"/>
      <c r="K126" s="533"/>
      <c r="L126" s="533"/>
      <c r="M126" s="534"/>
      <c r="N126" s="160"/>
      <c r="O126" s="160"/>
      <c r="P126" s="160"/>
      <c r="Q126" s="160"/>
      <c r="R126" s="159"/>
    </row>
    <row r="127" spans="1:18" s="73" customFormat="1" ht="16.5" thickBot="1" x14ac:dyDescent="0.25">
      <c r="A127" s="850" t="s">
        <v>216</v>
      </c>
      <c r="B127" s="851"/>
      <c r="C127" s="851"/>
      <c r="D127" s="851"/>
      <c r="E127" s="852"/>
      <c r="F127" s="852"/>
      <c r="G127" s="852"/>
      <c r="H127" s="852"/>
      <c r="I127" s="853"/>
      <c r="J127" s="169"/>
      <c r="K127" s="118"/>
      <c r="L127" s="134"/>
      <c r="M127" s="134"/>
      <c r="N127" s="134"/>
      <c r="O127" s="134"/>
      <c r="P127" s="134"/>
      <c r="Q127" s="118"/>
    </row>
    <row r="128" spans="1:18" s="73" customFormat="1" ht="16.5" thickBot="1" x14ac:dyDescent="0.25">
      <c r="A128" s="849" t="s">
        <v>597</v>
      </c>
      <c r="B128" s="833"/>
      <c r="C128" s="833"/>
      <c r="D128" s="833"/>
      <c r="E128" s="833"/>
      <c r="F128" s="833"/>
      <c r="G128" s="833"/>
      <c r="H128" s="833"/>
      <c r="I128" s="834"/>
      <c r="J128" s="169"/>
      <c r="K128" s="134"/>
      <c r="L128" s="134"/>
      <c r="M128" s="134"/>
      <c r="N128" s="134"/>
      <c r="O128" s="118"/>
    </row>
    <row r="129" spans="1:23" s="73" customFormat="1" ht="16.5" thickBot="1" x14ac:dyDescent="0.25">
      <c r="A129" s="187"/>
      <c r="B129" s="187"/>
      <c r="C129" s="188"/>
      <c r="D129" s="189"/>
      <c r="E129" s="170"/>
      <c r="F129" s="170"/>
      <c r="G129" s="170"/>
      <c r="H129" s="170"/>
      <c r="I129" s="170"/>
      <c r="J129" s="189"/>
      <c r="K129" s="169"/>
      <c r="L129" s="118"/>
      <c r="M129" s="134"/>
      <c r="N129" s="134"/>
      <c r="O129" s="134"/>
      <c r="P129" s="134"/>
      <c r="Q129" s="134"/>
      <c r="R129" s="118"/>
    </row>
    <row r="130" spans="1:23" s="73" customFormat="1" ht="15.6" customHeight="1" x14ac:dyDescent="0.2">
      <c r="A130" s="830" t="s">
        <v>523</v>
      </c>
      <c r="B130" s="831"/>
      <c r="C130" s="831"/>
      <c r="D130" s="831"/>
      <c r="E130" s="842" t="s">
        <v>288</v>
      </c>
      <c r="F130" s="842">
        <v>20</v>
      </c>
      <c r="G130" s="842">
        <v>40</v>
      </c>
      <c r="H130" s="842" t="s">
        <v>19</v>
      </c>
      <c r="I130" s="842" t="s">
        <v>20</v>
      </c>
      <c r="J130" s="848" t="s">
        <v>297</v>
      </c>
      <c r="K130" s="848" t="s">
        <v>33</v>
      </c>
      <c r="L130" s="846" t="s">
        <v>217</v>
      </c>
      <c r="M130" s="189"/>
      <c r="N130" s="134"/>
      <c r="O130" s="134"/>
      <c r="P130" s="134"/>
      <c r="Q130" s="134"/>
      <c r="R130" s="134"/>
      <c r="S130" s="134"/>
      <c r="T130" s="134"/>
      <c r="U130" s="134"/>
    </row>
    <row r="131" spans="1:23" s="73" customFormat="1" x14ac:dyDescent="0.2">
      <c r="A131" s="537" t="s">
        <v>218</v>
      </c>
      <c r="B131" s="538" t="s">
        <v>11</v>
      </c>
      <c r="C131" s="538" t="s">
        <v>12</v>
      </c>
      <c r="D131" s="538" t="s">
        <v>219</v>
      </c>
      <c r="E131" s="843"/>
      <c r="F131" s="843"/>
      <c r="G131" s="843"/>
      <c r="H131" s="843"/>
      <c r="I131" s="843"/>
      <c r="J131" s="843"/>
      <c r="K131" s="843"/>
      <c r="L131" s="847"/>
      <c r="M131" s="189"/>
      <c r="N131" s="134"/>
      <c r="O131" s="134"/>
      <c r="P131" s="134"/>
      <c r="Q131" s="134"/>
      <c r="R131" s="134"/>
      <c r="S131" s="134"/>
      <c r="T131" s="134"/>
      <c r="U131" s="134"/>
    </row>
    <row r="132" spans="1:23" s="136" customFormat="1" x14ac:dyDescent="0.2">
      <c r="A132" s="539"/>
      <c r="B132" s="540"/>
      <c r="C132" s="540"/>
      <c r="D132" s="540"/>
      <c r="E132" s="540"/>
      <c r="F132" s="255"/>
      <c r="G132" s="255"/>
      <c r="H132" s="255"/>
      <c r="I132" s="255"/>
      <c r="J132" s="540"/>
      <c r="K132" s="21"/>
      <c r="L132" s="541"/>
      <c r="M132" s="190"/>
      <c r="N132" s="160"/>
      <c r="O132" s="160"/>
      <c r="P132" s="160"/>
      <c r="Q132" s="160"/>
      <c r="R132" s="160"/>
      <c r="S132" s="160"/>
      <c r="T132" s="160"/>
      <c r="U132" s="160"/>
    </row>
    <row r="133" spans="1:23" s="136" customFormat="1" x14ac:dyDescent="0.2">
      <c r="A133" s="542"/>
      <c r="B133" s="540"/>
      <c r="C133" s="540"/>
      <c r="D133" s="540"/>
      <c r="E133" s="540"/>
      <c r="F133" s="255"/>
      <c r="G133" s="255"/>
      <c r="H133" s="255"/>
      <c r="I133" s="255"/>
      <c r="J133" s="24"/>
      <c r="K133" s="21"/>
      <c r="L133" s="25"/>
      <c r="M133" s="191"/>
      <c r="N133" s="160"/>
      <c r="O133" s="160"/>
      <c r="P133" s="160"/>
      <c r="Q133" s="160"/>
      <c r="R133" s="160"/>
      <c r="S133" s="160"/>
      <c r="T133" s="160"/>
      <c r="U133" s="160"/>
    </row>
    <row r="134" spans="1:23" s="136" customFormat="1" x14ac:dyDescent="0.2">
      <c r="A134" s="542"/>
      <c r="B134" s="540"/>
      <c r="C134" s="540"/>
      <c r="D134" s="540"/>
      <c r="E134" s="540"/>
      <c r="F134" s="255"/>
      <c r="G134" s="255"/>
      <c r="H134" s="255"/>
      <c r="I134" s="255"/>
      <c r="J134" s="24"/>
      <c r="K134" s="21"/>
      <c r="L134" s="25"/>
      <c r="M134" s="191"/>
      <c r="N134" s="160"/>
      <c r="O134" s="160"/>
      <c r="P134" s="160"/>
      <c r="Q134" s="160"/>
      <c r="R134" s="160"/>
      <c r="S134" s="160"/>
      <c r="T134" s="160"/>
      <c r="U134" s="160"/>
    </row>
    <row r="135" spans="1:23" s="136" customFormat="1" ht="16.5" thickBot="1" x14ac:dyDescent="0.25">
      <c r="A135" s="543"/>
      <c r="B135" s="544"/>
      <c r="C135" s="544"/>
      <c r="D135" s="544"/>
      <c r="E135" s="544"/>
      <c r="F135" s="256"/>
      <c r="G135" s="256"/>
      <c r="H135" s="256"/>
      <c r="I135" s="256"/>
      <c r="J135" s="28"/>
      <c r="K135" s="29"/>
      <c r="L135" s="30"/>
      <c r="M135" s="191"/>
      <c r="N135" s="160"/>
      <c r="O135" s="160"/>
      <c r="P135" s="160"/>
      <c r="Q135" s="160"/>
      <c r="R135" s="160"/>
      <c r="S135" s="160"/>
      <c r="T135" s="160"/>
      <c r="U135" s="160"/>
    </row>
    <row r="136" spans="1:23" s="136" customFormat="1" x14ac:dyDescent="0.2">
      <c r="A136" s="173"/>
      <c r="B136" s="545"/>
      <c r="C136" s="545"/>
      <c r="D136" s="545"/>
      <c r="E136" s="545"/>
      <c r="F136" s="545"/>
      <c r="G136" s="545"/>
      <c r="H136" s="545"/>
      <c r="I136" s="545"/>
      <c r="J136" s="33"/>
      <c r="K136" s="33"/>
      <c r="L136" s="34"/>
      <c r="M136" s="191"/>
      <c r="N136" s="160"/>
      <c r="O136" s="160"/>
      <c r="P136" s="160"/>
      <c r="Q136" s="160"/>
      <c r="R136" s="160"/>
      <c r="S136" s="160"/>
      <c r="T136" s="160"/>
      <c r="U136" s="160"/>
    </row>
    <row r="137" spans="1:23" s="73" customFormat="1" ht="15.6" customHeight="1" x14ac:dyDescent="0.2">
      <c r="A137" s="841" t="s">
        <v>596</v>
      </c>
      <c r="B137" s="840"/>
      <c r="C137" s="840"/>
      <c r="D137" s="840"/>
      <c r="E137" s="840" t="s">
        <v>288</v>
      </c>
      <c r="F137" s="840">
        <v>20</v>
      </c>
      <c r="G137" s="840">
        <v>40</v>
      </c>
      <c r="H137" s="840" t="s">
        <v>19</v>
      </c>
      <c r="I137" s="840" t="s">
        <v>20</v>
      </c>
      <c r="J137" s="845" t="s">
        <v>297</v>
      </c>
      <c r="K137" s="845" t="s">
        <v>33</v>
      </c>
      <c r="L137" s="844" t="s">
        <v>217</v>
      </c>
      <c r="M137" s="844" t="s">
        <v>23</v>
      </c>
      <c r="N137" s="169"/>
      <c r="O137" s="118"/>
      <c r="P137" s="134"/>
      <c r="Q137" s="134"/>
      <c r="R137" s="134"/>
      <c r="S137" s="134"/>
      <c r="T137" s="134"/>
      <c r="U137" s="134"/>
      <c r="V137" s="134"/>
      <c r="W137" s="134"/>
    </row>
    <row r="138" spans="1:23" s="73" customFormat="1" x14ac:dyDescent="0.2">
      <c r="A138" s="546" t="s">
        <v>218</v>
      </c>
      <c r="B138" s="546" t="s">
        <v>11</v>
      </c>
      <c r="C138" s="546" t="s">
        <v>12</v>
      </c>
      <c r="D138" s="546" t="s">
        <v>219</v>
      </c>
      <c r="E138" s="840"/>
      <c r="F138" s="840"/>
      <c r="G138" s="840"/>
      <c r="H138" s="840"/>
      <c r="I138" s="840"/>
      <c r="J138" s="840"/>
      <c r="K138" s="840"/>
      <c r="L138" s="844"/>
      <c r="M138" s="844"/>
      <c r="N138" s="169"/>
      <c r="O138" s="118"/>
      <c r="P138" s="134"/>
      <c r="Q138" s="134"/>
      <c r="R138" s="134"/>
      <c r="S138" s="134"/>
      <c r="T138" s="134"/>
      <c r="U138" s="134"/>
      <c r="V138" s="134"/>
      <c r="W138" s="134"/>
    </row>
    <row r="139" spans="1:23" s="136" customFormat="1" x14ac:dyDescent="0.2">
      <c r="A139" s="372"/>
      <c r="B139" s="547"/>
      <c r="C139" s="547"/>
      <c r="D139" s="547"/>
      <c r="E139" s="547"/>
      <c r="F139" s="368"/>
      <c r="G139" s="368"/>
      <c r="H139" s="368"/>
      <c r="I139" s="368"/>
      <c r="J139" s="369"/>
      <c r="K139" s="370"/>
      <c r="L139" s="548"/>
      <c r="M139" s="548"/>
      <c r="N139" s="192"/>
      <c r="O139" s="159"/>
      <c r="P139" s="160"/>
      <c r="Q139" s="160"/>
      <c r="R139" s="160"/>
      <c r="S139" s="160"/>
      <c r="T139" s="160"/>
      <c r="U139" s="160"/>
      <c r="V139" s="160"/>
      <c r="W139" s="160"/>
    </row>
    <row r="140" spans="1:23" s="136" customFormat="1" x14ac:dyDescent="0.2">
      <c r="A140" s="372"/>
      <c r="B140" s="547"/>
      <c r="C140" s="547"/>
      <c r="D140" s="547"/>
      <c r="E140" s="547"/>
      <c r="F140" s="368"/>
      <c r="G140" s="368"/>
      <c r="H140" s="368"/>
      <c r="I140" s="368"/>
      <c r="J140" s="369"/>
      <c r="K140" s="370"/>
      <c r="L140" s="548"/>
      <c r="M140" s="548"/>
      <c r="N140" s="192"/>
      <c r="O140" s="159"/>
      <c r="P140" s="160"/>
      <c r="Q140" s="160"/>
      <c r="R140" s="160"/>
      <c r="S140" s="160"/>
      <c r="T140" s="160"/>
      <c r="U140" s="160"/>
      <c r="V140" s="160"/>
      <c r="W140" s="160"/>
    </row>
    <row r="141" spans="1:23" s="136" customFormat="1" x14ac:dyDescent="0.2">
      <c r="A141" s="372"/>
      <c r="B141" s="547"/>
      <c r="C141" s="547"/>
      <c r="D141" s="547"/>
      <c r="E141" s="547"/>
      <c r="F141" s="368"/>
      <c r="G141" s="368"/>
      <c r="H141" s="368"/>
      <c r="I141" s="368"/>
      <c r="J141" s="369"/>
      <c r="K141" s="370"/>
      <c r="L141" s="548"/>
      <c r="M141" s="548"/>
      <c r="N141" s="192"/>
      <c r="O141" s="159"/>
      <c r="P141" s="160"/>
      <c r="Q141" s="160"/>
      <c r="R141" s="160"/>
      <c r="S141" s="160"/>
      <c r="T141" s="160"/>
      <c r="U141" s="160"/>
      <c r="V141" s="160"/>
      <c r="W141" s="160"/>
    </row>
    <row r="142" spans="1:23" s="136" customFormat="1" x14ac:dyDescent="0.2">
      <c r="A142" s="372"/>
      <c r="B142" s="547"/>
      <c r="C142" s="547"/>
      <c r="D142" s="547"/>
      <c r="E142" s="547"/>
      <c r="F142" s="368"/>
      <c r="G142" s="368"/>
      <c r="H142" s="368"/>
      <c r="I142" s="368"/>
      <c r="J142" s="369"/>
      <c r="K142" s="370"/>
      <c r="L142" s="373"/>
      <c r="M142" s="373"/>
      <c r="N142" s="191"/>
      <c r="O142" s="159"/>
      <c r="P142" s="160"/>
      <c r="Q142" s="160"/>
      <c r="R142" s="160"/>
      <c r="S142" s="160"/>
      <c r="T142" s="160"/>
      <c r="U142" s="160"/>
      <c r="V142" s="160"/>
      <c r="W142" s="160"/>
    </row>
    <row r="143" spans="1:23" s="73" customFormat="1" x14ac:dyDescent="0.2">
      <c r="A143" s="456"/>
      <c r="B143" s="549"/>
      <c r="C143" s="549"/>
      <c r="D143" s="549"/>
      <c r="E143" s="549"/>
      <c r="F143" s="194"/>
      <c r="G143" s="522"/>
      <c r="H143" s="195"/>
      <c r="I143" s="195"/>
      <c r="J143" s="176"/>
      <c r="K143" s="118"/>
      <c r="L143" s="134"/>
      <c r="M143" s="134"/>
      <c r="N143" s="134"/>
      <c r="O143" s="134"/>
      <c r="P143" s="134"/>
      <c r="Q143" s="134"/>
    </row>
    <row r="144" spans="1:23" s="456" customFormat="1" ht="16.5" thickBot="1" x14ac:dyDescent="0.25">
      <c r="A144" s="196"/>
      <c r="B144" s="197"/>
      <c r="C144" s="198"/>
      <c r="D144" s="198"/>
      <c r="E144" s="169"/>
      <c r="F144" s="176"/>
      <c r="G144" s="176"/>
      <c r="H144" s="176"/>
      <c r="I144" s="176"/>
      <c r="J144" s="170"/>
      <c r="K144" s="118"/>
      <c r="L144" s="134"/>
      <c r="M144" s="134"/>
      <c r="N144" s="134"/>
      <c r="O144" s="134"/>
      <c r="P144" s="134"/>
      <c r="Q144" s="134"/>
      <c r="R144" s="134"/>
      <c r="S144" s="118"/>
      <c r="T144" s="118"/>
      <c r="U144" s="118"/>
    </row>
    <row r="145" spans="1:21" s="456" customFormat="1" ht="16.5" thickBot="1" x14ac:dyDescent="0.25">
      <c r="A145" s="822" t="s">
        <v>220</v>
      </c>
      <c r="B145" s="823"/>
      <c r="C145" s="823"/>
      <c r="D145" s="823"/>
      <c r="E145" s="824"/>
      <c r="F145" s="176"/>
      <c r="G145" s="176"/>
      <c r="H145" s="176"/>
      <c r="I145" s="176"/>
      <c r="J145" s="170"/>
      <c r="K145" s="118"/>
      <c r="L145" s="134"/>
      <c r="M145" s="134"/>
      <c r="N145" s="134"/>
      <c r="O145" s="134"/>
      <c r="P145" s="134"/>
      <c r="Q145" s="134"/>
      <c r="R145" s="134"/>
      <c r="S145" s="118"/>
      <c r="T145" s="118"/>
      <c r="U145" s="118"/>
    </row>
    <row r="146" spans="1:21" s="73" customFormat="1" ht="16.5" thickBot="1" x14ac:dyDescent="0.25">
      <c r="A146" s="550"/>
      <c r="B146" s="456"/>
      <c r="C146" s="456"/>
      <c r="D146" s="456"/>
      <c r="E146" s="456"/>
      <c r="F146" s="194"/>
      <c r="G146" s="456"/>
      <c r="H146" s="200"/>
      <c r="I146" s="194"/>
      <c r="J146" s="194"/>
      <c r="K146" s="118"/>
      <c r="L146" s="134"/>
      <c r="M146" s="134"/>
      <c r="N146" s="134"/>
      <c r="O146" s="134"/>
      <c r="P146" s="134"/>
      <c r="Q146" s="134"/>
      <c r="R146" s="134"/>
      <c r="S146" s="118"/>
      <c r="T146" s="118"/>
      <c r="U146" s="118"/>
    </row>
    <row r="147" spans="1:21" s="73" customFormat="1" ht="16.5" thickBot="1" x14ac:dyDescent="0.25">
      <c r="A147" s="825" t="s">
        <v>221</v>
      </c>
      <c r="B147" s="838"/>
      <c r="C147" s="838"/>
      <c r="D147" s="838"/>
      <c r="E147" s="838"/>
      <c r="F147" s="839"/>
      <c r="G147" s="456"/>
      <c r="H147" s="200"/>
      <c r="I147" s="194"/>
      <c r="J147" s="194"/>
      <c r="K147" s="118"/>
      <c r="L147" s="134"/>
      <c r="M147" s="134"/>
      <c r="N147" s="134"/>
      <c r="O147" s="134"/>
      <c r="P147" s="134"/>
      <c r="Q147" s="134"/>
      <c r="R147" s="134"/>
      <c r="S147" s="118"/>
      <c r="T147" s="118"/>
      <c r="U147" s="118"/>
    </row>
    <row r="148" spans="1:21" s="73" customFormat="1" ht="16.5" customHeight="1" x14ac:dyDescent="0.2">
      <c r="A148" s="835" t="s">
        <v>222</v>
      </c>
      <c r="B148" s="836"/>
      <c r="C148" s="836"/>
      <c r="D148" s="836"/>
      <c r="E148" s="836"/>
      <c r="F148" s="837"/>
      <c r="G148" s="456"/>
      <c r="H148" s="201"/>
      <c r="I148" s="170"/>
      <c r="J148" s="170"/>
      <c r="K148" s="118"/>
      <c r="L148" s="134"/>
      <c r="M148" s="134"/>
      <c r="N148" s="134"/>
      <c r="O148" s="134"/>
      <c r="P148" s="134"/>
      <c r="Q148" s="134"/>
      <c r="R148" s="134"/>
      <c r="S148" s="118"/>
      <c r="T148" s="118"/>
      <c r="U148" s="118"/>
    </row>
    <row r="149" spans="1:21" ht="16.5" thickBot="1" x14ac:dyDescent="0.25">
      <c r="A149" s="832" t="s">
        <v>223</v>
      </c>
      <c r="B149" s="833"/>
      <c r="C149" s="833"/>
      <c r="D149" s="833"/>
      <c r="E149" s="833"/>
      <c r="F149" s="834"/>
      <c r="G149" s="176"/>
      <c r="H149" s="176"/>
      <c r="I149" s="176"/>
      <c r="J149" s="169"/>
      <c r="K149" s="169"/>
      <c r="L149" s="169"/>
      <c r="M149" s="169"/>
      <c r="N149" s="169"/>
      <c r="O149" s="169"/>
      <c r="P149" s="169"/>
      <c r="Q149" s="169"/>
      <c r="R149" s="169"/>
      <c r="S149" s="169"/>
      <c r="T149" s="169"/>
      <c r="U149" s="169"/>
    </row>
    <row r="150" spans="1:21" x14ac:dyDescent="0.2">
      <c r="A150" s="551" t="s">
        <v>224</v>
      </c>
      <c r="B150" s="450" t="s">
        <v>225</v>
      </c>
      <c r="C150" s="552" t="s">
        <v>226</v>
      </c>
      <c r="D150" s="553" t="s">
        <v>227</v>
      </c>
      <c r="E150" s="176"/>
      <c r="F150" s="176"/>
      <c r="G150" s="176"/>
      <c r="H150" s="169"/>
      <c r="I150" s="169"/>
      <c r="J150" s="169"/>
      <c r="K150" s="169"/>
      <c r="L150" s="169"/>
      <c r="M150" s="169"/>
      <c r="N150" s="169"/>
      <c r="O150" s="169"/>
      <c r="P150" s="169"/>
      <c r="Q150" s="169"/>
      <c r="R150" s="169"/>
    </row>
    <row r="151" spans="1:21" s="192" customFormat="1" x14ac:dyDescent="0.2">
      <c r="A151" s="203"/>
      <c r="B151" s="204" t="s">
        <v>344</v>
      </c>
      <c r="C151" s="205" t="s">
        <v>62</v>
      </c>
      <c r="D151" s="206">
        <v>0.9</v>
      </c>
      <c r="E151" s="191"/>
      <c r="F151" s="191"/>
      <c r="G151" s="191"/>
    </row>
    <row r="152" spans="1:21" s="192" customFormat="1" x14ac:dyDescent="0.2">
      <c r="A152" s="203"/>
      <c r="B152" s="204" t="s">
        <v>344</v>
      </c>
      <c r="C152" s="205" t="s">
        <v>417</v>
      </c>
      <c r="D152" s="206">
        <v>1.125</v>
      </c>
      <c r="E152" s="191"/>
      <c r="F152" s="191"/>
      <c r="G152" s="191"/>
    </row>
    <row r="153" spans="1:21" s="192" customFormat="1" ht="16.5" thickBot="1" x14ac:dyDescent="0.25">
      <c r="A153" s="207"/>
      <c r="B153" s="208" t="s">
        <v>344</v>
      </c>
      <c r="C153" s="209" t="s">
        <v>418</v>
      </c>
      <c r="D153" s="210">
        <v>1.266</v>
      </c>
      <c r="E153" s="191"/>
      <c r="F153" s="191"/>
      <c r="G153" s="191"/>
    </row>
    <row r="154" spans="1:21" ht="16.5" thickBot="1" x14ac:dyDescent="0.25"/>
    <row r="155" spans="1:21" s="73" customFormat="1" ht="16.5" thickBot="1" x14ac:dyDescent="0.25">
      <c r="A155" s="822" t="s">
        <v>228</v>
      </c>
      <c r="B155" s="823"/>
      <c r="C155" s="823"/>
      <c r="D155" s="823"/>
      <c r="E155" s="823"/>
      <c r="F155" s="823"/>
      <c r="G155" s="823"/>
      <c r="H155" s="823"/>
      <c r="I155" s="824"/>
      <c r="J155" s="169"/>
      <c r="K155" s="118"/>
      <c r="L155" s="134"/>
      <c r="M155" s="134"/>
      <c r="N155" s="134"/>
      <c r="O155" s="134"/>
      <c r="P155" s="134"/>
      <c r="Q155" s="134"/>
      <c r="R155" s="134"/>
      <c r="S155" s="118"/>
      <c r="T155" s="118"/>
      <c r="U155" s="118"/>
    </row>
    <row r="156" spans="1:21" s="73" customFormat="1" ht="16.5" thickBot="1" x14ac:dyDescent="0.25">
      <c r="A156" s="554" t="s">
        <v>229</v>
      </c>
      <c r="B156" s="213"/>
      <c r="C156" s="214"/>
      <c r="D156" s="214"/>
      <c r="E156" s="214"/>
      <c r="F156" s="214"/>
      <c r="G156" s="215"/>
      <c r="H156" s="216"/>
      <c r="I156" s="217"/>
      <c r="J156" s="170"/>
      <c r="K156" s="118"/>
      <c r="L156" s="134"/>
      <c r="M156" s="134"/>
      <c r="N156" s="134"/>
      <c r="O156" s="134"/>
      <c r="P156" s="134"/>
      <c r="Q156" s="134"/>
      <c r="R156" s="134"/>
      <c r="S156" s="118"/>
      <c r="T156" s="118"/>
      <c r="U156" s="118"/>
    </row>
    <row r="157" spans="1:21" s="308" customFormat="1" x14ac:dyDescent="0.2">
      <c r="A157" s="228"/>
      <c r="B157" s="949"/>
      <c r="C157" s="992"/>
      <c r="D157" s="992"/>
      <c r="E157" s="992"/>
      <c r="F157" s="992"/>
      <c r="G157" s="992"/>
      <c r="H157" s="992"/>
      <c r="I157" s="993"/>
      <c r="J157" s="171"/>
      <c r="K157" s="172"/>
      <c r="L157" s="173"/>
      <c r="M157" s="173"/>
      <c r="N157" s="173"/>
      <c r="O157" s="173"/>
      <c r="P157" s="173"/>
      <c r="Q157" s="173"/>
      <c r="R157" s="173"/>
      <c r="S157" s="172"/>
      <c r="T157" s="172"/>
      <c r="U157" s="172"/>
    </row>
    <row r="158" spans="1:21" s="218" customFormat="1" x14ac:dyDescent="0.2">
      <c r="A158" s="281"/>
      <c r="B158" s="816"/>
      <c r="C158" s="817"/>
      <c r="D158" s="817"/>
      <c r="E158" s="817"/>
      <c r="F158" s="817"/>
      <c r="G158" s="817"/>
      <c r="H158" s="817"/>
      <c r="I158" s="818"/>
    </row>
    <row r="159" spans="1:21" s="218" customFormat="1" x14ac:dyDescent="0.2">
      <c r="A159" s="281"/>
      <c r="B159" s="816"/>
      <c r="C159" s="817"/>
      <c r="D159" s="817"/>
      <c r="E159" s="817"/>
      <c r="F159" s="817"/>
      <c r="G159" s="817"/>
      <c r="H159" s="817"/>
      <c r="I159" s="818"/>
    </row>
    <row r="160" spans="1:21" s="218" customFormat="1" x14ac:dyDescent="0.2">
      <c r="A160" s="281"/>
      <c r="B160" s="816"/>
      <c r="C160" s="817"/>
      <c r="D160" s="817"/>
      <c r="E160" s="817"/>
      <c r="F160" s="817"/>
      <c r="G160" s="817"/>
      <c r="H160" s="817"/>
      <c r="I160" s="818"/>
    </row>
    <row r="161" spans="1:9" s="218" customFormat="1" x14ac:dyDescent="0.2">
      <c r="A161" s="281"/>
      <c r="B161" s="816"/>
      <c r="C161" s="817"/>
      <c r="D161" s="817"/>
      <c r="E161" s="817"/>
      <c r="F161" s="817"/>
      <c r="G161" s="817"/>
      <c r="H161" s="817"/>
      <c r="I161" s="818"/>
    </row>
    <row r="162" spans="1:9" s="218" customFormat="1" x14ac:dyDescent="0.2">
      <c r="A162" s="281"/>
      <c r="B162" s="816"/>
      <c r="C162" s="817"/>
      <c r="D162" s="817"/>
      <c r="E162" s="817"/>
      <c r="F162" s="817"/>
      <c r="G162" s="817"/>
      <c r="H162" s="817"/>
      <c r="I162" s="818"/>
    </row>
    <row r="163" spans="1:9" s="218" customFormat="1" x14ac:dyDescent="0.2">
      <c r="A163" s="281"/>
      <c r="B163" s="816"/>
      <c r="C163" s="817"/>
      <c r="D163" s="817"/>
      <c r="E163" s="817"/>
      <c r="F163" s="817"/>
      <c r="G163" s="817"/>
      <c r="H163" s="817"/>
      <c r="I163" s="818"/>
    </row>
    <row r="164" spans="1:9" s="218" customFormat="1" x14ac:dyDescent="0.2">
      <c r="A164" s="281"/>
      <c r="B164" s="816"/>
      <c r="C164" s="817"/>
      <c r="D164" s="817"/>
      <c r="E164" s="817"/>
      <c r="F164" s="817"/>
      <c r="G164" s="817"/>
      <c r="H164" s="817"/>
      <c r="I164" s="818"/>
    </row>
    <row r="165" spans="1:9" s="218" customFormat="1" x14ac:dyDescent="0.2">
      <c r="A165" s="281"/>
      <c r="B165" s="816"/>
      <c r="C165" s="817"/>
      <c r="D165" s="817"/>
      <c r="E165" s="817"/>
      <c r="F165" s="817"/>
      <c r="G165" s="817"/>
      <c r="H165" s="817"/>
      <c r="I165" s="818"/>
    </row>
    <row r="166" spans="1:9" s="218" customFormat="1" x14ac:dyDescent="0.2">
      <c r="A166" s="281"/>
      <c r="B166" s="816"/>
      <c r="C166" s="817"/>
      <c r="D166" s="817"/>
      <c r="E166" s="817"/>
      <c r="F166" s="817"/>
      <c r="G166" s="817"/>
      <c r="H166" s="817"/>
      <c r="I166" s="818"/>
    </row>
    <row r="167" spans="1:9" s="218" customFormat="1" x14ac:dyDescent="0.2">
      <c r="A167" s="281"/>
      <c r="B167" s="816"/>
      <c r="C167" s="817"/>
      <c r="D167" s="817"/>
      <c r="E167" s="817"/>
      <c r="F167" s="817"/>
      <c r="G167" s="817"/>
      <c r="H167" s="817"/>
      <c r="I167" s="818"/>
    </row>
    <row r="168" spans="1:9" s="218" customFormat="1" x14ac:dyDescent="0.2">
      <c r="A168" s="281"/>
      <c r="B168" s="816"/>
      <c r="C168" s="817"/>
      <c r="D168" s="817"/>
      <c r="E168" s="817"/>
      <c r="F168" s="817"/>
      <c r="G168" s="817"/>
      <c r="H168" s="817"/>
      <c r="I168" s="818"/>
    </row>
    <row r="169" spans="1:9" s="218" customFormat="1" x14ac:dyDescent="0.2">
      <c r="A169" s="281"/>
      <c r="B169" s="816"/>
      <c r="C169" s="817"/>
      <c r="D169" s="817"/>
      <c r="E169" s="817"/>
      <c r="F169" s="817"/>
      <c r="G169" s="817"/>
      <c r="H169" s="817"/>
      <c r="I169" s="818"/>
    </row>
    <row r="170" spans="1:9" s="218" customFormat="1" x14ac:dyDescent="0.2">
      <c r="A170" s="281"/>
      <c r="B170" s="816"/>
      <c r="C170" s="817"/>
      <c r="D170" s="817"/>
      <c r="E170" s="817"/>
      <c r="F170" s="817"/>
      <c r="G170" s="817"/>
      <c r="H170" s="817"/>
      <c r="I170" s="818"/>
    </row>
    <row r="171" spans="1:9" s="218" customFormat="1" ht="16.5" thickBot="1" x14ac:dyDescent="0.25">
      <c r="A171" s="282"/>
      <c r="B171" s="819"/>
      <c r="C171" s="820"/>
      <c r="D171" s="820"/>
      <c r="E171" s="820"/>
      <c r="F171" s="820"/>
      <c r="G171" s="820"/>
      <c r="H171" s="820"/>
      <c r="I171" s="821"/>
    </row>
    <row r="173" spans="1:9" s="218" customFormat="1" x14ac:dyDescent="0.2">
      <c r="F173" s="337"/>
      <c r="G173" s="337"/>
      <c r="H173" s="337"/>
      <c r="I173" s="337"/>
    </row>
    <row r="174" spans="1:9" s="218" customFormat="1" ht="16.5" thickBot="1" x14ac:dyDescent="0.25">
      <c r="F174" s="337"/>
      <c r="G174" s="337"/>
      <c r="H174" s="337"/>
      <c r="I174" s="337"/>
    </row>
    <row r="175" spans="1:9" s="218" customFormat="1" ht="16.5" thickBot="1" x14ac:dyDescent="0.25">
      <c r="A175" s="825" t="s">
        <v>3</v>
      </c>
      <c r="B175" s="826"/>
      <c r="F175" s="337"/>
      <c r="G175" s="337"/>
      <c r="H175" s="337"/>
      <c r="I175" s="337"/>
    </row>
    <row r="176" spans="1:9" s="347" customFormat="1" ht="16.5" thickBot="1" x14ac:dyDescent="0.25">
      <c r="A176" s="338"/>
      <c r="B176" s="338"/>
      <c r="F176" s="348"/>
      <c r="G176" s="348"/>
      <c r="H176" s="348"/>
      <c r="I176" s="348"/>
    </row>
    <row r="177" spans="1:14" s="218" customFormat="1" ht="15.75" customHeight="1" thickBot="1" x14ac:dyDescent="0.25">
      <c r="A177" s="800" t="s">
        <v>2</v>
      </c>
      <c r="B177" s="801"/>
      <c r="C177" s="801"/>
      <c r="D177" s="801"/>
      <c r="E177" s="801"/>
      <c r="F177" s="801"/>
      <c r="G177" s="802"/>
      <c r="H177" s="337"/>
      <c r="I177" s="337"/>
    </row>
    <row r="178" spans="1:14" s="347" customFormat="1" ht="15.75" customHeight="1" thickBot="1" x14ac:dyDescent="0.25">
      <c r="A178" s="338"/>
      <c r="B178" s="338"/>
      <c r="C178" s="338"/>
      <c r="D178" s="338"/>
      <c r="E178" s="338"/>
      <c r="F178" s="338"/>
      <c r="G178" s="338"/>
      <c r="H178" s="348"/>
      <c r="I178" s="348"/>
    </row>
    <row r="179" spans="1:14" s="218" customFormat="1" ht="15.75" customHeight="1" thickBot="1" x14ac:dyDescent="0.25">
      <c r="A179" s="807" t="s">
        <v>1</v>
      </c>
      <c r="B179" s="808"/>
      <c r="C179" s="808"/>
      <c r="D179" s="808"/>
      <c r="E179" s="809"/>
      <c r="F179" s="339"/>
      <c r="G179" s="339"/>
      <c r="H179" s="337"/>
      <c r="I179" s="337"/>
    </row>
    <row r="180" spans="1:14" s="218" customFormat="1" x14ac:dyDescent="0.2">
      <c r="A180" s="803" t="s">
        <v>627</v>
      </c>
      <c r="B180" s="805" t="s">
        <v>888</v>
      </c>
      <c r="C180" s="786" t="s">
        <v>0</v>
      </c>
      <c r="D180" s="786" t="s">
        <v>609</v>
      </c>
      <c r="E180" s="805" t="s">
        <v>889</v>
      </c>
      <c r="F180" s="786" t="s">
        <v>436</v>
      </c>
      <c r="G180" s="786" t="s">
        <v>421</v>
      </c>
      <c r="H180" s="786" t="s">
        <v>628</v>
      </c>
      <c r="I180" s="786" t="s">
        <v>11</v>
      </c>
      <c r="J180" s="786" t="s">
        <v>12</v>
      </c>
      <c r="K180" s="786" t="s">
        <v>13</v>
      </c>
      <c r="L180" s="786" t="s">
        <v>449</v>
      </c>
      <c r="M180" s="786" t="s">
        <v>610</v>
      </c>
      <c r="N180" s="788"/>
    </row>
    <row r="181" spans="1:14" s="218" customFormat="1" ht="32.25" customHeight="1" thickBot="1" x14ac:dyDescent="0.25">
      <c r="A181" s="804"/>
      <c r="B181" s="806"/>
      <c r="C181" s="787"/>
      <c r="D181" s="787"/>
      <c r="E181" s="806"/>
      <c r="F181" s="787"/>
      <c r="G181" s="787"/>
      <c r="H181" s="787"/>
      <c r="I181" s="787"/>
      <c r="J181" s="787"/>
      <c r="K181" s="787"/>
      <c r="L181" s="787"/>
      <c r="M181" s="787"/>
      <c r="N181" s="789"/>
    </row>
    <row r="182" spans="1:14" s="218" customFormat="1" x14ac:dyDescent="0.2">
      <c r="A182" s="344"/>
      <c r="B182" s="340"/>
      <c r="C182" s="394"/>
      <c r="D182" s="340"/>
      <c r="E182" s="340"/>
      <c r="F182" s="340"/>
      <c r="G182" s="340"/>
      <c r="H182" s="340"/>
      <c r="I182" s="340"/>
      <c r="J182" s="340"/>
      <c r="K182" s="340"/>
      <c r="L182" s="661"/>
      <c r="M182" s="810"/>
      <c r="N182" s="811"/>
    </row>
    <row r="183" spans="1:14" s="218" customFormat="1" x14ac:dyDescent="0.2">
      <c r="A183" s="345"/>
      <c r="B183" s="341"/>
      <c r="C183" s="392"/>
      <c r="D183" s="341"/>
      <c r="E183" s="341"/>
      <c r="F183" s="341"/>
      <c r="G183" s="341"/>
      <c r="H183" s="341"/>
      <c r="I183" s="341"/>
      <c r="J183" s="341"/>
      <c r="K183" s="341"/>
      <c r="L183" s="662"/>
      <c r="M183" s="790"/>
      <c r="N183" s="791"/>
    </row>
    <row r="184" spans="1:14" s="218" customFormat="1" x14ac:dyDescent="0.2">
      <c r="A184" s="345"/>
      <c r="B184" s="341"/>
      <c r="C184" s="392"/>
      <c r="D184" s="341"/>
      <c r="E184" s="341"/>
      <c r="F184" s="341"/>
      <c r="G184" s="341"/>
      <c r="H184" s="341"/>
      <c r="I184" s="341"/>
      <c r="J184" s="341"/>
      <c r="K184" s="341"/>
      <c r="L184" s="662"/>
      <c r="M184" s="790"/>
      <c r="N184" s="791"/>
    </row>
    <row r="185" spans="1:14" s="218" customFormat="1" x14ac:dyDescent="0.2">
      <c r="A185" s="345"/>
      <c r="B185" s="341"/>
      <c r="C185" s="392"/>
      <c r="D185" s="341"/>
      <c r="E185" s="341"/>
      <c r="F185" s="341"/>
      <c r="G185" s="341"/>
      <c r="H185" s="341"/>
      <c r="I185" s="341"/>
      <c r="J185" s="341"/>
      <c r="K185" s="341"/>
      <c r="L185" s="662"/>
      <c r="M185" s="790"/>
      <c r="N185" s="791"/>
    </row>
    <row r="186" spans="1:14" s="218" customFormat="1" x14ac:dyDescent="0.2">
      <c r="A186" s="345"/>
      <c r="B186" s="341"/>
      <c r="C186" s="392"/>
      <c r="D186" s="341"/>
      <c r="E186" s="341"/>
      <c r="F186" s="341"/>
      <c r="G186" s="341"/>
      <c r="H186" s="341"/>
      <c r="I186" s="341"/>
      <c r="J186" s="341"/>
      <c r="K186" s="341"/>
      <c r="L186" s="662"/>
      <c r="M186" s="790"/>
      <c r="N186" s="791"/>
    </row>
    <row r="187" spans="1:14" s="218" customFormat="1" ht="16.5" thickBot="1" x14ac:dyDescent="0.25">
      <c r="A187" s="346"/>
      <c r="B187" s="342"/>
      <c r="C187" s="336"/>
      <c r="D187" s="342"/>
      <c r="E187" s="342"/>
      <c r="F187" s="342"/>
      <c r="G187" s="342"/>
      <c r="H187" s="342"/>
      <c r="I187" s="342"/>
      <c r="J187" s="342"/>
      <c r="K187" s="342"/>
      <c r="L187" s="663"/>
      <c r="M187" s="794"/>
      <c r="N187" s="795"/>
    </row>
    <row r="188" spans="1:14" s="218" customFormat="1" x14ac:dyDescent="0.2">
      <c r="F188" s="337"/>
      <c r="G188" s="337"/>
      <c r="H188" s="337"/>
      <c r="I188" s="337"/>
    </row>
    <row r="189" spans="1:14" s="218" customFormat="1" ht="16.5" thickBot="1" x14ac:dyDescent="0.25">
      <c r="F189" s="337"/>
      <c r="G189" s="337"/>
      <c r="H189" s="337"/>
      <c r="I189" s="337"/>
    </row>
    <row r="190" spans="1:14" s="218" customFormat="1" ht="16.5" thickBot="1" x14ac:dyDescent="0.25">
      <c r="A190" s="800" t="s">
        <v>790</v>
      </c>
      <c r="B190" s="801"/>
      <c r="C190" s="801"/>
      <c r="D190" s="801"/>
      <c r="E190" s="801"/>
      <c r="F190" s="801"/>
      <c r="G190" s="802"/>
      <c r="H190" s="337"/>
      <c r="I190" s="337"/>
    </row>
    <row r="191" spans="1:14" s="192" customFormat="1" ht="16.5" thickBot="1" x14ac:dyDescent="0.25">
      <c r="F191" s="191"/>
      <c r="G191" s="191"/>
      <c r="H191" s="191"/>
      <c r="I191" s="191"/>
    </row>
    <row r="192" spans="1:14" s="218" customFormat="1" ht="16.5" thickBot="1" x14ac:dyDescent="0.25">
      <c r="A192" s="807" t="s">
        <v>1</v>
      </c>
      <c r="B192" s="808"/>
      <c r="C192" s="808"/>
      <c r="D192" s="808"/>
      <c r="E192" s="808"/>
      <c r="F192" s="808"/>
      <c r="G192" s="808"/>
      <c r="H192" s="809"/>
      <c r="I192" s="337"/>
    </row>
    <row r="193" spans="1:31" s="1187" customFormat="1" ht="16.5" customHeight="1" thickBot="1" x14ac:dyDescent="0.25">
      <c r="A193" s="803" t="s">
        <v>627</v>
      </c>
      <c r="B193" s="805" t="s">
        <v>888</v>
      </c>
      <c r="C193" s="786" t="s">
        <v>0</v>
      </c>
      <c r="D193" s="786" t="s">
        <v>609</v>
      </c>
      <c r="E193" s="805" t="s">
        <v>889</v>
      </c>
      <c r="F193" s="971" t="s">
        <v>42</v>
      </c>
      <c r="G193" s="1165" t="s">
        <v>789</v>
      </c>
      <c r="H193" s="1163"/>
      <c r="I193" s="1163"/>
      <c r="J193" s="1163"/>
      <c r="K193" s="1163"/>
      <c r="L193" s="1163"/>
      <c r="M193" s="1163"/>
      <c r="N193" s="1163"/>
      <c r="O193" s="1163"/>
      <c r="P193" s="1163"/>
      <c r="Q193" s="1163"/>
      <c r="R193" s="1163"/>
      <c r="S193" s="1163"/>
      <c r="T193" s="1163"/>
      <c r="U193" s="1163"/>
      <c r="V193" s="1164"/>
      <c r="W193" s="930" t="s">
        <v>436</v>
      </c>
      <c r="X193" s="786" t="s">
        <v>421</v>
      </c>
      <c r="Y193" s="786" t="s">
        <v>628</v>
      </c>
      <c r="Z193" s="786" t="s">
        <v>11</v>
      </c>
      <c r="AA193" s="786" t="s">
        <v>12</v>
      </c>
      <c r="AB193" s="786" t="s">
        <v>13</v>
      </c>
      <c r="AC193" s="786" t="s">
        <v>449</v>
      </c>
      <c r="AD193" s="971" t="s">
        <v>610</v>
      </c>
      <c r="AE193" s="1161"/>
    </row>
    <row r="194" spans="1:31" s="1187" customFormat="1" ht="47.25" customHeight="1" thickBot="1" x14ac:dyDescent="0.25">
      <c r="A194" s="804"/>
      <c r="B194" s="806"/>
      <c r="C194" s="787"/>
      <c r="D194" s="787"/>
      <c r="E194" s="806"/>
      <c r="F194" s="787"/>
      <c r="G194" s="1204" t="s">
        <v>432</v>
      </c>
      <c r="H194" s="1204" t="s">
        <v>1380</v>
      </c>
      <c r="I194" s="1200" t="s">
        <v>1381</v>
      </c>
      <c r="J194" s="1200" t="s">
        <v>1382</v>
      </c>
      <c r="K194" s="1200" t="s">
        <v>433</v>
      </c>
      <c r="L194" s="1200" t="s">
        <v>1383</v>
      </c>
      <c r="M194" s="1200" t="s">
        <v>1386</v>
      </c>
      <c r="N194" s="1200" t="s">
        <v>1387</v>
      </c>
      <c r="O194" s="1200" t="s">
        <v>434</v>
      </c>
      <c r="P194" s="1200" t="s">
        <v>1384</v>
      </c>
      <c r="Q194" s="1200" t="s">
        <v>1388</v>
      </c>
      <c r="R194" s="1200" t="s">
        <v>1389</v>
      </c>
      <c r="S194" s="1200" t="s">
        <v>435</v>
      </c>
      <c r="T194" s="1200" t="s">
        <v>1385</v>
      </c>
      <c r="U194" s="1200" t="s">
        <v>1390</v>
      </c>
      <c r="V194" s="1200" t="s">
        <v>1391</v>
      </c>
      <c r="W194" s="787"/>
      <c r="X194" s="787"/>
      <c r="Y194" s="787"/>
      <c r="Z194" s="787"/>
      <c r="AA194" s="787"/>
      <c r="AB194" s="787"/>
      <c r="AC194" s="787"/>
      <c r="AD194" s="972"/>
      <c r="AE194" s="1162"/>
    </row>
    <row r="195" spans="1:31" s="1187" customFormat="1" x14ac:dyDescent="0.2">
      <c r="A195" s="1194"/>
      <c r="B195" s="1191"/>
      <c r="C195" s="1189"/>
      <c r="D195" s="1191"/>
      <c r="E195" s="1191"/>
      <c r="F195" s="1197"/>
      <c r="G195" s="1191"/>
      <c r="H195" s="1191"/>
      <c r="I195" s="1191"/>
      <c r="J195" s="1191"/>
      <c r="K195" s="1191"/>
      <c r="L195" s="1191"/>
      <c r="M195" s="1191"/>
      <c r="N195" s="1191"/>
      <c r="O195" s="1191"/>
      <c r="P195" s="1191"/>
      <c r="Q195" s="1191"/>
      <c r="R195" s="1191"/>
      <c r="S195" s="1191"/>
      <c r="T195" s="1191"/>
      <c r="U195" s="1191"/>
      <c r="V195" s="1191"/>
      <c r="W195" s="1191"/>
      <c r="X195" s="1191"/>
      <c r="Y195" s="1191"/>
      <c r="Z195" s="1191"/>
      <c r="AA195" s="1191"/>
      <c r="AB195" s="1191"/>
      <c r="AC195" s="1201"/>
      <c r="AD195" s="796"/>
      <c r="AE195" s="797"/>
    </row>
    <row r="196" spans="1:31" s="1187" customFormat="1" x14ac:dyDescent="0.2">
      <c r="A196" s="1195"/>
      <c r="B196" s="1192"/>
      <c r="C196" s="1188"/>
      <c r="D196" s="1192"/>
      <c r="E196" s="1192"/>
      <c r="F196" s="1198"/>
      <c r="G196" s="1192"/>
      <c r="H196" s="1192"/>
      <c r="I196" s="1192"/>
      <c r="J196" s="1192"/>
      <c r="K196" s="1192"/>
      <c r="L196" s="1192"/>
      <c r="M196" s="1192"/>
      <c r="N196" s="1192"/>
      <c r="O196" s="1192"/>
      <c r="P196" s="1192"/>
      <c r="Q196" s="1192"/>
      <c r="R196" s="1192"/>
      <c r="S196" s="1192"/>
      <c r="T196" s="1192"/>
      <c r="U196" s="1192"/>
      <c r="V196" s="1192"/>
      <c r="W196" s="1192"/>
      <c r="X196" s="1192"/>
      <c r="Y196" s="1192"/>
      <c r="Z196" s="1192"/>
      <c r="AA196" s="1192"/>
      <c r="AB196" s="1192"/>
      <c r="AC196" s="1202"/>
      <c r="AD196" s="798"/>
      <c r="AE196" s="799"/>
    </row>
    <row r="197" spans="1:31" s="1187" customFormat="1" x14ac:dyDescent="0.2">
      <c r="A197" s="1195"/>
      <c r="B197" s="1192"/>
      <c r="C197" s="1188"/>
      <c r="D197" s="1192"/>
      <c r="E197" s="1192"/>
      <c r="F197" s="1198"/>
      <c r="G197" s="1192"/>
      <c r="H197" s="1192"/>
      <c r="I197" s="1192"/>
      <c r="J197" s="1192"/>
      <c r="K197" s="1192"/>
      <c r="L197" s="1192"/>
      <c r="M197" s="1192"/>
      <c r="N197" s="1192"/>
      <c r="O197" s="1192"/>
      <c r="P197" s="1192"/>
      <c r="Q197" s="1192"/>
      <c r="R197" s="1192"/>
      <c r="S197" s="1192"/>
      <c r="T197" s="1192"/>
      <c r="U197" s="1192"/>
      <c r="V197" s="1192"/>
      <c r="W197" s="1192"/>
      <c r="X197" s="1192"/>
      <c r="Y197" s="1192"/>
      <c r="Z197" s="1192"/>
      <c r="AA197" s="1192"/>
      <c r="AB197" s="1192"/>
      <c r="AC197" s="1202"/>
      <c r="AD197" s="798"/>
      <c r="AE197" s="799"/>
    </row>
    <row r="198" spans="1:31" s="1187" customFormat="1" x14ac:dyDescent="0.2">
      <c r="A198" s="1195"/>
      <c r="B198" s="1192"/>
      <c r="C198" s="1188"/>
      <c r="D198" s="1192"/>
      <c r="E198" s="1192"/>
      <c r="F198" s="1198"/>
      <c r="G198" s="1192"/>
      <c r="H198" s="1192"/>
      <c r="I198" s="1192"/>
      <c r="J198" s="1192"/>
      <c r="K198" s="1192"/>
      <c r="L198" s="1192"/>
      <c r="M198" s="1192"/>
      <c r="N198" s="1192"/>
      <c r="O198" s="1192"/>
      <c r="P198" s="1192"/>
      <c r="Q198" s="1192"/>
      <c r="R198" s="1192"/>
      <c r="S198" s="1192"/>
      <c r="T198" s="1192"/>
      <c r="U198" s="1192"/>
      <c r="V198" s="1192"/>
      <c r="W198" s="1192"/>
      <c r="X198" s="1192"/>
      <c r="Y198" s="1192"/>
      <c r="Z198" s="1192"/>
      <c r="AA198" s="1192"/>
      <c r="AB198" s="1192"/>
      <c r="AC198" s="1202"/>
      <c r="AD198" s="798"/>
      <c r="AE198" s="799"/>
    </row>
    <row r="199" spans="1:31" s="1187" customFormat="1" x14ac:dyDescent="0.2">
      <c r="A199" s="1195"/>
      <c r="B199" s="1192"/>
      <c r="C199" s="1188"/>
      <c r="D199" s="1192"/>
      <c r="E199" s="1192"/>
      <c r="F199" s="1198"/>
      <c r="G199" s="1192"/>
      <c r="H199" s="1192"/>
      <c r="I199" s="1192"/>
      <c r="J199" s="1192"/>
      <c r="K199" s="1192"/>
      <c r="L199" s="1192"/>
      <c r="M199" s="1192"/>
      <c r="N199" s="1192"/>
      <c r="O199" s="1192"/>
      <c r="P199" s="1192"/>
      <c r="Q199" s="1192"/>
      <c r="R199" s="1192"/>
      <c r="S199" s="1192"/>
      <c r="T199" s="1192"/>
      <c r="U199" s="1192"/>
      <c r="V199" s="1192"/>
      <c r="W199" s="1192"/>
      <c r="X199" s="1192"/>
      <c r="Y199" s="1192"/>
      <c r="Z199" s="1192"/>
      <c r="AA199" s="1192"/>
      <c r="AB199" s="1192"/>
      <c r="AC199" s="1202"/>
      <c r="AD199" s="798"/>
      <c r="AE199" s="799"/>
    </row>
    <row r="200" spans="1:31" s="1187" customFormat="1" ht="16.5" thickBot="1" x14ac:dyDescent="0.25">
      <c r="A200" s="1196"/>
      <c r="B200" s="1193"/>
      <c r="C200" s="1190"/>
      <c r="D200" s="1193"/>
      <c r="E200" s="1193"/>
      <c r="F200" s="1199"/>
      <c r="G200" s="1193"/>
      <c r="H200" s="1193"/>
      <c r="I200" s="1193"/>
      <c r="J200" s="1193"/>
      <c r="K200" s="1193"/>
      <c r="L200" s="1193"/>
      <c r="M200" s="1193"/>
      <c r="N200" s="1193"/>
      <c r="O200" s="1193"/>
      <c r="P200" s="1193"/>
      <c r="Q200" s="1193"/>
      <c r="R200" s="1193"/>
      <c r="S200" s="1193"/>
      <c r="T200" s="1193"/>
      <c r="U200" s="1193"/>
      <c r="V200" s="1193"/>
      <c r="W200" s="1193"/>
      <c r="X200" s="1193"/>
      <c r="Y200" s="1193"/>
      <c r="Z200" s="1193"/>
      <c r="AA200" s="1193"/>
      <c r="AB200" s="1193"/>
      <c r="AC200" s="1203"/>
      <c r="AD200" s="792"/>
      <c r="AE200" s="793"/>
    </row>
    <row r="201" spans="1:31" s="218" customFormat="1" x14ac:dyDescent="0.2">
      <c r="F201" s="337"/>
      <c r="G201" s="337"/>
      <c r="H201" s="337"/>
      <c r="I201" s="337"/>
    </row>
    <row r="202" spans="1:31" s="218" customFormat="1" x14ac:dyDescent="0.2">
      <c r="F202" s="337"/>
      <c r="G202" s="337"/>
      <c r="H202" s="337"/>
      <c r="I202" s="337"/>
    </row>
    <row r="203" spans="1:31" s="218" customFormat="1" ht="16.5" thickBot="1" x14ac:dyDescent="0.25">
      <c r="F203" s="337"/>
      <c r="G203" s="337"/>
      <c r="H203" s="337"/>
      <c r="I203" s="337"/>
    </row>
    <row r="204" spans="1:31" ht="16.5" thickBot="1" x14ac:dyDescent="0.25">
      <c r="A204" s="555" t="s">
        <v>454</v>
      </c>
      <c r="B204" s="556" t="s">
        <v>455</v>
      </c>
    </row>
    <row r="205" spans="1:31" x14ac:dyDescent="0.2">
      <c r="A205" s="450" t="s">
        <v>456</v>
      </c>
      <c r="B205" s="557" t="s">
        <v>51</v>
      </c>
    </row>
    <row r="206" spans="1:31" x14ac:dyDescent="0.2">
      <c r="A206" s="558" t="s">
        <v>65</v>
      </c>
      <c r="B206" s="559" t="s">
        <v>51</v>
      </c>
    </row>
    <row r="207" spans="1:31" x14ac:dyDescent="0.2">
      <c r="A207" s="558" t="s">
        <v>257</v>
      </c>
      <c r="B207" s="559" t="s">
        <v>51</v>
      </c>
    </row>
    <row r="208" spans="1:31" x14ac:dyDescent="0.2">
      <c r="A208" s="558" t="s">
        <v>258</v>
      </c>
      <c r="B208" s="559" t="s">
        <v>51</v>
      </c>
    </row>
    <row r="209" spans="1:9" x14ac:dyDescent="0.2">
      <c r="A209" s="558" t="s">
        <v>259</v>
      </c>
      <c r="B209" s="559" t="s">
        <v>53</v>
      </c>
    </row>
    <row r="210" spans="1:9" x14ac:dyDescent="0.2">
      <c r="A210" s="558" t="s">
        <v>281</v>
      </c>
      <c r="B210" s="559" t="s">
        <v>53</v>
      </c>
      <c r="F210" s="69"/>
      <c r="G210" s="69"/>
      <c r="H210" s="69"/>
      <c r="I210" s="69"/>
    </row>
    <row r="211" spans="1:9" x14ac:dyDescent="0.2">
      <c r="A211" s="560" t="s">
        <v>279</v>
      </c>
      <c r="B211" s="559" t="s">
        <v>53</v>
      </c>
      <c r="F211" s="69"/>
      <c r="G211" s="69"/>
      <c r="H211" s="69"/>
      <c r="I211" s="69"/>
    </row>
    <row r="212" spans="1:9" x14ac:dyDescent="0.2">
      <c r="A212" s="560" t="s">
        <v>457</v>
      </c>
      <c r="B212" s="559" t="s">
        <v>53</v>
      </c>
      <c r="F212" s="69"/>
      <c r="G212" s="69"/>
      <c r="H212" s="69"/>
      <c r="I212" s="69"/>
    </row>
    <row r="213" spans="1:9" ht="16.5" thickBot="1" x14ac:dyDescent="0.25">
      <c r="A213" s="561" t="s">
        <v>460</v>
      </c>
      <c r="B213" s="562" t="s">
        <v>51</v>
      </c>
      <c r="F213" s="69"/>
      <c r="G213" s="69"/>
      <c r="H213" s="69"/>
      <c r="I213" s="69"/>
    </row>
  </sheetData>
  <sheetProtection formatCells="0" formatColumns="0" formatRows="0" insertColumns="0" insertRows="0" deleteColumns="0" deleteRows="0" sort="0" autoFilter="0"/>
  <autoFilter ref="A32:AB32" xr:uid="{00000000-0009-0000-0000-000014000000}"/>
  <dataConsolidate>
    <dataRefs count="2">
      <dataRef ref="B9" sheet="APPENDIX B-1  (FE - USWC)"/>
      <dataRef ref="A14:A18" sheet="APPENDIX B-1  (FE - USWC)"/>
    </dataRefs>
  </dataConsolidate>
  <mergeCells count="264">
    <mergeCell ref="AD197:AE197"/>
    <mergeCell ref="AD198:AE198"/>
    <mergeCell ref="AD199:AE199"/>
    <mergeCell ref="AD200:AE200"/>
    <mergeCell ref="X193:X194"/>
    <mergeCell ref="Y193:Y194"/>
    <mergeCell ref="Z193:Z194"/>
    <mergeCell ref="AA193:AA194"/>
    <mergeCell ref="AB193:AB194"/>
    <mergeCell ref="AC193:AC194"/>
    <mergeCell ref="AD193:AE194"/>
    <mergeCell ref="AD195:AE195"/>
    <mergeCell ref="AD196:AE196"/>
    <mergeCell ref="B106:D106"/>
    <mergeCell ref="E106:G106"/>
    <mergeCell ref="B112:D112"/>
    <mergeCell ref="E112:G112"/>
    <mergeCell ref="B113:D113"/>
    <mergeCell ref="E113:G113"/>
    <mergeCell ref="M92:M94"/>
    <mergeCell ref="A89:I89"/>
    <mergeCell ref="B102:D102"/>
    <mergeCell ref="E102:G102"/>
    <mergeCell ref="B101:D101"/>
    <mergeCell ref="E101:G101"/>
    <mergeCell ref="E103:G103"/>
    <mergeCell ref="B100:D100"/>
    <mergeCell ref="A88:I88"/>
    <mergeCell ref="B86:D86"/>
    <mergeCell ref="J50:J51"/>
    <mergeCell ref="L92:L94"/>
    <mergeCell ref="K92:K94"/>
    <mergeCell ref="J92:J94"/>
    <mergeCell ref="E97:G97"/>
    <mergeCell ref="A93:G93"/>
    <mergeCell ref="B85:D85"/>
    <mergeCell ref="B90:I90"/>
    <mergeCell ref="I92:I94"/>
    <mergeCell ref="A92:G92"/>
    <mergeCell ref="H92:H94"/>
    <mergeCell ref="B97:D97"/>
    <mergeCell ref="AC50:AC51"/>
    <mergeCell ref="AA50:AA51"/>
    <mergeCell ref="B83:D83"/>
    <mergeCell ref="B70:D70"/>
    <mergeCell ref="AB50:AB51"/>
    <mergeCell ref="A59:C59"/>
    <mergeCell ref="E50:E51"/>
    <mergeCell ref="F50:F51"/>
    <mergeCell ref="H50:H51"/>
    <mergeCell ref="B82:D82"/>
    <mergeCell ref="C50:C51"/>
    <mergeCell ref="A75:C75"/>
    <mergeCell ref="B50:B51"/>
    <mergeCell ref="B68:D68"/>
    <mergeCell ref="I50:I51"/>
    <mergeCell ref="B71:D71"/>
    <mergeCell ref="B69:D69"/>
    <mergeCell ref="Z50:Z51"/>
    <mergeCell ref="D50:D51"/>
    <mergeCell ref="M50:M51"/>
    <mergeCell ref="A50:A51"/>
    <mergeCell ref="B67:D67"/>
    <mergeCell ref="K50:K51"/>
    <mergeCell ref="L50:L51"/>
    <mergeCell ref="AA32:AA33"/>
    <mergeCell ref="AA41:AA42"/>
    <mergeCell ref="X41:X42"/>
    <mergeCell ref="Z32:Z33"/>
    <mergeCell ref="Y41:Y42"/>
    <mergeCell ref="J41:J42"/>
    <mergeCell ref="K41:K42"/>
    <mergeCell ref="Y32:Y33"/>
    <mergeCell ref="Z41:Z42"/>
    <mergeCell ref="J32:J33"/>
    <mergeCell ref="X32:X33"/>
    <mergeCell ref="A7:B7"/>
    <mergeCell ref="A6:B6"/>
    <mergeCell ref="C6:F6"/>
    <mergeCell ref="C7:F7"/>
    <mergeCell ref="D41:D42"/>
    <mergeCell ref="E41:E42"/>
    <mergeCell ref="A8:B8"/>
    <mergeCell ref="C8:F8"/>
    <mergeCell ref="L17:M17"/>
    <mergeCell ref="B20:H20"/>
    <mergeCell ref="H32:H33"/>
    <mergeCell ref="L32:L33"/>
    <mergeCell ref="L13:M13"/>
    <mergeCell ref="L14:M14"/>
    <mergeCell ref="L16:M16"/>
    <mergeCell ref="J16:K16"/>
    <mergeCell ref="J14:K14"/>
    <mergeCell ref="B15:I15"/>
    <mergeCell ref="J15:K15"/>
    <mergeCell ref="F32:F33"/>
    <mergeCell ref="B22:H22"/>
    <mergeCell ref="L15:M15"/>
    <mergeCell ref="B17:I17"/>
    <mergeCell ref="B25:H25"/>
    <mergeCell ref="C3:F3"/>
    <mergeCell ref="A4:B4"/>
    <mergeCell ref="C4:F4"/>
    <mergeCell ref="A5:B5"/>
    <mergeCell ref="C5:F5"/>
    <mergeCell ref="A1:B1"/>
    <mergeCell ref="C1:F1"/>
    <mergeCell ref="A2:B2"/>
    <mergeCell ref="C2:F2"/>
    <mergeCell ref="A3:B3"/>
    <mergeCell ref="A12:J12"/>
    <mergeCell ref="B13:I13"/>
    <mergeCell ref="J13:K13"/>
    <mergeCell ref="B14:I14"/>
    <mergeCell ref="D32:D33"/>
    <mergeCell ref="G32:G33"/>
    <mergeCell ref="B21:H21"/>
    <mergeCell ref="B26:H26"/>
    <mergeCell ref="I32:I33"/>
    <mergeCell ref="C32:C33"/>
    <mergeCell ref="J17:K17"/>
    <mergeCell ref="E32:E33"/>
    <mergeCell ref="B16:I16"/>
    <mergeCell ref="K32:K33"/>
    <mergeCell ref="B23:H23"/>
    <mergeCell ref="B24:H24"/>
    <mergeCell ref="I41:I42"/>
    <mergeCell ref="A32:A33"/>
    <mergeCell ref="B32:B33"/>
    <mergeCell ref="H41:H42"/>
    <mergeCell ref="B84:D84"/>
    <mergeCell ref="A49:D49"/>
    <mergeCell ref="A74:C74"/>
    <mergeCell ref="A60:C60"/>
    <mergeCell ref="G50:G51"/>
    <mergeCell ref="C41:C42"/>
    <mergeCell ref="A41:A42"/>
    <mergeCell ref="B41:B42"/>
    <mergeCell ref="F41:F42"/>
    <mergeCell ref="G41:G42"/>
    <mergeCell ref="E125:G125"/>
    <mergeCell ref="B96:D96"/>
    <mergeCell ref="E96:G96"/>
    <mergeCell ref="B99:D99"/>
    <mergeCell ref="A94:G94"/>
    <mergeCell ref="B95:D95"/>
    <mergeCell ref="E95:G95"/>
    <mergeCell ref="B120:D120"/>
    <mergeCell ref="E120:G120"/>
    <mergeCell ref="E100:G100"/>
    <mergeCell ref="E99:G99"/>
    <mergeCell ref="E107:G107"/>
    <mergeCell ref="E118:G118"/>
    <mergeCell ref="B103:D103"/>
    <mergeCell ref="B108:D108"/>
    <mergeCell ref="B123:D123"/>
    <mergeCell ref="B125:D125"/>
    <mergeCell ref="B104:D104"/>
    <mergeCell ref="E104:G104"/>
    <mergeCell ref="B105:D105"/>
    <mergeCell ref="E105:G105"/>
    <mergeCell ref="B98:D98"/>
    <mergeCell ref="E115:G115"/>
    <mergeCell ref="E98:G98"/>
    <mergeCell ref="M137:M138"/>
    <mergeCell ref="K137:K138"/>
    <mergeCell ref="B171:I171"/>
    <mergeCell ref="A128:I128"/>
    <mergeCell ref="A127:I127"/>
    <mergeCell ref="E111:G111"/>
    <mergeCell ref="E121:G121"/>
    <mergeCell ref="B118:D118"/>
    <mergeCell ref="F137:F138"/>
    <mergeCell ref="B169:I169"/>
    <mergeCell ref="B170:I170"/>
    <mergeCell ref="B180:B181"/>
    <mergeCell ref="I180:I181"/>
    <mergeCell ref="B126:D126"/>
    <mergeCell ref="E123:G123"/>
    <mergeCell ref="E114:G114"/>
    <mergeCell ref="B167:I167"/>
    <mergeCell ref="H180:H181"/>
    <mergeCell ref="F193:F194"/>
    <mergeCell ref="A155:I155"/>
    <mergeCell ref="D193:D194"/>
    <mergeCell ref="B119:D119"/>
    <mergeCell ref="J137:J138"/>
    <mergeCell ref="M187:N187"/>
    <mergeCell ref="E193:E194"/>
    <mergeCell ref="A192:H192"/>
    <mergeCell ref="B193:B194"/>
    <mergeCell ref="C193:C194"/>
    <mergeCell ref="A193:A194"/>
    <mergeCell ref="G193:V193"/>
    <mergeCell ref="W193:W194"/>
    <mergeCell ref="L137:L138"/>
    <mergeCell ref="E126:G126"/>
    <mergeCell ref="B107:D107"/>
    <mergeCell ref="E108:G108"/>
    <mergeCell ref="B122:D122"/>
    <mergeCell ref="E122:G122"/>
    <mergeCell ref="E110:G110"/>
    <mergeCell ref="B109:D109"/>
    <mergeCell ref="B110:D110"/>
    <mergeCell ref="B114:D114"/>
    <mergeCell ref="E109:G109"/>
    <mergeCell ref="B121:D121"/>
    <mergeCell ref="B111:D111"/>
    <mergeCell ref="E119:G119"/>
    <mergeCell ref="B116:D116"/>
    <mergeCell ref="E116:G116"/>
    <mergeCell ref="B117:D117"/>
    <mergeCell ref="E117:G117"/>
    <mergeCell ref="B124:D124"/>
    <mergeCell ref="E124:G124"/>
    <mergeCell ref="H130:H131"/>
    <mergeCell ref="E137:E138"/>
    <mergeCell ref="H137:H138"/>
    <mergeCell ref="B115:D115"/>
    <mergeCell ref="C180:C181"/>
    <mergeCell ref="L180:L181"/>
    <mergeCell ref="F180:F181"/>
    <mergeCell ref="K180:K181"/>
    <mergeCell ref="B161:I161"/>
    <mergeCell ref="M182:N182"/>
    <mergeCell ref="D180:D181"/>
    <mergeCell ref="A180:A181"/>
    <mergeCell ref="E180:E181"/>
    <mergeCell ref="A177:G177"/>
    <mergeCell ref="G180:G181"/>
    <mergeCell ref="M185:N185"/>
    <mergeCell ref="A179:E179"/>
    <mergeCell ref="A190:G190"/>
    <mergeCell ref="M183:N183"/>
    <mergeCell ref="M186:N186"/>
    <mergeCell ref="L130:L131"/>
    <mergeCell ref="A137:D137"/>
    <mergeCell ref="A130:D130"/>
    <mergeCell ref="E130:E131"/>
    <mergeCell ref="G137:G138"/>
    <mergeCell ref="J180:J181"/>
    <mergeCell ref="J130:J131"/>
    <mergeCell ref="K130:K131"/>
    <mergeCell ref="B164:I164"/>
    <mergeCell ref="B165:I165"/>
    <mergeCell ref="B163:I163"/>
    <mergeCell ref="B166:I166"/>
    <mergeCell ref="I137:I138"/>
    <mergeCell ref="M180:N181"/>
    <mergeCell ref="B157:I157"/>
    <mergeCell ref="M184:N184"/>
    <mergeCell ref="A175:B175"/>
    <mergeCell ref="A149:F149"/>
    <mergeCell ref="B162:I162"/>
    <mergeCell ref="A147:F147"/>
    <mergeCell ref="I130:I131"/>
    <mergeCell ref="F130:F131"/>
    <mergeCell ref="B160:I160"/>
    <mergeCell ref="A148:F148"/>
    <mergeCell ref="G130:G131"/>
    <mergeCell ref="B168:I168"/>
    <mergeCell ref="B158:I158"/>
    <mergeCell ref="B159:I159"/>
    <mergeCell ref="A145:E145"/>
  </mergeCells>
  <phoneticPr fontId="11" type="noConversion"/>
  <dataValidations count="33">
    <dataValidation type="list" allowBlank="1" showInputMessage="1" showErrorMessage="1" sqref="B205:B213" xr:uid="{00000000-0002-0000-1400-000000000000}">
      <formula1>Autom</formula1>
    </dataValidation>
    <dataValidation type="list" showInputMessage="1" showErrorMessage="1" sqref="C182:C187 C195:C200" xr:uid="{00000000-0002-0000-1400-000001000000}">
      <formula1>IF($B182="I",DDTARIFFUS,DDTARIFF)</formula1>
    </dataValidation>
    <dataValidation type="list" allowBlank="1" showInputMessage="1" showErrorMessage="1" sqref="B182:B187 B195:B200" xr:uid="{00000000-0002-0000-1400-000002000000}">
      <formula1>EXPIMP</formula1>
    </dataValidation>
    <dataValidation type="list" allowBlank="1" showInputMessage="1" showErrorMessage="1" sqref="F182:F187 W195:W200" xr:uid="{00000000-0002-0000-1400-000003000000}">
      <formula1>EQTYPE</formula1>
    </dataValidation>
    <dataValidation type="list" allowBlank="1" showInputMessage="1" showErrorMessage="1" sqref="G182:G187 X195:X200" xr:uid="{00000000-0002-0000-1400-000004000000}">
      <formula1>OPREEFER</formula1>
    </dataValidation>
    <dataValidation type="list" allowBlank="1" showInputMessage="1" showErrorMessage="1" sqref="F195:F200" xr:uid="{B9219B85-FFFE-4A23-9958-0D598D502050}">
      <formula1>CURRENCY</formula1>
    </dataValidation>
    <dataValidation type="whole" allowBlank="1" showInputMessage="1" showErrorMessage="1" error="Only whole numbers can be entered into this field" sqref="D182:D187 D195:D200" xr:uid="{00000000-0002-0000-1400-000006000000}">
      <formula1>1</formula1>
      <formula2>99</formula2>
    </dataValidation>
    <dataValidation type="list" showInputMessage="1" showErrorMessage="1" sqref="E182:E187 E195:E200" xr:uid="{00000000-0002-0000-1400-000007000000}">
      <formula1>DAYS</formula1>
    </dataValidation>
    <dataValidation type="whole" allowBlank="1" showInputMessage="1" showErrorMessage="1" error="Only whole numbers may be entered into this field_x000a_" sqref="G195:G200 S195:S200 O195:O200 K195:K200" xr:uid="{22798AED-6D0F-4AE4-85BC-0FC1983413A1}">
      <formula1>1</formula1>
      <formula2>99</formula2>
    </dataValidation>
    <dataValidation type="decimal" allowBlank="1" showInputMessage="1" showErrorMessage="1" error="Only numbers may be entered into this field" sqref="H195:J200 L195:N200 P195:R200 T195:V200" xr:uid="{B27DA1FF-470E-4B59-9121-E55B1508D433}">
      <formula1>1</formula1>
      <formula2>1000000000</formula2>
    </dataValidation>
    <dataValidation type="list" showInputMessage="1" showErrorMessage="1" sqref="K132:K135 K139:K142 N83:N86 A34:A37 A52:A55 A43:A46 N68:N71" xr:uid="{00000000-0002-0000-1400-00000A000000}">
      <formula1>$A$14:$A$18</formula1>
    </dataValidation>
    <dataValidation type="list" allowBlank="1" showInputMessage="1" showErrorMessage="1" sqref="J132:J135 J139:J142" xr:uid="{00000000-0002-0000-1400-00000B000000}">
      <formula1>GRIPSS</formula1>
    </dataValidation>
    <dataValidation type="decimal" allowBlank="1" showInputMessage="1" showErrorMessage="1" sqref="F139:I142 F132:I135 I52:L55 J83:M86 I43:K46 I34:L37" xr:uid="{00000000-0002-0000-1400-00000C000000}">
      <formula1>0</formula1>
      <formula2>999999999999999</formula2>
    </dataValidation>
    <dataValidation type="list" allowBlank="1" showInputMessage="1" showErrorMessage="1" sqref="E132:E135 E139:E142" xr:uid="{00000000-0002-0000-1400-00000D000000}">
      <formula1>GRIPSS_EQ</formula1>
    </dataValidation>
    <dataValidation type="list" showInputMessage="1" showErrorMessage="1" sqref="A182:A187 A195:A200" xr:uid="{00000000-0002-0000-1400-00000E000000}">
      <formula1>BULLET</formula1>
    </dataValidation>
    <dataValidation type="date" allowBlank="1" showInputMessage="1" showErrorMessage="1" sqref="X34:Y37 J95:K126" xr:uid="{00000000-0002-0000-1400-00000F000000}">
      <formula1>10101</formula1>
      <formula2>311299</formula2>
    </dataValidation>
    <dataValidation type="list" showDropDown="1" showErrorMessage="1" sqref="O67:P67 O82:P82" xr:uid="{00000000-0002-0000-1400-000010000000}">
      <formula1>Charges</formula1>
    </dataValidation>
    <dataValidation type="list" allowBlank="1" showInputMessage="1" showErrorMessage="1" sqref="O68:P71 O83:P86" xr:uid="{00000000-0002-0000-1400-000011000000}">
      <formula1 xml:space="preserve"> droppull</formula1>
    </dataValidation>
    <dataValidation type="list" allowBlank="1" showInputMessage="1" showErrorMessage="1" sqref="L43:L46 G83:G86 N43:N46 P52:P55 G68:G71" xr:uid="{00000000-0002-0000-1400-000012000000}">
      <formula1>YesNo</formula1>
    </dataValidation>
    <dataValidation type="list" allowBlank="1" showInputMessage="1" showErrorMessage="1" sqref="M52:M55" xr:uid="{00000000-0002-0000-1400-000013000000}">
      <formula1>Equip</formula1>
    </dataValidation>
    <dataValidation type="list" allowBlank="1" showInputMessage="1" showErrorMessage="1" sqref="F68:F71 F83:F86" xr:uid="{00000000-0002-0000-1400-000014000000}">
      <formula1>ArbMode</formula1>
    </dataValidation>
    <dataValidation type="list" allowBlank="1" showInputMessage="1" showErrorMessage="1" sqref="G43:G46 G34:G37 G52:G55" xr:uid="{00000000-0002-0000-1400-000015000000}">
      <formula1>SDD</formula1>
    </dataValidation>
    <dataValidation type="list" allowBlank="1" showInputMessage="1" showErrorMessage="1" sqref="M33:W33 Q51:Y51" xr:uid="{00000000-0002-0000-1400-000016000000}">
      <formula1>Container</formula1>
    </dataValidation>
    <dataValidation type="list" allowBlank="1" showInputMessage="1" showErrorMessage="1" sqref="O42:W42" xr:uid="{00000000-0002-0000-1400-000017000000}">
      <formula1>Reefer</formula1>
    </dataValidation>
    <dataValidation type="list" allowBlank="1" showInputMessage="1" showErrorMessage="1" sqref="F34:F37 F43:F46 F52:F55" xr:uid="{00000000-0002-0000-1400-000018000000}">
      <formula1>Mode</formula1>
    </dataValidation>
    <dataValidation type="list" allowBlank="1" showInputMessage="1" showErrorMessage="1" sqref="M43:M46 O52:O55" xr:uid="{00000000-0002-0000-1400-000019000000}">
      <formula1>ShipperOwn</formula1>
    </dataValidation>
    <dataValidation type="list" allowBlank="1" showInputMessage="1" showErrorMessage="1" sqref="N52:N55" xr:uid="{00000000-0002-0000-1400-00001A000000}">
      <formula1>OOG</formula1>
    </dataValidation>
    <dataValidation type="list" allowBlank="1" showErrorMessage="1" sqref="M32:W32 O41:W41 Q50:Y50" xr:uid="{00000000-0002-0000-1400-00001B000000}">
      <formula1>Exceptions</formula1>
    </dataValidation>
    <dataValidation type="list" allowBlank="1" showInputMessage="1" showErrorMessage="1" sqref="AA34:AA37 AA43:AA46 AC52:AC55" xr:uid="{00000000-0002-0000-1400-00001C000000}">
      <formula1>CST</formula1>
    </dataValidation>
    <dataValidation type="list" allowBlank="1" showInputMessage="1" showErrorMessage="1" sqref="I95:I126" xr:uid="{00000000-0002-0000-1400-00001D000000}">
      <formula1>$A$14:$A$18</formula1>
    </dataValidation>
    <dataValidation type="list" allowBlank="1" showErrorMessage="1" sqref="A95:A126" xr:uid="{00000000-0002-0000-1400-00001E000000}">
      <formula1>Charges</formula1>
    </dataValidation>
    <dataValidation allowBlank="1" showInputMessage="1" showErrorMessage="1" promptTitle="Acceptable Values:" prompt="- Applicable _x000a_- Not applicable _x000a_- Included_x000a_- Amount and OSPF for cases of fixed per D40 OSPF_x000a_    (example-  &quot;375 OSPF&quot;)" sqref="E95:G126" xr:uid="{00000000-0002-0000-1400-00001F000000}"/>
    <dataValidation type="list" allowBlank="1" showInputMessage="1" showErrorMessage="1" errorTitle="Pick up the list" promptTitle="Blank = ALL" sqref="H95:H126" xr:uid="{00000000-0002-0000-1400-000020000000}">
      <formula1>Type_note2</formula1>
    </dataValidation>
  </dataValidations>
  <pageMargins left="0.25" right="0.25" top="0.25" bottom="0.25" header="0.5" footer="0"/>
  <pageSetup scale="28" fitToHeight="0" orientation="landscape" r:id="rId1"/>
  <headerFooter alignWithMargins="0"/>
  <rowBreaks count="1" manualBreakCount="1">
    <brk id="90" max="16383" man="1"/>
  </rowBreaks>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61">
    <tabColor indexed="46"/>
    <pageSetUpPr fitToPage="1"/>
  </sheetPr>
  <dimension ref="A1:BB208"/>
  <sheetViews>
    <sheetView showGridLines="0" topLeftCell="A175" zoomScale="75" zoomScaleNormal="75" zoomScaleSheetLayoutView="75" workbookViewId="0">
      <selection activeCell="G188" sqref="A188:XFD195"/>
    </sheetView>
  </sheetViews>
  <sheetFormatPr defaultColWidth="9.140625" defaultRowHeight="15.75" x14ac:dyDescent="0.2"/>
  <cols>
    <col min="1" max="1" width="25.140625" style="69" customWidth="1"/>
    <col min="2" max="2" width="18.5703125" style="69" customWidth="1"/>
    <col min="3" max="3" width="18.28515625" style="69" customWidth="1"/>
    <col min="4" max="4" width="17.42578125" style="69" customWidth="1"/>
    <col min="5" max="5" width="19.28515625" style="69" customWidth="1"/>
    <col min="6" max="6" width="12.140625" style="211" customWidth="1"/>
    <col min="7" max="8" width="17.42578125" style="211" customWidth="1"/>
    <col min="9" max="9" width="17.7109375" style="211" customWidth="1"/>
    <col min="10" max="10" width="17.85546875" style="69" customWidth="1"/>
    <col min="11" max="11" width="16.5703125" style="69" customWidth="1"/>
    <col min="12" max="12" width="18.5703125" style="69" customWidth="1"/>
    <col min="13" max="13" width="17.28515625" style="69" customWidth="1"/>
    <col min="14" max="14" width="17.7109375" style="69" customWidth="1"/>
    <col min="15" max="16" width="16.5703125" style="69" customWidth="1"/>
    <col min="17" max="17" width="17.5703125" style="69" customWidth="1"/>
    <col min="18" max="18" width="15.85546875" style="69" customWidth="1"/>
    <col min="19" max="19" width="16.7109375" style="69" customWidth="1"/>
    <col min="20" max="20" width="16.5703125" style="69" customWidth="1"/>
    <col min="21" max="21" width="16.7109375" style="69" customWidth="1"/>
    <col min="22" max="22" width="17.5703125" style="69" customWidth="1"/>
    <col min="23" max="23" width="18" style="69" customWidth="1"/>
    <col min="24" max="24" width="12.7109375" style="69" customWidth="1"/>
    <col min="25" max="25" width="16.85546875" style="69" customWidth="1"/>
    <col min="26" max="26" width="9.7109375" style="69" customWidth="1"/>
    <col min="27" max="27" width="14.140625" style="69" customWidth="1"/>
    <col min="28" max="28" width="9.7109375" style="69" customWidth="1"/>
    <col min="29" max="29" width="14.140625" style="69" customWidth="1"/>
    <col min="30" max="16384" width="9.140625" style="69"/>
  </cols>
  <sheetData>
    <row r="1" spans="1:54" x14ac:dyDescent="0.2">
      <c r="A1" s="835" t="s">
        <v>511</v>
      </c>
      <c r="B1" s="837"/>
      <c r="C1" s="902" t="str">
        <f>Cover!B1</f>
        <v>22-XXXX</v>
      </c>
      <c r="D1" s="903"/>
      <c r="E1" s="903"/>
      <c r="F1" s="904"/>
      <c r="G1" s="69"/>
      <c r="H1" s="69"/>
      <c r="I1" s="69"/>
    </row>
    <row r="2" spans="1:54" x14ac:dyDescent="0.2">
      <c r="A2" s="885" t="s">
        <v>1236</v>
      </c>
      <c r="B2" s="886"/>
      <c r="C2" s="887"/>
      <c r="D2" s="888"/>
      <c r="E2" s="888"/>
      <c r="F2" s="889"/>
      <c r="G2" s="69"/>
      <c r="H2" s="69"/>
      <c r="I2" s="69"/>
    </row>
    <row r="3" spans="1:54" x14ac:dyDescent="0.2">
      <c r="A3" s="885" t="s">
        <v>522</v>
      </c>
      <c r="B3" s="886"/>
      <c r="C3" s="905">
        <f>Cover!B2</f>
        <v>0</v>
      </c>
      <c r="D3" s="906"/>
      <c r="E3" s="906"/>
      <c r="F3" s="907"/>
      <c r="G3" s="69"/>
      <c r="H3" s="69"/>
      <c r="I3" s="69"/>
    </row>
    <row r="4" spans="1:54" x14ac:dyDescent="0.2">
      <c r="A4" s="885" t="s">
        <v>1229</v>
      </c>
      <c r="B4" s="886"/>
      <c r="C4" s="884">
        <f>Cover!B7</f>
        <v>0</v>
      </c>
      <c r="D4" s="817"/>
      <c r="E4" s="817"/>
      <c r="F4" s="818"/>
      <c r="G4" s="69"/>
      <c r="H4" s="69"/>
      <c r="I4" s="69"/>
    </row>
    <row r="5" spans="1:54" x14ac:dyDescent="0.2">
      <c r="A5" s="885" t="s">
        <v>528</v>
      </c>
      <c r="B5" s="886"/>
      <c r="C5" s="887" t="s">
        <v>574</v>
      </c>
      <c r="D5" s="888"/>
      <c r="E5" s="888"/>
      <c r="F5" s="889"/>
      <c r="G5" s="69"/>
      <c r="H5" s="69"/>
      <c r="I5" s="69"/>
    </row>
    <row r="6" spans="1:54" ht="15.75" customHeight="1" x14ac:dyDescent="0.2">
      <c r="A6" s="885" t="s">
        <v>512</v>
      </c>
      <c r="B6" s="886"/>
      <c r="C6" s="887" t="s">
        <v>585</v>
      </c>
      <c r="D6" s="888"/>
      <c r="E6" s="888"/>
      <c r="F6" s="889"/>
      <c r="G6" s="69"/>
      <c r="H6" s="69"/>
      <c r="I6" s="69"/>
    </row>
    <row r="7" spans="1:54" ht="15.75" customHeight="1" x14ac:dyDescent="0.2">
      <c r="A7" s="885" t="s">
        <v>612</v>
      </c>
      <c r="B7" s="886"/>
      <c r="C7" s="887" t="s">
        <v>189</v>
      </c>
      <c r="D7" s="888"/>
      <c r="E7" s="888"/>
      <c r="F7" s="889"/>
      <c r="G7" s="69"/>
      <c r="H7" s="69"/>
      <c r="I7" s="69"/>
    </row>
    <row r="8" spans="1:54" ht="2.25" customHeight="1" thickBot="1" x14ac:dyDescent="0.25">
      <c r="A8" s="900"/>
      <c r="B8" s="901"/>
      <c r="C8" s="894"/>
      <c r="D8" s="895"/>
      <c r="E8" s="895"/>
      <c r="F8" s="896"/>
      <c r="G8" s="69"/>
      <c r="H8" s="69"/>
      <c r="I8" s="69"/>
    </row>
    <row r="9" spans="1:54" s="73" customFormat="1" x14ac:dyDescent="0.2">
      <c r="A9" s="442">
        <v>39</v>
      </c>
      <c r="B9" s="443" t="s">
        <v>614</v>
      </c>
      <c r="D9" s="444"/>
      <c r="E9" s="444"/>
      <c r="F9" s="445"/>
    </row>
    <row r="10" spans="1:54" s="73" customFormat="1" ht="16.5" thickBot="1" x14ac:dyDescent="0.25">
      <c r="A10" s="446"/>
      <c r="D10" s="444"/>
      <c r="E10" s="444"/>
      <c r="F10" s="445"/>
      <c r="G10" s="447"/>
      <c r="H10" s="444"/>
      <c r="I10" s="444"/>
      <c r="J10" s="444"/>
    </row>
    <row r="11" spans="1:54" ht="19.5" thickBot="1" x14ac:dyDescent="0.25">
      <c r="A11" s="448" t="s">
        <v>613</v>
      </c>
      <c r="B11" s="449"/>
      <c r="C11" s="73"/>
      <c r="D11" s="444"/>
      <c r="E11" s="444"/>
      <c r="F11" s="445"/>
      <c r="G11" s="447"/>
      <c r="H11" s="444"/>
      <c r="I11" s="444"/>
      <c r="J11" s="444"/>
    </row>
    <row r="12" spans="1:54" s="78" customFormat="1" ht="16.5" thickBot="1" x14ac:dyDescent="0.25">
      <c r="A12" s="897" t="s">
        <v>616</v>
      </c>
      <c r="B12" s="898"/>
      <c r="C12" s="898"/>
      <c r="D12" s="898"/>
      <c r="E12" s="898"/>
      <c r="F12" s="898"/>
      <c r="G12" s="898"/>
      <c r="H12" s="898"/>
      <c r="I12" s="898"/>
      <c r="J12" s="899"/>
    </row>
    <row r="13" spans="1:54" ht="17.25" customHeight="1" x14ac:dyDescent="0.2">
      <c r="A13" s="450" t="s">
        <v>617</v>
      </c>
      <c r="B13" s="881" t="s">
        <v>618</v>
      </c>
      <c r="C13" s="881"/>
      <c r="D13" s="881"/>
      <c r="E13" s="881"/>
      <c r="F13" s="881"/>
      <c r="G13" s="881"/>
      <c r="H13" s="881"/>
      <c r="I13" s="881"/>
      <c r="J13" s="882" t="s">
        <v>622</v>
      </c>
      <c r="K13" s="883"/>
      <c r="L13" s="890" t="s">
        <v>623</v>
      </c>
      <c r="M13" s="891"/>
      <c r="N13" s="350" t="s">
        <v>4</v>
      </c>
    </row>
    <row r="14" spans="1:54" s="81" customFormat="1" x14ac:dyDescent="0.2">
      <c r="A14" s="451"/>
      <c r="B14" s="862"/>
      <c r="C14" s="892"/>
      <c r="D14" s="892"/>
      <c r="E14" s="892"/>
      <c r="F14" s="892"/>
      <c r="G14" s="892"/>
      <c r="H14" s="892"/>
      <c r="I14" s="892"/>
      <c r="J14" s="870"/>
      <c r="K14" s="855"/>
      <c r="L14" s="893"/>
      <c r="M14" s="871"/>
      <c r="N14" s="349" t="str">
        <f>IF($A14&gt;0,$A14,"")</f>
        <v/>
      </c>
    </row>
    <row r="15" spans="1:54" s="453" customFormat="1" x14ac:dyDescent="0.2">
      <c r="A15" s="452"/>
      <c r="B15" s="879"/>
      <c r="C15" s="880"/>
      <c r="D15" s="880"/>
      <c r="E15" s="880"/>
      <c r="F15" s="880"/>
      <c r="G15" s="880"/>
      <c r="H15" s="880"/>
      <c r="I15" s="880"/>
      <c r="J15" s="870"/>
      <c r="K15" s="855"/>
      <c r="L15" s="870"/>
      <c r="M15" s="871"/>
      <c r="N15" s="349" t="str">
        <f>IF($A15&gt;0,$A15,"")</f>
        <v/>
      </c>
      <c r="BB15" s="81"/>
    </row>
    <row r="16" spans="1:54" s="453" customFormat="1" x14ac:dyDescent="0.2">
      <c r="A16" s="452"/>
      <c r="B16" s="879"/>
      <c r="C16" s="880"/>
      <c r="D16" s="880"/>
      <c r="E16" s="880"/>
      <c r="F16" s="880"/>
      <c r="G16" s="880"/>
      <c r="H16" s="880"/>
      <c r="I16" s="880"/>
      <c r="J16" s="870"/>
      <c r="K16" s="855"/>
      <c r="L16" s="870"/>
      <c r="M16" s="871"/>
      <c r="N16" s="349" t="str">
        <f>IF($A16&gt;0,$A16,"")</f>
        <v/>
      </c>
      <c r="BB16" s="81"/>
    </row>
    <row r="17" spans="1:54" s="453" customFormat="1" ht="16.5" thickBot="1" x14ac:dyDescent="0.25">
      <c r="A17" s="454"/>
      <c r="B17" s="864"/>
      <c r="C17" s="865"/>
      <c r="D17" s="865"/>
      <c r="E17" s="865"/>
      <c r="F17" s="865"/>
      <c r="G17" s="865"/>
      <c r="H17" s="865"/>
      <c r="I17" s="865"/>
      <c r="J17" s="866"/>
      <c r="K17" s="867"/>
      <c r="L17" s="857"/>
      <c r="M17" s="858"/>
      <c r="N17" s="349" t="str">
        <f>IF($A17&gt;0,$A17,"")</f>
        <v/>
      </c>
      <c r="BB17" s="81"/>
    </row>
    <row r="18" spans="1:54" s="462" customFormat="1" ht="16.5" thickBot="1" x14ac:dyDescent="0.25">
      <c r="A18" s="455"/>
      <c r="B18" s="456"/>
      <c r="C18" s="457"/>
      <c r="D18" s="458"/>
      <c r="E18" s="458"/>
      <c r="F18" s="459"/>
      <c r="G18" s="459"/>
      <c r="H18" s="460"/>
      <c r="I18" s="461"/>
      <c r="J18" s="461"/>
      <c r="K18" s="457"/>
      <c r="L18" s="457"/>
      <c r="M18" s="457"/>
      <c r="N18" s="349" t="str">
        <f>IF($A18&gt;0,$A18,"")</f>
        <v/>
      </c>
      <c r="O18" s="457"/>
      <c r="P18" s="457"/>
      <c r="Q18" s="457"/>
      <c r="BB18" s="81"/>
    </row>
    <row r="19" spans="1:54" s="462" customFormat="1" ht="19.5" thickBot="1" x14ac:dyDescent="0.25">
      <c r="A19" s="448" t="s">
        <v>419</v>
      </c>
      <c r="B19" s="463"/>
      <c r="I19" s="461"/>
      <c r="J19" s="461"/>
      <c r="K19" s="457"/>
      <c r="L19" s="457"/>
      <c r="M19" s="457"/>
      <c r="N19" s="457"/>
      <c r="O19" s="457"/>
      <c r="P19" s="457"/>
      <c r="Q19" s="457"/>
    </row>
    <row r="20" spans="1:54" s="462" customFormat="1" x14ac:dyDescent="0.2">
      <c r="A20" s="464" t="s">
        <v>419</v>
      </c>
      <c r="B20" s="859" t="s">
        <v>618</v>
      </c>
      <c r="C20" s="860"/>
      <c r="D20" s="860"/>
      <c r="E20" s="860"/>
      <c r="F20" s="860"/>
      <c r="G20" s="860"/>
      <c r="H20" s="861"/>
      <c r="I20" s="461"/>
      <c r="J20" s="461"/>
      <c r="K20" s="457"/>
      <c r="L20" s="457"/>
      <c r="M20" s="457"/>
      <c r="N20" s="457"/>
      <c r="O20" s="457"/>
      <c r="P20" s="457"/>
      <c r="Q20" s="457"/>
    </row>
    <row r="21" spans="1:54" s="467" customFormat="1" ht="15.75" customHeight="1" x14ac:dyDescent="0.2">
      <c r="A21" s="451" t="s">
        <v>462</v>
      </c>
      <c r="B21" s="862" t="s">
        <v>465</v>
      </c>
      <c r="C21" s="862"/>
      <c r="D21" s="862"/>
      <c r="E21" s="862"/>
      <c r="F21" s="862"/>
      <c r="G21" s="862"/>
      <c r="H21" s="863"/>
      <c r="I21" s="220"/>
      <c r="J21" s="465"/>
      <c r="K21" s="466"/>
      <c r="L21" s="466"/>
      <c r="M21" s="466"/>
      <c r="N21" s="466"/>
      <c r="O21" s="466"/>
      <c r="P21" s="466"/>
      <c r="Q21" s="466"/>
    </row>
    <row r="22" spans="1:54" s="467" customFormat="1" x14ac:dyDescent="0.2">
      <c r="A22" s="468"/>
      <c r="B22" s="862"/>
      <c r="C22" s="862"/>
      <c r="D22" s="862"/>
      <c r="E22" s="862"/>
      <c r="F22" s="862"/>
      <c r="G22" s="862"/>
      <c r="H22" s="863"/>
      <c r="I22" s="465"/>
      <c r="J22" s="465"/>
      <c r="K22" s="466"/>
      <c r="L22" s="466"/>
      <c r="M22" s="466"/>
      <c r="N22" s="466"/>
      <c r="O22" s="466"/>
      <c r="P22" s="466"/>
      <c r="Q22" s="466"/>
    </row>
    <row r="23" spans="1:54" s="467" customFormat="1" x14ac:dyDescent="0.2">
      <c r="A23" s="468"/>
      <c r="B23" s="854"/>
      <c r="C23" s="855"/>
      <c r="D23" s="855"/>
      <c r="E23" s="855"/>
      <c r="F23" s="855"/>
      <c r="G23" s="855"/>
      <c r="H23" s="856"/>
      <c r="I23" s="465"/>
      <c r="J23" s="465"/>
      <c r="K23" s="466"/>
      <c r="L23" s="466"/>
      <c r="M23" s="466"/>
      <c r="N23" s="466"/>
      <c r="O23" s="466"/>
      <c r="P23" s="466"/>
      <c r="Q23" s="466"/>
    </row>
    <row r="24" spans="1:54" s="467" customFormat="1" ht="16.5" thickBot="1" x14ac:dyDescent="0.25">
      <c r="A24" s="469"/>
      <c r="B24" s="877"/>
      <c r="C24" s="867"/>
      <c r="D24" s="867"/>
      <c r="E24" s="867"/>
      <c r="F24" s="867"/>
      <c r="G24" s="867"/>
      <c r="H24" s="878"/>
      <c r="I24" s="465"/>
      <c r="J24" s="465"/>
      <c r="K24" s="466"/>
      <c r="L24" s="466"/>
      <c r="M24" s="466"/>
      <c r="N24" s="466"/>
      <c r="O24" s="466"/>
      <c r="P24" s="466"/>
      <c r="Q24" s="466"/>
    </row>
    <row r="25" spans="1:54" s="462" customFormat="1" ht="16.5" thickBot="1" x14ac:dyDescent="0.25">
      <c r="A25" s="456"/>
      <c r="B25" s="95"/>
      <c r="C25" s="95"/>
      <c r="D25" s="95"/>
      <c r="E25" s="95"/>
      <c r="F25" s="95"/>
      <c r="G25" s="95"/>
      <c r="H25" s="95"/>
      <c r="I25" s="461"/>
      <c r="J25" s="461"/>
      <c r="K25" s="457"/>
      <c r="L25" s="457"/>
      <c r="M25" s="457"/>
      <c r="N25" s="457"/>
      <c r="O25" s="457"/>
      <c r="P25" s="457"/>
      <c r="Q25" s="457"/>
      <c r="R25" s="457"/>
      <c r="S25" s="457"/>
      <c r="T25" s="457"/>
      <c r="U25" s="457"/>
    </row>
    <row r="26" spans="1:54" s="462" customFormat="1" ht="19.5" thickBot="1" x14ac:dyDescent="0.25">
      <c r="A26" s="448" t="s">
        <v>624</v>
      </c>
      <c r="B26" s="449"/>
      <c r="I26" s="461"/>
      <c r="J26" s="461"/>
      <c r="K26" s="457"/>
      <c r="L26" s="457"/>
      <c r="M26" s="457"/>
      <c r="N26" s="457"/>
      <c r="O26" s="457"/>
      <c r="P26" s="457"/>
      <c r="Q26" s="457"/>
      <c r="R26" s="457"/>
      <c r="S26" s="457"/>
      <c r="T26" s="457"/>
      <c r="U26" s="457"/>
    </row>
    <row r="27" spans="1:54" s="462" customFormat="1" x14ac:dyDescent="0.2">
      <c r="A27" s="223" t="s">
        <v>886</v>
      </c>
      <c r="B27" s="470"/>
      <c r="C27" s="471"/>
      <c r="D27" s="472"/>
      <c r="E27" s="472"/>
      <c r="F27" s="473"/>
      <c r="G27" s="473"/>
      <c r="H27" s="473"/>
      <c r="I27" s="474"/>
      <c r="J27" s="475"/>
      <c r="K27" s="476"/>
      <c r="L27" s="457"/>
      <c r="M27" s="457"/>
      <c r="N27" s="457"/>
      <c r="O27" s="457"/>
      <c r="P27" s="457"/>
      <c r="Q27" s="457"/>
      <c r="R27" s="457"/>
      <c r="S27" s="457"/>
      <c r="T27" s="457"/>
      <c r="U27" s="457"/>
      <c r="V27" s="457"/>
    </row>
    <row r="28" spans="1:54" s="462" customFormat="1" x14ac:dyDescent="0.2">
      <c r="A28" s="96" t="s">
        <v>626</v>
      </c>
      <c r="B28" s="214"/>
      <c r="C28" s="477"/>
      <c r="D28" s="478"/>
      <c r="E28" s="478"/>
      <c r="F28" s="479"/>
      <c r="G28" s="479"/>
      <c r="H28" s="479"/>
      <c r="I28" s="480"/>
      <c r="J28" s="481"/>
      <c r="K28" s="482"/>
      <c r="L28" s="457"/>
      <c r="M28" s="457"/>
      <c r="N28" s="457"/>
      <c r="O28" s="457"/>
      <c r="P28" s="457"/>
      <c r="Q28" s="457"/>
      <c r="R28" s="457"/>
    </row>
    <row r="29" spans="1:54" s="462" customFormat="1" ht="16.5" thickBot="1" x14ac:dyDescent="0.25">
      <c r="A29" s="110" t="s">
        <v>172</v>
      </c>
      <c r="B29" s="483"/>
      <c r="C29" s="484"/>
      <c r="D29" s="485"/>
      <c r="E29" s="485"/>
      <c r="F29" s="486"/>
      <c r="G29" s="486"/>
      <c r="H29" s="486"/>
      <c r="I29" s="487"/>
      <c r="J29" s="488"/>
      <c r="K29" s="489"/>
      <c r="L29" s="457"/>
      <c r="M29" s="457"/>
      <c r="N29" s="457"/>
      <c r="O29" s="457"/>
      <c r="P29" s="457"/>
      <c r="Q29" s="457"/>
      <c r="R29" s="457"/>
      <c r="S29" s="118"/>
      <c r="T29" s="118"/>
      <c r="U29" s="118"/>
      <c r="V29" s="457"/>
      <c r="W29" s="457"/>
      <c r="X29" s="457"/>
    </row>
    <row r="30" spans="1:54" s="491" customFormat="1" ht="32.25" customHeight="1" x14ac:dyDescent="0.2">
      <c r="A30" s="875" t="s">
        <v>627</v>
      </c>
      <c r="B30" s="868" t="s">
        <v>628</v>
      </c>
      <c r="C30" s="868" t="s">
        <v>11</v>
      </c>
      <c r="D30" s="868" t="s">
        <v>12</v>
      </c>
      <c r="E30" s="868" t="s">
        <v>13</v>
      </c>
      <c r="F30" s="868" t="s">
        <v>14</v>
      </c>
      <c r="G30" s="868" t="s">
        <v>15</v>
      </c>
      <c r="H30" s="868" t="s">
        <v>16</v>
      </c>
      <c r="I30" s="868" t="s">
        <v>17</v>
      </c>
      <c r="J30" s="868" t="s">
        <v>18</v>
      </c>
      <c r="K30" s="868" t="s">
        <v>19</v>
      </c>
      <c r="L30" s="868" t="s">
        <v>20</v>
      </c>
      <c r="M30" s="490"/>
      <c r="N30" s="490"/>
      <c r="O30" s="490"/>
      <c r="P30" s="490"/>
      <c r="Q30" s="490"/>
      <c r="R30" s="490"/>
      <c r="S30" s="490"/>
      <c r="T30" s="490"/>
      <c r="U30" s="490"/>
      <c r="V30" s="490"/>
      <c r="W30" s="490"/>
      <c r="X30" s="868" t="s">
        <v>22</v>
      </c>
      <c r="Y30" s="868" t="s">
        <v>23</v>
      </c>
      <c r="Z30" s="868" t="s">
        <v>24</v>
      </c>
      <c r="AA30" s="922" t="s">
        <v>352</v>
      </c>
    </row>
    <row r="31" spans="1:54" s="491" customFormat="1" ht="16.5" thickBot="1" x14ac:dyDescent="0.25">
      <c r="A31" s="876"/>
      <c r="B31" s="869"/>
      <c r="C31" s="869"/>
      <c r="D31" s="869"/>
      <c r="E31" s="869"/>
      <c r="F31" s="869"/>
      <c r="G31" s="872"/>
      <c r="H31" s="869"/>
      <c r="I31" s="869"/>
      <c r="J31" s="869"/>
      <c r="K31" s="869"/>
      <c r="L31" s="869"/>
      <c r="M31" s="492"/>
      <c r="N31" s="492"/>
      <c r="O31" s="492"/>
      <c r="P31" s="492"/>
      <c r="Q31" s="492"/>
      <c r="R31" s="492"/>
      <c r="S31" s="492"/>
      <c r="T31" s="492"/>
      <c r="U31" s="492"/>
      <c r="V31" s="492"/>
      <c r="W31" s="492"/>
      <c r="X31" s="869"/>
      <c r="Y31" s="869"/>
      <c r="Z31" s="869"/>
      <c r="AA31" s="923"/>
    </row>
    <row r="32" spans="1:54" s="136" customFormat="1" x14ac:dyDescent="0.2">
      <c r="A32" s="493"/>
      <c r="B32" s="49"/>
      <c r="C32" s="225"/>
      <c r="D32" s="225"/>
      <c r="E32" s="225"/>
      <c r="F32" s="225"/>
      <c r="G32" s="120"/>
      <c r="H32" s="225"/>
      <c r="I32" s="263"/>
      <c r="J32" s="263"/>
      <c r="K32" s="263"/>
      <c r="L32" s="263"/>
      <c r="M32" s="120"/>
      <c r="N32" s="120"/>
      <c r="O32" s="120"/>
      <c r="P32" s="226"/>
      <c r="Q32" s="226"/>
      <c r="R32" s="226"/>
      <c r="S32" s="120"/>
      <c r="T32" s="120"/>
      <c r="U32" s="120"/>
      <c r="V32" s="120"/>
      <c r="W32" s="120"/>
      <c r="X32" s="227"/>
      <c r="Y32" s="227"/>
      <c r="Z32" s="120"/>
      <c r="AA32" s="121"/>
    </row>
    <row r="33" spans="1:29" s="136" customFormat="1" x14ac:dyDescent="0.2">
      <c r="A33" s="494"/>
      <c r="B33" s="123"/>
      <c r="C33" s="123"/>
      <c r="D33" s="123"/>
      <c r="E33" s="123"/>
      <c r="F33" s="123"/>
      <c r="G33" s="124"/>
      <c r="H33" s="123"/>
      <c r="I33" s="255"/>
      <c r="J33" s="255"/>
      <c r="K33" s="255"/>
      <c r="L33" s="255"/>
      <c r="M33" s="125"/>
      <c r="N33" s="124"/>
      <c r="O33" s="124"/>
      <c r="P33" s="125"/>
      <c r="Q33" s="125"/>
      <c r="R33" s="125"/>
      <c r="S33" s="124"/>
      <c r="T33" s="124"/>
      <c r="U33" s="124"/>
      <c r="V33" s="124"/>
      <c r="W33" s="124"/>
      <c r="X33" s="126"/>
      <c r="Y33" s="126"/>
      <c r="Z33" s="124"/>
      <c r="AA33" s="127"/>
    </row>
    <row r="34" spans="1:29" s="136" customFormat="1" x14ac:dyDescent="0.2">
      <c r="A34" s="494"/>
      <c r="B34" s="123"/>
      <c r="C34" s="123"/>
      <c r="D34" s="123"/>
      <c r="E34" s="123"/>
      <c r="F34" s="123"/>
      <c r="G34" s="124"/>
      <c r="H34" s="123"/>
      <c r="I34" s="255"/>
      <c r="J34" s="255"/>
      <c r="K34" s="255"/>
      <c r="L34" s="255"/>
      <c r="M34" s="125"/>
      <c r="N34" s="124"/>
      <c r="O34" s="124"/>
      <c r="P34" s="125"/>
      <c r="Q34" s="125"/>
      <c r="R34" s="125"/>
      <c r="S34" s="124"/>
      <c r="T34" s="124"/>
      <c r="U34" s="124"/>
      <c r="V34" s="124"/>
      <c r="W34" s="124"/>
      <c r="X34" s="126"/>
      <c r="Y34" s="126"/>
      <c r="Z34" s="124"/>
      <c r="AA34" s="127"/>
    </row>
    <row r="35" spans="1:29" s="136" customFormat="1" ht="16.5" thickBot="1" x14ac:dyDescent="0.25">
      <c r="A35" s="495"/>
      <c r="B35" s="128"/>
      <c r="C35" s="128"/>
      <c r="D35" s="128"/>
      <c r="E35" s="128"/>
      <c r="F35" s="128"/>
      <c r="G35" s="129"/>
      <c r="H35" s="128"/>
      <c r="I35" s="256"/>
      <c r="J35" s="256"/>
      <c r="K35" s="256"/>
      <c r="L35" s="256"/>
      <c r="M35" s="129"/>
      <c r="N35" s="129"/>
      <c r="O35" s="129"/>
      <c r="P35" s="130"/>
      <c r="Q35" s="130"/>
      <c r="R35" s="130"/>
      <c r="S35" s="129"/>
      <c r="T35" s="129"/>
      <c r="U35" s="129"/>
      <c r="V35" s="129"/>
      <c r="W35" s="129"/>
      <c r="X35" s="131"/>
      <c r="Y35" s="131"/>
      <c r="Z35" s="129"/>
      <c r="AA35" s="132"/>
    </row>
    <row r="36" spans="1:29" s="73" customFormat="1" x14ac:dyDescent="0.2">
      <c r="A36" s="133"/>
      <c r="B36" s="133"/>
      <c r="C36" s="133"/>
      <c r="D36" s="133"/>
      <c r="E36" s="133"/>
      <c r="F36" s="133"/>
      <c r="G36" s="118"/>
      <c r="H36" s="118"/>
      <c r="I36" s="118"/>
      <c r="J36" s="118"/>
      <c r="K36" s="118"/>
      <c r="L36" s="118"/>
      <c r="M36" s="134"/>
      <c r="N36" s="118"/>
      <c r="O36" s="159"/>
      <c r="P36" s="159"/>
      <c r="Q36" s="159"/>
      <c r="R36" s="159"/>
      <c r="S36" s="159"/>
      <c r="T36" s="159"/>
      <c r="U36" s="159"/>
      <c r="V36" s="159"/>
      <c r="W36" s="466"/>
    </row>
    <row r="37" spans="1:29" s="73" customFormat="1" ht="16.5" thickBot="1" x14ac:dyDescent="0.25">
      <c r="A37" s="133"/>
      <c r="B37" s="133"/>
      <c r="C37" s="133"/>
      <c r="D37" s="133"/>
      <c r="E37" s="133"/>
      <c r="F37" s="133"/>
      <c r="G37" s="118"/>
      <c r="H37" s="118"/>
      <c r="I37" s="118"/>
      <c r="J37" s="118"/>
      <c r="K37" s="118"/>
      <c r="N37" s="118"/>
      <c r="O37" s="159"/>
      <c r="P37" s="159"/>
      <c r="Q37" s="159"/>
      <c r="R37" s="159"/>
      <c r="S37" s="159"/>
      <c r="T37" s="159"/>
      <c r="U37" s="159"/>
      <c r="V37" s="159"/>
      <c r="W37" s="467"/>
    </row>
    <row r="38" spans="1:29" s="73" customFormat="1" ht="16.5" thickBot="1" x14ac:dyDescent="0.25">
      <c r="A38" s="496" t="s">
        <v>25</v>
      </c>
      <c r="B38" s="133"/>
      <c r="C38" s="133"/>
      <c r="D38" s="133"/>
      <c r="E38" s="133"/>
      <c r="F38" s="133"/>
      <c r="G38" s="118"/>
      <c r="H38" s="118"/>
      <c r="I38" s="118"/>
      <c r="J38" s="118"/>
      <c r="K38" s="118"/>
      <c r="M38" s="118"/>
      <c r="N38" s="118"/>
      <c r="O38" s="159"/>
      <c r="P38" s="136"/>
      <c r="Q38" s="136"/>
      <c r="R38" s="136"/>
      <c r="S38" s="466"/>
      <c r="T38" s="466"/>
      <c r="U38" s="466"/>
      <c r="V38" s="466"/>
      <c r="W38" s="159"/>
    </row>
    <row r="39" spans="1:29" s="73" customFormat="1" ht="15.75" customHeight="1" x14ac:dyDescent="0.2">
      <c r="A39" s="875" t="s">
        <v>627</v>
      </c>
      <c r="B39" s="868" t="s">
        <v>628</v>
      </c>
      <c r="C39" s="868" t="s">
        <v>11</v>
      </c>
      <c r="D39" s="868" t="s">
        <v>12</v>
      </c>
      <c r="E39" s="868" t="s">
        <v>13</v>
      </c>
      <c r="F39" s="868" t="s">
        <v>14</v>
      </c>
      <c r="G39" s="868" t="s">
        <v>15</v>
      </c>
      <c r="H39" s="868" t="s">
        <v>16</v>
      </c>
      <c r="I39" s="868" t="s">
        <v>26</v>
      </c>
      <c r="J39" s="868" t="s">
        <v>27</v>
      </c>
      <c r="K39" s="945" t="s">
        <v>295</v>
      </c>
      <c r="L39" s="497" t="s">
        <v>63</v>
      </c>
      <c r="M39" s="498" t="s">
        <v>64</v>
      </c>
      <c r="N39" s="499" t="s">
        <v>65</v>
      </c>
      <c r="O39" s="490"/>
      <c r="P39" s="490"/>
      <c r="Q39" s="490"/>
      <c r="R39" s="490"/>
      <c r="S39" s="490"/>
      <c r="T39" s="490"/>
      <c r="U39" s="490"/>
      <c r="V39" s="490"/>
      <c r="W39" s="490"/>
      <c r="X39" s="868" t="s">
        <v>22</v>
      </c>
      <c r="Y39" s="868" t="s">
        <v>23</v>
      </c>
      <c r="Z39" s="868" t="s">
        <v>24</v>
      </c>
      <c r="AA39" s="922" t="s">
        <v>352</v>
      </c>
    </row>
    <row r="40" spans="1:29" s="73" customFormat="1" ht="31.7" customHeight="1" thickBot="1" x14ac:dyDescent="0.25">
      <c r="A40" s="876"/>
      <c r="B40" s="869"/>
      <c r="C40" s="869"/>
      <c r="D40" s="869"/>
      <c r="E40" s="869"/>
      <c r="F40" s="869"/>
      <c r="G40" s="872"/>
      <c r="H40" s="869"/>
      <c r="I40" s="869"/>
      <c r="J40" s="869"/>
      <c r="K40" s="946"/>
      <c r="L40" s="500" t="s">
        <v>66</v>
      </c>
      <c r="M40" s="501" t="s">
        <v>67</v>
      </c>
      <c r="N40" s="502" t="s">
        <v>68</v>
      </c>
      <c r="O40" s="503"/>
      <c r="P40" s="492"/>
      <c r="Q40" s="492"/>
      <c r="R40" s="492"/>
      <c r="S40" s="492"/>
      <c r="T40" s="492"/>
      <c r="U40" s="492"/>
      <c r="V40" s="492"/>
      <c r="W40" s="492"/>
      <c r="X40" s="869"/>
      <c r="Y40" s="869"/>
      <c r="Z40" s="869"/>
      <c r="AA40" s="923"/>
    </row>
    <row r="41" spans="1:29" s="136" customFormat="1" x14ac:dyDescent="0.2">
      <c r="A41" s="493"/>
      <c r="B41" s="225"/>
      <c r="C41" s="225"/>
      <c r="D41" s="225"/>
      <c r="E41" s="225"/>
      <c r="F41" s="225"/>
      <c r="G41" s="120"/>
      <c r="H41" s="225"/>
      <c r="I41" s="263"/>
      <c r="J41" s="263"/>
      <c r="K41" s="265"/>
      <c r="L41" s="268"/>
      <c r="M41" s="120"/>
      <c r="N41" s="121"/>
      <c r="O41" s="269"/>
      <c r="P41" s="226"/>
      <c r="Q41" s="226"/>
      <c r="R41" s="226"/>
      <c r="S41" s="120"/>
      <c r="T41" s="120"/>
      <c r="U41" s="120"/>
      <c r="V41" s="120"/>
      <c r="W41" s="120"/>
      <c r="X41" s="227"/>
      <c r="Y41" s="227"/>
      <c r="Z41" s="120"/>
      <c r="AA41" s="121"/>
    </row>
    <row r="42" spans="1:29" s="136" customFormat="1" x14ac:dyDescent="0.2">
      <c r="A42" s="494"/>
      <c r="B42" s="123"/>
      <c r="C42" s="123"/>
      <c r="D42" s="123"/>
      <c r="E42" s="123"/>
      <c r="F42" s="123"/>
      <c r="G42" s="124"/>
      <c r="H42" s="123"/>
      <c r="I42" s="255"/>
      <c r="J42" s="255"/>
      <c r="K42" s="266"/>
      <c r="L42" s="259"/>
      <c r="M42" s="124"/>
      <c r="N42" s="127"/>
      <c r="O42" s="248"/>
      <c r="P42" s="125"/>
      <c r="Q42" s="125"/>
      <c r="R42" s="125"/>
      <c r="S42" s="124"/>
      <c r="T42" s="124"/>
      <c r="U42" s="124"/>
      <c r="V42" s="124"/>
      <c r="W42" s="124"/>
      <c r="X42" s="126"/>
      <c r="Y42" s="126"/>
      <c r="Z42" s="124"/>
      <c r="AA42" s="127"/>
    </row>
    <row r="43" spans="1:29" s="136" customFormat="1" x14ac:dyDescent="0.2">
      <c r="A43" s="494"/>
      <c r="B43" s="123"/>
      <c r="C43" s="123"/>
      <c r="D43" s="123"/>
      <c r="E43" s="123"/>
      <c r="F43" s="123"/>
      <c r="G43" s="124"/>
      <c r="H43" s="123"/>
      <c r="I43" s="255"/>
      <c r="J43" s="255"/>
      <c r="K43" s="266"/>
      <c r="L43" s="259"/>
      <c r="M43" s="124"/>
      <c r="N43" s="127"/>
      <c r="O43" s="248"/>
      <c r="P43" s="125"/>
      <c r="Q43" s="125"/>
      <c r="R43" s="125"/>
      <c r="S43" s="124"/>
      <c r="T43" s="124"/>
      <c r="U43" s="124"/>
      <c r="V43" s="124"/>
      <c r="W43" s="124"/>
      <c r="X43" s="126"/>
      <c r="Y43" s="126"/>
      <c r="Z43" s="124"/>
      <c r="AA43" s="127"/>
    </row>
    <row r="44" spans="1:29" s="136" customFormat="1" ht="16.5" thickBot="1" x14ac:dyDescent="0.25">
      <c r="A44" s="495"/>
      <c r="B44" s="128"/>
      <c r="C44" s="128"/>
      <c r="D44" s="128"/>
      <c r="E44" s="128"/>
      <c r="F44" s="128"/>
      <c r="G44" s="129"/>
      <c r="H44" s="128"/>
      <c r="I44" s="256"/>
      <c r="J44" s="256"/>
      <c r="K44" s="267"/>
      <c r="L44" s="137"/>
      <c r="M44" s="129"/>
      <c r="N44" s="132"/>
      <c r="O44" s="137"/>
      <c r="P44" s="129"/>
      <c r="Q44" s="129"/>
      <c r="R44" s="129"/>
      <c r="S44" s="129"/>
      <c r="T44" s="129"/>
      <c r="U44" s="129"/>
      <c r="V44" s="129"/>
      <c r="W44" s="129"/>
      <c r="X44" s="131"/>
      <c r="Y44" s="131"/>
      <c r="Z44" s="129"/>
      <c r="AA44" s="132"/>
    </row>
    <row r="45" spans="1:29" s="73" customFormat="1" x14ac:dyDescent="0.2">
      <c r="A45" s="133"/>
      <c r="B45" s="133"/>
      <c r="C45" s="133"/>
      <c r="D45" s="133"/>
      <c r="E45" s="133"/>
      <c r="F45" s="133"/>
      <c r="G45" s="118"/>
      <c r="H45" s="118"/>
      <c r="I45" s="118"/>
      <c r="J45" s="118"/>
      <c r="K45" s="118"/>
      <c r="L45" s="118"/>
      <c r="M45" s="118"/>
      <c r="N45" s="118"/>
      <c r="O45" s="160"/>
      <c r="P45" s="159"/>
      <c r="Q45" s="159"/>
      <c r="R45" s="159"/>
      <c r="S45" s="136"/>
      <c r="T45" s="136"/>
      <c r="U45" s="136"/>
      <c r="V45" s="136"/>
      <c r="W45" s="136"/>
      <c r="X45" s="118"/>
    </row>
    <row r="46" spans="1:29" s="73" customFormat="1" ht="16.5" thickBot="1" x14ac:dyDescent="0.25">
      <c r="A46" s="133"/>
      <c r="B46" s="133"/>
      <c r="C46" s="133"/>
      <c r="D46" s="133"/>
      <c r="E46" s="133"/>
      <c r="F46" s="133"/>
      <c r="G46" s="118"/>
      <c r="H46" s="118"/>
      <c r="I46" s="118"/>
      <c r="J46" s="118"/>
      <c r="K46" s="118"/>
      <c r="L46" s="118"/>
      <c r="M46" s="118"/>
      <c r="N46" s="118"/>
      <c r="O46" s="160"/>
      <c r="P46" s="159"/>
      <c r="Q46" s="159"/>
      <c r="R46" s="159"/>
      <c r="S46" s="136"/>
      <c r="T46" s="136"/>
      <c r="U46" s="136"/>
      <c r="V46" s="136"/>
      <c r="W46" s="136"/>
      <c r="X46" s="118"/>
    </row>
    <row r="47" spans="1:29" s="73" customFormat="1" ht="16.5" thickBot="1" x14ac:dyDescent="0.25">
      <c r="A47" s="822" t="s">
        <v>307</v>
      </c>
      <c r="B47" s="873"/>
      <c r="C47" s="873"/>
      <c r="D47" s="874"/>
      <c r="E47" s="133"/>
      <c r="F47" s="133"/>
      <c r="G47" s="118"/>
      <c r="H47" s="118"/>
      <c r="I47" s="118"/>
      <c r="J47" s="118"/>
      <c r="K47" s="118"/>
      <c r="L47" s="118"/>
      <c r="M47" s="118"/>
      <c r="N47" s="118"/>
      <c r="O47" s="136"/>
      <c r="P47" s="159"/>
      <c r="Q47" s="159"/>
      <c r="R47" s="159"/>
      <c r="S47" s="466"/>
      <c r="T47" s="466"/>
      <c r="U47" s="466"/>
      <c r="V47" s="466"/>
      <c r="W47" s="159"/>
      <c r="X47" s="118"/>
      <c r="Y47" s="118"/>
    </row>
    <row r="48" spans="1:29" s="73" customFormat="1" ht="15.75" customHeight="1" x14ac:dyDescent="0.2">
      <c r="A48" s="875" t="s">
        <v>627</v>
      </c>
      <c r="B48" s="868" t="s">
        <v>628</v>
      </c>
      <c r="C48" s="868" t="s">
        <v>11</v>
      </c>
      <c r="D48" s="868" t="s">
        <v>12</v>
      </c>
      <c r="E48" s="868" t="s">
        <v>13</v>
      </c>
      <c r="F48" s="868" t="s">
        <v>14</v>
      </c>
      <c r="G48" s="868" t="s">
        <v>15</v>
      </c>
      <c r="H48" s="868" t="s">
        <v>16</v>
      </c>
      <c r="I48" s="868">
        <v>20</v>
      </c>
      <c r="J48" s="868">
        <v>40</v>
      </c>
      <c r="K48" s="868" t="s">
        <v>19</v>
      </c>
      <c r="L48" s="922" t="s">
        <v>20</v>
      </c>
      <c r="M48" s="943" t="s">
        <v>28</v>
      </c>
      <c r="N48" s="504" t="s">
        <v>69</v>
      </c>
      <c r="O48" s="498" t="s">
        <v>64</v>
      </c>
      <c r="P48" s="499" t="s">
        <v>65</v>
      </c>
      <c r="Q48" s="490" t="s">
        <v>147</v>
      </c>
      <c r="R48" s="490" t="s">
        <v>71</v>
      </c>
      <c r="S48" s="490"/>
      <c r="T48" s="490"/>
      <c r="U48" s="490"/>
      <c r="V48" s="490"/>
      <c r="W48" s="490"/>
      <c r="X48" s="490"/>
      <c r="Y48" s="490"/>
      <c r="Z48" s="868" t="s">
        <v>22</v>
      </c>
      <c r="AA48" s="868" t="s">
        <v>23</v>
      </c>
      <c r="AB48" s="868" t="s">
        <v>24</v>
      </c>
      <c r="AC48" s="922" t="s">
        <v>352</v>
      </c>
    </row>
    <row r="49" spans="1:29" s="73" customFormat="1" ht="48" thickBot="1" x14ac:dyDescent="0.25">
      <c r="A49" s="876"/>
      <c r="B49" s="869"/>
      <c r="C49" s="869"/>
      <c r="D49" s="869"/>
      <c r="E49" s="869"/>
      <c r="F49" s="869"/>
      <c r="G49" s="872"/>
      <c r="H49" s="869"/>
      <c r="I49" s="869"/>
      <c r="J49" s="869"/>
      <c r="K49" s="869"/>
      <c r="L49" s="923"/>
      <c r="M49" s="944"/>
      <c r="N49" s="505" t="s">
        <v>70</v>
      </c>
      <c r="O49" s="501" t="s">
        <v>67</v>
      </c>
      <c r="P49" s="502" t="s">
        <v>68</v>
      </c>
      <c r="Q49" s="503" t="s">
        <v>84</v>
      </c>
      <c r="R49" s="492" t="s">
        <v>84</v>
      </c>
      <c r="S49" s="492"/>
      <c r="T49" s="492"/>
      <c r="U49" s="492"/>
      <c r="V49" s="492"/>
      <c r="W49" s="492"/>
      <c r="X49" s="492"/>
      <c r="Y49" s="492"/>
      <c r="Z49" s="924"/>
      <c r="AA49" s="924"/>
      <c r="AB49" s="924"/>
      <c r="AC49" s="923"/>
    </row>
    <row r="50" spans="1:29" s="136" customFormat="1" x14ac:dyDescent="0.2">
      <c r="A50" s="493"/>
      <c r="B50" s="225"/>
      <c r="C50" s="225"/>
      <c r="D50" s="225"/>
      <c r="E50" s="225"/>
      <c r="F50" s="225"/>
      <c r="G50" s="120"/>
      <c r="H50" s="225"/>
      <c r="I50" s="263"/>
      <c r="J50" s="263"/>
      <c r="K50" s="263"/>
      <c r="L50" s="265"/>
      <c r="M50" s="270"/>
      <c r="N50" s="268"/>
      <c r="O50" s="120"/>
      <c r="P50" s="121"/>
      <c r="Q50" s="269"/>
      <c r="R50" s="226"/>
      <c r="S50" s="226"/>
      <c r="T50" s="226"/>
      <c r="U50" s="226"/>
      <c r="V50" s="226"/>
      <c r="W50" s="120"/>
      <c r="X50" s="120"/>
      <c r="Y50" s="120"/>
      <c r="Z50" s="227"/>
      <c r="AA50" s="227"/>
      <c r="AB50" s="120"/>
      <c r="AC50" s="121"/>
    </row>
    <row r="51" spans="1:29" s="136" customFormat="1" x14ac:dyDescent="0.2">
      <c r="A51" s="494"/>
      <c r="B51" s="123"/>
      <c r="C51" s="123"/>
      <c r="D51" s="123"/>
      <c r="E51" s="123"/>
      <c r="F51" s="123"/>
      <c r="G51" s="124"/>
      <c r="H51" s="123"/>
      <c r="I51" s="255"/>
      <c r="J51" s="255"/>
      <c r="K51" s="255"/>
      <c r="L51" s="266"/>
      <c r="M51" s="271"/>
      <c r="N51" s="259"/>
      <c r="O51" s="124"/>
      <c r="P51" s="127"/>
      <c r="Q51" s="248"/>
      <c r="R51" s="125"/>
      <c r="S51" s="125"/>
      <c r="T51" s="125"/>
      <c r="U51" s="125"/>
      <c r="V51" s="125"/>
      <c r="W51" s="124"/>
      <c r="X51" s="124"/>
      <c r="Y51" s="124"/>
      <c r="Z51" s="126"/>
      <c r="AA51" s="126"/>
      <c r="AB51" s="124"/>
      <c r="AC51" s="127"/>
    </row>
    <row r="52" spans="1:29" s="136" customFormat="1" x14ac:dyDescent="0.2">
      <c r="A52" s="494"/>
      <c r="B52" s="123"/>
      <c r="C52" s="123"/>
      <c r="D52" s="123"/>
      <c r="E52" s="123"/>
      <c r="F52" s="123"/>
      <c r="G52" s="124"/>
      <c r="H52" s="123"/>
      <c r="I52" s="255"/>
      <c r="J52" s="255"/>
      <c r="K52" s="255"/>
      <c r="L52" s="266"/>
      <c r="M52" s="271"/>
      <c r="N52" s="259"/>
      <c r="O52" s="124"/>
      <c r="P52" s="127"/>
      <c r="Q52" s="248"/>
      <c r="R52" s="125"/>
      <c r="S52" s="125"/>
      <c r="T52" s="125"/>
      <c r="U52" s="125"/>
      <c r="V52" s="125"/>
      <c r="W52" s="124"/>
      <c r="X52" s="124"/>
      <c r="Y52" s="124"/>
      <c r="Z52" s="126"/>
      <c r="AA52" s="126"/>
      <c r="AB52" s="124"/>
      <c r="AC52" s="127"/>
    </row>
    <row r="53" spans="1:29" s="136" customFormat="1" ht="16.5" thickBot="1" x14ac:dyDescent="0.25">
      <c r="A53" s="495"/>
      <c r="B53" s="128"/>
      <c r="C53" s="128"/>
      <c r="D53" s="128"/>
      <c r="E53" s="128"/>
      <c r="F53" s="128"/>
      <c r="G53" s="129"/>
      <c r="H53" s="128"/>
      <c r="I53" s="256"/>
      <c r="J53" s="256"/>
      <c r="K53" s="256"/>
      <c r="L53" s="267"/>
      <c r="M53" s="161"/>
      <c r="N53" s="137"/>
      <c r="O53" s="129"/>
      <c r="P53" s="132"/>
      <c r="Q53" s="137"/>
      <c r="R53" s="129"/>
      <c r="S53" s="129"/>
      <c r="T53" s="129"/>
      <c r="U53" s="129"/>
      <c r="V53" s="129"/>
      <c r="W53" s="129"/>
      <c r="X53" s="129"/>
      <c r="Y53" s="129"/>
      <c r="Z53" s="131"/>
      <c r="AA53" s="131"/>
      <c r="AB53" s="129"/>
      <c r="AC53" s="132"/>
    </row>
    <row r="54" spans="1:29" s="73" customFormat="1" x14ac:dyDescent="0.2">
      <c r="A54" s="133"/>
      <c r="B54" s="133"/>
      <c r="C54" s="133"/>
      <c r="D54" s="133"/>
      <c r="E54" s="133"/>
      <c r="F54" s="133"/>
      <c r="G54" s="118"/>
      <c r="H54" s="118"/>
      <c r="I54" s="118"/>
      <c r="J54" s="118"/>
      <c r="K54" s="118"/>
      <c r="M54" s="118"/>
      <c r="V54" s="118"/>
      <c r="W54" s="118"/>
    </row>
    <row r="55" spans="1:29" s="73" customFormat="1" x14ac:dyDescent="0.2">
      <c r="A55" s="133"/>
      <c r="B55" s="133"/>
      <c r="C55" s="133"/>
      <c r="D55" s="133"/>
      <c r="E55" s="133"/>
      <c r="F55" s="118"/>
      <c r="G55" s="118"/>
      <c r="H55" s="118"/>
      <c r="I55" s="118"/>
      <c r="J55" s="118"/>
      <c r="K55" s="134"/>
      <c r="L55" s="118"/>
      <c r="M55" s="118"/>
      <c r="N55" s="118"/>
      <c r="S55" s="118"/>
      <c r="T55" s="118"/>
      <c r="U55" s="118"/>
    </row>
    <row r="56" spans="1:29" s="456" customFormat="1" ht="16.5" thickBot="1" x14ac:dyDescent="0.25">
      <c r="A56" s="133"/>
      <c r="B56" s="133"/>
      <c r="C56" s="133"/>
      <c r="D56" s="133"/>
      <c r="E56" s="118"/>
      <c r="F56" s="118"/>
      <c r="G56" s="118"/>
      <c r="H56" s="118"/>
      <c r="I56" s="118"/>
      <c r="J56" s="134"/>
      <c r="K56" s="134"/>
      <c r="L56" s="134"/>
      <c r="M56" s="134"/>
      <c r="R56" s="134"/>
    </row>
    <row r="57" spans="1:29" s="456" customFormat="1" ht="19.5" thickBot="1" x14ac:dyDescent="0.25">
      <c r="A57" s="938" t="s">
        <v>29</v>
      </c>
      <c r="B57" s="939"/>
      <c r="C57" s="940"/>
      <c r="D57" s="133"/>
      <c r="E57" s="133"/>
      <c r="F57" s="118"/>
      <c r="G57" s="118"/>
      <c r="H57" s="118"/>
      <c r="I57" s="118"/>
      <c r="J57" s="118"/>
      <c r="K57" s="134"/>
      <c r="L57" s="134"/>
      <c r="M57" s="134"/>
      <c r="N57" s="134"/>
      <c r="S57" s="134"/>
      <c r="T57" s="134"/>
      <c r="U57" s="134"/>
    </row>
    <row r="58" spans="1:29" s="456" customFormat="1" ht="16.5" thickBot="1" x14ac:dyDescent="0.25">
      <c r="A58" s="800" t="s">
        <v>625</v>
      </c>
      <c r="B58" s="801"/>
      <c r="C58" s="802"/>
      <c r="D58" s="133"/>
      <c r="E58" s="133"/>
      <c r="F58" s="133"/>
      <c r="G58" s="118"/>
      <c r="H58" s="118"/>
      <c r="I58" s="118"/>
      <c r="J58" s="118"/>
      <c r="K58" s="118"/>
      <c r="L58" s="134"/>
      <c r="N58" s="134"/>
      <c r="O58" s="134"/>
      <c r="V58" s="134"/>
    </row>
    <row r="59" spans="1:29" s="456" customFormat="1" x14ac:dyDescent="0.2">
      <c r="A59" s="506" t="s">
        <v>30</v>
      </c>
      <c r="B59" s="507"/>
      <c r="C59" s="508" t="s">
        <v>155</v>
      </c>
      <c r="D59" s="509"/>
      <c r="E59" s="509"/>
      <c r="F59" s="510"/>
      <c r="G59" s="510"/>
      <c r="H59" s="509"/>
      <c r="I59" s="510"/>
      <c r="J59" s="509"/>
      <c r="K59" s="143"/>
      <c r="L59" s="144"/>
      <c r="N59" s="134"/>
      <c r="O59" s="134"/>
      <c r="P59" s="134"/>
    </row>
    <row r="60" spans="1:29" s="456" customFormat="1" x14ac:dyDescent="0.2">
      <c r="A60" s="96" t="s">
        <v>626</v>
      </c>
      <c r="B60" s="511"/>
      <c r="C60" s="511"/>
      <c r="D60" s="512"/>
      <c r="E60" s="512"/>
      <c r="F60" s="215"/>
      <c r="G60" s="215"/>
      <c r="H60" s="512"/>
      <c r="I60" s="215"/>
      <c r="J60" s="512"/>
      <c r="K60" s="149"/>
      <c r="L60" s="150"/>
      <c r="N60" s="134"/>
      <c r="O60" s="134"/>
      <c r="P60" s="134"/>
    </row>
    <row r="61" spans="1:29" s="456" customFormat="1" x14ac:dyDescent="0.2">
      <c r="A61" s="96" t="s">
        <v>173</v>
      </c>
      <c r="B61" s="511"/>
      <c r="C61" s="511"/>
      <c r="D61" s="512"/>
      <c r="E61" s="512"/>
      <c r="F61" s="215"/>
      <c r="G61" s="215"/>
      <c r="H61" s="512"/>
      <c r="I61" s="215"/>
      <c r="J61" s="512"/>
      <c r="K61" s="149"/>
      <c r="L61" s="150"/>
      <c r="N61" s="134"/>
      <c r="O61" s="134"/>
      <c r="P61" s="134"/>
    </row>
    <row r="62" spans="1:29" s="456" customFormat="1" x14ac:dyDescent="0.2">
      <c r="A62" s="96" t="s">
        <v>987</v>
      </c>
      <c r="B62" s="511"/>
      <c r="C62" s="511"/>
      <c r="D62" s="512"/>
      <c r="E62" s="512"/>
      <c r="F62" s="215"/>
      <c r="G62" s="215"/>
      <c r="H62" s="512"/>
      <c r="I62" s="215"/>
      <c r="J62" s="512"/>
      <c r="K62" s="149"/>
      <c r="L62" s="150"/>
      <c r="N62" s="134"/>
      <c r="O62" s="134"/>
      <c r="P62" s="134"/>
    </row>
    <row r="63" spans="1:29" s="456" customFormat="1" ht="16.5" thickBot="1" x14ac:dyDescent="0.25">
      <c r="A63" s="110" t="s">
        <v>988</v>
      </c>
      <c r="B63" s="513"/>
      <c r="C63" s="513"/>
      <c r="D63" s="514"/>
      <c r="E63" s="514"/>
      <c r="F63" s="515"/>
      <c r="G63" s="515"/>
      <c r="H63" s="514"/>
      <c r="I63" s="515"/>
      <c r="J63" s="514"/>
      <c r="K63" s="154"/>
      <c r="L63" s="155"/>
      <c r="N63" s="134"/>
      <c r="O63" s="134"/>
      <c r="P63" s="134"/>
    </row>
    <row r="64" spans="1:29" s="456" customFormat="1" ht="16.5" thickBot="1" x14ac:dyDescent="0.25">
      <c r="A64" s="516"/>
      <c r="B64" s="517"/>
      <c r="C64" s="134"/>
      <c r="D64" s="133"/>
      <c r="E64" s="133"/>
      <c r="F64" s="133"/>
      <c r="G64" s="133"/>
      <c r="H64" s="118"/>
      <c r="I64" s="118"/>
      <c r="J64" s="118"/>
      <c r="K64" s="118"/>
      <c r="L64" s="118"/>
      <c r="M64" s="134"/>
      <c r="O64" s="134"/>
      <c r="P64" s="134"/>
      <c r="Q64" s="118"/>
    </row>
    <row r="65" spans="1:24" s="14" customFormat="1" ht="48" thickBot="1" x14ac:dyDescent="0.25">
      <c r="A65" s="518" t="s">
        <v>31</v>
      </c>
      <c r="B65" s="932" t="s">
        <v>628</v>
      </c>
      <c r="C65" s="933"/>
      <c r="D65" s="934"/>
      <c r="E65" s="519" t="s">
        <v>11</v>
      </c>
      <c r="F65" s="519" t="s">
        <v>14</v>
      </c>
      <c r="G65" s="519" t="s">
        <v>287</v>
      </c>
      <c r="H65" s="519" t="s">
        <v>32</v>
      </c>
      <c r="I65" s="519" t="s">
        <v>16</v>
      </c>
      <c r="J65" s="519" t="s">
        <v>17</v>
      </c>
      <c r="K65" s="519" t="s">
        <v>18</v>
      </c>
      <c r="L65" s="519" t="s">
        <v>19</v>
      </c>
      <c r="M65" s="519" t="s">
        <v>20</v>
      </c>
      <c r="N65" s="520" t="s">
        <v>123</v>
      </c>
      <c r="O65" s="519" t="s">
        <v>96</v>
      </c>
      <c r="P65" s="521" t="s">
        <v>809</v>
      </c>
    </row>
    <row r="66" spans="1:24" s="303" customFormat="1" x14ac:dyDescent="0.2">
      <c r="A66" s="269"/>
      <c r="B66" s="925"/>
      <c r="C66" s="926"/>
      <c r="D66" s="926"/>
      <c r="E66" s="226"/>
      <c r="F66" s="226"/>
      <c r="G66" s="226"/>
      <c r="H66" s="226"/>
      <c r="I66" s="226"/>
      <c r="J66" s="273"/>
      <c r="K66" s="263"/>
      <c r="L66" s="263"/>
      <c r="M66" s="306"/>
      <c r="N66" s="49"/>
      <c r="O66" s="226"/>
      <c r="P66" s="274"/>
      <c r="Q66" s="159"/>
      <c r="R66" s="159"/>
      <c r="S66" s="159"/>
      <c r="T66" s="159"/>
      <c r="U66" s="159"/>
      <c r="V66" s="160"/>
      <c r="W66" s="160"/>
      <c r="X66" s="160"/>
    </row>
    <row r="67" spans="1:24" s="303" customFormat="1" x14ac:dyDescent="0.2">
      <c r="A67" s="248"/>
      <c r="B67" s="927"/>
      <c r="C67" s="928"/>
      <c r="D67" s="928"/>
      <c r="E67" s="125"/>
      <c r="F67" s="125"/>
      <c r="G67" s="125"/>
      <c r="H67" s="125"/>
      <c r="I67" s="125"/>
      <c r="J67" s="275"/>
      <c r="K67" s="255"/>
      <c r="L67" s="255"/>
      <c r="M67" s="307"/>
      <c r="N67" s="21"/>
      <c r="O67" s="125"/>
      <c r="P67" s="276"/>
      <c r="Q67" s="159"/>
      <c r="R67" s="159"/>
      <c r="S67" s="159"/>
      <c r="T67" s="159"/>
      <c r="U67" s="159"/>
      <c r="V67" s="160"/>
      <c r="W67" s="160"/>
      <c r="X67" s="160"/>
    </row>
    <row r="68" spans="1:24" s="303" customFormat="1" x14ac:dyDescent="0.2">
      <c r="A68" s="248"/>
      <c r="B68" s="927"/>
      <c r="C68" s="928"/>
      <c r="D68" s="928"/>
      <c r="E68" s="125"/>
      <c r="F68" s="125"/>
      <c r="G68" s="125"/>
      <c r="H68" s="125"/>
      <c r="I68" s="125"/>
      <c r="J68" s="275"/>
      <c r="K68" s="255"/>
      <c r="L68" s="255"/>
      <c r="M68" s="307"/>
      <c r="N68" s="21"/>
      <c r="O68" s="125"/>
      <c r="P68" s="276"/>
      <c r="Q68" s="159"/>
      <c r="R68" s="159"/>
      <c r="S68" s="159"/>
      <c r="T68" s="159"/>
      <c r="U68" s="159"/>
      <c r="V68" s="160"/>
      <c r="W68" s="160"/>
      <c r="X68" s="160"/>
    </row>
    <row r="69" spans="1:24" s="303" customFormat="1" ht="16.5" thickBot="1" x14ac:dyDescent="0.25">
      <c r="A69" s="304"/>
      <c r="B69" s="912"/>
      <c r="C69" s="913"/>
      <c r="D69" s="913"/>
      <c r="E69" s="130"/>
      <c r="F69" s="130"/>
      <c r="G69" s="130"/>
      <c r="H69" s="130"/>
      <c r="I69" s="130"/>
      <c r="J69" s="258"/>
      <c r="K69" s="256"/>
      <c r="L69" s="256"/>
      <c r="M69" s="305"/>
      <c r="N69" s="29"/>
      <c r="O69" s="129"/>
      <c r="P69" s="132"/>
      <c r="Q69" s="159"/>
      <c r="R69" s="159"/>
      <c r="S69" s="159"/>
      <c r="T69" s="159"/>
      <c r="U69" s="159"/>
      <c r="V69" s="160"/>
      <c r="W69" s="160"/>
      <c r="X69" s="160"/>
    </row>
    <row r="70" spans="1:24" s="456" customFormat="1" x14ac:dyDescent="0.2">
      <c r="A70" s="134"/>
      <c r="B70" s="134"/>
      <c r="C70" s="522"/>
      <c r="D70" s="522"/>
      <c r="E70" s="134"/>
      <c r="F70" s="134"/>
      <c r="G70" s="134"/>
      <c r="H70" s="134"/>
      <c r="I70" s="134"/>
      <c r="J70" s="134"/>
      <c r="K70" s="134"/>
      <c r="L70" s="134"/>
      <c r="M70" s="134"/>
      <c r="O70" s="118"/>
      <c r="P70" s="118"/>
      <c r="Q70" s="118"/>
      <c r="R70" s="118"/>
      <c r="S70" s="118"/>
      <c r="T70" s="118"/>
      <c r="U70" s="118"/>
      <c r="V70" s="134"/>
      <c r="W70" s="134"/>
      <c r="X70" s="134"/>
    </row>
    <row r="71" spans="1:24" s="456" customFormat="1" ht="16.5" thickBot="1" x14ac:dyDescent="0.25">
      <c r="A71" s="133"/>
      <c r="B71" s="133"/>
      <c r="C71" s="133"/>
      <c r="D71" s="133"/>
      <c r="E71" s="133"/>
      <c r="F71" s="133"/>
      <c r="G71" s="133"/>
      <c r="H71" s="133"/>
      <c r="I71" s="118"/>
      <c r="J71" s="118"/>
      <c r="K71" s="118"/>
      <c r="L71" s="118"/>
      <c r="M71" s="118"/>
      <c r="N71" s="134"/>
      <c r="O71" s="134"/>
      <c r="P71" s="134"/>
      <c r="Q71" s="134"/>
      <c r="R71" s="134"/>
      <c r="S71" s="134"/>
      <c r="T71" s="134"/>
      <c r="U71" s="134"/>
      <c r="V71" s="134"/>
      <c r="W71" s="118"/>
    </row>
    <row r="72" spans="1:24" s="456" customFormat="1" ht="19.5" thickBot="1" x14ac:dyDescent="0.25">
      <c r="A72" s="938" t="s">
        <v>34</v>
      </c>
      <c r="B72" s="939"/>
      <c r="C72" s="940"/>
      <c r="D72" s="523"/>
      <c r="E72" s="133"/>
      <c r="F72" s="133"/>
      <c r="G72" s="133"/>
      <c r="H72" s="133"/>
      <c r="I72" s="118"/>
      <c r="J72" s="118"/>
      <c r="K72" s="118"/>
      <c r="L72" s="118"/>
      <c r="M72" s="118"/>
      <c r="N72" s="134"/>
      <c r="O72" s="134"/>
      <c r="P72" s="134"/>
      <c r="Q72" s="134"/>
      <c r="R72" s="134"/>
      <c r="S72" s="134"/>
      <c r="T72" s="134"/>
      <c r="U72" s="134"/>
      <c r="V72" s="134"/>
      <c r="W72" s="118"/>
    </row>
    <row r="73" spans="1:24" s="456" customFormat="1" ht="16.5" thickBot="1" x14ac:dyDescent="0.25">
      <c r="A73" s="800" t="s">
        <v>625</v>
      </c>
      <c r="B73" s="801"/>
      <c r="C73" s="802"/>
      <c r="D73" s="200"/>
      <c r="E73" s="200"/>
      <c r="F73" s="200"/>
      <c r="G73" s="200"/>
      <c r="H73" s="194"/>
      <c r="I73" s="194"/>
      <c r="J73" s="200"/>
      <c r="K73" s="194"/>
      <c r="L73" s="200"/>
      <c r="M73" s="118"/>
      <c r="N73" s="134"/>
      <c r="O73" s="134"/>
      <c r="P73" s="134"/>
      <c r="Q73" s="134"/>
      <c r="R73" s="134"/>
      <c r="S73" s="134"/>
      <c r="T73" s="134"/>
      <c r="U73" s="134"/>
      <c r="V73" s="134"/>
      <c r="W73" s="118"/>
    </row>
    <row r="74" spans="1:24" s="456" customFormat="1" x14ac:dyDescent="0.2">
      <c r="A74" s="506" t="s">
        <v>30</v>
      </c>
      <c r="B74" s="470"/>
      <c r="C74" s="508" t="s">
        <v>155</v>
      </c>
      <c r="D74" s="508"/>
      <c r="E74" s="509"/>
      <c r="F74" s="509"/>
      <c r="G74" s="509"/>
      <c r="H74" s="510"/>
      <c r="I74" s="510"/>
      <c r="J74" s="509"/>
      <c r="K74" s="510"/>
      <c r="L74" s="524"/>
      <c r="M74" s="118"/>
      <c r="N74" s="134"/>
      <c r="O74" s="134"/>
      <c r="P74" s="134"/>
      <c r="Q74" s="134"/>
      <c r="R74" s="134"/>
      <c r="S74" s="134"/>
      <c r="T74" s="134"/>
      <c r="U74" s="134"/>
      <c r="V74" s="134"/>
      <c r="W74" s="118"/>
    </row>
    <row r="75" spans="1:24" s="456" customFormat="1" x14ac:dyDescent="0.2">
      <c r="A75" s="96" t="s">
        <v>35</v>
      </c>
      <c r="B75" s="512"/>
      <c r="C75" s="512"/>
      <c r="D75" s="512"/>
      <c r="E75" s="512"/>
      <c r="F75" s="512"/>
      <c r="G75" s="512"/>
      <c r="H75" s="215"/>
      <c r="I75" s="215"/>
      <c r="J75" s="512"/>
      <c r="K75" s="215"/>
      <c r="L75" s="525"/>
      <c r="M75" s="118"/>
      <c r="N75" s="134"/>
      <c r="O75" s="134"/>
      <c r="P75" s="134"/>
      <c r="Q75" s="134"/>
      <c r="R75" s="134"/>
      <c r="S75" s="134"/>
      <c r="T75" s="134"/>
      <c r="U75" s="134"/>
      <c r="V75" s="134"/>
      <c r="W75" s="118"/>
    </row>
    <row r="76" spans="1:24" s="456" customFormat="1" x14ac:dyDescent="0.2">
      <c r="A76" s="96" t="s">
        <v>174</v>
      </c>
      <c r="B76" s="512"/>
      <c r="C76" s="512"/>
      <c r="D76" s="512"/>
      <c r="E76" s="512"/>
      <c r="F76" s="512"/>
      <c r="G76" s="512"/>
      <c r="H76" s="215"/>
      <c r="I76" s="215"/>
      <c r="J76" s="512"/>
      <c r="K76" s="215"/>
      <c r="L76" s="525"/>
      <c r="M76" s="118"/>
      <c r="N76" s="134"/>
      <c r="O76" s="134"/>
      <c r="P76" s="134"/>
      <c r="Q76" s="134"/>
      <c r="R76" s="134"/>
      <c r="S76" s="134"/>
      <c r="T76" s="134"/>
      <c r="U76" s="134"/>
      <c r="V76" s="134"/>
      <c r="W76" s="118"/>
    </row>
    <row r="77" spans="1:24" s="456" customFormat="1" x14ac:dyDescent="0.2">
      <c r="A77" s="96" t="s">
        <v>987</v>
      </c>
      <c r="B77" s="512"/>
      <c r="C77" s="512"/>
      <c r="D77" s="512"/>
      <c r="E77" s="512"/>
      <c r="F77" s="512"/>
      <c r="G77" s="512"/>
      <c r="H77" s="215"/>
      <c r="I77" s="215"/>
      <c r="J77" s="512"/>
      <c r="K77" s="215"/>
      <c r="L77" s="525"/>
      <c r="M77" s="118"/>
      <c r="N77" s="134"/>
      <c r="O77" s="134"/>
      <c r="P77" s="134"/>
      <c r="Q77" s="134"/>
      <c r="R77" s="134"/>
      <c r="S77" s="134"/>
      <c r="T77" s="134"/>
      <c r="U77" s="134"/>
      <c r="V77" s="134"/>
      <c r="W77" s="118"/>
    </row>
    <row r="78" spans="1:24" s="456" customFormat="1" ht="16.5" thickBot="1" x14ac:dyDescent="0.25">
      <c r="A78" s="110" t="s">
        <v>988</v>
      </c>
      <c r="B78" s="514"/>
      <c r="C78" s="514"/>
      <c r="D78" s="514"/>
      <c r="E78" s="514"/>
      <c r="F78" s="514"/>
      <c r="G78" s="514"/>
      <c r="H78" s="515"/>
      <c r="I78" s="515"/>
      <c r="J78" s="514"/>
      <c r="K78" s="515"/>
      <c r="L78" s="526"/>
      <c r="M78" s="118"/>
      <c r="N78" s="134"/>
      <c r="O78" s="134"/>
      <c r="P78" s="134"/>
      <c r="Q78" s="134"/>
      <c r="R78" s="134"/>
      <c r="S78" s="134"/>
      <c r="T78" s="134"/>
      <c r="U78" s="134"/>
      <c r="V78" s="134"/>
      <c r="W78" s="118"/>
    </row>
    <row r="79" spans="1:24" s="456" customFormat="1" ht="16.5" thickBot="1" x14ac:dyDescent="0.25">
      <c r="A79" s="527"/>
      <c r="E79" s="200"/>
      <c r="F79" s="200"/>
      <c r="G79" s="200"/>
      <c r="H79" s="194"/>
      <c r="I79" s="517"/>
      <c r="J79" s="200"/>
      <c r="K79" s="194"/>
      <c r="L79" s="200"/>
      <c r="M79" s="118"/>
      <c r="N79" s="134"/>
      <c r="O79" s="134"/>
      <c r="P79" s="134"/>
      <c r="Q79" s="134"/>
      <c r="R79" s="118"/>
      <c r="V79" s="528"/>
      <c r="W79" s="528"/>
    </row>
    <row r="80" spans="1:24" s="14" customFormat="1" ht="32.25" thickBot="1" x14ac:dyDescent="0.25">
      <c r="A80" s="518" t="s">
        <v>31</v>
      </c>
      <c r="B80" s="932" t="s">
        <v>13</v>
      </c>
      <c r="C80" s="933"/>
      <c r="D80" s="934"/>
      <c r="E80" s="519" t="s">
        <v>12</v>
      </c>
      <c r="F80" s="519" t="s">
        <v>14</v>
      </c>
      <c r="G80" s="519" t="s">
        <v>276</v>
      </c>
      <c r="H80" s="519" t="s">
        <v>32</v>
      </c>
      <c r="I80" s="519" t="s">
        <v>16</v>
      </c>
      <c r="J80" s="519" t="s">
        <v>17</v>
      </c>
      <c r="K80" s="519" t="s">
        <v>18</v>
      </c>
      <c r="L80" s="519" t="s">
        <v>19</v>
      </c>
      <c r="M80" s="519" t="s">
        <v>20</v>
      </c>
      <c r="N80" s="520" t="s">
        <v>123</v>
      </c>
      <c r="O80" s="519" t="s">
        <v>94</v>
      </c>
      <c r="P80" s="521" t="s">
        <v>807</v>
      </c>
      <c r="W80" s="13"/>
    </row>
    <row r="81" spans="1:23" s="303" customFormat="1" x14ac:dyDescent="0.2">
      <c r="A81" s="269"/>
      <c r="B81" s="925"/>
      <c r="C81" s="926"/>
      <c r="D81" s="926"/>
      <c r="E81" s="226"/>
      <c r="F81" s="226"/>
      <c r="G81" s="226"/>
      <c r="H81" s="226"/>
      <c r="I81" s="226"/>
      <c r="J81" s="263"/>
      <c r="K81" s="263"/>
      <c r="L81" s="263"/>
      <c r="M81" s="263"/>
      <c r="N81" s="49"/>
      <c r="O81" s="226"/>
      <c r="P81" s="274"/>
      <c r="Q81" s="160"/>
      <c r="R81" s="160"/>
      <c r="S81" s="160"/>
      <c r="T81" s="160"/>
      <c r="U81" s="160"/>
      <c r="V81" s="160"/>
      <c r="W81" s="159"/>
    </row>
    <row r="82" spans="1:23" s="303" customFormat="1" x14ac:dyDescent="0.2">
      <c r="A82" s="248"/>
      <c r="B82" s="927"/>
      <c r="C82" s="928"/>
      <c r="D82" s="928"/>
      <c r="E82" s="125"/>
      <c r="F82" s="125"/>
      <c r="G82" s="125"/>
      <c r="H82" s="125"/>
      <c r="I82" s="125"/>
      <c r="J82" s="255"/>
      <c r="K82" s="255"/>
      <c r="L82" s="255"/>
      <c r="M82" s="255"/>
      <c r="N82" s="21"/>
      <c r="O82" s="125"/>
      <c r="P82" s="276"/>
      <c r="Q82" s="160"/>
      <c r="R82" s="160"/>
      <c r="S82" s="160"/>
      <c r="T82" s="160"/>
      <c r="U82" s="160"/>
      <c r="V82" s="160"/>
      <c r="W82" s="159"/>
    </row>
    <row r="83" spans="1:23" s="303" customFormat="1" x14ac:dyDescent="0.2">
      <c r="A83" s="248"/>
      <c r="B83" s="927"/>
      <c r="C83" s="928"/>
      <c r="D83" s="928"/>
      <c r="E83" s="125"/>
      <c r="F83" s="125"/>
      <c r="G83" s="125"/>
      <c r="H83" s="125"/>
      <c r="I83" s="125"/>
      <c r="J83" s="255"/>
      <c r="K83" s="255"/>
      <c r="L83" s="255"/>
      <c r="M83" s="255"/>
      <c r="N83" s="21"/>
      <c r="O83" s="125"/>
      <c r="P83" s="276"/>
      <c r="Q83" s="160"/>
      <c r="R83" s="160"/>
      <c r="S83" s="160"/>
      <c r="T83" s="160"/>
      <c r="U83" s="160"/>
      <c r="V83" s="160"/>
      <c r="W83" s="159"/>
    </row>
    <row r="84" spans="1:23" s="303" customFormat="1" ht="16.5" thickBot="1" x14ac:dyDescent="0.25">
      <c r="A84" s="304"/>
      <c r="B84" s="912"/>
      <c r="C84" s="913"/>
      <c r="D84" s="913"/>
      <c r="E84" s="130"/>
      <c r="F84" s="130"/>
      <c r="G84" s="130"/>
      <c r="H84" s="130"/>
      <c r="I84" s="130"/>
      <c r="J84" s="256"/>
      <c r="K84" s="256"/>
      <c r="L84" s="256"/>
      <c r="M84" s="256"/>
      <c r="N84" s="29"/>
      <c r="O84" s="129"/>
      <c r="P84" s="132"/>
      <c r="Q84" s="160"/>
      <c r="R84" s="160"/>
      <c r="S84" s="160"/>
      <c r="T84" s="160"/>
      <c r="U84" s="160"/>
      <c r="V84" s="160"/>
      <c r="W84" s="159"/>
    </row>
    <row r="85" spans="1:23" s="456" customFormat="1" ht="16.5" thickBot="1" x14ac:dyDescent="0.25">
      <c r="A85" s="133"/>
      <c r="B85" s="133"/>
      <c r="C85" s="133"/>
      <c r="D85" s="133"/>
      <c r="E85" s="133"/>
      <c r="F85" s="133"/>
      <c r="G85" s="133"/>
      <c r="H85" s="118"/>
      <c r="I85" s="118"/>
      <c r="J85" s="118"/>
      <c r="K85" s="118"/>
      <c r="L85" s="118"/>
      <c r="M85" s="134"/>
      <c r="N85" s="134"/>
      <c r="O85" s="134"/>
      <c r="P85" s="134"/>
      <c r="Q85" s="134"/>
      <c r="R85" s="134"/>
      <c r="S85" s="134"/>
      <c r="T85" s="134"/>
      <c r="U85" s="134"/>
      <c r="V85" s="118"/>
    </row>
    <row r="86" spans="1:23" s="73" customFormat="1" ht="16.5" thickBot="1" x14ac:dyDescent="0.25">
      <c r="A86" s="822" t="s">
        <v>36</v>
      </c>
      <c r="B86" s="823"/>
      <c r="C86" s="823"/>
      <c r="D86" s="823"/>
      <c r="E86" s="823"/>
      <c r="F86" s="823"/>
      <c r="G86" s="823"/>
      <c r="H86" s="823"/>
      <c r="I86" s="824"/>
      <c r="J86" s="169"/>
      <c r="K86" s="118"/>
      <c r="L86" s="134"/>
      <c r="M86" s="134"/>
      <c r="N86" s="134"/>
      <c r="O86" s="134"/>
      <c r="P86" s="134"/>
      <c r="Q86" s="134"/>
      <c r="R86" s="134"/>
      <c r="S86" s="118"/>
      <c r="T86" s="118"/>
      <c r="U86" s="118"/>
    </row>
    <row r="87" spans="1:23" s="73" customFormat="1" ht="16.5" thickBot="1" x14ac:dyDescent="0.25">
      <c r="A87" s="935" t="s">
        <v>37</v>
      </c>
      <c r="B87" s="936"/>
      <c r="C87" s="936"/>
      <c r="D87" s="936"/>
      <c r="E87" s="936"/>
      <c r="F87" s="936"/>
      <c r="G87" s="936"/>
      <c r="H87" s="936"/>
      <c r="I87" s="937"/>
      <c r="J87" s="170"/>
      <c r="K87" s="118"/>
      <c r="L87" s="134"/>
      <c r="M87" s="134"/>
      <c r="N87" s="134"/>
      <c r="O87" s="134"/>
      <c r="P87" s="134"/>
      <c r="Q87" s="134"/>
      <c r="R87" s="134"/>
      <c r="S87" s="118"/>
      <c r="T87" s="118"/>
      <c r="U87" s="118"/>
    </row>
    <row r="88" spans="1:23" s="308" customFormat="1" ht="15.75" customHeight="1" thickBot="1" x14ac:dyDescent="0.25">
      <c r="A88" s="665" t="s">
        <v>296</v>
      </c>
      <c r="B88" s="909" t="s">
        <v>1129</v>
      </c>
      <c r="C88" s="910"/>
      <c r="D88" s="910"/>
      <c r="E88" s="910"/>
      <c r="F88" s="910"/>
      <c r="G88" s="910"/>
      <c r="H88" s="910"/>
      <c r="I88" s="911"/>
      <c r="J88" s="171"/>
      <c r="K88" s="172"/>
      <c r="L88" s="173"/>
      <c r="M88" s="173"/>
      <c r="N88" s="173"/>
      <c r="O88" s="173"/>
      <c r="P88" s="173"/>
      <c r="Q88" s="173"/>
      <c r="R88" s="173"/>
      <c r="S88" s="172"/>
      <c r="T88" s="172"/>
      <c r="U88" s="172"/>
    </row>
    <row r="89" spans="1:23" s="73" customFormat="1" ht="16.5" thickBot="1" x14ac:dyDescent="0.25">
      <c r="A89" s="196"/>
      <c r="B89" s="169"/>
      <c r="C89" s="169"/>
      <c r="D89" s="169"/>
      <c r="E89" s="169"/>
      <c r="F89" s="176"/>
      <c r="G89" s="176"/>
      <c r="H89" s="176"/>
      <c r="I89" s="176"/>
      <c r="J89" s="176"/>
      <c r="K89" s="118"/>
      <c r="L89" s="134"/>
      <c r="M89" s="134"/>
      <c r="N89" s="134"/>
      <c r="O89" s="134"/>
      <c r="P89" s="134"/>
      <c r="Q89" s="118"/>
    </row>
    <row r="90" spans="1:23" s="73" customFormat="1" ht="16.5" customHeight="1" thickBot="1" x14ac:dyDescent="0.25">
      <c r="A90" s="917" t="s">
        <v>214</v>
      </c>
      <c r="B90" s="918"/>
      <c r="C90" s="918"/>
      <c r="D90" s="918"/>
      <c r="E90" s="918"/>
      <c r="F90" s="918"/>
      <c r="G90" s="918"/>
      <c r="H90" s="930" t="s">
        <v>226</v>
      </c>
      <c r="I90" s="786" t="s">
        <v>627</v>
      </c>
      <c r="J90" s="786" t="s">
        <v>215</v>
      </c>
      <c r="K90" s="786" t="s">
        <v>23</v>
      </c>
      <c r="L90" s="786" t="s">
        <v>302</v>
      </c>
      <c r="M90" s="788" t="s">
        <v>83</v>
      </c>
      <c r="N90" s="134"/>
      <c r="O90" s="118"/>
      <c r="P90" s="456"/>
      <c r="Q90" s="528"/>
      <c r="R90" s="528"/>
    </row>
    <row r="91" spans="1:23" s="446" customFormat="1" ht="16.5" thickBot="1" x14ac:dyDescent="0.25">
      <c r="A91" s="919" t="s">
        <v>887</v>
      </c>
      <c r="B91" s="920"/>
      <c r="C91" s="920"/>
      <c r="D91" s="920"/>
      <c r="E91" s="920"/>
      <c r="F91" s="920"/>
      <c r="G91" s="921"/>
      <c r="H91" s="931"/>
      <c r="I91" s="908"/>
      <c r="J91" s="908"/>
      <c r="K91" s="908"/>
      <c r="L91" s="908"/>
      <c r="M91" s="929"/>
      <c r="N91" s="177"/>
      <c r="O91" s="177"/>
      <c r="P91" s="177"/>
      <c r="Q91" s="177"/>
      <c r="R91" s="177"/>
    </row>
    <row r="92" spans="1:23" s="446" customFormat="1" ht="15.75" customHeight="1" thickBot="1" x14ac:dyDescent="0.25">
      <c r="A92" s="914" t="s">
        <v>353</v>
      </c>
      <c r="B92" s="915"/>
      <c r="C92" s="915"/>
      <c r="D92" s="915"/>
      <c r="E92" s="915"/>
      <c r="F92" s="915"/>
      <c r="G92" s="916"/>
      <c r="H92" s="931"/>
      <c r="I92" s="908"/>
      <c r="J92" s="908"/>
      <c r="K92" s="908"/>
      <c r="L92" s="908"/>
      <c r="M92" s="929"/>
      <c r="N92" s="177"/>
      <c r="O92" s="177"/>
      <c r="P92" s="177"/>
      <c r="Q92" s="177"/>
      <c r="R92" s="177"/>
    </row>
    <row r="93" spans="1:23" s="136" customFormat="1" ht="15.75" customHeight="1" x14ac:dyDescent="0.2">
      <c r="A93" s="178" t="s">
        <v>102</v>
      </c>
      <c r="B93" s="942" t="str">
        <f>IF($A93="","",VLOOKUP($A93,Listes!$A$3:$C$193,2,FALSE))</f>
        <v>Alameda Corridor Surcharge import</v>
      </c>
      <c r="C93" s="942"/>
      <c r="D93" s="942"/>
      <c r="E93" s="941" t="s">
        <v>51</v>
      </c>
      <c r="F93" s="941"/>
      <c r="G93" s="941"/>
      <c r="H93" s="614"/>
      <c r="I93" s="529"/>
      <c r="J93" s="529"/>
      <c r="K93" s="529"/>
      <c r="L93" s="529"/>
      <c r="M93" s="530"/>
      <c r="N93" s="160"/>
      <c r="O93" s="160"/>
      <c r="P93" s="160"/>
      <c r="Q93" s="160"/>
      <c r="R93" s="159"/>
    </row>
    <row r="94" spans="1:23" s="136" customFormat="1" ht="15.75" customHeight="1" x14ac:dyDescent="0.2">
      <c r="A94" s="182" t="s">
        <v>234</v>
      </c>
      <c r="B94" s="927" t="str">
        <f>IF($A94="","",VLOOKUP($A94,Listes!$A$3:$C$193,2,FALSE))</f>
        <v>Bunker Adjustment Factor</v>
      </c>
      <c r="C94" s="927"/>
      <c r="D94" s="927"/>
      <c r="E94" s="976" t="s">
        <v>51</v>
      </c>
      <c r="F94" s="976"/>
      <c r="G94" s="976"/>
      <c r="H94" s="615"/>
      <c r="I94" s="564"/>
      <c r="J94" s="564"/>
      <c r="K94" s="564"/>
      <c r="L94" s="564"/>
      <c r="M94" s="565"/>
      <c r="N94" s="160"/>
      <c r="O94" s="160"/>
      <c r="P94" s="160"/>
      <c r="Q94" s="160"/>
      <c r="R94" s="159"/>
    </row>
    <row r="95" spans="1:23" s="136" customFormat="1" ht="15.75" customHeight="1" x14ac:dyDescent="0.2">
      <c r="A95" s="376" t="s">
        <v>246</v>
      </c>
      <c r="B95" s="813" t="str">
        <f>IF($A95="","",VLOOKUP($A95,Listes!$A$3:$C$193,2,FALSE))</f>
        <v>Cold Treatment Service (Fruit Fly Infestation)</v>
      </c>
      <c r="C95" s="813"/>
      <c r="D95" s="813"/>
      <c r="E95" s="814" t="s">
        <v>51</v>
      </c>
      <c r="F95" s="814"/>
      <c r="G95" s="814"/>
      <c r="H95" s="612"/>
      <c r="I95" s="531"/>
      <c r="J95" s="531"/>
      <c r="K95" s="531"/>
      <c r="L95" s="531"/>
      <c r="M95" s="532"/>
      <c r="N95" s="160"/>
      <c r="O95" s="160"/>
      <c r="P95" s="160"/>
      <c r="Q95" s="160"/>
      <c r="R95" s="159"/>
    </row>
    <row r="96" spans="1:23" s="136" customFormat="1" ht="15.75" customHeight="1" x14ac:dyDescent="0.2">
      <c r="A96" s="182" t="s">
        <v>1105</v>
      </c>
      <c r="B96" s="813" t="str">
        <f>IF($A96="","",VLOOKUP($A96,Listes!$A$3:$C$193,2,FALSE))</f>
        <v>Chassis Administration Fee On-Carriage</v>
      </c>
      <c r="C96" s="813"/>
      <c r="D96" s="813"/>
      <c r="E96" s="976" t="s">
        <v>51</v>
      </c>
      <c r="F96" s="976"/>
      <c r="G96" s="976"/>
      <c r="H96" s="647"/>
      <c r="I96" s="531"/>
      <c r="J96" s="531"/>
      <c r="K96" s="531"/>
      <c r="L96" s="531"/>
      <c r="M96" s="532"/>
      <c r="N96" s="160"/>
      <c r="O96" s="160"/>
      <c r="P96" s="160"/>
      <c r="Q96" s="160"/>
      <c r="R96" s="159"/>
    </row>
    <row r="97" spans="1:18" s="136" customFormat="1" ht="15.75" customHeight="1" x14ac:dyDescent="0.2">
      <c r="A97" s="182" t="s">
        <v>551</v>
      </c>
      <c r="B97" s="813" t="str">
        <f>IF($A97="","",VLOOKUP($A97,Listes!$A$3:$C$193,2,FALSE))</f>
        <v>Chassis Provision Charge</v>
      </c>
      <c r="C97" s="813"/>
      <c r="D97" s="813"/>
      <c r="E97" s="976" t="s">
        <v>51</v>
      </c>
      <c r="F97" s="976"/>
      <c r="G97" s="976"/>
      <c r="H97" s="612"/>
      <c r="I97" s="531"/>
      <c r="J97" s="531"/>
      <c r="K97" s="531"/>
      <c r="L97" s="531"/>
      <c r="M97" s="532"/>
      <c r="N97" s="160"/>
      <c r="O97" s="160"/>
      <c r="P97" s="160"/>
      <c r="Q97" s="160"/>
      <c r="R97" s="159"/>
    </row>
    <row r="98" spans="1:18" s="136" customFormat="1" ht="15.75" customHeight="1" x14ac:dyDescent="0.2">
      <c r="A98" s="182" t="s">
        <v>263</v>
      </c>
      <c r="B98" s="813" t="str">
        <f>IF($A98="","",VLOOKUP($A98,Listes!$A$3:$C$193,2,FALSE))</f>
        <v>Carrier Security Charge</v>
      </c>
      <c r="C98" s="813"/>
      <c r="D98" s="813"/>
      <c r="E98" s="814" t="s">
        <v>51</v>
      </c>
      <c r="F98" s="814"/>
      <c r="G98" s="814"/>
      <c r="H98" s="612"/>
      <c r="I98" s="531"/>
      <c r="J98" s="531"/>
      <c r="K98" s="531"/>
      <c r="L98" s="531"/>
      <c r="M98" s="532"/>
      <c r="N98" s="160"/>
      <c r="O98" s="160"/>
      <c r="P98" s="160"/>
      <c r="Q98" s="160"/>
      <c r="R98" s="159"/>
    </row>
    <row r="99" spans="1:18" s="136" customFormat="1" ht="15.75" customHeight="1" x14ac:dyDescent="0.2">
      <c r="A99" s="182" t="s">
        <v>1262</v>
      </c>
      <c r="B99" s="813" t="str">
        <f>IF($A99="","",VLOOKUP($A99,Listes!$A$3:$C$193,2,FALSE))</f>
        <v>Container Maintenance Charge Destination</v>
      </c>
      <c r="C99" s="813"/>
      <c r="D99" s="813"/>
      <c r="E99" s="814" t="s">
        <v>51</v>
      </c>
      <c r="F99" s="814"/>
      <c r="G99" s="814"/>
      <c r="H99" s="647"/>
      <c r="I99" s="531"/>
      <c r="J99" s="531"/>
      <c r="K99" s="531"/>
      <c r="L99" s="531"/>
      <c r="M99" s="532"/>
      <c r="N99" s="160"/>
      <c r="O99" s="160"/>
      <c r="P99" s="160"/>
      <c r="Q99" s="160"/>
      <c r="R99" s="159"/>
    </row>
    <row r="100" spans="1:18" s="136" customFormat="1" ht="15.75" customHeight="1" x14ac:dyDescent="0.2">
      <c r="A100" s="182" t="s">
        <v>1266</v>
      </c>
      <c r="B100" s="813" t="str">
        <f>IF($A100="","",VLOOKUP($A100,Listes!$A$3:$C$193,2,FALSE))</f>
        <v>Container Maintenance Charge Origin</v>
      </c>
      <c r="C100" s="813"/>
      <c r="D100" s="813"/>
      <c r="E100" s="814" t="s">
        <v>51</v>
      </c>
      <c r="F100" s="814"/>
      <c r="G100" s="814"/>
      <c r="H100" s="674"/>
      <c r="I100" s="531"/>
      <c r="J100" s="531"/>
      <c r="K100" s="531"/>
      <c r="L100" s="531"/>
      <c r="M100" s="532"/>
      <c r="N100" s="160"/>
      <c r="O100" s="160"/>
      <c r="P100" s="160"/>
      <c r="Q100" s="160"/>
      <c r="R100" s="159"/>
    </row>
    <row r="101" spans="1:18" s="136" customFormat="1" ht="15.75" customHeight="1" x14ac:dyDescent="0.2">
      <c r="A101" s="182" t="s">
        <v>230</v>
      </c>
      <c r="B101" s="813" t="str">
        <f>IF($A101="","",VLOOKUP($A101,Listes!$A$3:$C$193,2,FALSE))</f>
        <v>Destination THC / Destination Receiving Charge</v>
      </c>
      <c r="C101" s="813"/>
      <c r="D101" s="813"/>
      <c r="E101" s="814" t="s">
        <v>53</v>
      </c>
      <c r="F101" s="814"/>
      <c r="G101" s="814"/>
      <c r="H101" s="612"/>
      <c r="I101" s="531"/>
      <c r="J101" s="531"/>
      <c r="K101" s="531"/>
      <c r="L101" s="531"/>
      <c r="M101" s="532"/>
      <c r="N101" s="160"/>
      <c r="O101" s="160"/>
      <c r="P101" s="160"/>
      <c r="Q101" s="160"/>
      <c r="R101" s="159"/>
    </row>
    <row r="102" spans="1:18" s="136" customFormat="1" ht="15.75" customHeight="1" x14ac:dyDescent="0.2">
      <c r="A102" s="376" t="s">
        <v>1081</v>
      </c>
      <c r="B102" s="813" t="str">
        <f>IF($A102="","",VLOOKUP($A102,Listes!$A$3:$C$193,2,FALSE))</f>
        <v>Equipment Imbalance Surcharge at Origin</v>
      </c>
      <c r="C102" s="813"/>
      <c r="D102" s="813"/>
      <c r="E102" s="814" t="s">
        <v>51</v>
      </c>
      <c r="F102" s="814"/>
      <c r="G102" s="814"/>
      <c r="H102" s="612"/>
      <c r="I102" s="531"/>
      <c r="J102" s="531"/>
      <c r="K102" s="531"/>
      <c r="L102" s="531"/>
      <c r="M102" s="532"/>
      <c r="N102" s="160"/>
      <c r="O102" s="160"/>
      <c r="P102" s="160"/>
      <c r="Q102" s="160"/>
      <c r="R102" s="159"/>
    </row>
    <row r="103" spans="1:18" s="136" customFormat="1" ht="15.75" customHeight="1" x14ac:dyDescent="0.2">
      <c r="A103" s="376" t="s">
        <v>854</v>
      </c>
      <c r="B103" s="813" t="str">
        <f>IF($A103="","",VLOOKUP($A103,Listes!$A$3:$C$193,2,FALSE))</f>
        <v>Export Declaration Surcharge</v>
      </c>
      <c r="C103" s="813"/>
      <c r="D103" s="813"/>
      <c r="E103" s="814" t="s">
        <v>51</v>
      </c>
      <c r="F103" s="814"/>
      <c r="G103" s="814"/>
      <c r="H103" s="646"/>
      <c r="I103" s="531"/>
      <c r="J103" s="531"/>
      <c r="K103" s="531"/>
      <c r="L103" s="531"/>
      <c r="M103" s="532"/>
      <c r="N103" s="160"/>
      <c r="O103" s="160"/>
      <c r="P103" s="160"/>
      <c r="Q103" s="160"/>
      <c r="R103" s="159"/>
    </row>
    <row r="104" spans="1:18" s="136" customFormat="1" ht="15.75" customHeight="1" x14ac:dyDescent="0.2">
      <c r="A104" s="182" t="s">
        <v>874</v>
      </c>
      <c r="B104" s="813" t="str">
        <f>IF($A104="","",VLOOKUP($A104,Listes!$A$3:$C$193,2,FALSE))</f>
        <v>Export Documentation Fees - Carrier</v>
      </c>
      <c r="C104" s="813"/>
      <c r="D104" s="813"/>
      <c r="E104" s="814" t="s">
        <v>51</v>
      </c>
      <c r="F104" s="814"/>
      <c r="G104" s="814"/>
      <c r="H104" s="612"/>
      <c r="I104" s="531"/>
      <c r="J104" s="531"/>
      <c r="K104" s="531"/>
      <c r="L104" s="531"/>
      <c r="M104" s="532"/>
      <c r="N104" s="160"/>
      <c r="O104" s="160"/>
      <c r="P104" s="160"/>
      <c r="Q104" s="160"/>
      <c r="R104" s="159"/>
    </row>
    <row r="105" spans="1:18" s="136" customFormat="1" ht="15.75" customHeight="1" x14ac:dyDescent="0.2">
      <c r="A105" s="182" t="s">
        <v>194</v>
      </c>
      <c r="B105" s="927" t="str">
        <f>IF($A105="","",VLOOKUP($A105,Listes!$A$3:$C$193,2,FALSE))</f>
        <v>Extra Container Handling Charge Origin</v>
      </c>
      <c r="C105" s="927"/>
      <c r="D105" s="927"/>
      <c r="E105" s="976" t="s">
        <v>51</v>
      </c>
      <c r="F105" s="976"/>
      <c r="G105" s="976"/>
      <c r="H105" s="612"/>
      <c r="I105" s="531"/>
      <c r="J105" s="531"/>
      <c r="K105" s="531"/>
      <c r="L105" s="531"/>
      <c r="M105" s="532"/>
      <c r="N105" s="160"/>
      <c r="O105" s="160"/>
      <c r="P105" s="160"/>
      <c r="Q105" s="160"/>
      <c r="R105" s="159"/>
    </row>
    <row r="106" spans="1:18" s="136" customFormat="1" ht="15.75" customHeight="1" x14ac:dyDescent="0.2">
      <c r="A106" s="376" t="s">
        <v>293</v>
      </c>
      <c r="B106" s="927" t="str">
        <f>IF($A106="","",VLOOKUP($A106,Listes!$A$3:$C$193,2,FALSE))</f>
        <v>Forwarding Agent Commission</v>
      </c>
      <c r="C106" s="927"/>
      <c r="D106" s="927"/>
      <c r="E106" s="814" t="s">
        <v>53</v>
      </c>
      <c r="F106" s="814"/>
      <c r="G106" s="814"/>
      <c r="H106" s="626"/>
      <c r="I106" s="531"/>
      <c r="J106" s="531"/>
      <c r="K106" s="531"/>
      <c r="L106" s="531"/>
      <c r="M106" s="532"/>
      <c r="N106" s="160"/>
      <c r="O106" s="160"/>
      <c r="P106" s="160"/>
      <c r="Q106" s="160"/>
      <c r="R106" s="159"/>
    </row>
    <row r="107" spans="1:18" s="136" customFormat="1" ht="15.75" customHeight="1" x14ac:dyDescent="0.2">
      <c r="A107" s="376" t="s">
        <v>82</v>
      </c>
      <c r="B107" s="927" t="str">
        <f>IF($A107="","",VLOOKUP($A107,Listes!$A$3:$C$193,2,FALSE))</f>
        <v>General Rate Increase</v>
      </c>
      <c r="C107" s="927"/>
      <c r="D107" s="927"/>
      <c r="E107" s="814" t="s">
        <v>51</v>
      </c>
      <c r="F107" s="814"/>
      <c r="G107" s="814"/>
      <c r="H107" s="612"/>
      <c r="I107" s="531"/>
      <c r="J107" s="531"/>
      <c r="K107" s="531"/>
      <c r="L107" s="531"/>
      <c r="M107" s="532"/>
      <c r="N107" s="160"/>
      <c r="O107" s="160"/>
      <c r="P107" s="160"/>
      <c r="Q107" s="160"/>
      <c r="R107" s="159"/>
    </row>
    <row r="108" spans="1:18" s="136" customFormat="1" ht="15.75" customHeight="1" x14ac:dyDescent="0.2">
      <c r="A108" s="182" t="s">
        <v>260</v>
      </c>
      <c r="B108" s="813" t="str">
        <f>IF($A108="","",VLOOKUP($A108,Listes!$A$3:$C$193,2,FALSE))</f>
        <v>Hazardous Fees (Ocean)</v>
      </c>
      <c r="C108" s="813"/>
      <c r="D108" s="813"/>
      <c r="E108" s="814" t="s">
        <v>51</v>
      </c>
      <c r="F108" s="814"/>
      <c r="G108" s="814"/>
      <c r="H108" s="612"/>
      <c r="I108" s="531"/>
      <c r="J108" s="531"/>
      <c r="K108" s="531"/>
      <c r="L108" s="531"/>
      <c r="M108" s="532"/>
      <c r="N108" s="160"/>
      <c r="O108" s="160"/>
      <c r="P108" s="160"/>
      <c r="Q108" s="160"/>
      <c r="R108" s="159"/>
    </row>
    <row r="109" spans="1:18" s="136" customFormat="1" ht="15.75" customHeight="1" x14ac:dyDescent="0.2">
      <c r="A109" s="376" t="s">
        <v>898</v>
      </c>
      <c r="B109" s="813" t="str">
        <f>IF($A109="","",VLOOKUP($A109,Listes!$A$3:$C$193,2,FALSE))</f>
        <v>Oncarriage Additional Intermodal Door Delivery Surcharge</v>
      </c>
      <c r="C109" s="813"/>
      <c r="D109" s="813"/>
      <c r="E109" s="976" t="s">
        <v>51</v>
      </c>
      <c r="F109" s="976"/>
      <c r="G109" s="976"/>
      <c r="H109" s="612"/>
      <c r="I109" s="531"/>
      <c r="J109" s="531"/>
      <c r="K109" s="531"/>
      <c r="L109" s="531"/>
      <c r="M109" s="532"/>
      <c r="N109" s="160"/>
      <c r="O109" s="160"/>
      <c r="P109" s="160"/>
      <c r="Q109" s="160"/>
      <c r="R109" s="159"/>
    </row>
    <row r="110" spans="1:18" s="136" customFormat="1" ht="15.75" customHeight="1" x14ac:dyDescent="0.2">
      <c r="A110" s="182" t="s">
        <v>94</v>
      </c>
      <c r="B110" s="813" t="str">
        <f>IF($A110="","",VLOOKUP($A110,Listes!$A$3:$C$193,2,FALSE))</f>
        <v>Oncarriage Inland Fuel Charge</v>
      </c>
      <c r="C110" s="813"/>
      <c r="D110" s="813"/>
      <c r="E110" s="814" t="s">
        <v>51</v>
      </c>
      <c r="F110" s="814"/>
      <c r="G110" s="814"/>
      <c r="H110" s="612"/>
      <c r="I110" s="531"/>
      <c r="J110" s="531"/>
      <c r="K110" s="531"/>
      <c r="L110" s="531"/>
      <c r="M110" s="532"/>
      <c r="N110" s="160"/>
      <c r="O110" s="160"/>
      <c r="P110" s="160"/>
      <c r="Q110" s="160"/>
      <c r="R110" s="159"/>
    </row>
    <row r="111" spans="1:18" s="136" customFormat="1" ht="15.75" customHeight="1" x14ac:dyDescent="0.2">
      <c r="A111" s="182" t="s">
        <v>1290</v>
      </c>
      <c r="B111" s="813" t="str">
        <f>IF($A111="","",VLOOKUP($A111,Listes!$A$3:$C$193,2,FALSE))</f>
        <v>Local Port Charge Destination Sanitary Fee</v>
      </c>
      <c r="C111" s="813"/>
      <c r="D111" s="813"/>
      <c r="E111" s="814" t="s">
        <v>51</v>
      </c>
      <c r="F111" s="814"/>
      <c r="G111" s="814"/>
      <c r="H111" s="675"/>
      <c r="I111" s="531"/>
      <c r="J111" s="531"/>
      <c r="K111" s="531"/>
      <c r="L111" s="531"/>
      <c r="M111" s="532"/>
      <c r="N111" s="160"/>
      <c r="O111" s="160"/>
      <c r="P111" s="160"/>
      <c r="Q111" s="160"/>
      <c r="R111" s="159"/>
    </row>
    <row r="112" spans="1:18" s="136" customFormat="1" ht="15.75" customHeight="1" x14ac:dyDescent="0.2">
      <c r="A112" s="182" t="s">
        <v>1292</v>
      </c>
      <c r="B112" s="813" t="str">
        <f>IF($A112="","",VLOOKUP($A112,Listes!$A$3:$C$193,2,FALSE))</f>
        <v>Local Port Charge Origin Sanitary Fee</v>
      </c>
      <c r="C112" s="813"/>
      <c r="D112" s="813"/>
      <c r="E112" s="814" t="s">
        <v>51</v>
      </c>
      <c r="F112" s="814"/>
      <c r="G112" s="814"/>
      <c r="H112" s="675"/>
      <c r="I112" s="531"/>
      <c r="J112" s="531"/>
      <c r="K112" s="531"/>
      <c r="L112" s="531"/>
      <c r="M112" s="532"/>
      <c r="N112" s="160"/>
      <c r="O112" s="160"/>
      <c r="P112" s="160"/>
      <c r="Q112" s="160"/>
      <c r="R112" s="159"/>
    </row>
    <row r="113" spans="1:21" s="136" customFormat="1" ht="15.75" customHeight="1" x14ac:dyDescent="0.2">
      <c r="A113" s="376" t="s">
        <v>199</v>
      </c>
      <c r="B113" s="813" t="str">
        <f>IF($A113="","",VLOOKUP($A113,Listes!$A$3:$C$193,2,FALSE))</f>
        <v>Low Sulfur Surcharge</v>
      </c>
      <c r="C113" s="813"/>
      <c r="D113" s="813"/>
      <c r="E113" s="976" t="s">
        <v>53</v>
      </c>
      <c r="F113" s="976"/>
      <c r="G113" s="976"/>
      <c r="H113" s="612"/>
      <c r="I113" s="531"/>
      <c r="J113" s="531"/>
      <c r="K113" s="531"/>
      <c r="L113" s="531"/>
      <c r="M113" s="532"/>
      <c r="N113" s="160"/>
      <c r="O113" s="160"/>
      <c r="P113" s="160"/>
      <c r="Q113" s="160"/>
      <c r="R113" s="159"/>
    </row>
    <row r="114" spans="1:21" s="136" customFormat="1" ht="15.75" customHeight="1" x14ac:dyDescent="0.2">
      <c r="A114" s="376" t="s">
        <v>1124</v>
      </c>
      <c r="B114" s="813" t="str">
        <f>IF($A114="","",VLOOKUP($A114,Listes!$A$3:$C$193,2,FALSE))</f>
        <v>Low Sulfur Surcharge IMO2020</v>
      </c>
      <c r="C114" s="813"/>
      <c r="D114" s="813"/>
      <c r="E114" s="976" t="s">
        <v>53</v>
      </c>
      <c r="F114" s="976"/>
      <c r="G114" s="976"/>
      <c r="H114" s="667"/>
      <c r="I114" s="531"/>
      <c r="J114" s="531"/>
      <c r="K114" s="531"/>
      <c r="L114" s="531"/>
      <c r="M114" s="532"/>
      <c r="N114" s="160"/>
      <c r="O114" s="160"/>
      <c r="P114" s="160"/>
      <c r="Q114" s="160"/>
      <c r="R114" s="159"/>
    </row>
    <row r="115" spans="1:21" s="136" customFormat="1" x14ac:dyDescent="0.2">
      <c r="A115" s="182" t="s">
        <v>1059</v>
      </c>
      <c r="B115" s="813" t="str">
        <f>IF($A115="","",VLOOKUP($A115,Listes!$A$3:$C$193,2,FALSE))</f>
        <v>On-Carriage Emergency Inland Fuel Surcharge</v>
      </c>
      <c r="C115" s="813"/>
      <c r="D115" s="813"/>
      <c r="E115" s="814" t="s">
        <v>51</v>
      </c>
      <c r="F115" s="814"/>
      <c r="G115" s="814"/>
      <c r="H115" s="645"/>
      <c r="I115" s="531"/>
      <c r="J115" s="531"/>
      <c r="K115" s="531"/>
      <c r="L115" s="531"/>
      <c r="M115" s="532"/>
      <c r="N115" s="160"/>
      <c r="O115" s="160"/>
      <c r="P115" s="160"/>
      <c r="Q115" s="160"/>
      <c r="R115" s="159"/>
    </row>
    <row r="116" spans="1:21" s="136" customFormat="1" ht="31.5" x14ac:dyDescent="0.2">
      <c r="A116" s="182" t="s">
        <v>1088</v>
      </c>
      <c r="B116" s="813" t="str">
        <f>IF($A116="","",VLOOKUP($A116,Listes!$A$3:$C$193,2,FALSE))</f>
        <v>On-Carriage Emergency Intermodal Surcharge</v>
      </c>
      <c r="C116" s="813"/>
      <c r="D116" s="813"/>
      <c r="E116" s="814" t="s">
        <v>51</v>
      </c>
      <c r="F116" s="814"/>
      <c r="G116" s="814"/>
      <c r="H116" s="647"/>
      <c r="I116" s="531"/>
      <c r="J116" s="531"/>
      <c r="K116" s="531"/>
      <c r="L116" s="531"/>
      <c r="M116" s="532"/>
      <c r="N116" s="160"/>
      <c r="O116" s="160"/>
      <c r="P116" s="160"/>
      <c r="Q116" s="160"/>
      <c r="R116" s="159"/>
    </row>
    <row r="117" spans="1:21" s="136" customFormat="1" ht="15.75" customHeight="1" x14ac:dyDescent="0.2">
      <c r="A117" s="182" t="s">
        <v>497</v>
      </c>
      <c r="B117" s="927" t="str">
        <f>IF($A117="","",VLOOKUP($A117,Listes!$A$3:$C$193,2,FALSE))</f>
        <v>Inland Hazardous Charge Oncarriage</v>
      </c>
      <c r="C117" s="927"/>
      <c r="D117" s="927"/>
      <c r="E117" s="976" t="s">
        <v>51</v>
      </c>
      <c r="F117" s="976"/>
      <c r="G117" s="976"/>
      <c r="H117" s="615"/>
      <c r="I117" s="564"/>
      <c r="J117" s="564"/>
      <c r="K117" s="564"/>
      <c r="L117" s="564"/>
      <c r="M117" s="565"/>
      <c r="N117" s="160"/>
      <c r="O117" s="160"/>
      <c r="P117" s="160"/>
      <c r="Q117" s="160"/>
      <c r="R117" s="159"/>
    </row>
    <row r="118" spans="1:21" s="136" customFormat="1" x14ac:dyDescent="0.2">
      <c r="A118" s="182" t="s">
        <v>89</v>
      </c>
      <c r="B118" s="813" t="str">
        <f>IF($A118="","",VLOOKUP($A118,Listes!$A$3:$C$193,2,FALSE))</f>
        <v>Origin THC / Origin Receiving Charge</v>
      </c>
      <c r="C118" s="813"/>
      <c r="D118" s="813"/>
      <c r="E118" s="814" t="s">
        <v>51</v>
      </c>
      <c r="F118" s="814"/>
      <c r="G118" s="814"/>
      <c r="H118" s="612"/>
      <c r="I118" s="531"/>
      <c r="J118" s="531"/>
      <c r="K118" s="531"/>
      <c r="L118" s="531"/>
      <c r="M118" s="532"/>
      <c r="N118" s="160"/>
      <c r="O118" s="160"/>
      <c r="P118" s="160"/>
      <c r="Q118" s="160"/>
      <c r="R118" s="159"/>
    </row>
    <row r="119" spans="1:21" s="136" customFormat="1" ht="15.75" customHeight="1" x14ac:dyDescent="0.2">
      <c r="A119" s="182" t="s">
        <v>500</v>
      </c>
      <c r="B119" s="927" t="str">
        <f>IF($A119="","",VLOOKUP($A119,Listes!$A$3:$C$193,2,FALSE))</f>
        <v>Inland Hazardous Charge Precarriage</v>
      </c>
      <c r="C119" s="927"/>
      <c r="D119" s="927"/>
      <c r="E119" s="976" t="s">
        <v>51</v>
      </c>
      <c r="F119" s="976"/>
      <c r="G119" s="976"/>
      <c r="H119" s="615"/>
      <c r="I119" s="564"/>
      <c r="J119" s="564"/>
      <c r="K119" s="564"/>
      <c r="L119" s="564"/>
      <c r="M119" s="565"/>
      <c r="N119" s="160"/>
      <c r="O119" s="160"/>
      <c r="P119" s="160"/>
      <c r="Q119" s="160"/>
      <c r="R119" s="159"/>
    </row>
    <row r="120" spans="1:21" s="136" customFormat="1" ht="31.5" x14ac:dyDescent="0.2">
      <c r="A120" s="376" t="s">
        <v>367</v>
      </c>
      <c r="B120" s="813" t="str">
        <f>IF($A120="","",VLOOKUP($A120,Listes!$A$3:$C$193,2,FALSE))</f>
        <v>Tri-Axle / Super Chassis Oncarriage Surcharge</v>
      </c>
      <c r="C120" s="813"/>
      <c r="D120" s="813"/>
      <c r="E120" s="814" t="s">
        <v>51</v>
      </c>
      <c r="F120" s="814"/>
      <c r="G120" s="814"/>
      <c r="H120" s="612"/>
      <c r="I120" s="531"/>
      <c r="J120" s="531"/>
      <c r="K120" s="531"/>
      <c r="L120" s="531"/>
      <c r="M120" s="532"/>
      <c r="N120" s="160"/>
      <c r="O120" s="160"/>
      <c r="P120" s="160"/>
      <c r="Q120" s="160"/>
      <c r="R120" s="159"/>
    </row>
    <row r="121" spans="1:21" s="136" customFormat="1" ht="16.5" thickBot="1" x14ac:dyDescent="0.25">
      <c r="A121" s="185" t="s">
        <v>833</v>
      </c>
      <c r="B121" s="812" t="str">
        <f>IF($A121="","",VLOOKUP($A121,Listes!$A$3:$C$193,2,FALSE))</f>
        <v>Wharfage (Origin)</v>
      </c>
      <c r="C121" s="812"/>
      <c r="D121" s="812"/>
      <c r="E121" s="815" t="s">
        <v>51</v>
      </c>
      <c r="F121" s="815"/>
      <c r="G121" s="815"/>
      <c r="H121" s="613"/>
      <c r="I121" s="533"/>
      <c r="J121" s="533"/>
      <c r="K121" s="533"/>
      <c r="L121" s="533"/>
      <c r="M121" s="534"/>
      <c r="N121" s="160"/>
      <c r="O121" s="160"/>
      <c r="P121" s="160"/>
      <c r="Q121" s="160"/>
      <c r="R121" s="159"/>
    </row>
    <row r="122" spans="1:21" s="73" customFormat="1" ht="16.5" thickBot="1" x14ac:dyDescent="0.25">
      <c r="A122" s="850" t="s">
        <v>216</v>
      </c>
      <c r="B122" s="851"/>
      <c r="C122" s="851"/>
      <c r="D122" s="851"/>
      <c r="E122" s="852"/>
      <c r="F122" s="852"/>
      <c r="G122" s="852"/>
      <c r="H122" s="852"/>
      <c r="I122" s="853"/>
      <c r="J122" s="169"/>
      <c r="K122" s="118"/>
      <c r="L122" s="134"/>
      <c r="M122" s="134"/>
      <c r="N122" s="134"/>
      <c r="O122" s="134"/>
      <c r="P122" s="134"/>
      <c r="Q122" s="118"/>
    </row>
    <row r="123" spans="1:21" s="73" customFormat="1" ht="16.5" thickBot="1" x14ac:dyDescent="0.25">
      <c r="A123" s="849" t="s">
        <v>597</v>
      </c>
      <c r="B123" s="833"/>
      <c r="C123" s="833"/>
      <c r="D123" s="833"/>
      <c r="E123" s="833"/>
      <c r="F123" s="833"/>
      <c r="G123" s="833"/>
      <c r="H123" s="833"/>
      <c r="I123" s="834"/>
      <c r="J123" s="169"/>
      <c r="K123" s="134"/>
      <c r="L123" s="134"/>
      <c r="M123" s="134"/>
      <c r="N123" s="134"/>
      <c r="O123" s="118"/>
    </row>
    <row r="124" spans="1:21" s="73" customFormat="1" ht="16.5" thickBot="1" x14ac:dyDescent="0.25">
      <c r="A124" s="187"/>
      <c r="B124" s="187"/>
      <c r="C124" s="188"/>
      <c r="D124" s="189"/>
      <c r="E124" s="170"/>
      <c r="F124" s="170"/>
      <c r="G124" s="170"/>
      <c r="H124" s="170"/>
      <c r="I124" s="170"/>
      <c r="J124" s="189"/>
      <c r="K124" s="169"/>
      <c r="L124" s="118"/>
      <c r="M124" s="134"/>
      <c r="N124" s="134"/>
      <c r="O124" s="134"/>
      <c r="P124" s="134"/>
      <c r="Q124" s="134"/>
      <c r="R124" s="118"/>
    </row>
    <row r="125" spans="1:21" s="73" customFormat="1" ht="15.6" customHeight="1" x14ac:dyDescent="0.2">
      <c r="A125" s="830" t="s">
        <v>523</v>
      </c>
      <c r="B125" s="831"/>
      <c r="C125" s="831"/>
      <c r="D125" s="831"/>
      <c r="E125" s="842" t="s">
        <v>288</v>
      </c>
      <c r="F125" s="842">
        <v>20</v>
      </c>
      <c r="G125" s="842">
        <v>40</v>
      </c>
      <c r="H125" s="842" t="s">
        <v>19</v>
      </c>
      <c r="I125" s="842" t="s">
        <v>20</v>
      </c>
      <c r="J125" s="848" t="s">
        <v>297</v>
      </c>
      <c r="K125" s="848" t="s">
        <v>33</v>
      </c>
      <c r="L125" s="846" t="s">
        <v>217</v>
      </c>
      <c r="M125" s="189"/>
      <c r="N125" s="134"/>
      <c r="O125" s="134"/>
      <c r="P125" s="134"/>
      <c r="Q125" s="134"/>
      <c r="R125" s="134"/>
      <c r="S125" s="134"/>
      <c r="T125" s="134"/>
      <c r="U125" s="134"/>
    </row>
    <row r="126" spans="1:21" s="73" customFormat="1" x14ac:dyDescent="0.2">
      <c r="A126" s="537" t="s">
        <v>218</v>
      </c>
      <c r="B126" s="538" t="s">
        <v>11</v>
      </c>
      <c r="C126" s="538" t="s">
        <v>12</v>
      </c>
      <c r="D126" s="538" t="s">
        <v>219</v>
      </c>
      <c r="E126" s="843"/>
      <c r="F126" s="843"/>
      <c r="G126" s="843"/>
      <c r="H126" s="843"/>
      <c r="I126" s="843"/>
      <c r="J126" s="843"/>
      <c r="K126" s="843"/>
      <c r="L126" s="847"/>
      <c r="M126" s="189"/>
      <c r="N126" s="134"/>
      <c r="O126" s="134"/>
      <c r="P126" s="134"/>
      <c r="Q126" s="134"/>
      <c r="R126" s="134"/>
      <c r="S126" s="134"/>
      <c r="T126" s="134"/>
      <c r="U126" s="134"/>
    </row>
    <row r="127" spans="1:21" s="136" customFormat="1" x14ac:dyDescent="0.2">
      <c r="A127" s="539"/>
      <c r="B127" s="540"/>
      <c r="C127" s="540"/>
      <c r="D127" s="540"/>
      <c r="E127" s="540"/>
      <c r="F127" s="255"/>
      <c r="G127" s="255"/>
      <c r="H127" s="255"/>
      <c r="I127" s="255"/>
      <c r="J127" s="540"/>
      <c r="K127" s="21"/>
      <c r="L127" s="541"/>
      <c r="M127" s="190"/>
      <c r="N127" s="160"/>
      <c r="O127" s="160"/>
      <c r="P127" s="160"/>
      <c r="Q127" s="160"/>
      <c r="R127" s="160"/>
      <c r="S127" s="160"/>
      <c r="T127" s="160"/>
      <c r="U127" s="160"/>
    </row>
    <row r="128" spans="1:21" s="136" customFormat="1" x14ac:dyDescent="0.2">
      <c r="A128" s="542"/>
      <c r="B128" s="540"/>
      <c r="C128" s="540"/>
      <c r="D128" s="540"/>
      <c r="E128" s="540"/>
      <c r="F128" s="255"/>
      <c r="G128" s="255"/>
      <c r="H128" s="255"/>
      <c r="I128" s="255"/>
      <c r="J128" s="24"/>
      <c r="K128" s="21"/>
      <c r="L128" s="25"/>
      <c r="M128" s="191"/>
      <c r="N128" s="160"/>
      <c r="O128" s="160"/>
      <c r="P128" s="160"/>
      <c r="Q128" s="160"/>
      <c r="R128" s="160"/>
      <c r="S128" s="160"/>
      <c r="T128" s="160"/>
      <c r="U128" s="160"/>
    </row>
    <row r="129" spans="1:23" s="136" customFormat="1" x14ac:dyDescent="0.2">
      <c r="A129" s="542"/>
      <c r="B129" s="540"/>
      <c r="C129" s="540"/>
      <c r="D129" s="540"/>
      <c r="E129" s="540"/>
      <c r="F129" s="255"/>
      <c r="G129" s="255"/>
      <c r="H129" s="255"/>
      <c r="I129" s="255"/>
      <c r="J129" s="24"/>
      <c r="K129" s="21"/>
      <c r="L129" s="25"/>
      <c r="M129" s="191"/>
      <c r="N129" s="160"/>
      <c r="O129" s="160"/>
      <c r="P129" s="160"/>
      <c r="Q129" s="160"/>
      <c r="R129" s="160"/>
      <c r="S129" s="160"/>
      <c r="T129" s="160"/>
      <c r="U129" s="160"/>
    </row>
    <row r="130" spans="1:23" s="136" customFormat="1" ht="16.5" thickBot="1" x14ac:dyDescent="0.25">
      <c r="A130" s="543"/>
      <c r="B130" s="544"/>
      <c r="C130" s="544"/>
      <c r="D130" s="544"/>
      <c r="E130" s="544"/>
      <c r="F130" s="256"/>
      <c r="G130" s="256"/>
      <c r="H130" s="256"/>
      <c r="I130" s="256"/>
      <c r="J130" s="28"/>
      <c r="K130" s="29"/>
      <c r="L130" s="30"/>
      <c r="M130" s="191"/>
      <c r="N130" s="160"/>
      <c r="O130" s="160"/>
      <c r="P130" s="160"/>
      <c r="Q130" s="160"/>
      <c r="R130" s="160"/>
      <c r="S130" s="160"/>
      <c r="T130" s="160"/>
      <c r="U130" s="160"/>
    </row>
    <row r="131" spans="1:23" s="136" customFormat="1" x14ac:dyDescent="0.2">
      <c r="A131" s="173"/>
      <c r="B131" s="545"/>
      <c r="C131" s="545"/>
      <c r="D131" s="545"/>
      <c r="E131" s="545"/>
      <c r="F131" s="545"/>
      <c r="G131" s="545"/>
      <c r="H131" s="545"/>
      <c r="I131" s="545"/>
      <c r="J131" s="33"/>
      <c r="K131" s="33"/>
      <c r="L131" s="34"/>
      <c r="M131" s="191"/>
      <c r="N131" s="160"/>
      <c r="O131" s="160"/>
      <c r="P131" s="160"/>
      <c r="Q131" s="160"/>
      <c r="R131" s="160"/>
      <c r="S131" s="160"/>
      <c r="T131" s="160"/>
      <c r="U131" s="160"/>
    </row>
    <row r="132" spans="1:23" s="73" customFormat="1" ht="15.6" customHeight="1" x14ac:dyDescent="0.2">
      <c r="A132" s="841" t="s">
        <v>596</v>
      </c>
      <c r="B132" s="840"/>
      <c r="C132" s="840"/>
      <c r="D132" s="840"/>
      <c r="E132" s="840" t="s">
        <v>288</v>
      </c>
      <c r="F132" s="840">
        <v>20</v>
      </c>
      <c r="G132" s="840">
        <v>40</v>
      </c>
      <c r="H132" s="840" t="s">
        <v>19</v>
      </c>
      <c r="I132" s="840" t="s">
        <v>20</v>
      </c>
      <c r="J132" s="845" t="s">
        <v>297</v>
      </c>
      <c r="K132" s="845" t="s">
        <v>33</v>
      </c>
      <c r="L132" s="844" t="s">
        <v>217</v>
      </c>
      <c r="M132" s="844" t="s">
        <v>23</v>
      </c>
      <c r="N132" s="169"/>
      <c r="O132" s="118"/>
      <c r="P132" s="134"/>
      <c r="Q132" s="134"/>
      <c r="R132" s="134"/>
      <c r="S132" s="134"/>
      <c r="T132" s="134"/>
      <c r="U132" s="134"/>
      <c r="V132" s="134"/>
      <c r="W132" s="134"/>
    </row>
    <row r="133" spans="1:23" s="73" customFormat="1" x14ac:dyDescent="0.2">
      <c r="A133" s="546" t="s">
        <v>218</v>
      </c>
      <c r="B133" s="546" t="s">
        <v>11</v>
      </c>
      <c r="C133" s="546" t="s">
        <v>12</v>
      </c>
      <c r="D133" s="546" t="s">
        <v>219</v>
      </c>
      <c r="E133" s="840"/>
      <c r="F133" s="840"/>
      <c r="G133" s="840"/>
      <c r="H133" s="840"/>
      <c r="I133" s="840"/>
      <c r="J133" s="840"/>
      <c r="K133" s="840"/>
      <c r="L133" s="844"/>
      <c r="M133" s="844"/>
      <c r="N133" s="169"/>
      <c r="O133" s="118"/>
      <c r="P133" s="134"/>
      <c r="Q133" s="134"/>
      <c r="R133" s="134"/>
      <c r="S133" s="134"/>
      <c r="T133" s="134"/>
      <c r="U133" s="134"/>
      <c r="V133" s="134"/>
      <c r="W133" s="134"/>
    </row>
    <row r="134" spans="1:23" s="136" customFormat="1" x14ac:dyDescent="0.2">
      <c r="A134" s="372"/>
      <c r="B134" s="547"/>
      <c r="C134" s="547"/>
      <c r="D134" s="547"/>
      <c r="E134" s="547"/>
      <c r="F134" s="368"/>
      <c r="G134" s="368"/>
      <c r="H134" s="368"/>
      <c r="I134" s="368"/>
      <c r="J134" s="369"/>
      <c r="K134" s="370"/>
      <c r="L134" s="548"/>
      <c r="M134" s="548"/>
      <c r="N134" s="192"/>
      <c r="O134" s="159"/>
      <c r="P134" s="160"/>
      <c r="Q134" s="160"/>
      <c r="R134" s="160"/>
      <c r="S134" s="160"/>
      <c r="T134" s="160"/>
      <c r="U134" s="160"/>
      <c r="V134" s="160"/>
      <c r="W134" s="160"/>
    </row>
    <row r="135" spans="1:23" s="136" customFormat="1" x14ac:dyDescent="0.2">
      <c r="A135" s="372"/>
      <c r="B135" s="547"/>
      <c r="C135" s="547"/>
      <c r="D135" s="547"/>
      <c r="E135" s="547"/>
      <c r="F135" s="368"/>
      <c r="G135" s="368"/>
      <c r="H135" s="368"/>
      <c r="I135" s="368"/>
      <c r="J135" s="369"/>
      <c r="K135" s="370"/>
      <c r="L135" s="548"/>
      <c r="M135" s="548"/>
      <c r="N135" s="192"/>
      <c r="O135" s="159"/>
      <c r="P135" s="160"/>
      <c r="Q135" s="160"/>
      <c r="R135" s="160"/>
      <c r="S135" s="160"/>
      <c r="T135" s="160"/>
      <c r="U135" s="160"/>
      <c r="V135" s="160"/>
      <c r="W135" s="160"/>
    </row>
    <row r="136" spans="1:23" s="136" customFormat="1" x14ac:dyDescent="0.2">
      <c r="A136" s="372"/>
      <c r="B136" s="547"/>
      <c r="C136" s="547"/>
      <c r="D136" s="547"/>
      <c r="E136" s="547"/>
      <c r="F136" s="368"/>
      <c r="G136" s="368"/>
      <c r="H136" s="368"/>
      <c r="I136" s="368"/>
      <c r="J136" s="369"/>
      <c r="K136" s="370"/>
      <c r="L136" s="548"/>
      <c r="M136" s="548"/>
      <c r="N136" s="192"/>
      <c r="O136" s="159"/>
      <c r="P136" s="160"/>
      <c r="Q136" s="160"/>
      <c r="R136" s="160"/>
      <c r="S136" s="160"/>
      <c r="T136" s="160"/>
      <c r="U136" s="160"/>
      <c r="V136" s="160"/>
      <c r="W136" s="160"/>
    </row>
    <row r="137" spans="1:23" s="136" customFormat="1" x14ac:dyDescent="0.2">
      <c r="A137" s="372"/>
      <c r="B137" s="547"/>
      <c r="C137" s="547"/>
      <c r="D137" s="547"/>
      <c r="E137" s="547"/>
      <c r="F137" s="368"/>
      <c r="G137" s="368"/>
      <c r="H137" s="368"/>
      <c r="I137" s="368"/>
      <c r="J137" s="369"/>
      <c r="K137" s="370"/>
      <c r="L137" s="373"/>
      <c r="M137" s="373"/>
      <c r="N137" s="191"/>
      <c r="O137" s="159"/>
      <c r="P137" s="160"/>
      <c r="Q137" s="160"/>
      <c r="R137" s="160"/>
      <c r="S137" s="160"/>
      <c r="T137" s="160"/>
      <c r="U137" s="160"/>
      <c r="V137" s="160"/>
      <c r="W137" s="160"/>
    </row>
    <row r="138" spans="1:23" s="73" customFormat="1" x14ac:dyDescent="0.2">
      <c r="A138" s="456"/>
      <c r="B138" s="549"/>
      <c r="C138" s="549"/>
      <c r="D138" s="549"/>
      <c r="E138" s="549"/>
      <c r="F138" s="194"/>
      <c r="G138" s="522"/>
      <c r="H138" s="195"/>
      <c r="I138" s="195"/>
      <c r="J138" s="176"/>
      <c r="K138" s="118"/>
      <c r="L138" s="134"/>
      <c r="M138" s="134"/>
      <c r="N138" s="134"/>
      <c r="O138" s="134"/>
      <c r="P138" s="134"/>
      <c r="Q138" s="134"/>
    </row>
    <row r="139" spans="1:23" s="456" customFormat="1" ht="16.5" thickBot="1" x14ac:dyDescent="0.25">
      <c r="A139" s="196"/>
      <c r="B139" s="197"/>
      <c r="C139" s="198"/>
      <c r="D139" s="198"/>
      <c r="E139" s="169"/>
      <c r="F139" s="176"/>
      <c r="G139" s="176"/>
      <c r="H139" s="176"/>
      <c r="I139" s="176"/>
      <c r="J139" s="170"/>
      <c r="K139" s="118"/>
      <c r="L139" s="134"/>
      <c r="M139" s="134"/>
      <c r="N139" s="134"/>
      <c r="O139" s="134"/>
      <c r="P139" s="134"/>
      <c r="Q139" s="134"/>
      <c r="R139" s="134"/>
      <c r="S139" s="118"/>
      <c r="T139" s="118"/>
      <c r="U139" s="118"/>
    </row>
    <row r="140" spans="1:23" s="456" customFormat="1" ht="16.5" thickBot="1" x14ac:dyDescent="0.25">
      <c r="A140" s="822" t="s">
        <v>220</v>
      </c>
      <c r="B140" s="823"/>
      <c r="C140" s="823"/>
      <c r="D140" s="823"/>
      <c r="E140" s="824"/>
      <c r="F140" s="176"/>
      <c r="G140" s="176"/>
      <c r="H140" s="176"/>
      <c r="I140" s="176"/>
      <c r="J140" s="170"/>
      <c r="K140" s="118"/>
      <c r="L140" s="134"/>
      <c r="M140" s="134"/>
      <c r="N140" s="134"/>
      <c r="O140" s="134"/>
      <c r="P140" s="134"/>
      <c r="Q140" s="134"/>
      <c r="R140" s="134"/>
      <c r="S140" s="118"/>
      <c r="T140" s="118"/>
      <c r="U140" s="118"/>
    </row>
    <row r="141" spans="1:23" s="73" customFormat="1" ht="16.5" thickBot="1" x14ac:dyDescent="0.25">
      <c r="A141" s="550"/>
      <c r="B141" s="456"/>
      <c r="C141" s="456"/>
      <c r="D141" s="456"/>
      <c r="E141" s="456"/>
      <c r="F141" s="194"/>
      <c r="G141" s="456"/>
      <c r="H141" s="200"/>
      <c r="I141" s="194"/>
      <c r="J141" s="194"/>
      <c r="K141" s="118"/>
      <c r="L141" s="134"/>
      <c r="M141" s="134"/>
      <c r="N141" s="134"/>
      <c r="O141" s="134"/>
      <c r="P141" s="134"/>
      <c r="Q141" s="134"/>
      <c r="R141" s="134"/>
      <c r="S141" s="118"/>
      <c r="T141" s="118"/>
      <c r="U141" s="118"/>
    </row>
    <row r="142" spans="1:23" s="73" customFormat="1" ht="16.5" thickBot="1" x14ac:dyDescent="0.25">
      <c r="A142" s="825" t="s">
        <v>221</v>
      </c>
      <c r="B142" s="838"/>
      <c r="C142" s="838"/>
      <c r="D142" s="838"/>
      <c r="E142" s="838"/>
      <c r="F142" s="839"/>
      <c r="G142" s="456"/>
      <c r="H142" s="200"/>
      <c r="I142" s="194"/>
      <c r="J142" s="194"/>
      <c r="K142" s="118"/>
      <c r="L142" s="134"/>
      <c r="M142" s="134"/>
      <c r="N142" s="134"/>
      <c r="O142" s="134"/>
      <c r="P142" s="134"/>
      <c r="Q142" s="134"/>
      <c r="R142" s="134"/>
      <c r="S142" s="118"/>
      <c r="T142" s="118"/>
      <c r="U142" s="118"/>
    </row>
    <row r="143" spans="1:23" s="73" customFormat="1" ht="16.5" customHeight="1" x14ac:dyDescent="0.2">
      <c r="A143" s="835" t="s">
        <v>222</v>
      </c>
      <c r="B143" s="836"/>
      <c r="C143" s="836"/>
      <c r="D143" s="836"/>
      <c r="E143" s="836"/>
      <c r="F143" s="837"/>
      <c r="G143" s="456"/>
      <c r="H143" s="201"/>
      <c r="I143" s="170"/>
      <c r="J143" s="170"/>
      <c r="K143" s="118"/>
      <c r="L143" s="134"/>
      <c r="M143" s="134"/>
      <c r="N143" s="134"/>
      <c r="O143" s="134"/>
      <c r="P143" s="134"/>
      <c r="Q143" s="134"/>
      <c r="R143" s="134"/>
      <c r="S143" s="118"/>
      <c r="T143" s="118"/>
      <c r="U143" s="118"/>
    </row>
    <row r="144" spans="1:23" ht="16.5" thickBot="1" x14ac:dyDescent="0.25">
      <c r="A144" s="832" t="s">
        <v>223</v>
      </c>
      <c r="B144" s="833"/>
      <c r="C144" s="833"/>
      <c r="D144" s="833"/>
      <c r="E144" s="833"/>
      <c r="F144" s="834"/>
      <c r="G144" s="176"/>
      <c r="H144" s="176"/>
      <c r="I144" s="176"/>
      <c r="J144" s="169"/>
      <c r="K144" s="169"/>
      <c r="L144" s="169"/>
      <c r="M144" s="169"/>
      <c r="N144" s="169"/>
      <c r="O144" s="169"/>
      <c r="P144" s="169"/>
      <c r="Q144" s="169"/>
      <c r="R144" s="169"/>
      <c r="S144" s="169"/>
      <c r="T144" s="169"/>
      <c r="U144" s="169"/>
    </row>
    <row r="145" spans="1:21" x14ac:dyDescent="0.2">
      <c r="A145" s="551" t="s">
        <v>224</v>
      </c>
      <c r="B145" s="450" t="s">
        <v>225</v>
      </c>
      <c r="C145" s="552" t="s">
        <v>226</v>
      </c>
      <c r="D145" s="553" t="s">
        <v>227</v>
      </c>
      <c r="E145" s="176"/>
      <c r="F145" s="176"/>
      <c r="G145" s="176"/>
      <c r="H145" s="169"/>
      <c r="I145" s="169"/>
      <c r="J145" s="169"/>
      <c r="K145" s="169"/>
      <c r="L145" s="169"/>
      <c r="M145" s="169"/>
      <c r="N145" s="169"/>
      <c r="O145" s="169"/>
      <c r="P145" s="169"/>
      <c r="Q145" s="169"/>
      <c r="R145" s="169"/>
    </row>
    <row r="146" spans="1:21" s="192" customFormat="1" x14ac:dyDescent="0.2">
      <c r="A146" s="203"/>
      <c r="B146" s="204" t="s">
        <v>344</v>
      </c>
      <c r="C146" s="205" t="s">
        <v>62</v>
      </c>
      <c r="D146" s="206">
        <v>0.9</v>
      </c>
      <c r="E146" s="191"/>
      <c r="F146" s="191"/>
      <c r="G146" s="191"/>
    </row>
    <row r="147" spans="1:21" s="192" customFormat="1" x14ac:dyDescent="0.2">
      <c r="A147" s="203"/>
      <c r="B147" s="204" t="s">
        <v>344</v>
      </c>
      <c r="C147" s="205" t="s">
        <v>417</v>
      </c>
      <c r="D147" s="206">
        <v>1.125</v>
      </c>
      <c r="E147" s="191"/>
      <c r="F147" s="191"/>
      <c r="G147" s="191"/>
    </row>
    <row r="148" spans="1:21" s="192" customFormat="1" ht="16.5" thickBot="1" x14ac:dyDescent="0.25">
      <c r="A148" s="207"/>
      <c r="B148" s="208" t="s">
        <v>344</v>
      </c>
      <c r="C148" s="209" t="s">
        <v>418</v>
      </c>
      <c r="D148" s="210">
        <v>1.266</v>
      </c>
      <c r="E148" s="191"/>
      <c r="F148" s="191"/>
      <c r="G148" s="191"/>
    </row>
    <row r="149" spans="1:21" ht="16.5" thickBot="1" x14ac:dyDescent="0.25"/>
    <row r="150" spans="1:21" s="73" customFormat="1" ht="16.5" thickBot="1" x14ac:dyDescent="0.25">
      <c r="A150" s="822" t="s">
        <v>228</v>
      </c>
      <c r="B150" s="823"/>
      <c r="C150" s="823"/>
      <c r="D150" s="823"/>
      <c r="E150" s="823"/>
      <c r="F150" s="823"/>
      <c r="G150" s="823"/>
      <c r="H150" s="823"/>
      <c r="I150" s="824"/>
      <c r="J150" s="169"/>
      <c r="K150" s="118"/>
      <c r="L150" s="134"/>
      <c r="M150" s="134"/>
      <c r="N150" s="134"/>
      <c r="O150" s="134"/>
      <c r="P150" s="134"/>
      <c r="Q150" s="134"/>
      <c r="R150" s="134"/>
      <c r="S150" s="118"/>
      <c r="T150" s="118"/>
      <c r="U150" s="118"/>
    </row>
    <row r="151" spans="1:21" s="73" customFormat="1" ht="16.5" thickBot="1" x14ac:dyDescent="0.25">
      <c r="A151" s="554" t="s">
        <v>229</v>
      </c>
      <c r="B151" s="213"/>
      <c r="C151" s="214"/>
      <c r="D151" s="214"/>
      <c r="E151" s="214"/>
      <c r="F151" s="214"/>
      <c r="G151" s="215"/>
      <c r="H151" s="216"/>
      <c r="I151" s="217"/>
      <c r="J151" s="170"/>
      <c r="K151" s="118"/>
      <c r="L151" s="134"/>
      <c r="M151" s="134"/>
      <c r="N151" s="134"/>
      <c r="O151" s="134"/>
      <c r="P151" s="134"/>
      <c r="Q151" s="134"/>
      <c r="R151" s="134"/>
      <c r="S151" s="118"/>
      <c r="T151" s="118"/>
      <c r="U151" s="118"/>
    </row>
    <row r="152" spans="1:21" s="308" customFormat="1" x14ac:dyDescent="0.2">
      <c r="A152" s="228"/>
      <c r="B152" s="949"/>
      <c r="C152" s="950"/>
      <c r="D152" s="950"/>
      <c r="E152" s="950"/>
      <c r="F152" s="950"/>
      <c r="G152" s="950"/>
      <c r="H152" s="950"/>
      <c r="I152" s="951"/>
      <c r="J152" s="171"/>
      <c r="K152" s="172"/>
      <c r="L152" s="173"/>
      <c r="M152" s="173"/>
      <c r="N152" s="173"/>
      <c r="O152" s="173"/>
      <c r="P152" s="173"/>
      <c r="Q152" s="173"/>
      <c r="R152" s="173"/>
      <c r="S152" s="172"/>
      <c r="T152" s="172"/>
      <c r="U152" s="172"/>
    </row>
    <row r="153" spans="1:21" s="218" customFormat="1" x14ac:dyDescent="0.2">
      <c r="A153" s="281"/>
      <c r="B153" s="816"/>
      <c r="C153" s="817"/>
      <c r="D153" s="817"/>
      <c r="E153" s="817"/>
      <c r="F153" s="817"/>
      <c r="G153" s="817"/>
      <c r="H153" s="817"/>
      <c r="I153" s="818"/>
    </row>
    <row r="154" spans="1:21" s="218" customFormat="1" x14ac:dyDescent="0.2">
      <c r="A154" s="281"/>
      <c r="B154" s="816"/>
      <c r="C154" s="817"/>
      <c r="D154" s="817"/>
      <c r="E154" s="817"/>
      <c r="F154" s="817"/>
      <c r="G154" s="817"/>
      <c r="H154" s="817"/>
      <c r="I154" s="818"/>
    </row>
    <row r="155" spans="1:21" s="218" customFormat="1" x14ac:dyDescent="0.2">
      <c r="A155" s="281"/>
      <c r="B155" s="816"/>
      <c r="C155" s="817"/>
      <c r="D155" s="817"/>
      <c r="E155" s="817"/>
      <c r="F155" s="817"/>
      <c r="G155" s="817"/>
      <c r="H155" s="817"/>
      <c r="I155" s="818"/>
    </row>
    <row r="156" spans="1:21" s="218" customFormat="1" x14ac:dyDescent="0.2">
      <c r="A156" s="281"/>
      <c r="B156" s="816"/>
      <c r="C156" s="817"/>
      <c r="D156" s="817"/>
      <c r="E156" s="817"/>
      <c r="F156" s="817"/>
      <c r="G156" s="817"/>
      <c r="H156" s="817"/>
      <c r="I156" s="818"/>
    </row>
    <row r="157" spans="1:21" s="218" customFormat="1" x14ac:dyDescent="0.2">
      <c r="A157" s="281"/>
      <c r="B157" s="816"/>
      <c r="C157" s="817"/>
      <c r="D157" s="817"/>
      <c r="E157" s="817"/>
      <c r="F157" s="817"/>
      <c r="G157" s="817"/>
      <c r="H157" s="817"/>
      <c r="I157" s="818"/>
    </row>
    <row r="158" spans="1:21" s="218" customFormat="1" x14ac:dyDescent="0.2">
      <c r="A158" s="281"/>
      <c r="B158" s="816"/>
      <c r="C158" s="817"/>
      <c r="D158" s="817"/>
      <c r="E158" s="817"/>
      <c r="F158" s="817"/>
      <c r="G158" s="817"/>
      <c r="H158" s="817"/>
      <c r="I158" s="818"/>
    </row>
    <row r="159" spans="1:21" s="218" customFormat="1" x14ac:dyDescent="0.2">
      <c r="A159" s="281"/>
      <c r="B159" s="816"/>
      <c r="C159" s="817"/>
      <c r="D159" s="817"/>
      <c r="E159" s="817"/>
      <c r="F159" s="817"/>
      <c r="G159" s="817"/>
      <c r="H159" s="817"/>
      <c r="I159" s="818"/>
    </row>
    <row r="160" spans="1:21" s="218" customFormat="1" x14ac:dyDescent="0.2">
      <c r="A160" s="281"/>
      <c r="B160" s="816"/>
      <c r="C160" s="817"/>
      <c r="D160" s="817"/>
      <c r="E160" s="817"/>
      <c r="F160" s="817"/>
      <c r="G160" s="817"/>
      <c r="H160" s="817"/>
      <c r="I160" s="818"/>
    </row>
    <row r="161" spans="1:14" s="218" customFormat="1" x14ac:dyDescent="0.2">
      <c r="A161" s="281"/>
      <c r="B161" s="816"/>
      <c r="C161" s="817"/>
      <c r="D161" s="817"/>
      <c r="E161" s="817"/>
      <c r="F161" s="817"/>
      <c r="G161" s="817"/>
      <c r="H161" s="817"/>
      <c r="I161" s="818"/>
    </row>
    <row r="162" spans="1:14" s="218" customFormat="1" x14ac:dyDescent="0.2">
      <c r="A162" s="281"/>
      <c r="B162" s="816"/>
      <c r="C162" s="817"/>
      <c r="D162" s="817"/>
      <c r="E162" s="817"/>
      <c r="F162" s="817"/>
      <c r="G162" s="817"/>
      <c r="H162" s="817"/>
      <c r="I162" s="818"/>
    </row>
    <row r="163" spans="1:14" s="218" customFormat="1" x14ac:dyDescent="0.2">
      <c r="A163" s="281"/>
      <c r="B163" s="816"/>
      <c r="C163" s="817"/>
      <c r="D163" s="817"/>
      <c r="E163" s="817"/>
      <c r="F163" s="817"/>
      <c r="G163" s="817"/>
      <c r="H163" s="817"/>
      <c r="I163" s="818"/>
    </row>
    <row r="164" spans="1:14" s="218" customFormat="1" x14ac:dyDescent="0.2">
      <c r="A164" s="281"/>
      <c r="B164" s="816"/>
      <c r="C164" s="817"/>
      <c r="D164" s="817"/>
      <c r="E164" s="817"/>
      <c r="F164" s="817"/>
      <c r="G164" s="817"/>
      <c r="H164" s="817"/>
      <c r="I164" s="818"/>
    </row>
    <row r="165" spans="1:14" s="218" customFormat="1" x14ac:dyDescent="0.2">
      <c r="A165" s="281"/>
      <c r="B165" s="816"/>
      <c r="C165" s="817"/>
      <c r="D165" s="817"/>
      <c r="E165" s="817"/>
      <c r="F165" s="817"/>
      <c r="G165" s="817"/>
      <c r="H165" s="817"/>
      <c r="I165" s="818"/>
    </row>
    <row r="166" spans="1:14" s="218" customFormat="1" ht="16.5" thickBot="1" x14ac:dyDescent="0.25">
      <c r="A166" s="282"/>
      <c r="B166" s="819"/>
      <c r="C166" s="820"/>
      <c r="D166" s="820"/>
      <c r="E166" s="820"/>
      <c r="F166" s="820"/>
      <c r="G166" s="820"/>
      <c r="H166" s="820"/>
      <c r="I166" s="821"/>
    </row>
    <row r="168" spans="1:14" s="218" customFormat="1" x14ac:dyDescent="0.2">
      <c r="F168" s="337"/>
      <c r="G168" s="337"/>
      <c r="H168" s="337"/>
      <c r="I168" s="337"/>
    </row>
    <row r="169" spans="1:14" s="218" customFormat="1" ht="16.5" thickBot="1" x14ac:dyDescent="0.25">
      <c r="F169" s="337"/>
      <c r="G169" s="337"/>
      <c r="H169" s="337"/>
      <c r="I169" s="337"/>
    </row>
    <row r="170" spans="1:14" s="218" customFormat="1" ht="16.5" thickBot="1" x14ac:dyDescent="0.25">
      <c r="A170" s="825" t="s">
        <v>3</v>
      </c>
      <c r="B170" s="826"/>
      <c r="F170" s="337"/>
      <c r="G170" s="337"/>
      <c r="H170" s="337"/>
      <c r="I170" s="337"/>
    </row>
    <row r="171" spans="1:14" s="347" customFormat="1" ht="16.5" thickBot="1" x14ac:dyDescent="0.25">
      <c r="A171" s="338"/>
      <c r="B171" s="338"/>
      <c r="F171" s="348"/>
      <c r="G171" s="348"/>
      <c r="H171" s="348"/>
      <c r="I171" s="348"/>
    </row>
    <row r="172" spans="1:14" s="218" customFormat="1" ht="15.75" customHeight="1" thickBot="1" x14ac:dyDescent="0.25">
      <c r="A172" s="800" t="s">
        <v>2</v>
      </c>
      <c r="B172" s="801"/>
      <c r="C172" s="801"/>
      <c r="D172" s="801"/>
      <c r="E172" s="801"/>
      <c r="F172" s="801"/>
      <c r="G172" s="802"/>
      <c r="H172" s="337"/>
      <c r="I172" s="337"/>
    </row>
    <row r="173" spans="1:14" s="347" customFormat="1" ht="15.75" customHeight="1" thickBot="1" x14ac:dyDescent="0.25">
      <c r="A173" s="338"/>
      <c r="B173" s="338"/>
      <c r="C173" s="338"/>
      <c r="D173" s="338"/>
      <c r="E173" s="338"/>
      <c r="F173" s="338"/>
      <c r="G173" s="338"/>
      <c r="H173" s="348"/>
      <c r="I173" s="348"/>
    </row>
    <row r="174" spans="1:14" s="218" customFormat="1" ht="15.75" customHeight="1" thickBot="1" x14ac:dyDescent="0.25">
      <c r="A174" s="807" t="s">
        <v>1</v>
      </c>
      <c r="B174" s="808"/>
      <c r="C174" s="808"/>
      <c r="D174" s="808"/>
      <c r="E174" s="809"/>
      <c r="F174" s="339"/>
      <c r="G174" s="339"/>
      <c r="H174" s="337"/>
      <c r="I174" s="337"/>
    </row>
    <row r="175" spans="1:14" s="218" customFormat="1" x14ac:dyDescent="0.2">
      <c r="A175" s="803" t="s">
        <v>627</v>
      </c>
      <c r="B175" s="805" t="s">
        <v>888</v>
      </c>
      <c r="C175" s="786" t="s">
        <v>0</v>
      </c>
      <c r="D175" s="786" t="s">
        <v>609</v>
      </c>
      <c r="E175" s="805" t="s">
        <v>889</v>
      </c>
      <c r="F175" s="786" t="s">
        <v>436</v>
      </c>
      <c r="G175" s="786" t="s">
        <v>421</v>
      </c>
      <c r="H175" s="786" t="s">
        <v>628</v>
      </c>
      <c r="I175" s="786" t="s">
        <v>11</v>
      </c>
      <c r="J175" s="786" t="s">
        <v>12</v>
      </c>
      <c r="K175" s="786" t="s">
        <v>13</v>
      </c>
      <c r="L175" s="786" t="s">
        <v>449</v>
      </c>
      <c r="M175" s="786" t="s">
        <v>610</v>
      </c>
      <c r="N175" s="788"/>
    </row>
    <row r="176" spans="1:14" s="218" customFormat="1" ht="32.25" customHeight="1" thickBot="1" x14ac:dyDescent="0.25">
      <c r="A176" s="804"/>
      <c r="B176" s="806"/>
      <c r="C176" s="787"/>
      <c r="D176" s="787"/>
      <c r="E176" s="806"/>
      <c r="F176" s="787"/>
      <c r="G176" s="787"/>
      <c r="H176" s="787"/>
      <c r="I176" s="787"/>
      <c r="J176" s="787"/>
      <c r="K176" s="787"/>
      <c r="L176" s="787"/>
      <c r="M176" s="787"/>
      <c r="N176" s="789"/>
    </row>
    <row r="177" spans="1:31" s="218" customFormat="1" x14ac:dyDescent="0.2">
      <c r="A177" s="344"/>
      <c r="B177" s="340"/>
      <c r="C177" s="394"/>
      <c r="D177" s="340"/>
      <c r="E177" s="340"/>
      <c r="F177" s="340"/>
      <c r="G177" s="340"/>
      <c r="H177" s="340"/>
      <c r="I177" s="340"/>
      <c r="J177" s="340"/>
      <c r="K177" s="340"/>
      <c r="L177" s="661"/>
      <c r="M177" s="810"/>
      <c r="N177" s="811"/>
    </row>
    <row r="178" spans="1:31" s="218" customFormat="1" x14ac:dyDescent="0.2">
      <c r="A178" s="345"/>
      <c r="B178" s="341"/>
      <c r="C178" s="392"/>
      <c r="D178" s="341"/>
      <c r="E178" s="341"/>
      <c r="F178" s="341"/>
      <c r="G178" s="341"/>
      <c r="H178" s="341"/>
      <c r="I178" s="341"/>
      <c r="J178" s="341"/>
      <c r="K178" s="341"/>
      <c r="L178" s="662"/>
      <c r="M178" s="790"/>
      <c r="N178" s="791"/>
    </row>
    <row r="179" spans="1:31" s="218" customFormat="1" x14ac:dyDescent="0.2">
      <c r="A179" s="345"/>
      <c r="B179" s="341"/>
      <c r="C179" s="392"/>
      <c r="D179" s="341"/>
      <c r="E179" s="341"/>
      <c r="F179" s="341"/>
      <c r="G179" s="341"/>
      <c r="H179" s="341"/>
      <c r="I179" s="341"/>
      <c r="J179" s="341"/>
      <c r="K179" s="341"/>
      <c r="L179" s="662"/>
      <c r="M179" s="790"/>
      <c r="N179" s="791"/>
    </row>
    <row r="180" spans="1:31" s="218" customFormat="1" x14ac:dyDescent="0.2">
      <c r="A180" s="345"/>
      <c r="B180" s="341"/>
      <c r="C180" s="392"/>
      <c r="D180" s="341"/>
      <c r="E180" s="341"/>
      <c r="F180" s="341"/>
      <c r="G180" s="341"/>
      <c r="H180" s="341"/>
      <c r="I180" s="341"/>
      <c r="J180" s="341"/>
      <c r="K180" s="341"/>
      <c r="L180" s="662"/>
      <c r="M180" s="790"/>
      <c r="N180" s="791"/>
    </row>
    <row r="181" spans="1:31" s="218" customFormat="1" x14ac:dyDescent="0.2">
      <c r="A181" s="345"/>
      <c r="B181" s="341"/>
      <c r="C181" s="392"/>
      <c r="D181" s="341"/>
      <c r="E181" s="341"/>
      <c r="F181" s="341"/>
      <c r="G181" s="341"/>
      <c r="H181" s="341"/>
      <c r="I181" s="341"/>
      <c r="J181" s="341"/>
      <c r="K181" s="341"/>
      <c r="L181" s="662"/>
      <c r="M181" s="790"/>
      <c r="N181" s="791"/>
    </row>
    <row r="182" spans="1:31" s="218" customFormat="1" ht="16.5" thickBot="1" x14ac:dyDescent="0.25">
      <c r="A182" s="346"/>
      <c r="B182" s="342"/>
      <c r="C182" s="336"/>
      <c r="D182" s="342"/>
      <c r="E182" s="342"/>
      <c r="F182" s="342"/>
      <c r="G182" s="342"/>
      <c r="H182" s="342"/>
      <c r="I182" s="342"/>
      <c r="J182" s="342"/>
      <c r="K182" s="342"/>
      <c r="L182" s="663"/>
      <c r="M182" s="794"/>
      <c r="N182" s="795"/>
    </row>
    <row r="183" spans="1:31" s="218" customFormat="1" x14ac:dyDescent="0.2">
      <c r="F183" s="337"/>
      <c r="G183" s="337"/>
      <c r="H183" s="337"/>
      <c r="I183" s="337"/>
    </row>
    <row r="184" spans="1:31" s="218" customFormat="1" ht="16.5" thickBot="1" x14ac:dyDescent="0.25">
      <c r="F184" s="337"/>
      <c r="G184" s="337"/>
      <c r="H184" s="337"/>
      <c r="I184" s="337"/>
    </row>
    <row r="185" spans="1:31" s="218" customFormat="1" ht="16.5" thickBot="1" x14ac:dyDescent="0.25">
      <c r="A185" s="800" t="s">
        <v>790</v>
      </c>
      <c r="B185" s="801"/>
      <c r="C185" s="801"/>
      <c r="D185" s="801"/>
      <c r="E185" s="801"/>
      <c r="F185" s="801"/>
      <c r="G185" s="802"/>
      <c r="H185" s="337"/>
      <c r="I185" s="337"/>
    </row>
    <row r="186" spans="1:31" s="192" customFormat="1" ht="16.5" thickBot="1" x14ac:dyDescent="0.25">
      <c r="F186" s="191"/>
      <c r="G186" s="191"/>
      <c r="H186" s="191"/>
      <c r="I186" s="191"/>
    </row>
    <row r="187" spans="1:31" s="218" customFormat="1" ht="16.5" thickBot="1" x14ac:dyDescent="0.25">
      <c r="A187" s="807" t="s">
        <v>1</v>
      </c>
      <c r="B187" s="808"/>
      <c r="C187" s="808"/>
      <c r="D187" s="808"/>
      <c r="E187" s="808"/>
      <c r="F187" s="808"/>
      <c r="G187" s="808"/>
      <c r="H187" s="809"/>
      <c r="I187" s="337"/>
    </row>
    <row r="188" spans="1:31" s="1187" customFormat="1" ht="16.5" customHeight="1" thickBot="1" x14ac:dyDescent="0.25">
      <c r="A188" s="803" t="s">
        <v>627</v>
      </c>
      <c r="B188" s="805" t="s">
        <v>888</v>
      </c>
      <c r="C188" s="786" t="s">
        <v>0</v>
      </c>
      <c r="D188" s="786" t="s">
        <v>609</v>
      </c>
      <c r="E188" s="805" t="s">
        <v>889</v>
      </c>
      <c r="F188" s="971" t="s">
        <v>42</v>
      </c>
      <c r="G188" s="1165" t="s">
        <v>789</v>
      </c>
      <c r="H188" s="1163"/>
      <c r="I188" s="1163"/>
      <c r="J188" s="1163"/>
      <c r="K188" s="1163"/>
      <c r="L188" s="1163"/>
      <c r="M188" s="1163"/>
      <c r="N188" s="1163"/>
      <c r="O188" s="1163"/>
      <c r="P188" s="1163"/>
      <c r="Q188" s="1163"/>
      <c r="R188" s="1163"/>
      <c r="S188" s="1163"/>
      <c r="T188" s="1163"/>
      <c r="U188" s="1163"/>
      <c r="V188" s="1164"/>
      <c r="W188" s="930" t="s">
        <v>436</v>
      </c>
      <c r="X188" s="786" t="s">
        <v>421</v>
      </c>
      <c r="Y188" s="786" t="s">
        <v>628</v>
      </c>
      <c r="Z188" s="786" t="s">
        <v>11</v>
      </c>
      <c r="AA188" s="786" t="s">
        <v>12</v>
      </c>
      <c r="AB188" s="786" t="s">
        <v>13</v>
      </c>
      <c r="AC188" s="786" t="s">
        <v>449</v>
      </c>
      <c r="AD188" s="971" t="s">
        <v>610</v>
      </c>
      <c r="AE188" s="1161"/>
    </row>
    <row r="189" spans="1:31" s="1187" customFormat="1" ht="47.25" customHeight="1" thickBot="1" x14ac:dyDescent="0.25">
      <c r="A189" s="804"/>
      <c r="B189" s="806"/>
      <c r="C189" s="787"/>
      <c r="D189" s="787"/>
      <c r="E189" s="806"/>
      <c r="F189" s="787"/>
      <c r="G189" s="1204" t="s">
        <v>432</v>
      </c>
      <c r="H189" s="1204" t="s">
        <v>1380</v>
      </c>
      <c r="I189" s="1200" t="s">
        <v>1381</v>
      </c>
      <c r="J189" s="1200" t="s">
        <v>1382</v>
      </c>
      <c r="K189" s="1200" t="s">
        <v>433</v>
      </c>
      <c r="L189" s="1200" t="s">
        <v>1383</v>
      </c>
      <c r="M189" s="1200" t="s">
        <v>1386</v>
      </c>
      <c r="N189" s="1200" t="s">
        <v>1387</v>
      </c>
      <c r="O189" s="1200" t="s">
        <v>434</v>
      </c>
      <c r="P189" s="1200" t="s">
        <v>1384</v>
      </c>
      <c r="Q189" s="1200" t="s">
        <v>1388</v>
      </c>
      <c r="R189" s="1200" t="s">
        <v>1389</v>
      </c>
      <c r="S189" s="1200" t="s">
        <v>435</v>
      </c>
      <c r="T189" s="1200" t="s">
        <v>1385</v>
      </c>
      <c r="U189" s="1200" t="s">
        <v>1390</v>
      </c>
      <c r="V189" s="1200" t="s">
        <v>1391</v>
      </c>
      <c r="W189" s="787"/>
      <c r="X189" s="787"/>
      <c r="Y189" s="787"/>
      <c r="Z189" s="787"/>
      <c r="AA189" s="787"/>
      <c r="AB189" s="787"/>
      <c r="AC189" s="787"/>
      <c r="AD189" s="972"/>
      <c r="AE189" s="1162"/>
    </row>
    <row r="190" spans="1:31" s="1187" customFormat="1" x14ac:dyDescent="0.2">
      <c r="A190" s="1194"/>
      <c r="B190" s="1191"/>
      <c r="C190" s="1189"/>
      <c r="D190" s="1191"/>
      <c r="E190" s="1191"/>
      <c r="F190" s="1197"/>
      <c r="G190" s="1191"/>
      <c r="H190" s="1191"/>
      <c r="I190" s="1191"/>
      <c r="J190" s="1191"/>
      <c r="K190" s="1191"/>
      <c r="L190" s="1191"/>
      <c r="M190" s="1191"/>
      <c r="N190" s="1191"/>
      <c r="O190" s="1191"/>
      <c r="P190" s="1191"/>
      <c r="Q190" s="1191"/>
      <c r="R190" s="1191"/>
      <c r="S190" s="1191"/>
      <c r="T190" s="1191"/>
      <c r="U190" s="1191"/>
      <c r="V190" s="1191"/>
      <c r="W190" s="1191"/>
      <c r="X190" s="1191"/>
      <c r="Y190" s="1191"/>
      <c r="Z190" s="1191"/>
      <c r="AA190" s="1191"/>
      <c r="AB190" s="1191"/>
      <c r="AC190" s="1201"/>
      <c r="AD190" s="796"/>
      <c r="AE190" s="797"/>
    </row>
    <row r="191" spans="1:31" s="1187" customFormat="1" x14ac:dyDescent="0.2">
      <c r="A191" s="1195"/>
      <c r="B191" s="1192"/>
      <c r="C191" s="1188"/>
      <c r="D191" s="1192"/>
      <c r="E191" s="1192"/>
      <c r="F191" s="1198"/>
      <c r="G191" s="1192"/>
      <c r="H191" s="1192"/>
      <c r="I191" s="1192"/>
      <c r="J191" s="1192"/>
      <c r="K191" s="1192"/>
      <c r="L191" s="1192"/>
      <c r="M191" s="1192"/>
      <c r="N191" s="1192"/>
      <c r="O191" s="1192"/>
      <c r="P191" s="1192"/>
      <c r="Q191" s="1192"/>
      <c r="R191" s="1192"/>
      <c r="S191" s="1192"/>
      <c r="T191" s="1192"/>
      <c r="U191" s="1192"/>
      <c r="V191" s="1192"/>
      <c r="W191" s="1192"/>
      <c r="X191" s="1192"/>
      <c r="Y191" s="1192"/>
      <c r="Z191" s="1192"/>
      <c r="AA191" s="1192"/>
      <c r="AB191" s="1192"/>
      <c r="AC191" s="1202"/>
      <c r="AD191" s="798"/>
      <c r="AE191" s="799"/>
    </row>
    <row r="192" spans="1:31" s="1187" customFormat="1" x14ac:dyDescent="0.2">
      <c r="A192" s="1195"/>
      <c r="B192" s="1192"/>
      <c r="C192" s="1188"/>
      <c r="D192" s="1192"/>
      <c r="E192" s="1192"/>
      <c r="F192" s="1198"/>
      <c r="G192" s="1192"/>
      <c r="H192" s="1192"/>
      <c r="I192" s="1192"/>
      <c r="J192" s="1192"/>
      <c r="K192" s="1192"/>
      <c r="L192" s="1192"/>
      <c r="M192" s="1192"/>
      <c r="N192" s="1192"/>
      <c r="O192" s="1192"/>
      <c r="P192" s="1192"/>
      <c r="Q192" s="1192"/>
      <c r="R192" s="1192"/>
      <c r="S192" s="1192"/>
      <c r="T192" s="1192"/>
      <c r="U192" s="1192"/>
      <c r="V192" s="1192"/>
      <c r="W192" s="1192"/>
      <c r="X192" s="1192"/>
      <c r="Y192" s="1192"/>
      <c r="Z192" s="1192"/>
      <c r="AA192" s="1192"/>
      <c r="AB192" s="1192"/>
      <c r="AC192" s="1202"/>
      <c r="AD192" s="798"/>
      <c r="AE192" s="799"/>
    </row>
    <row r="193" spans="1:31" s="1187" customFormat="1" x14ac:dyDescent="0.2">
      <c r="A193" s="1195"/>
      <c r="B193" s="1192"/>
      <c r="C193" s="1188"/>
      <c r="D193" s="1192"/>
      <c r="E193" s="1192"/>
      <c r="F193" s="1198"/>
      <c r="G193" s="1192"/>
      <c r="H193" s="1192"/>
      <c r="I193" s="1192"/>
      <c r="J193" s="1192"/>
      <c r="K193" s="1192"/>
      <c r="L193" s="1192"/>
      <c r="M193" s="1192"/>
      <c r="N193" s="1192"/>
      <c r="O193" s="1192"/>
      <c r="P193" s="1192"/>
      <c r="Q193" s="1192"/>
      <c r="R193" s="1192"/>
      <c r="S193" s="1192"/>
      <c r="T193" s="1192"/>
      <c r="U193" s="1192"/>
      <c r="V193" s="1192"/>
      <c r="W193" s="1192"/>
      <c r="X193" s="1192"/>
      <c r="Y193" s="1192"/>
      <c r="Z193" s="1192"/>
      <c r="AA193" s="1192"/>
      <c r="AB193" s="1192"/>
      <c r="AC193" s="1202"/>
      <c r="AD193" s="798"/>
      <c r="AE193" s="799"/>
    </row>
    <row r="194" spans="1:31" s="1187" customFormat="1" x14ac:dyDescent="0.2">
      <c r="A194" s="1195"/>
      <c r="B194" s="1192"/>
      <c r="C194" s="1188"/>
      <c r="D194" s="1192"/>
      <c r="E194" s="1192"/>
      <c r="F194" s="1198"/>
      <c r="G194" s="1192"/>
      <c r="H194" s="1192"/>
      <c r="I194" s="1192"/>
      <c r="J194" s="1192"/>
      <c r="K194" s="1192"/>
      <c r="L194" s="1192"/>
      <c r="M194" s="1192"/>
      <c r="N194" s="1192"/>
      <c r="O194" s="1192"/>
      <c r="P194" s="1192"/>
      <c r="Q194" s="1192"/>
      <c r="R194" s="1192"/>
      <c r="S194" s="1192"/>
      <c r="T194" s="1192"/>
      <c r="U194" s="1192"/>
      <c r="V194" s="1192"/>
      <c r="W194" s="1192"/>
      <c r="X194" s="1192"/>
      <c r="Y194" s="1192"/>
      <c r="Z194" s="1192"/>
      <c r="AA194" s="1192"/>
      <c r="AB194" s="1192"/>
      <c r="AC194" s="1202"/>
      <c r="AD194" s="798"/>
      <c r="AE194" s="799"/>
    </row>
    <row r="195" spans="1:31" s="1187" customFormat="1" ht="16.5" thickBot="1" x14ac:dyDescent="0.25">
      <c r="A195" s="1196"/>
      <c r="B195" s="1193"/>
      <c r="C195" s="1190"/>
      <c r="D195" s="1193"/>
      <c r="E195" s="1193"/>
      <c r="F195" s="1199"/>
      <c r="G195" s="1193"/>
      <c r="H195" s="1193"/>
      <c r="I195" s="1193"/>
      <c r="J195" s="1193"/>
      <c r="K195" s="1193"/>
      <c r="L195" s="1193"/>
      <c r="M195" s="1193"/>
      <c r="N195" s="1193"/>
      <c r="O195" s="1193"/>
      <c r="P195" s="1193"/>
      <c r="Q195" s="1193"/>
      <c r="R195" s="1193"/>
      <c r="S195" s="1193"/>
      <c r="T195" s="1193"/>
      <c r="U195" s="1193"/>
      <c r="V195" s="1193"/>
      <c r="W195" s="1193"/>
      <c r="X195" s="1193"/>
      <c r="Y195" s="1193"/>
      <c r="Z195" s="1193"/>
      <c r="AA195" s="1193"/>
      <c r="AB195" s="1193"/>
      <c r="AC195" s="1203"/>
      <c r="AD195" s="792"/>
      <c r="AE195" s="793"/>
    </row>
    <row r="196" spans="1:31" s="218" customFormat="1" x14ac:dyDescent="0.2">
      <c r="F196" s="337"/>
      <c r="G196" s="337"/>
      <c r="H196" s="337"/>
      <c r="I196" s="337"/>
    </row>
    <row r="197" spans="1:31" s="218" customFormat="1" x14ac:dyDescent="0.2">
      <c r="F197" s="337"/>
      <c r="G197" s="337"/>
      <c r="H197" s="337"/>
      <c r="I197" s="337"/>
    </row>
    <row r="198" spans="1:31" s="218" customFormat="1" ht="16.5" thickBot="1" x14ac:dyDescent="0.25">
      <c r="F198" s="337"/>
      <c r="G198" s="337"/>
      <c r="H198" s="337"/>
      <c r="I198" s="337"/>
    </row>
    <row r="199" spans="1:31" ht="16.5" thickBot="1" x14ac:dyDescent="0.25">
      <c r="A199" s="555" t="s">
        <v>454</v>
      </c>
      <c r="B199" s="556" t="s">
        <v>455</v>
      </c>
    </row>
    <row r="200" spans="1:31" x14ac:dyDescent="0.2">
      <c r="A200" s="450" t="s">
        <v>456</v>
      </c>
      <c r="B200" s="557" t="s">
        <v>51</v>
      </c>
    </row>
    <row r="201" spans="1:31" x14ac:dyDescent="0.2">
      <c r="A201" s="558" t="s">
        <v>65</v>
      </c>
      <c r="B201" s="559" t="s">
        <v>51</v>
      </c>
    </row>
    <row r="202" spans="1:31" x14ac:dyDescent="0.2">
      <c r="A202" s="558" t="s">
        <v>257</v>
      </c>
      <c r="B202" s="559" t="s">
        <v>51</v>
      </c>
    </row>
    <row r="203" spans="1:31" x14ac:dyDescent="0.2">
      <c r="A203" s="558" t="s">
        <v>258</v>
      </c>
      <c r="B203" s="559" t="s">
        <v>51</v>
      </c>
    </row>
    <row r="204" spans="1:31" x14ac:dyDescent="0.2">
      <c r="A204" s="558" t="s">
        <v>259</v>
      </c>
      <c r="B204" s="559" t="s">
        <v>53</v>
      </c>
    </row>
    <row r="205" spans="1:31" x14ac:dyDescent="0.2">
      <c r="A205" s="558" t="s">
        <v>281</v>
      </c>
      <c r="B205" s="559" t="s">
        <v>53</v>
      </c>
    </row>
    <row r="206" spans="1:31" x14ac:dyDescent="0.2">
      <c r="A206" s="560" t="s">
        <v>279</v>
      </c>
      <c r="B206" s="559" t="s">
        <v>53</v>
      </c>
    </row>
    <row r="207" spans="1:31" x14ac:dyDescent="0.2">
      <c r="A207" s="560" t="s">
        <v>457</v>
      </c>
      <c r="B207" s="559" t="s">
        <v>53</v>
      </c>
    </row>
    <row r="208" spans="1:31" ht="16.5" thickBot="1" x14ac:dyDescent="0.25">
      <c r="A208" s="561" t="s">
        <v>460</v>
      </c>
      <c r="B208" s="562" t="s">
        <v>51</v>
      </c>
    </row>
  </sheetData>
  <sheetProtection formatCells="0" formatColumns="0" formatRows="0" insertColumns="0" insertRows="0" deleteColumns="0" deleteRows="0" sort="0" autoFilter="0"/>
  <autoFilter ref="A30:AB30" xr:uid="{00000000-0009-0000-0000-000015000000}"/>
  <sortState xmlns:xlrd2="http://schemas.microsoft.com/office/spreadsheetml/2017/richdata2" ref="A90:A119">
    <sortCondition ref="A119"/>
  </sortState>
  <dataConsolidate>
    <dataRefs count="2">
      <dataRef ref="B9" sheet="APPENDIX B-1  (FE - USWC)"/>
      <dataRef ref="A14:A18" sheet="APPENDIX B-1  (FE - USWC)"/>
    </dataRefs>
  </dataConsolidate>
  <mergeCells count="256">
    <mergeCell ref="AD191:AE191"/>
    <mergeCell ref="AD192:AE192"/>
    <mergeCell ref="AD193:AE193"/>
    <mergeCell ref="AD194:AE194"/>
    <mergeCell ref="AD195:AE195"/>
    <mergeCell ref="W188:W189"/>
    <mergeCell ref="X188:X189"/>
    <mergeCell ref="Y188:Y189"/>
    <mergeCell ref="Z188:Z189"/>
    <mergeCell ref="AA188:AA189"/>
    <mergeCell ref="AB188:AB189"/>
    <mergeCell ref="AC188:AC189"/>
    <mergeCell ref="AD188:AE189"/>
    <mergeCell ref="AD190:AE190"/>
    <mergeCell ref="L90:L92"/>
    <mergeCell ref="K90:K92"/>
    <mergeCell ref="E102:G102"/>
    <mergeCell ref="E97:G97"/>
    <mergeCell ref="B88:I88"/>
    <mergeCell ref="B114:D114"/>
    <mergeCell ref="E114:G114"/>
    <mergeCell ref="B100:D100"/>
    <mergeCell ref="E100:G100"/>
    <mergeCell ref="E112:G112"/>
    <mergeCell ref="E118:G118"/>
    <mergeCell ref="E101:G101"/>
    <mergeCell ref="E104:G104"/>
    <mergeCell ref="B108:D108"/>
    <mergeCell ref="H90:H92"/>
    <mergeCell ref="B102:D102"/>
    <mergeCell ref="B97:D97"/>
    <mergeCell ref="B110:D110"/>
    <mergeCell ref="B104:D104"/>
    <mergeCell ref="B113:D113"/>
    <mergeCell ref="B109:D109"/>
    <mergeCell ref="E109:G109"/>
    <mergeCell ref="B117:D117"/>
    <mergeCell ref="E117:G117"/>
    <mergeCell ref="E113:G113"/>
    <mergeCell ref="B105:D105"/>
    <mergeCell ref="E105:G105"/>
    <mergeCell ref="B116:D116"/>
    <mergeCell ref="E116:G116"/>
    <mergeCell ref="E103:G103"/>
    <mergeCell ref="E115:G115"/>
    <mergeCell ref="B111:D111"/>
    <mergeCell ref="E111:G111"/>
    <mergeCell ref="B112:D112"/>
    <mergeCell ref="AC48:AC49"/>
    <mergeCell ref="AA48:AA49"/>
    <mergeCell ref="B81:D81"/>
    <mergeCell ref="B68:D68"/>
    <mergeCell ref="AB48:AB49"/>
    <mergeCell ref="I48:I49"/>
    <mergeCell ref="J48:J49"/>
    <mergeCell ref="M48:M49"/>
    <mergeCell ref="H48:H49"/>
    <mergeCell ref="A57:C57"/>
    <mergeCell ref="A48:A49"/>
    <mergeCell ref="AA30:AA31"/>
    <mergeCell ref="AA39:AA40"/>
    <mergeCell ref="F39:F40"/>
    <mergeCell ref="G39:G40"/>
    <mergeCell ref="X39:X40"/>
    <mergeCell ref="H39:H40"/>
    <mergeCell ref="Z30:Z31"/>
    <mergeCell ref="G30:G31"/>
    <mergeCell ref="H30:H31"/>
    <mergeCell ref="I39:I40"/>
    <mergeCell ref="K30:K31"/>
    <mergeCell ref="J39:J40"/>
    <mergeCell ref="K39:K40"/>
    <mergeCell ref="B13:I13"/>
    <mergeCell ref="B98:D98"/>
    <mergeCell ref="A86:I86"/>
    <mergeCell ref="B93:D93"/>
    <mergeCell ref="B95:D95"/>
    <mergeCell ref="E93:G93"/>
    <mergeCell ref="B94:D94"/>
    <mergeCell ref="B103:D103"/>
    <mergeCell ref="A4:B4"/>
    <mergeCell ref="C4:F4"/>
    <mergeCell ref="A5:B5"/>
    <mergeCell ref="A7:B7"/>
    <mergeCell ref="B96:D96"/>
    <mergeCell ref="E96:G96"/>
    <mergeCell ref="B99:D99"/>
    <mergeCell ref="E99:G99"/>
    <mergeCell ref="B23:H23"/>
    <mergeCell ref="D48:D49"/>
    <mergeCell ref="B20:H20"/>
    <mergeCell ref="E94:G94"/>
    <mergeCell ref="D39:D40"/>
    <mergeCell ref="B65:D65"/>
    <mergeCell ref="I90:I92"/>
    <mergeCell ref="A87:I87"/>
    <mergeCell ref="A1:B1"/>
    <mergeCell ref="C1:F1"/>
    <mergeCell ref="A2:B2"/>
    <mergeCell ref="C2:F2"/>
    <mergeCell ref="A3:B3"/>
    <mergeCell ref="C3:F3"/>
    <mergeCell ref="Z39:Z40"/>
    <mergeCell ref="Y30:Y31"/>
    <mergeCell ref="J30:J31"/>
    <mergeCell ref="Y39:Y40"/>
    <mergeCell ref="X30:X31"/>
    <mergeCell ref="E39:E40"/>
    <mergeCell ref="F30:F31"/>
    <mergeCell ref="A8:B8"/>
    <mergeCell ref="C8:F8"/>
    <mergeCell ref="A12:J12"/>
    <mergeCell ref="J15:K15"/>
    <mergeCell ref="B16:I16"/>
    <mergeCell ref="C7:F7"/>
    <mergeCell ref="C5:F5"/>
    <mergeCell ref="A6:B6"/>
    <mergeCell ref="C6:F6"/>
    <mergeCell ref="B24:H24"/>
    <mergeCell ref="C30:C31"/>
    <mergeCell ref="J16:K16"/>
    <mergeCell ref="E30:E31"/>
    <mergeCell ref="B80:D80"/>
    <mergeCell ref="F48:F49"/>
    <mergeCell ref="A90:G90"/>
    <mergeCell ref="E98:G98"/>
    <mergeCell ref="J90:J92"/>
    <mergeCell ref="Z48:Z49"/>
    <mergeCell ref="E48:E49"/>
    <mergeCell ref="M90:M92"/>
    <mergeCell ref="A72:C72"/>
    <mergeCell ref="B84:D84"/>
    <mergeCell ref="B30:B31"/>
    <mergeCell ref="A73:C73"/>
    <mergeCell ref="A58:C58"/>
    <mergeCell ref="B82:D82"/>
    <mergeCell ref="A39:A40"/>
    <mergeCell ref="B69:D69"/>
    <mergeCell ref="B66:D66"/>
    <mergeCell ref="B67:D67"/>
    <mergeCell ref="B83:D83"/>
    <mergeCell ref="J17:K17"/>
    <mergeCell ref="A92:G92"/>
    <mergeCell ref="A91:G91"/>
    <mergeCell ref="J13:K13"/>
    <mergeCell ref="L30:L31"/>
    <mergeCell ref="K48:K49"/>
    <mergeCell ref="B39:B40"/>
    <mergeCell ref="C39:C40"/>
    <mergeCell ref="I30:I31"/>
    <mergeCell ref="B48:B49"/>
    <mergeCell ref="C48:C49"/>
    <mergeCell ref="L13:M13"/>
    <mergeCell ref="B14:I14"/>
    <mergeCell ref="J14:K14"/>
    <mergeCell ref="L14:M14"/>
    <mergeCell ref="B15:I15"/>
    <mergeCell ref="L48:L49"/>
    <mergeCell ref="B17:I17"/>
    <mergeCell ref="L17:M17"/>
    <mergeCell ref="G48:G49"/>
    <mergeCell ref="B21:H21"/>
    <mergeCell ref="B22:H22"/>
    <mergeCell ref="D30:D31"/>
    <mergeCell ref="A47:D47"/>
    <mergeCell ref="A30:A31"/>
    <mergeCell ref="L16:M16"/>
    <mergeCell ref="L15:M15"/>
    <mergeCell ref="L132:L133"/>
    <mergeCell ref="A132:D132"/>
    <mergeCell ref="E132:E133"/>
    <mergeCell ref="F132:F133"/>
    <mergeCell ref="G132:G133"/>
    <mergeCell ref="M132:M133"/>
    <mergeCell ref="E95:G95"/>
    <mergeCell ref="E110:G110"/>
    <mergeCell ref="E108:G108"/>
    <mergeCell ref="B118:D118"/>
    <mergeCell ref="E121:G121"/>
    <mergeCell ref="B101:D101"/>
    <mergeCell ref="L125:L126"/>
    <mergeCell ref="J132:J133"/>
    <mergeCell ref="F125:F126"/>
    <mergeCell ref="B119:D119"/>
    <mergeCell ref="E119:G119"/>
    <mergeCell ref="B107:D107"/>
    <mergeCell ref="E107:G107"/>
    <mergeCell ref="B106:D106"/>
    <mergeCell ref="E106:G106"/>
    <mergeCell ref="B115:D115"/>
    <mergeCell ref="K132:K133"/>
    <mergeCell ref="K125:K126"/>
    <mergeCell ref="B120:D120"/>
    <mergeCell ref="E120:G120"/>
    <mergeCell ref="I132:I133"/>
    <mergeCell ref="H132:H133"/>
    <mergeCell ref="B156:I156"/>
    <mergeCell ref="B121:D121"/>
    <mergeCell ref="I125:I126"/>
    <mergeCell ref="B155:I155"/>
    <mergeCell ref="A142:F142"/>
    <mergeCell ref="A122:I122"/>
    <mergeCell ref="A123:I123"/>
    <mergeCell ref="G125:G126"/>
    <mergeCell ref="H125:H126"/>
    <mergeCell ref="A125:D125"/>
    <mergeCell ref="E125:E126"/>
    <mergeCell ref="M182:N182"/>
    <mergeCell ref="F175:F176"/>
    <mergeCell ref="C188:C189"/>
    <mergeCell ref="D188:D189"/>
    <mergeCell ref="A174:E174"/>
    <mergeCell ref="A187:H187"/>
    <mergeCell ref="B188:B189"/>
    <mergeCell ref="G175:G176"/>
    <mergeCell ref="M181:N181"/>
    <mergeCell ref="J175:J176"/>
    <mergeCell ref="K175:K176"/>
    <mergeCell ref="A172:G172"/>
    <mergeCell ref="B162:I162"/>
    <mergeCell ref="B166:I166"/>
    <mergeCell ref="A170:B170"/>
    <mergeCell ref="A143:F143"/>
    <mergeCell ref="B160:I160"/>
    <mergeCell ref="B159:I159"/>
    <mergeCell ref="B163:I163"/>
    <mergeCell ref="B158:I158"/>
    <mergeCell ref="B154:I154"/>
    <mergeCell ref="B153:I153"/>
    <mergeCell ref="J125:J126"/>
    <mergeCell ref="B152:I152"/>
    <mergeCell ref="A144:F144"/>
    <mergeCell ref="B157:I157"/>
    <mergeCell ref="A140:E140"/>
    <mergeCell ref="A150:I150"/>
    <mergeCell ref="B161:I161"/>
    <mergeCell ref="B165:I165"/>
    <mergeCell ref="B164:I164"/>
    <mergeCell ref="M180:N180"/>
    <mergeCell ref="A185:G185"/>
    <mergeCell ref="L175:L176"/>
    <mergeCell ref="M178:N178"/>
    <mergeCell ref="M179:N179"/>
    <mergeCell ref="M175:N176"/>
    <mergeCell ref="M177:N177"/>
    <mergeCell ref="A175:A176"/>
    <mergeCell ref="E188:E189"/>
    <mergeCell ref="F188:F189"/>
    <mergeCell ref="A188:A189"/>
    <mergeCell ref="E175:E176"/>
    <mergeCell ref="H175:H176"/>
    <mergeCell ref="I175:I176"/>
    <mergeCell ref="B175:B176"/>
    <mergeCell ref="C175:C176"/>
    <mergeCell ref="D175:D176"/>
    <mergeCell ref="G188:V188"/>
  </mergeCells>
  <phoneticPr fontId="11" type="noConversion"/>
  <dataValidations count="33">
    <dataValidation type="list" allowBlank="1" showInputMessage="1" showErrorMessage="1" sqref="B200:B208" xr:uid="{00000000-0002-0000-1500-000000000000}">
      <formula1>Autom</formula1>
    </dataValidation>
    <dataValidation type="list" showInputMessage="1" showErrorMessage="1" sqref="C177:C182 C190:C195" xr:uid="{00000000-0002-0000-1500-000001000000}">
      <formula1>IF($B177="I",DDTARIFFUS,DDTARIFF)</formula1>
    </dataValidation>
    <dataValidation type="list" allowBlank="1" showInputMessage="1" showErrorMessage="1" sqref="B177:B182 B190:B195" xr:uid="{00000000-0002-0000-1500-000002000000}">
      <formula1>EXPIMP</formula1>
    </dataValidation>
    <dataValidation type="list" allowBlank="1" showInputMessage="1" showErrorMessage="1" sqref="F177:F182 W190:W195" xr:uid="{00000000-0002-0000-1500-000003000000}">
      <formula1>EQTYPE</formula1>
    </dataValidation>
    <dataValidation type="list" allowBlank="1" showInputMessage="1" showErrorMessage="1" sqref="G177:G182 X190:X195" xr:uid="{00000000-0002-0000-1500-000004000000}">
      <formula1>OPREEFER</formula1>
    </dataValidation>
    <dataValidation type="list" allowBlank="1" showInputMessage="1" showErrorMessage="1" sqref="F190:F195" xr:uid="{A21325C4-A597-423D-9B75-54DE2C30F65E}">
      <formula1>CURRENCY</formula1>
    </dataValidation>
    <dataValidation type="whole" allowBlank="1" showInputMessage="1" showErrorMessage="1" error="Only whole numbers can be entered into this field" sqref="D177:D182 D190:D195" xr:uid="{00000000-0002-0000-1500-000006000000}">
      <formula1>1</formula1>
      <formula2>99</formula2>
    </dataValidation>
    <dataValidation type="list" showInputMessage="1" showErrorMessage="1" sqref="E177:E182 E190:E195" xr:uid="{00000000-0002-0000-1500-000007000000}">
      <formula1>DAYS</formula1>
    </dataValidation>
    <dataValidation type="whole" allowBlank="1" showInputMessage="1" showErrorMessage="1" error="Only whole numbers may be entered into this field_x000a_" sqref="G190:G195 S190:S195 O190:O195 K190:K195" xr:uid="{9AC1EBAA-09A1-467C-9A70-6985A0C59D9F}">
      <formula1>1</formula1>
      <formula2>99</formula2>
    </dataValidation>
    <dataValidation type="decimal" allowBlank="1" showInputMessage="1" showErrorMessage="1" error="Only numbers may be entered into this field" sqref="H190:J195 L190:N195 P190:R195 T190:V195" xr:uid="{E98E77C7-1FA5-4817-A5F2-6F96469EEC44}">
      <formula1>1</formula1>
      <formula2>1000000000</formula2>
    </dataValidation>
    <dataValidation type="list" showInputMessage="1" showErrorMessage="1" sqref="K127:K130 K134:K137 N66:N69 A41:A44 A50:A53 A32:A35 N81:N84" xr:uid="{00000000-0002-0000-1500-00000A000000}">
      <formula1>$A$14:$A$18</formula1>
    </dataValidation>
    <dataValidation type="list" allowBlank="1" showInputMessage="1" showErrorMessage="1" sqref="J127:J130 J134:J137" xr:uid="{00000000-0002-0000-1500-00000B000000}">
      <formula1>GRIPSS</formula1>
    </dataValidation>
    <dataValidation type="decimal" allowBlank="1" showInputMessage="1" showErrorMessage="1" sqref="F134:I137 F127:I130 I32:L35 I41:K44 J81:M84 I50:L53" xr:uid="{00000000-0002-0000-1500-00000C000000}">
      <formula1>0</formula1>
      <formula2>999999999999999</formula2>
    </dataValidation>
    <dataValidation type="list" allowBlank="1" showInputMessage="1" showErrorMessage="1" sqref="E127:E130 E134:E137" xr:uid="{00000000-0002-0000-1500-00000D000000}">
      <formula1>GRIPSS_EQ</formula1>
    </dataValidation>
    <dataValidation type="list" showInputMessage="1" showErrorMessage="1" sqref="A177:A182 A190:A195" xr:uid="{00000000-0002-0000-1500-00000E000000}">
      <formula1>BULLET</formula1>
    </dataValidation>
    <dataValidation type="date" allowBlank="1" showInputMessage="1" showErrorMessage="1" sqref="X32:Y35 J93:K121" xr:uid="{00000000-0002-0000-1500-00000F000000}">
      <formula1>10101</formula1>
      <formula2>311299</formula2>
    </dataValidation>
    <dataValidation type="list" showDropDown="1" showErrorMessage="1" sqref="O65:P65 O80:P80" xr:uid="{00000000-0002-0000-1500-000010000000}">
      <formula1>Charges</formula1>
    </dataValidation>
    <dataValidation type="list" allowBlank="1" showInputMessage="1" showErrorMessage="1" sqref="O66:P69 O81:P84" xr:uid="{00000000-0002-0000-1500-000011000000}">
      <formula1 xml:space="preserve"> droppull</formula1>
    </dataValidation>
    <dataValidation type="list" allowBlank="1" showInputMessage="1" showErrorMessage="1" sqref="L41:L44 G66:G69 P50:P53 N41:N44 G81:G84" xr:uid="{00000000-0002-0000-1500-000012000000}">
      <formula1>YesNo</formula1>
    </dataValidation>
    <dataValidation type="list" allowBlank="1" showInputMessage="1" showErrorMessage="1" sqref="M50:M53" xr:uid="{00000000-0002-0000-1500-000013000000}">
      <formula1>Equip</formula1>
    </dataValidation>
    <dataValidation type="list" allowBlank="1" showInputMessage="1" showErrorMessage="1" sqref="F66:F69 F81:F84" xr:uid="{00000000-0002-0000-1500-000014000000}">
      <formula1>ArbMode</formula1>
    </dataValidation>
    <dataValidation type="list" allowBlank="1" showInputMessage="1" showErrorMessage="1" sqref="G41:G44 G50:G53 G32:G35" xr:uid="{00000000-0002-0000-1500-000015000000}">
      <formula1>SDD</formula1>
    </dataValidation>
    <dataValidation type="list" allowBlank="1" showInputMessage="1" showErrorMessage="1" sqref="M31:W31 Q49:Y49" xr:uid="{00000000-0002-0000-1500-000016000000}">
      <formula1>Container</formula1>
    </dataValidation>
    <dataValidation type="list" allowBlank="1" showInputMessage="1" showErrorMessage="1" sqref="O40:W40" xr:uid="{00000000-0002-0000-1500-000017000000}">
      <formula1>Reefer</formula1>
    </dataValidation>
    <dataValidation type="list" allowBlank="1" showInputMessage="1" showErrorMessage="1" sqref="F32:F35 F50:F53 F41:F44" xr:uid="{00000000-0002-0000-1500-000018000000}">
      <formula1>Mode</formula1>
    </dataValidation>
    <dataValidation type="list" allowBlank="1" showInputMessage="1" showErrorMessage="1" sqref="M41:M44 O50:O53" xr:uid="{00000000-0002-0000-1500-000019000000}">
      <formula1>ShipperOwn</formula1>
    </dataValidation>
    <dataValidation type="list" allowBlank="1" showInputMessage="1" showErrorMessage="1" sqref="N50:N53" xr:uid="{00000000-0002-0000-1500-00001A000000}">
      <formula1>OOG</formula1>
    </dataValidation>
    <dataValidation type="list" allowBlank="1" showErrorMessage="1" sqref="M30:W30 Q48:Y48 O39:W39" xr:uid="{00000000-0002-0000-1500-00001B000000}">
      <formula1>Exceptions</formula1>
    </dataValidation>
    <dataValidation type="list" allowBlank="1" showInputMessage="1" showErrorMessage="1" sqref="AA32:AA35 AC50:AC53 AA41:AA44" xr:uid="{00000000-0002-0000-1500-00001C000000}">
      <formula1>CST</formula1>
    </dataValidation>
    <dataValidation type="list" allowBlank="1" showInputMessage="1" showErrorMessage="1" sqref="I93:I121" xr:uid="{00000000-0002-0000-1500-00001D000000}">
      <formula1>$A$14:$A$18</formula1>
    </dataValidation>
    <dataValidation type="list" allowBlank="1" showErrorMessage="1" sqref="A93:A121" xr:uid="{00000000-0002-0000-1500-00001E000000}">
      <formula1>Charges</formula1>
    </dataValidation>
    <dataValidation allowBlank="1" showInputMessage="1" showErrorMessage="1" promptTitle="Acceptable Values:" prompt="- Applicable _x000a_- Not applicable _x000a_- Included_x000a_- Amount and OSPF for cases of fixed per D40 OSPF_x000a_    (example-  &quot;375 OSPF&quot;)" sqref="E93:G121" xr:uid="{00000000-0002-0000-1500-00001F000000}"/>
    <dataValidation type="list" allowBlank="1" showInputMessage="1" showErrorMessage="1" errorTitle="Pick up the list" promptTitle="Blank = ALL" sqref="H93:H121" xr:uid="{00000000-0002-0000-1500-000020000000}">
      <formula1>Type_note2</formula1>
    </dataValidation>
  </dataValidations>
  <pageMargins left="0.25" right="0.25" top="0.25" bottom="0.25" header="0.5" footer="0"/>
  <pageSetup scale="28" fitToHeight="0" orientation="landscape" r:id="rId1"/>
  <headerFooter alignWithMargins="0"/>
  <rowBreaks count="1" manualBreakCount="1">
    <brk id="88" max="16383" man="1"/>
  </rowBreaks>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63">
    <tabColor indexed="12"/>
    <pageSetUpPr fitToPage="1"/>
  </sheetPr>
  <dimension ref="A1:BB208"/>
  <sheetViews>
    <sheetView showGridLines="0" topLeftCell="A169" zoomScale="75" zoomScaleNormal="75" zoomScaleSheetLayoutView="75" workbookViewId="0">
      <selection activeCell="G188" sqref="A188:XFD195"/>
    </sheetView>
  </sheetViews>
  <sheetFormatPr defaultColWidth="9.140625" defaultRowHeight="15.75" x14ac:dyDescent="0.2"/>
  <cols>
    <col min="1" max="1" width="25.140625" style="69" customWidth="1"/>
    <col min="2" max="2" width="18.5703125" style="69" customWidth="1"/>
    <col min="3" max="3" width="18.28515625" style="69" customWidth="1"/>
    <col min="4" max="4" width="17.42578125" style="69" customWidth="1"/>
    <col min="5" max="5" width="19.28515625" style="69" customWidth="1"/>
    <col min="6" max="6" width="12.140625" style="211" customWidth="1"/>
    <col min="7" max="8" width="17.42578125" style="211" customWidth="1"/>
    <col min="9" max="9" width="17.7109375" style="211" customWidth="1"/>
    <col min="10" max="10" width="17.85546875" style="69" customWidth="1"/>
    <col min="11" max="11" width="16.5703125" style="69" customWidth="1"/>
    <col min="12" max="12" width="18.5703125" style="69" customWidth="1"/>
    <col min="13" max="13" width="17.28515625" style="69" customWidth="1"/>
    <col min="14" max="14" width="17.7109375" style="69" customWidth="1"/>
    <col min="15" max="16" width="16.5703125" style="69" customWidth="1"/>
    <col min="17" max="17" width="17.5703125" style="69" customWidth="1"/>
    <col min="18" max="18" width="15.85546875" style="69" customWidth="1"/>
    <col min="19" max="19" width="16.7109375" style="69" customWidth="1"/>
    <col min="20" max="20" width="16.5703125" style="69" customWidth="1"/>
    <col min="21" max="21" width="16.7109375" style="69" customWidth="1"/>
    <col min="22" max="22" width="17.5703125" style="69" customWidth="1"/>
    <col min="23" max="23" width="18" style="69" customWidth="1"/>
    <col min="24" max="24" width="12.7109375" style="69" customWidth="1"/>
    <col min="25" max="25" width="16.85546875" style="69" customWidth="1"/>
    <col min="26" max="26" width="9.7109375" style="69" customWidth="1"/>
    <col min="27" max="27" width="14.140625" style="69" customWidth="1"/>
    <col min="28" max="28" width="9.7109375" style="69" customWidth="1"/>
    <col min="29" max="29" width="14.140625" style="69" customWidth="1"/>
    <col min="30" max="16384" width="9.140625" style="69"/>
  </cols>
  <sheetData>
    <row r="1" spans="1:54" x14ac:dyDescent="0.2">
      <c r="A1" s="835" t="s">
        <v>511</v>
      </c>
      <c r="B1" s="837"/>
      <c r="C1" s="902" t="str">
        <f>Cover!B1</f>
        <v>22-XXXX</v>
      </c>
      <c r="D1" s="903"/>
      <c r="E1" s="903"/>
      <c r="F1" s="904"/>
      <c r="G1" s="69"/>
      <c r="H1" s="69"/>
      <c r="I1" s="69"/>
    </row>
    <row r="2" spans="1:54" x14ac:dyDescent="0.2">
      <c r="A2" s="885" t="s">
        <v>1236</v>
      </c>
      <c r="B2" s="886"/>
      <c r="C2" s="887"/>
      <c r="D2" s="888"/>
      <c r="E2" s="888"/>
      <c r="F2" s="889"/>
      <c r="G2" s="69"/>
      <c r="H2" s="69"/>
      <c r="I2" s="69"/>
    </row>
    <row r="3" spans="1:54" x14ac:dyDescent="0.2">
      <c r="A3" s="885" t="s">
        <v>522</v>
      </c>
      <c r="B3" s="886"/>
      <c r="C3" s="905">
        <f>Cover!B2</f>
        <v>0</v>
      </c>
      <c r="D3" s="906"/>
      <c r="E3" s="906"/>
      <c r="F3" s="907"/>
      <c r="G3" s="69"/>
      <c r="H3" s="69"/>
      <c r="I3" s="69"/>
    </row>
    <row r="4" spans="1:54" x14ac:dyDescent="0.2">
      <c r="A4" s="885" t="s">
        <v>1229</v>
      </c>
      <c r="B4" s="886"/>
      <c r="C4" s="884">
        <f>Cover!B7</f>
        <v>0</v>
      </c>
      <c r="D4" s="817"/>
      <c r="E4" s="817"/>
      <c r="F4" s="818"/>
      <c r="G4" s="69"/>
      <c r="H4" s="69"/>
      <c r="I4" s="69"/>
    </row>
    <row r="5" spans="1:54" x14ac:dyDescent="0.2">
      <c r="A5" s="885" t="s">
        <v>528</v>
      </c>
      <c r="B5" s="886"/>
      <c r="C5" s="887" t="s">
        <v>526</v>
      </c>
      <c r="D5" s="888"/>
      <c r="E5" s="888"/>
      <c r="F5" s="889"/>
      <c r="G5" s="69"/>
      <c r="H5" s="69"/>
      <c r="I5" s="69"/>
    </row>
    <row r="6" spans="1:54" ht="15.75" customHeight="1" x14ac:dyDescent="0.2">
      <c r="A6" s="885" t="s">
        <v>512</v>
      </c>
      <c r="B6" s="886"/>
      <c r="C6" s="887" t="s">
        <v>586</v>
      </c>
      <c r="D6" s="888"/>
      <c r="E6" s="888"/>
      <c r="F6" s="889"/>
      <c r="G6" s="69"/>
      <c r="H6" s="69"/>
      <c r="I6" s="69"/>
    </row>
    <row r="7" spans="1:54" ht="15.75" customHeight="1" x14ac:dyDescent="0.2">
      <c r="A7" s="885" t="s">
        <v>612</v>
      </c>
      <c r="B7" s="886"/>
      <c r="C7" s="887" t="s">
        <v>120</v>
      </c>
      <c r="D7" s="888"/>
      <c r="E7" s="888"/>
      <c r="F7" s="889"/>
      <c r="G7" s="69"/>
      <c r="H7" s="69"/>
      <c r="I7" s="69"/>
    </row>
    <row r="8" spans="1:54" ht="2.25" customHeight="1" thickBot="1" x14ac:dyDescent="0.25">
      <c r="A8" s="900"/>
      <c r="B8" s="901"/>
      <c r="C8" s="894"/>
      <c r="D8" s="895"/>
      <c r="E8" s="895"/>
      <c r="F8" s="896"/>
      <c r="G8" s="69"/>
      <c r="H8" s="69"/>
      <c r="I8" s="69"/>
    </row>
    <row r="9" spans="1:54" s="73" customFormat="1" x14ac:dyDescent="0.2">
      <c r="A9" s="442">
        <v>39</v>
      </c>
      <c r="B9" s="443" t="s">
        <v>615</v>
      </c>
      <c r="D9" s="444"/>
      <c r="E9" s="444"/>
      <c r="F9" s="445"/>
    </row>
    <row r="10" spans="1:54" s="73" customFormat="1" ht="16.5" thickBot="1" x14ac:dyDescent="0.25">
      <c r="A10" s="446"/>
      <c r="D10" s="444"/>
      <c r="E10" s="444"/>
      <c r="F10" s="445"/>
      <c r="G10" s="447"/>
      <c r="H10" s="444"/>
      <c r="I10" s="444"/>
      <c r="J10" s="444"/>
    </row>
    <row r="11" spans="1:54" ht="19.5" thickBot="1" x14ac:dyDescent="0.25">
      <c r="A11" s="448" t="s">
        <v>613</v>
      </c>
      <c r="B11" s="449"/>
      <c r="C11" s="73"/>
      <c r="D11" s="444"/>
      <c r="E11" s="444"/>
      <c r="F11" s="445"/>
      <c r="G11" s="447"/>
      <c r="H11" s="444"/>
      <c r="I11" s="444"/>
      <c r="J11" s="444"/>
    </row>
    <row r="12" spans="1:54" s="78" customFormat="1" ht="16.5" thickBot="1" x14ac:dyDescent="0.25">
      <c r="A12" s="897" t="s">
        <v>616</v>
      </c>
      <c r="B12" s="898"/>
      <c r="C12" s="898"/>
      <c r="D12" s="898"/>
      <c r="E12" s="898"/>
      <c r="F12" s="898"/>
      <c r="G12" s="898"/>
      <c r="H12" s="898"/>
      <c r="I12" s="898"/>
      <c r="J12" s="899"/>
    </row>
    <row r="13" spans="1:54" ht="17.25" customHeight="1" x14ac:dyDescent="0.2">
      <c r="A13" s="450" t="s">
        <v>617</v>
      </c>
      <c r="B13" s="881" t="s">
        <v>618</v>
      </c>
      <c r="C13" s="881"/>
      <c r="D13" s="881"/>
      <c r="E13" s="881"/>
      <c r="F13" s="881"/>
      <c r="G13" s="881"/>
      <c r="H13" s="881"/>
      <c r="I13" s="881"/>
      <c r="J13" s="882" t="s">
        <v>622</v>
      </c>
      <c r="K13" s="883"/>
      <c r="L13" s="890" t="s">
        <v>623</v>
      </c>
      <c r="M13" s="891"/>
      <c r="N13" s="350" t="s">
        <v>4</v>
      </c>
    </row>
    <row r="14" spans="1:54" s="81" customFormat="1" x14ac:dyDescent="0.2">
      <c r="A14" s="451"/>
      <c r="B14" s="862"/>
      <c r="C14" s="892"/>
      <c r="D14" s="892"/>
      <c r="E14" s="892"/>
      <c r="F14" s="892"/>
      <c r="G14" s="892"/>
      <c r="H14" s="892"/>
      <c r="I14" s="892"/>
      <c r="J14" s="870"/>
      <c r="K14" s="855"/>
      <c r="L14" s="893"/>
      <c r="M14" s="871"/>
      <c r="N14" s="349" t="str">
        <f>IF($A14&gt;0,$A14,"")</f>
        <v/>
      </c>
    </row>
    <row r="15" spans="1:54" s="453" customFormat="1" x14ac:dyDescent="0.2">
      <c r="A15" s="452"/>
      <c r="B15" s="879"/>
      <c r="C15" s="880"/>
      <c r="D15" s="880"/>
      <c r="E15" s="880"/>
      <c r="F15" s="880"/>
      <c r="G15" s="880"/>
      <c r="H15" s="880"/>
      <c r="I15" s="880"/>
      <c r="J15" s="870"/>
      <c r="K15" s="855"/>
      <c r="L15" s="870"/>
      <c r="M15" s="871"/>
      <c r="N15" s="349" t="str">
        <f>IF($A15&gt;0,$A15,"")</f>
        <v/>
      </c>
      <c r="BB15" s="81"/>
    </row>
    <row r="16" spans="1:54" s="453" customFormat="1" x14ac:dyDescent="0.2">
      <c r="A16" s="452"/>
      <c r="B16" s="879"/>
      <c r="C16" s="880"/>
      <c r="D16" s="880"/>
      <c r="E16" s="880"/>
      <c r="F16" s="880"/>
      <c r="G16" s="880"/>
      <c r="H16" s="880"/>
      <c r="I16" s="880"/>
      <c r="J16" s="870"/>
      <c r="K16" s="855"/>
      <c r="L16" s="870"/>
      <c r="M16" s="871"/>
      <c r="N16" s="349" t="str">
        <f>IF($A16&gt;0,$A16,"")</f>
        <v/>
      </c>
      <c r="BB16" s="81"/>
    </row>
    <row r="17" spans="1:54" s="453" customFormat="1" ht="16.5" thickBot="1" x14ac:dyDescent="0.25">
      <c r="A17" s="454"/>
      <c r="B17" s="864"/>
      <c r="C17" s="865"/>
      <c r="D17" s="865"/>
      <c r="E17" s="865"/>
      <c r="F17" s="865"/>
      <c r="G17" s="865"/>
      <c r="H17" s="865"/>
      <c r="I17" s="865"/>
      <c r="J17" s="866"/>
      <c r="K17" s="867"/>
      <c r="L17" s="857"/>
      <c r="M17" s="858"/>
      <c r="N17" s="349" t="str">
        <f>IF($A17&gt;0,$A17,"")</f>
        <v/>
      </c>
      <c r="BB17" s="81"/>
    </row>
    <row r="18" spans="1:54" s="462" customFormat="1" ht="16.5" thickBot="1" x14ac:dyDescent="0.25">
      <c r="A18" s="455"/>
      <c r="B18" s="456"/>
      <c r="C18" s="457"/>
      <c r="D18" s="458"/>
      <c r="E18" s="458"/>
      <c r="F18" s="459"/>
      <c r="G18" s="459"/>
      <c r="H18" s="460"/>
      <c r="I18" s="461"/>
      <c r="J18" s="461"/>
      <c r="K18" s="457"/>
      <c r="L18" s="457"/>
      <c r="M18" s="457"/>
      <c r="N18" s="349" t="str">
        <f>IF($A18&gt;0,$A18,"")</f>
        <v/>
      </c>
      <c r="O18" s="457"/>
      <c r="P18" s="457"/>
      <c r="Q18" s="457"/>
      <c r="BB18" s="81"/>
    </row>
    <row r="19" spans="1:54" s="462" customFormat="1" ht="19.5" thickBot="1" x14ac:dyDescent="0.25">
      <c r="A19" s="448" t="s">
        <v>419</v>
      </c>
      <c r="B19" s="463"/>
      <c r="I19" s="461"/>
      <c r="J19" s="461"/>
      <c r="K19" s="457"/>
      <c r="L19" s="457"/>
      <c r="M19" s="457"/>
      <c r="N19" s="457"/>
      <c r="O19" s="457"/>
      <c r="P19" s="457"/>
      <c r="Q19" s="457"/>
    </row>
    <row r="20" spans="1:54" s="462" customFormat="1" x14ac:dyDescent="0.2">
      <c r="A20" s="464" t="s">
        <v>419</v>
      </c>
      <c r="B20" s="859" t="s">
        <v>618</v>
      </c>
      <c r="C20" s="860"/>
      <c r="D20" s="860"/>
      <c r="E20" s="860"/>
      <c r="F20" s="860"/>
      <c r="G20" s="860"/>
      <c r="H20" s="861"/>
      <c r="I20" s="461"/>
      <c r="J20" s="461"/>
      <c r="K20" s="457"/>
      <c r="L20" s="457"/>
      <c r="M20" s="457"/>
      <c r="N20" s="457"/>
      <c r="O20" s="457"/>
      <c r="P20" s="457"/>
      <c r="Q20" s="457"/>
    </row>
    <row r="21" spans="1:54" s="467" customFormat="1" ht="15.75" customHeight="1" x14ac:dyDescent="0.2">
      <c r="A21" s="451" t="s">
        <v>462</v>
      </c>
      <c r="B21" s="862" t="s">
        <v>476</v>
      </c>
      <c r="C21" s="862"/>
      <c r="D21" s="862"/>
      <c r="E21" s="862"/>
      <c r="F21" s="862"/>
      <c r="G21" s="862"/>
      <c r="H21" s="863"/>
      <c r="I21" s="220"/>
      <c r="J21" s="465"/>
      <c r="K21" s="466"/>
      <c r="L21" s="466"/>
      <c r="M21" s="466"/>
      <c r="N21" s="466"/>
      <c r="O21" s="466"/>
      <c r="P21" s="466"/>
      <c r="Q21" s="466"/>
    </row>
    <row r="22" spans="1:54" s="467" customFormat="1" x14ac:dyDescent="0.2">
      <c r="A22" s="468" t="s">
        <v>475</v>
      </c>
      <c r="B22" s="862" t="s">
        <v>477</v>
      </c>
      <c r="C22" s="862"/>
      <c r="D22" s="862"/>
      <c r="E22" s="862"/>
      <c r="F22" s="862"/>
      <c r="G22" s="862"/>
      <c r="H22" s="863"/>
      <c r="I22" s="465"/>
      <c r="J22" s="465"/>
      <c r="K22" s="466"/>
      <c r="L22" s="466"/>
      <c r="M22" s="466"/>
      <c r="N22" s="466"/>
      <c r="O22" s="466"/>
      <c r="P22" s="466"/>
      <c r="Q22" s="466"/>
    </row>
    <row r="23" spans="1:54" s="467" customFormat="1" x14ac:dyDescent="0.2">
      <c r="A23" s="468"/>
      <c r="B23" s="854"/>
      <c r="C23" s="855"/>
      <c r="D23" s="855"/>
      <c r="E23" s="855"/>
      <c r="F23" s="855"/>
      <c r="G23" s="855"/>
      <c r="H23" s="856"/>
      <c r="I23" s="465"/>
      <c r="J23" s="465"/>
      <c r="K23" s="466"/>
      <c r="L23" s="466"/>
      <c r="M23" s="466"/>
      <c r="N23" s="466"/>
      <c r="O23" s="466"/>
      <c r="P23" s="466"/>
      <c r="Q23" s="466"/>
    </row>
    <row r="24" spans="1:54" s="467" customFormat="1" ht="16.5" thickBot="1" x14ac:dyDescent="0.25">
      <c r="A24" s="469"/>
      <c r="B24" s="877"/>
      <c r="C24" s="867"/>
      <c r="D24" s="867"/>
      <c r="E24" s="867"/>
      <c r="F24" s="867"/>
      <c r="G24" s="867"/>
      <c r="H24" s="878"/>
      <c r="I24" s="465"/>
      <c r="J24" s="465"/>
      <c r="K24" s="466"/>
      <c r="L24" s="466"/>
      <c r="M24" s="466"/>
      <c r="N24" s="466"/>
      <c r="O24" s="466"/>
      <c r="P24" s="466"/>
      <c r="Q24" s="466"/>
    </row>
    <row r="25" spans="1:54" s="462" customFormat="1" ht="16.5" thickBot="1" x14ac:dyDescent="0.25">
      <c r="A25" s="456"/>
      <c r="B25" s="95"/>
      <c r="C25" s="95"/>
      <c r="D25" s="95"/>
      <c r="E25" s="95"/>
      <c r="F25" s="95"/>
      <c r="G25" s="95"/>
      <c r="H25" s="95"/>
      <c r="I25" s="461"/>
      <c r="J25" s="461"/>
      <c r="K25" s="457"/>
      <c r="L25" s="457"/>
      <c r="M25" s="457"/>
      <c r="N25" s="457"/>
      <c r="O25" s="457"/>
      <c r="P25" s="457"/>
      <c r="Q25" s="457"/>
      <c r="R25" s="457"/>
      <c r="S25" s="457"/>
      <c r="T25" s="457"/>
      <c r="U25" s="457"/>
    </row>
    <row r="26" spans="1:54" s="462" customFormat="1" ht="19.5" thickBot="1" x14ac:dyDescent="0.25">
      <c r="A26" s="448" t="s">
        <v>624</v>
      </c>
      <c r="B26" s="449"/>
      <c r="I26" s="461"/>
      <c r="J26" s="461"/>
      <c r="K26" s="457"/>
      <c r="L26" s="457"/>
      <c r="M26" s="457"/>
      <c r="N26" s="457"/>
      <c r="O26" s="457"/>
      <c r="P26" s="457"/>
      <c r="Q26" s="457"/>
      <c r="R26" s="457"/>
      <c r="S26" s="457"/>
      <c r="T26" s="457"/>
      <c r="U26" s="457"/>
    </row>
    <row r="27" spans="1:54" s="462" customFormat="1" x14ac:dyDescent="0.2">
      <c r="A27" s="223" t="s">
        <v>886</v>
      </c>
      <c r="B27" s="470"/>
      <c r="C27" s="471"/>
      <c r="D27" s="472"/>
      <c r="E27" s="472"/>
      <c r="F27" s="473"/>
      <c r="G27" s="473"/>
      <c r="H27" s="473"/>
      <c r="I27" s="474"/>
      <c r="J27" s="475"/>
      <c r="K27" s="476"/>
      <c r="L27" s="457"/>
      <c r="M27" s="457"/>
      <c r="N27" s="457"/>
      <c r="O27" s="457"/>
      <c r="P27" s="457"/>
      <c r="Q27" s="457"/>
      <c r="R27" s="457"/>
      <c r="S27" s="457"/>
      <c r="T27" s="457"/>
      <c r="U27" s="457"/>
      <c r="V27" s="457"/>
    </row>
    <row r="28" spans="1:54" s="462" customFormat="1" x14ac:dyDescent="0.2">
      <c r="A28" s="96" t="s">
        <v>626</v>
      </c>
      <c r="B28" s="214"/>
      <c r="C28" s="477"/>
      <c r="D28" s="478"/>
      <c r="E28" s="478"/>
      <c r="F28" s="479"/>
      <c r="G28" s="479"/>
      <c r="H28" s="479"/>
      <c r="I28" s="480"/>
      <c r="J28" s="481"/>
      <c r="K28" s="482"/>
      <c r="L28" s="457"/>
      <c r="M28" s="457"/>
      <c r="N28" s="457"/>
      <c r="O28" s="457"/>
      <c r="P28" s="457"/>
      <c r="Q28" s="457"/>
      <c r="R28" s="457"/>
    </row>
    <row r="29" spans="1:54" s="462" customFormat="1" ht="16.5" thickBot="1" x14ac:dyDescent="0.25">
      <c r="A29" s="110" t="s">
        <v>172</v>
      </c>
      <c r="B29" s="483"/>
      <c r="C29" s="484"/>
      <c r="D29" s="485"/>
      <c r="E29" s="485"/>
      <c r="F29" s="486"/>
      <c r="G29" s="486"/>
      <c r="H29" s="486"/>
      <c r="I29" s="487"/>
      <c r="J29" s="488"/>
      <c r="K29" s="489"/>
      <c r="L29" s="457"/>
      <c r="M29" s="457"/>
      <c r="N29" s="457"/>
      <c r="O29" s="457"/>
      <c r="P29" s="457"/>
      <c r="Q29" s="457"/>
      <c r="R29" s="457"/>
      <c r="S29" s="118"/>
      <c r="T29" s="118"/>
      <c r="U29" s="118"/>
      <c r="V29" s="457"/>
      <c r="W29" s="457"/>
      <c r="X29" s="457"/>
    </row>
    <row r="30" spans="1:54" s="491" customFormat="1" ht="32.25" customHeight="1" x14ac:dyDescent="0.2">
      <c r="A30" s="875" t="s">
        <v>627</v>
      </c>
      <c r="B30" s="868" t="s">
        <v>628</v>
      </c>
      <c r="C30" s="868" t="s">
        <v>11</v>
      </c>
      <c r="D30" s="868" t="s">
        <v>12</v>
      </c>
      <c r="E30" s="868" t="s">
        <v>13</v>
      </c>
      <c r="F30" s="868" t="s">
        <v>14</v>
      </c>
      <c r="G30" s="868" t="s">
        <v>15</v>
      </c>
      <c r="H30" s="868" t="s">
        <v>16</v>
      </c>
      <c r="I30" s="868" t="s">
        <v>17</v>
      </c>
      <c r="J30" s="868" t="s">
        <v>18</v>
      </c>
      <c r="K30" s="868" t="s">
        <v>19</v>
      </c>
      <c r="L30" s="868" t="s">
        <v>20</v>
      </c>
      <c r="M30" s="490"/>
      <c r="N30" s="490"/>
      <c r="O30" s="490"/>
      <c r="P30" s="490"/>
      <c r="Q30" s="490"/>
      <c r="R30" s="490"/>
      <c r="S30" s="490"/>
      <c r="T30" s="490"/>
      <c r="U30" s="490"/>
      <c r="V30" s="490"/>
      <c r="W30" s="490"/>
      <c r="X30" s="868" t="s">
        <v>22</v>
      </c>
      <c r="Y30" s="868" t="s">
        <v>23</v>
      </c>
      <c r="Z30" s="868" t="s">
        <v>24</v>
      </c>
      <c r="AA30" s="922" t="s">
        <v>352</v>
      </c>
    </row>
    <row r="31" spans="1:54" s="491" customFormat="1" ht="16.5" thickBot="1" x14ac:dyDescent="0.25">
      <c r="A31" s="876"/>
      <c r="B31" s="869"/>
      <c r="C31" s="869"/>
      <c r="D31" s="869"/>
      <c r="E31" s="869"/>
      <c r="F31" s="869"/>
      <c r="G31" s="872"/>
      <c r="H31" s="869"/>
      <c r="I31" s="869"/>
      <c r="J31" s="869"/>
      <c r="K31" s="869"/>
      <c r="L31" s="869"/>
      <c r="M31" s="492"/>
      <c r="N31" s="492"/>
      <c r="O31" s="492"/>
      <c r="P31" s="492"/>
      <c r="Q31" s="492"/>
      <c r="R31" s="492"/>
      <c r="S31" s="492"/>
      <c r="T31" s="492"/>
      <c r="U31" s="492"/>
      <c r="V31" s="492"/>
      <c r="W31" s="492"/>
      <c r="X31" s="869"/>
      <c r="Y31" s="869"/>
      <c r="Z31" s="869"/>
      <c r="AA31" s="923"/>
    </row>
    <row r="32" spans="1:54" s="136" customFormat="1" x14ac:dyDescent="0.2">
      <c r="A32" s="493"/>
      <c r="B32" s="49"/>
      <c r="C32" s="225"/>
      <c r="D32" s="225"/>
      <c r="E32" s="225"/>
      <c r="F32" s="225"/>
      <c r="G32" s="120"/>
      <c r="H32" s="225"/>
      <c r="I32" s="263"/>
      <c r="J32" s="263"/>
      <c r="K32" s="263"/>
      <c r="L32" s="263"/>
      <c r="M32" s="120"/>
      <c r="N32" s="120"/>
      <c r="O32" s="120"/>
      <c r="P32" s="226"/>
      <c r="Q32" s="226"/>
      <c r="R32" s="226"/>
      <c r="S32" s="120"/>
      <c r="T32" s="120"/>
      <c r="U32" s="120"/>
      <c r="V32" s="120"/>
      <c r="W32" s="120"/>
      <c r="X32" s="227"/>
      <c r="Y32" s="227"/>
      <c r="Z32" s="120"/>
      <c r="AA32" s="121"/>
    </row>
    <row r="33" spans="1:29" s="136" customFormat="1" x14ac:dyDescent="0.2">
      <c r="A33" s="494"/>
      <c r="B33" s="123"/>
      <c r="C33" s="123"/>
      <c r="D33" s="123"/>
      <c r="E33" s="123"/>
      <c r="F33" s="123"/>
      <c r="G33" s="124"/>
      <c r="H33" s="123"/>
      <c r="I33" s="255"/>
      <c r="J33" s="255"/>
      <c r="K33" s="255"/>
      <c r="L33" s="255"/>
      <c r="M33" s="125"/>
      <c r="N33" s="124"/>
      <c r="O33" s="124"/>
      <c r="P33" s="125"/>
      <c r="Q33" s="125"/>
      <c r="R33" s="125"/>
      <c r="S33" s="124"/>
      <c r="T33" s="124"/>
      <c r="U33" s="124"/>
      <c r="V33" s="124"/>
      <c r="W33" s="124"/>
      <c r="X33" s="126"/>
      <c r="Y33" s="126"/>
      <c r="Z33" s="124"/>
      <c r="AA33" s="127"/>
    </row>
    <row r="34" spans="1:29" s="136" customFormat="1" x14ac:dyDescent="0.2">
      <c r="A34" s="494"/>
      <c r="B34" s="123"/>
      <c r="C34" s="123"/>
      <c r="D34" s="123"/>
      <c r="E34" s="123"/>
      <c r="F34" s="123"/>
      <c r="G34" s="124"/>
      <c r="H34" s="123"/>
      <c r="I34" s="255"/>
      <c r="J34" s="255"/>
      <c r="K34" s="255"/>
      <c r="L34" s="255"/>
      <c r="M34" s="125"/>
      <c r="N34" s="124"/>
      <c r="O34" s="124"/>
      <c r="P34" s="125"/>
      <c r="Q34" s="125"/>
      <c r="R34" s="125"/>
      <c r="S34" s="124"/>
      <c r="T34" s="124"/>
      <c r="U34" s="124"/>
      <c r="V34" s="124"/>
      <c r="W34" s="124"/>
      <c r="X34" s="126"/>
      <c r="Y34" s="126"/>
      <c r="Z34" s="124"/>
      <c r="AA34" s="127"/>
    </row>
    <row r="35" spans="1:29" s="136" customFormat="1" ht="16.5" thickBot="1" x14ac:dyDescent="0.25">
      <c r="A35" s="495"/>
      <c r="B35" s="128"/>
      <c r="C35" s="128"/>
      <c r="D35" s="128"/>
      <c r="E35" s="128"/>
      <c r="F35" s="128"/>
      <c r="G35" s="129"/>
      <c r="H35" s="128"/>
      <c r="I35" s="256"/>
      <c r="J35" s="256"/>
      <c r="K35" s="256"/>
      <c r="L35" s="256"/>
      <c r="M35" s="129"/>
      <c r="N35" s="129"/>
      <c r="O35" s="129"/>
      <c r="P35" s="130"/>
      <c r="Q35" s="130"/>
      <c r="R35" s="130"/>
      <c r="S35" s="129"/>
      <c r="T35" s="129"/>
      <c r="U35" s="129"/>
      <c r="V35" s="129"/>
      <c r="W35" s="129"/>
      <c r="X35" s="131"/>
      <c r="Y35" s="131"/>
      <c r="Z35" s="129"/>
      <c r="AA35" s="132"/>
    </row>
    <row r="36" spans="1:29" s="73" customFormat="1" x14ac:dyDescent="0.2">
      <c r="A36" s="133"/>
      <c r="B36" s="133"/>
      <c r="C36" s="133"/>
      <c r="D36" s="133"/>
      <c r="E36" s="133"/>
      <c r="F36" s="133"/>
      <c r="G36" s="118"/>
      <c r="H36" s="118"/>
      <c r="I36" s="118"/>
      <c r="J36" s="118"/>
      <c r="K36" s="118"/>
      <c r="L36" s="118"/>
      <c r="M36" s="134"/>
      <c r="N36" s="118"/>
      <c r="O36" s="159"/>
      <c r="P36" s="159"/>
      <c r="Q36" s="159"/>
      <c r="R36" s="159"/>
      <c r="S36" s="159"/>
      <c r="T36" s="159"/>
      <c r="U36" s="159"/>
      <c r="V36" s="159"/>
      <c r="W36" s="466"/>
    </row>
    <row r="37" spans="1:29" s="73" customFormat="1" ht="16.5" thickBot="1" x14ac:dyDescent="0.25">
      <c r="A37" s="133"/>
      <c r="B37" s="133"/>
      <c r="C37" s="133"/>
      <c r="D37" s="133"/>
      <c r="E37" s="133"/>
      <c r="F37" s="133"/>
      <c r="G37" s="118"/>
      <c r="H37" s="118"/>
      <c r="I37" s="118"/>
      <c r="J37" s="118"/>
      <c r="K37" s="118"/>
      <c r="N37" s="118"/>
      <c r="O37" s="159"/>
      <c r="P37" s="159"/>
      <c r="Q37" s="159"/>
      <c r="R37" s="159"/>
      <c r="S37" s="159"/>
      <c r="T37" s="159"/>
      <c r="U37" s="159"/>
      <c r="V37" s="159"/>
      <c r="W37" s="467"/>
    </row>
    <row r="38" spans="1:29" s="73" customFormat="1" ht="16.5" thickBot="1" x14ac:dyDescent="0.25">
      <c r="A38" s="496" t="s">
        <v>25</v>
      </c>
      <c r="B38" s="133"/>
      <c r="C38" s="133"/>
      <c r="D38" s="133"/>
      <c r="E38" s="133"/>
      <c r="F38" s="133"/>
      <c r="G38" s="118"/>
      <c r="H38" s="118"/>
      <c r="I38" s="118"/>
      <c r="J38" s="118"/>
      <c r="K38" s="118"/>
      <c r="M38" s="118"/>
      <c r="N38" s="118"/>
      <c r="O38" s="159"/>
      <c r="P38" s="136"/>
      <c r="Q38" s="136"/>
      <c r="R38" s="136"/>
      <c r="S38" s="466"/>
      <c r="T38" s="466"/>
      <c r="U38" s="466"/>
      <c r="V38" s="466"/>
      <c r="W38" s="159"/>
    </row>
    <row r="39" spans="1:29" s="73" customFormat="1" ht="15.75" customHeight="1" x14ac:dyDescent="0.2">
      <c r="A39" s="875" t="s">
        <v>627</v>
      </c>
      <c r="B39" s="868" t="s">
        <v>628</v>
      </c>
      <c r="C39" s="868" t="s">
        <v>11</v>
      </c>
      <c r="D39" s="868" t="s">
        <v>12</v>
      </c>
      <c r="E39" s="868" t="s">
        <v>13</v>
      </c>
      <c r="F39" s="868" t="s">
        <v>14</v>
      </c>
      <c r="G39" s="868" t="s">
        <v>15</v>
      </c>
      <c r="H39" s="868" t="s">
        <v>16</v>
      </c>
      <c r="I39" s="868" t="s">
        <v>26</v>
      </c>
      <c r="J39" s="868" t="s">
        <v>27</v>
      </c>
      <c r="K39" s="945" t="s">
        <v>295</v>
      </c>
      <c r="L39" s="497" t="s">
        <v>63</v>
      </c>
      <c r="M39" s="498" t="s">
        <v>64</v>
      </c>
      <c r="N39" s="499" t="s">
        <v>65</v>
      </c>
      <c r="O39" s="490"/>
      <c r="P39" s="490"/>
      <c r="Q39" s="490"/>
      <c r="R39" s="490"/>
      <c r="S39" s="490"/>
      <c r="T39" s="490"/>
      <c r="U39" s="490"/>
      <c r="V39" s="490"/>
      <c r="W39" s="490"/>
      <c r="X39" s="868" t="s">
        <v>22</v>
      </c>
      <c r="Y39" s="868" t="s">
        <v>23</v>
      </c>
      <c r="Z39" s="868" t="s">
        <v>24</v>
      </c>
      <c r="AA39" s="922" t="s">
        <v>352</v>
      </c>
    </row>
    <row r="40" spans="1:29" s="73" customFormat="1" ht="31.7" customHeight="1" thickBot="1" x14ac:dyDescent="0.25">
      <c r="A40" s="876"/>
      <c r="B40" s="869"/>
      <c r="C40" s="869"/>
      <c r="D40" s="869"/>
      <c r="E40" s="869"/>
      <c r="F40" s="869"/>
      <c r="G40" s="872"/>
      <c r="H40" s="869"/>
      <c r="I40" s="869"/>
      <c r="J40" s="869"/>
      <c r="K40" s="946"/>
      <c r="L40" s="500" t="s">
        <v>66</v>
      </c>
      <c r="M40" s="501" t="s">
        <v>67</v>
      </c>
      <c r="N40" s="502" t="s">
        <v>68</v>
      </c>
      <c r="O40" s="503"/>
      <c r="P40" s="492"/>
      <c r="Q40" s="492"/>
      <c r="R40" s="492"/>
      <c r="S40" s="492"/>
      <c r="T40" s="492"/>
      <c r="U40" s="492"/>
      <c r="V40" s="492"/>
      <c r="W40" s="492"/>
      <c r="X40" s="869"/>
      <c r="Y40" s="869"/>
      <c r="Z40" s="869"/>
      <c r="AA40" s="923"/>
    </row>
    <row r="41" spans="1:29" s="136" customFormat="1" x14ac:dyDescent="0.2">
      <c r="A41" s="493"/>
      <c r="B41" s="225"/>
      <c r="C41" s="225"/>
      <c r="D41" s="225"/>
      <c r="E41" s="225"/>
      <c r="F41" s="225"/>
      <c r="G41" s="120"/>
      <c r="H41" s="225"/>
      <c r="I41" s="263"/>
      <c r="J41" s="263"/>
      <c r="K41" s="265"/>
      <c r="L41" s="268"/>
      <c r="M41" s="120"/>
      <c r="N41" s="121"/>
      <c r="O41" s="269"/>
      <c r="P41" s="226"/>
      <c r="Q41" s="226"/>
      <c r="R41" s="226"/>
      <c r="S41" s="120"/>
      <c r="T41" s="120"/>
      <c r="U41" s="120"/>
      <c r="V41" s="120"/>
      <c r="W41" s="120"/>
      <c r="X41" s="227"/>
      <c r="Y41" s="227"/>
      <c r="Z41" s="120"/>
      <c r="AA41" s="121"/>
    </row>
    <row r="42" spans="1:29" s="136" customFormat="1" x14ac:dyDescent="0.2">
      <c r="A42" s="494"/>
      <c r="B42" s="123"/>
      <c r="C42" s="123"/>
      <c r="D42" s="123"/>
      <c r="E42" s="123"/>
      <c r="F42" s="123"/>
      <c r="G42" s="124"/>
      <c r="H42" s="123"/>
      <c r="I42" s="255"/>
      <c r="J42" s="255"/>
      <c r="K42" s="266"/>
      <c r="L42" s="259"/>
      <c r="M42" s="124"/>
      <c r="N42" s="127"/>
      <c r="O42" s="248"/>
      <c r="P42" s="125"/>
      <c r="Q42" s="125"/>
      <c r="R42" s="125"/>
      <c r="S42" s="124"/>
      <c r="T42" s="124"/>
      <c r="U42" s="124"/>
      <c r="V42" s="124"/>
      <c r="W42" s="124"/>
      <c r="X42" s="126"/>
      <c r="Y42" s="126"/>
      <c r="Z42" s="124"/>
      <c r="AA42" s="127"/>
    </row>
    <row r="43" spans="1:29" s="136" customFormat="1" x14ac:dyDescent="0.2">
      <c r="A43" s="494"/>
      <c r="B43" s="123"/>
      <c r="C43" s="123"/>
      <c r="D43" s="123"/>
      <c r="E43" s="123"/>
      <c r="F43" s="123"/>
      <c r="G43" s="124"/>
      <c r="H43" s="123"/>
      <c r="I43" s="255"/>
      <c r="J43" s="255"/>
      <c r="K43" s="266"/>
      <c r="L43" s="259"/>
      <c r="M43" s="124"/>
      <c r="N43" s="127"/>
      <c r="O43" s="248"/>
      <c r="P43" s="125"/>
      <c r="Q43" s="125"/>
      <c r="R43" s="125"/>
      <c r="S43" s="124"/>
      <c r="T43" s="124"/>
      <c r="U43" s="124"/>
      <c r="V43" s="124"/>
      <c r="W43" s="124"/>
      <c r="X43" s="126"/>
      <c r="Y43" s="126"/>
      <c r="Z43" s="124"/>
      <c r="AA43" s="127"/>
    </row>
    <row r="44" spans="1:29" s="136" customFormat="1" ht="16.5" thickBot="1" x14ac:dyDescent="0.25">
      <c r="A44" s="495"/>
      <c r="B44" s="128"/>
      <c r="C44" s="128"/>
      <c r="D44" s="128"/>
      <c r="E44" s="128"/>
      <c r="F44" s="128"/>
      <c r="G44" s="129"/>
      <c r="H44" s="128"/>
      <c r="I44" s="256"/>
      <c r="J44" s="256"/>
      <c r="K44" s="267"/>
      <c r="L44" s="137"/>
      <c r="M44" s="129"/>
      <c r="N44" s="132"/>
      <c r="O44" s="137"/>
      <c r="P44" s="129"/>
      <c r="Q44" s="129"/>
      <c r="R44" s="129"/>
      <c r="S44" s="129"/>
      <c r="T44" s="129"/>
      <c r="U44" s="129"/>
      <c r="V44" s="129"/>
      <c r="W44" s="129"/>
      <c r="X44" s="131"/>
      <c r="Y44" s="131"/>
      <c r="Z44" s="129"/>
      <c r="AA44" s="132"/>
    </row>
    <row r="45" spans="1:29" s="73" customFormat="1" x14ac:dyDescent="0.2">
      <c r="A45" s="133"/>
      <c r="B45" s="133"/>
      <c r="C45" s="133"/>
      <c r="D45" s="133"/>
      <c r="E45" s="133"/>
      <c r="F45" s="133"/>
      <c r="G45" s="118"/>
      <c r="H45" s="118"/>
      <c r="I45" s="118"/>
      <c r="J45" s="118"/>
      <c r="K45" s="118"/>
      <c r="L45" s="118"/>
      <c r="M45" s="118"/>
      <c r="N45" s="118"/>
      <c r="O45" s="160"/>
      <c r="P45" s="159"/>
      <c r="Q45" s="159"/>
      <c r="R45" s="159"/>
      <c r="S45" s="136"/>
      <c r="T45" s="136"/>
      <c r="U45" s="136"/>
      <c r="V45" s="136"/>
      <c r="W45" s="136"/>
      <c r="X45" s="118"/>
    </row>
    <row r="46" spans="1:29" s="73" customFormat="1" ht="16.5" thickBot="1" x14ac:dyDescent="0.25">
      <c r="A46" s="133"/>
      <c r="B46" s="133"/>
      <c r="C46" s="133"/>
      <c r="D46" s="133"/>
      <c r="E46" s="133"/>
      <c r="F46" s="133"/>
      <c r="G46" s="118"/>
      <c r="H46" s="118"/>
      <c r="I46" s="118"/>
      <c r="J46" s="118"/>
      <c r="K46" s="118"/>
      <c r="L46" s="118"/>
      <c r="M46" s="118"/>
      <c r="N46" s="118"/>
      <c r="O46" s="160"/>
      <c r="P46" s="159"/>
      <c r="Q46" s="159"/>
      <c r="R46" s="159"/>
      <c r="S46" s="136"/>
      <c r="T46" s="136"/>
      <c r="U46" s="136"/>
      <c r="V46" s="136"/>
      <c r="W46" s="136"/>
      <c r="X46" s="118"/>
    </row>
    <row r="47" spans="1:29" s="73" customFormat="1" ht="16.5" thickBot="1" x14ac:dyDescent="0.25">
      <c r="A47" s="822" t="s">
        <v>307</v>
      </c>
      <c r="B47" s="873"/>
      <c r="C47" s="873"/>
      <c r="D47" s="874"/>
      <c r="E47" s="133"/>
      <c r="F47" s="133"/>
      <c r="G47" s="118"/>
      <c r="H47" s="118"/>
      <c r="I47" s="118"/>
      <c r="J47" s="118"/>
      <c r="K47" s="118"/>
      <c r="L47" s="118"/>
      <c r="M47" s="118"/>
      <c r="N47" s="118"/>
      <c r="O47" s="136"/>
      <c r="P47" s="159"/>
      <c r="Q47" s="159"/>
      <c r="R47" s="159"/>
      <c r="S47" s="466"/>
      <c r="T47" s="466"/>
      <c r="U47" s="466"/>
      <c r="V47" s="466"/>
      <c r="W47" s="159"/>
      <c r="X47" s="118"/>
      <c r="Y47" s="118"/>
    </row>
    <row r="48" spans="1:29" s="73" customFormat="1" ht="15.75" customHeight="1" x14ac:dyDescent="0.2">
      <c r="A48" s="875" t="s">
        <v>627</v>
      </c>
      <c r="B48" s="868" t="s">
        <v>628</v>
      </c>
      <c r="C48" s="868" t="s">
        <v>11</v>
      </c>
      <c r="D48" s="868" t="s">
        <v>12</v>
      </c>
      <c r="E48" s="868" t="s">
        <v>13</v>
      </c>
      <c r="F48" s="868" t="s">
        <v>14</v>
      </c>
      <c r="G48" s="868" t="s">
        <v>15</v>
      </c>
      <c r="H48" s="868" t="s">
        <v>16</v>
      </c>
      <c r="I48" s="868">
        <v>20</v>
      </c>
      <c r="J48" s="868">
        <v>40</v>
      </c>
      <c r="K48" s="868" t="s">
        <v>19</v>
      </c>
      <c r="L48" s="922" t="s">
        <v>20</v>
      </c>
      <c r="M48" s="943" t="s">
        <v>28</v>
      </c>
      <c r="N48" s="504" t="s">
        <v>69</v>
      </c>
      <c r="O48" s="498" t="s">
        <v>64</v>
      </c>
      <c r="P48" s="499" t="s">
        <v>65</v>
      </c>
      <c r="Q48" s="490" t="s">
        <v>147</v>
      </c>
      <c r="R48" s="490" t="s">
        <v>71</v>
      </c>
      <c r="S48" s="490"/>
      <c r="T48" s="490"/>
      <c r="U48" s="490"/>
      <c r="V48" s="490"/>
      <c r="W48" s="490"/>
      <c r="X48" s="490"/>
      <c r="Y48" s="490"/>
      <c r="Z48" s="868" t="s">
        <v>22</v>
      </c>
      <c r="AA48" s="868" t="s">
        <v>23</v>
      </c>
      <c r="AB48" s="868" t="s">
        <v>24</v>
      </c>
      <c r="AC48" s="922" t="s">
        <v>352</v>
      </c>
    </row>
    <row r="49" spans="1:29" s="73" customFormat="1" ht="48" thickBot="1" x14ac:dyDescent="0.25">
      <c r="A49" s="876"/>
      <c r="B49" s="869"/>
      <c r="C49" s="869"/>
      <c r="D49" s="869"/>
      <c r="E49" s="869"/>
      <c r="F49" s="869"/>
      <c r="G49" s="872"/>
      <c r="H49" s="869"/>
      <c r="I49" s="869"/>
      <c r="J49" s="869"/>
      <c r="K49" s="869"/>
      <c r="L49" s="923"/>
      <c r="M49" s="944"/>
      <c r="N49" s="505" t="s">
        <v>70</v>
      </c>
      <c r="O49" s="501" t="s">
        <v>67</v>
      </c>
      <c r="P49" s="502" t="s">
        <v>68</v>
      </c>
      <c r="Q49" s="503" t="s">
        <v>84</v>
      </c>
      <c r="R49" s="492" t="s">
        <v>84</v>
      </c>
      <c r="S49" s="492"/>
      <c r="T49" s="492"/>
      <c r="U49" s="492"/>
      <c r="V49" s="492"/>
      <c r="W49" s="492"/>
      <c r="X49" s="492"/>
      <c r="Y49" s="492"/>
      <c r="Z49" s="924"/>
      <c r="AA49" s="924"/>
      <c r="AB49" s="924"/>
      <c r="AC49" s="923"/>
    </row>
    <row r="50" spans="1:29" s="136" customFormat="1" x14ac:dyDescent="0.2">
      <c r="A50" s="493"/>
      <c r="B50" s="225"/>
      <c r="C50" s="225"/>
      <c r="D50" s="225"/>
      <c r="E50" s="225"/>
      <c r="F50" s="225"/>
      <c r="G50" s="120"/>
      <c r="H50" s="225"/>
      <c r="I50" s="263"/>
      <c r="J50" s="263"/>
      <c r="K50" s="263"/>
      <c r="L50" s="265"/>
      <c r="M50" s="270"/>
      <c r="N50" s="268"/>
      <c r="O50" s="120"/>
      <c r="P50" s="121"/>
      <c r="Q50" s="269"/>
      <c r="R50" s="226"/>
      <c r="S50" s="226"/>
      <c r="T50" s="226"/>
      <c r="U50" s="226"/>
      <c r="V50" s="226"/>
      <c r="W50" s="120"/>
      <c r="X50" s="120"/>
      <c r="Y50" s="120"/>
      <c r="Z50" s="227"/>
      <c r="AA50" s="227"/>
      <c r="AB50" s="120"/>
      <c r="AC50" s="121"/>
    </row>
    <row r="51" spans="1:29" s="136" customFormat="1" x14ac:dyDescent="0.2">
      <c r="A51" s="494"/>
      <c r="B51" s="123"/>
      <c r="C51" s="123"/>
      <c r="D51" s="123"/>
      <c r="E51" s="123"/>
      <c r="F51" s="123"/>
      <c r="G51" s="124"/>
      <c r="H51" s="123"/>
      <c r="I51" s="255"/>
      <c r="J51" s="255"/>
      <c r="K51" s="255"/>
      <c r="L51" s="266"/>
      <c r="M51" s="271"/>
      <c r="N51" s="259"/>
      <c r="O51" s="124"/>
      <c r="P51" s="127"/>
      <c r="Q51" s="248"/>
      <c r="R51" s="125"/>
      <c r="S51" s="125"/>
      <c r="T51" s="125"/>
      <c r="U51" s="125"/>
      <c r="V51" s="125"/>
      <c r="W51" s="124"/>
      <c r="X51" s="124"/>
      <c r="Y51" s="124"/>
      <c r="Z51" s="126"/>
      <c r="AA51" s="126"/>
      <c r="AB51" s="124"/>
      <c r="AC51" s="127"/>
    </row>
    <row r="52" spans="1:29" s="136" customFormat="1" x14ac:dyDescent="0.2">
      <c r="A52" s="494"/>
      <c r="B52" s="123"/>
      <c r="C52" s="123"/>
      <c r="D52" s="123"/>
      <c r="E52" s="123"/>
      <c r="F52" s="123"/>
      <c r="G52" s="124"/>
      <c r="H52" s="123"/>
      <c r="I52" s="255"/>
      <c r="J52" s="255"/>
      <c r="K52" s="255"/>
      <c r="L52" s="266"/>
      <c r="M52" s="271"/>
      <c r="N52" s="259"/>
      <c r="O52" s="124"/>
      <c r="P52" s="127"/>
      <c r="Q52" s="248"/>
      <c r="R52" s="125"/>
      <c r="S52" s="125"/>
      <c r="T52" s="125"/>
      <c r="U52" s="125"/>
      <c r="V52" s="125"/>
      <c r="W52" s="124"/>
      <c r="X52" s="124"/>
      <c r="Y52" s="124"/>
      <c r="Z52" s="126"/>
      <c r="AA52" s="126"/>
      <c r="AB52" s="124"/>
      <c r="AC52" s="127"/>
    </row>
    <row r="53" spans="1:29" s="136" customFormat="1" ht="16.5" thickBot="1" x14ac:dyDescent="0.25">
      <c r="A53" s="495"/>
      <c r="B53" s="128"/>
      <c r="C53" s="128"/>
      <c r="D53" s="128"/>
      <c r="E53" s="128"/>
      <c r="F53" s="128"/>
      <c r="G53" s="129"/>
      <c r="H53" s="128"/>
      <c r="I53" s="256"/>
      <c r="J53" s="256"/>
      <c r="K53" s="256"/>
      <c r="L53" s="267"/>
      <c r="M53" s="161"/>
      <c r="N53" s="137"/>
      <c r="O53" s="129"/>
      <c r="P53" s="132"/>
      <c r="Q53" s="137"/>
      <c r="R53" s="129"/>
      <c r="S53" s="129"/>
      <c r="T53" s="129"/>
      <c r="U53" s="129"/>
      <c r="V53" s="129"/>
      <c r="W53" s="129"/>
      <c r="X53" s="129"/>
      <c r="Y53" s="129"/>
      <c r="Z53" s="131"/>
      <c r="AA53" s="131"/>
      <c r="AB53" s="129"/>
      <c r="AC53" s="132"/>
    </row>
    <row r="54" spans="1:29" s="73" customFormat="1" x14ac:dyDescent="0.2">
      <c r="A54" s="133"/>
      <c r="B54" s="133"/>
      <c r="C54" s="133"/>
      <c r="D54" s="133"/>
      <c r="E54" s="133"/>
      <c r="F54" s="133"/>
      <c r="G54" s="118"/>
      <c r="H54" s="118"/>
      <c r="I54" s="118"/>
      <c r="J54" s="118"/>
      <c r="K54" s="118"/>
      <c r="M54" s="118"/>
      <c r="V54" s="118"/>
      <c r="W54" s="118"/>
    </row>
    <row r="55" spans="1:29" s="73" customFormat="1" x14ac:dyDescent="0.2">
      <c r="A55" s="133"/>
      <c r="B55" s="133"/>
      <c r="C55" s="133"/>
      <c r="D55" s="133"/>
      <c r="E55" s="133"/>
      <c r="F55" s="118"/>
      <c r="G55" s="118"/>
      <c r="H55" s="118"/>
      <c r="I55" s="118"/>
      <c r="J55" s="118"/>
      <c r="K55" s="134"/>
      <c r="L55" s="118"/>
      <c r="M55" s="118"/>
      <c r="N55" s="118"/>
      <c r="S55" s="118"/>
      <c r="T55" s="118"/>
      <c r="U55" s="118"/>
    </row>
    <row r="56" spans="1:29" s="456" customFormat="1" ht="16.5" thickBot="1" x14ac:dyDescent="0.25">
      <c r="A56" s="133"/>
      <c r="B56" s="133"/>
      <c r="C56" s="133"/>
      <c r="D56" s="133"/>
      <c r="E56" s="118"/>
      <c r="F56" s="118"/>
      <c r="G56" s="118"/>
      <c r="H56" s="118"/>
      <c r="I56" s="118"/>
      <c r="J56" s="134"/>
      <c r="K56" s="134"/>
      <c r="L56" s="134"/>
      <c r="M56" s="134"/>
      <c r="R56" s="134"/>
    </row>
    <row r="57" spans="1:29" s="456" customFormat="1" ht="19.5" thickBot="1" x14ac:dyDescent="0.25">
      <c r="A57" s="938" t="s">
        <v>29</v>
      </c>
      <c r="B57" s="939"/>
      <c r="C57" s="940"/>
      <c r="D57" s="133"/>
      <c r="E57" s="133"/>
      <c r="F57" s="118"/>
      <c r="G57" s="118"/>
      <c r="H57" s="118"/>
      <c r="I57" s="118"/>
      <c r="J57" s="118"/>
      <c r="K57" s="134"/>
      <c r="L57" s="134"/>
      <c r="M57" s="134"/>
      <c r="N57" s="134"/>
      <c r="S57" s="134"/>
      <c r="T57" s="134"/>
      <c r="U57" s="134"/>
    </row>
    <row r="58" spans="1:29" s="456" customFormat="1" ht="16.5" thickBot="1" x14ac:dyDescent="0.25">
      <c r="A58" s="800" t="s">
        <v>625</v>
      </c>
      <c r="B58" s="801"/>
      <c r="C58" s="802"/>
      <c r="D58" s="133"/>
      <c r="E58" s="133"/>
      <c r="F58" s="133"/>
      <c r="G58" s="118"/>
      <c r="H58" s="118"/>
      <c r="I58" s="118"/>
      <c r="J58" s="118"/>
      <c r="K58" s="118"/>
      <c r="L58" s="134"/>
      <c r="N58" s="134"/>
      <c r="O58" s="134"/>
      <c r="V58" s="134"/>
    </row>
    <row r="59" spans="1:29" s="456" customFormat="1" x14ac:dyDescent="0.2">
      <c r="A59" s="506" t="s">
        <v>30</v>
      </c>
      <c r="B59" s="507"/>
      <c r="C59" s="508" t="s">
        <v>155</v>
      </c>
      <c r="D59" s="509"/>
      <c r="E59" s="509"/>
      <c r="F59" s="510"/>
      <c r="G59" s="510"/>
      <c r="H59" s="509"/>
      <c r="I59" s="510"/>
      <c r="J59" s="509"/>
      <c r="K59" s="143"/>
      <c r="L59" s="144"/>
      <c r="N59" s="134"/>
      <c r="O59" s="134"/>
      <c r="P59" s="134"/>
    </row>
    <row r="60" spans="1:29" s="456" customFormat="1" x14ac:dyDescent="0.2">
      <c r="A60" s="96" t="s">
        <v>626</v>
      </c>
      <c r="B60" s="511"/>
      <c r="C60" s="511"/>
      <c r="D60" s="512"/>
      <c r="E60" s="512"/>
      <c r="F60" s="215"/>
      <c r="G60" s="215"/>
      <c r="H60" s="512"/>
      <c r="I60" s="215"/>
      <c r="J60" s="512"/>
      <c r="K60" s="149"/>
      <c r="L60" s="150"/>
      <c r="N60" s="134"/>
      <c r="O60" s="134"/>
      <c r="P60" s="134"/>
    </row>
    <row r="61" spans="1:29" s="456" customFormat="1" x14ac:dyDescent="0.2">
      <c r="A61" s="96" t="s">
        <v>173</v>
      </c>
      <c r="B61" s="511"/>
      <c r="C61" s="511"/>
      <c r="D61" s="512"/>
      <c r="E61" s="512"/>
      <c r="F61" s="215"/>
      <c r="G61" s="215"/>
      <c r="H61" s="512"/>
      <c r="I61" s="215"/>
      <c r="J61" s="512"/>
      <c r="K61" s="149"/>
      <c r="L61" s="150"/>
      <c r="N61" s="134"/>
      <c r="O61" s="134"/>
      <c r="P61" s="134"/>
    </row>
    <row r="62" spans="1:29" s="456" customFormat="1" x14ac:dyDescent="0.2">
      <c r="A62" s="96" t="s">
        <v>987</v>
      </c>
      <c r="B62" s="511"/>
      <c r="C62" s="511"/>
      <c r="D62" s="512"/>
      <c r="E62" s="512"/>
      <c r="F62" s="215"/>
      <c r="G62" s="215"/>
      <c r="H62" s="512"/>
      <c r="I62" s="215"/>
      <c r="J62" s="512"/>
      <c r="K62" s="149"/>
      <c r="L62" s="150"/>
      <c r="N62" s="134"/>
      <c r="O62" s="134"/>
      <c r="P62" s="134"/>
    </row>
    <row r="63" spans="1:29" s="456" customFormat="1" ht="16.5" thickBot="1" x14ac:dyDescent="0.25">
      <c r="A63" s="110" t="s">
        <v>988</v>
      </c>
      <c r="B63" s="513"/>
      <c r="C63" s="513"/>
      <c r="D63" s="514"/>
      <c r="E63" s="514"/>
      <c r="F63" s="515"/>
      <c r="G63" s="515"/>
      <c r="H63" s="514"/>
      <c r="I63" s="515"/>
      <c r="J63" s="514"/>
      <c r="K63" s="154"/>
      <c r="L63" s="155"/>
      <c r="N63" s="134"/>
      <c r="O63" s="134"/>
      <c r="P63" s="134"/>
    </row>
    <row r="64" spans="1:29" s="456" customFormat="1" ht="16.5" thickBot="1" x14ac:dyDescent="0.25">
      <c r="A64" s="516"/>
      <c r="B64" s="517"/>
      <c r="C64" s="134"/>
      <c r="D64" s="133"/>
      <c r="E64" s="133"/>
      <c r="F64" s="133"/>
      <c r="G64" s="133"/>
      <c r="H64" s="118"/>
      <c r="I64" s="118"/>
      <c r="J64" s="118"/>
      <c r="K64" s="118"/>
      <c r="L64" s="118"/>
      <c r="M64" s="134"/>
      <c r="O64" s="134"/>
      <c r="P64" s="134"/>
      <c r="Q64" s="118"/>
    </row>
    <row r="65" spans="1:24" s="14" customFormat="1" ht="48" thickBot="1" x14ac:dyDescent="0.25">
      <c r="A65" s="518" t="s">
        <v>31</v>
      </c>
      <c r="B65" s="932" t="s">
        <v>628</v>
      </c>
      <c r="C65" s="933"/>
      <c r="D65" s="934"/>
      <c r="E65" s="519" t="s">
        <v>11</v>
      </c>
      <c r="F65" s="519" t="s">
        <v>14</v>
      </c>
      <c r="G65" s="519" t="s">
        <v>287</v>
      </c>
      <c r="H65" s="519" t="s">
        <v>32</v>
      </c>
      <c r="I65" s="519" t="s">
        <v>16</v>
      </c>
      <c r="J65" s="519" t="s">
        <v>17</v>
      </c>
      <c r="K65" s="519" t="s">
        <v>18</v>
      </c>
      <c r="L65" s="519" t="s">
        <v>19</v>
      </c>
      <c r="M65" s="519" t="s">
        <v>20</v>
      </c>
      <c r="N65" s="520" t="s">
        <v>123</v>
      </c>
      <c r="O65" s="519" t="s">
        <v>96</v>
      </c>
      <c r="P65" s="521" t="s">
        <v>809</v>
      </c>
    </row>
    <row r="66" spans="1:24" s="303" customFormat="1" x14ac:dyDescent="0.2">
      <c r="A66" s="269"/>
      <c r="B66" s="925"/>
      <c r="C66" s="926"/>
      <c r="D66" s="926"/>
      <c r="E66" s="226"/>
      <c r="F66" s="226"/>
      <c r="G66" s="226"/>
      <c r="H66" s="226"/>
      <c r="I66" s="226"/>
      <c r="J66" s="273"/>
      <c r="K66" s="263"/>
      <c r="L66" s="263"/>
      <c r="M66" s="306"/>
      <c r="N66" s="49"/>
      <c r="O66" s="226"/>
      <c r="P66" s="274"/>
      <c r="Q66" s="159"/>
      <c r="R66" s="159"/>
      <c r="S66" s="159"/>
      <c r="T66" s="159"/>
      <c r="U66" s="159"/>
      <c r="V66" s="160"/>
      <c r="W66" s="160"/>
      <c r="X66" s="160"/>
    </row>
    <row r="67" spans="1:24" s="303" customFormat="1" x14ac:dyDescent="0.2">
      <c r="A67" s="248"/>
      <c r="B67" s="927"/>
      <c r="C67" s="928"/>
      <c r="D67" s="928"/>
      <c r="E67" s="125"/>
      <c r="F67" s="125"/>
      <c r="G67" s="125"/>
      <c r="H67" s="125"/>
      <c r="I67" s="125"/>
      <c r="J67" s="275"/>
      <c r="K67" s="255"/>
      <c r="L67" s="255"/>
      <c r="M67" s="307"/>
      <c r="N67" s="21"/>
      <c r="O67" s="125"/>
      <c r="P67" s="276"/>
      <c r="Q67" s="159"/>
      <c r="R67" s="159"/>
      <c r="S67" s="159"/>
      <c r="T67" s="159"/>
      <c r="U67" s="159"/>
      <c r="V67" s="160"/>
      <c r="W67" s="160"/>
      <c r="X67" s="160"/>
    </row>
    <row r="68" spans="1:24" s="303" customFormat="1" x14ac:dyDescent="0.2">
      <c r="A68" s="248"/>
      <c r="B68" s="927"/>
      <c r="C68" s="928"/>
      <c r="D68" s="928"/>
      <c r="E68" s="125"/>
      <c r="F68" s="125"/>
      <c r="G68" s="125"/>
      <c r="H68" s="125"/>
      <c r="I68" s="125"/>
      <c r="J68" s="275"/>
      <c r="K68" s="255"/>
      <c r="L68" s="255"/>
      <c r="M68" s="307"/>
      <c r="N68" s="21"/>
      <c r="O68" s="125"/>
      <c r="P68" s="276"/>
      <c r="Q68" s="159"/>
      <c r="R68" s="159"/>
      <c r="S68" s="159"/>
      <c r="T68" s="159"/>
      <c r="U68" s="159"/>
      <c r="V68" s="160"/>
      <c r="W68" s="160"/>
      <c r="X68" s="160"/>
    </row>
    <row r="69" spans="1:24" s="303" customFormat="1" ht="16.5" thickBot="1" x14ac:dyDescent="0.25">
      <c r="A69" s="304"/>
      <c r="B69" s="912"/>
      <c r="C69" s="913"/>
      <c r="D69" s="913"/>
      <c r="E69" s="130"/>
      <c r="F69" s="130"/>
      <c r="G69" s="130"/>
      <c r="H69" s="130"/>
      <c r="I69" s="130"/>
      <c r="J69" s="258"/>
      <c r="K69" s="256"/>
      <c r="L69" s="256"/>
      <c r="M69" s="305"/>
      <c r="N69" s="29"/>
      <c r="O69" s="129"/>
      <c r="P69" s="132"/>
      <c r="Q69" s="159"/>
      <c r="R69" s="159"/>
      <c r="S69" s="159"/>
      <c r="T69" s="159"/>
      <c r="U69" s="159"/>
      <c r="V69" s="160"/>
      <c r="W69" s="160"/>
      <c r="X69" s="160"/>
    </row>
    <row r="70" spans="1:24" s="456" customFormat="1" x14ac:dyDescent="0.2">
      <c r="A70" s="134"/>
      <c r="B70" s="134"/>
      <c r="C70" s="522"/>
      <c r="D70" s="522"/>
      <c r="E70" s="134"/>
      <c r="F70" s="134"/>
      <c r="G70" s="134"/>
      <c r="H70" s="134"/>
      <c r="I70" s="134"/>
      <c r="J70" s="134"/>
      <c r="K70" s="134"/>
      <c r="L70" s="134"/>
      <c r="M70" s="134"/>
      <c r="O70" s="118"/>
      <c r="P70" s="118"/>
      <c r="Q70" s="118"/>
      <c r="R70" s="118"/>
      <c r="S70" s="118"/>
      <c r="T70" s="118"/>
      <c r="U70" s="118"/>
      <c r="V70" s="134"/>
      <c r="W70" s="134"/>
      <c r="X70" s="134"/>
    </row>
    <row r="71" spans="1:24" s="456" customFormat="1" ht="16.5" thickBot="1" x14ac:dyDescent="0.25">
      <c r="A71" s="133"/>
      <c r="B71" s="133"/>
      <c r="C71" s="133"/>
      <c r="D71" s="133"/>
      <c r="E71" s="133"/>
      <c r="F71" s="133"/>
      <c r="G71" s="133"/>
      <c r="H71" s="133"/>
      <c r="I71" s="118"/>
      <c r="J71" s="118"/>
      <c r="K71" s="118"/>
      <c r="L71" s="118"/>
      <c r="M71" s="118"/>
      <c r="N71" s="134"/>
      <c r="O71" s="134"/>
      <c r="P71" s="134"/>
      <c r="Q71" s="134"/>
      <c r="R71" s="134"/>
      <c r="S71" s="134"/>
      <c r="T71" s="134"/>
      <c r="U71" s="134"/>
      <c r="V71" s="134"/>
      <c r="W71" s="118"/>
    </row>
    <row r="72" spans="1:24" s="456" customFormat="1" ht="19.5" thickBot="1" x14ac:dyDescent="0.25">
      <c r="A72" s="938" t="s">
        <v>34</v>
      </c>
      <c r="B72" s="939"/>
      <c r="C72" s="940"/>
      <c r="D72" s="523"/>
      <c r="E72" s="133"/>
      <c r="F72" s="133"/>
      <c r="G72" s="133"/>
      <c r="H72" s="133"/>
      <c r="I72" s="118"/>
      <c r="J72" s="118"/>
      <c r="K72" s="118"/>
      <c r="L72" s="118"/>
      <c r="M72" s="118"/>
      <c r="N72" s="134"/>
      <c r="O72" s="134"/>
      <c r="P72" s="134"/>
      <c r="Q72" s="134"/>
      <c r="R72" s="134"/>
      <c r="S72" s="134"/>
      <c r="T72" s="134"/>
      <c r="U72" s="134"/>
      <c r="V72" s="134"/>
      <c r="W72" s="118"/>
    </row>
    <row r="73" spans="1:24" s="456" customFormat="1" ht="16.5" thickBot="1" x14ac:dyDescent="0.25">
      <c r="A73" s="800" t="s">
        <v>625</v>
      </c>
      <c r="B73" s="801"/>
      <c r="C73" s="802"/>
      <c r="D73" s="200"/>
      <c r="E73" s="200"/>
      <c r="F73" s="200"/>
      <c r="G73" s="200"/>
      <c r="H73" s="194"/>
      <c r="I73" s="194"/>
      <c r="J73" s="200"/>
      <c r="K73" s="194"/>
      <c r="L73" s="200"/>
      <c r="M73" s="118"/>
      <c r="N73" s="134"/>
      <c r="O73" s="134"/>
      <c r="P73" s="134"/>
      <c r="Q73" s="134"/>
      <c r="R73" s="134"/>
      <c r="S73" s="134"/>
      <c r="T73" s="134"/>
      <c r="U73" s="134"/>
      <c r="V73" s="134"/>
      <c r="W73" s="118"/>
    </row>
    <row r="74" spans="1:24" s="456" customFormat="1" x14ac:dyDescent="0.2">
      <c r="A74" s="506" t="s">
        <v>30</v>
      </c>
      <c r="B74" s="470"/>
      <c r="C74" s="508" t="s">
        <v>155</v>
      </c>
      <c r="D74" s="508"/>
      <c r="E74" s="509"/>
      <c r="F74" s="509"/>
      <c r="G74" s="509"/>
      <c r="H74" s="510"/>
      <c r="I74" s="510"/>
      <c r="J74" s="509"/>
      <c r="K74" s="510"/>
      <c r="L74" s="524"/>
      <c r="M74" s="118"/>
      <c r="N74" s="134"/>
      <c r="O74" s="134"/>
      <c r="P74" s="134"/>
      <c r="Q74" s="134"/>
      <c r="R74" s="134"/>
      <c r="S74" s="134"/>
      <c r="T74" s="134"/>
      <c r="U74" s="134"/>
      <c r="V74" s="134"/>
      <c r="W74" s="118"/>
    </row>
    <row r="75" spans="1:24" s="456" customFormat="1" x14ac:dyDescent="0.2">
      <c r="A75" s="96" t="s">
        <v>35</v>
      </c>
      <c r="B75" s="512"/>
      <c r="C75" s="512"/>
      <c r="D75" s="512"/>
      <c r="E75" s="512"/>
      <c r="F75" s="512"/>
      <c r="G75" s="512"/>
      <c r="H75" s="215"/>
      <c r="I75" s="215"/>
      <c r="J75" s="512"/>
      <c r="K75" s="215"/>
      <c r="L75" s="525"/>
      <c r="M75" s="118"/>
      <c r="N75" s="134"/>
      <c r="O75" s="134"/>
      <c r="P75" s="134"/>
      <c r="Q75" s="134"/>
      <c r="R75" s="134"/>
      <c r="S75" s="134"/>
      <c r="T75" s="134"/>
      <c r="U75" s="134"/>
      <c r="V75" s="134"/>
      <c r="W75" s="118"/>
    </row>
    <row r="76" spans="1:24" s="456" customFormat="1" x14ac:dyDescent="0.2">
      <c r="A76" s="96" t="s">
        <v>174</v>
      </c>
      <c r="B76" s="512"/>
      <c r="C76" s="512"/>
      <c r="D76" s="512"/>
      <c r="E76" s="512"/>
      <c r="F76" s="512"/>
      <c r="G76" s="512"/>
      <c r="H76" s="215"/>
      <c r="I76" s="215"/>
      <c r="J76" s="512"/>
      <c r="K76" s="215"/>
      <c r="L76" s="525"/>
      <c r="M76" s="118"/>
      <c r="N76" s="134"/>
      <c r="O76" s="134"/>
      <c r="P76" s="134"/>
      <c r="Q76" s="134"/>
      <c r="R76" s="134"/>
      <c r="S76" s="134"/>
      <c r="T76" s="134"/>
      <c r="U76" s="134"/>
      <c r="V76" s="134"/>
      <c r="W76" s="118"/>
    </row>
    <row r="77" spans="1:24" s="456" customFormat="1" x14ac:dyDescent="0.2">
      <c r="A77" s="96" t="s">
        <v>987</v>
      </c>
      <c r="B77" s="512"/>
      <c r="C77" s="512"/>
      <c r="D77" s="512"/>
      <c r="E77" s="512"/>
      <c r="F77" s="512"/>
      <c r="G77" s="512"/>
      <c r="H77" s="215"/>
      <c r="I77" s="215"/>
      <c r="J77" s="512"/>
      <c r="K77" s="215"/>
      <c r="L77" s="525"/>
      <c r="M77" s="118"/>
      <c r="N77" s="134"/>
      <c r="O77" s="134"/>
      <c r="P77" s="134"/>
      <c r="Q77" s="134"/>
      <c r="R77" s="134"/>
      <c r="S77" s="134"/>
      <c r="T77" s="134"/>
      <c r="U77" s="134"/>
      <c r="V77" s="134"/>
      <c r="W77" s="118"/>
    </row>
    <row r="78" spans="1:24" s="456" customFormat="1" ht="16.5" thickBot="1" x14ac:dyDescent="0.25">
      <c r="A78" s="110" t="s">
        <v>988</v>
      </c>
      <c r="B78" s="514"/>
      <c r="C78" s="514"/>
      <c r="D78" s="514"/>
      <c r="E78" s="514"/>
      <c r="F78" s="514"/>
      <c r="G78" s="514"/>
      <c r="H78" s="515"/>
      <c r="I78" s="515"/>
      <c r="J78" s="514"/>
      <c r="K78" s="515"/>
      <c r="L78" s="526"/>
      <c r="M78" s="118"/>
      <c r="N78" s="134"/>
      <c r="O78" s="134"/>
      <c r="P78" s="134"/>
      <c r="Q78" s="134"/>
      <c r="R78" s="134"/>
      <c r="S78" s="134"/>
      <c r="T78" s="134"/>
      <c r="U78" s="134"/>
      <c r="V78" s="134"/>
      <c r="W78" s="118"/>
    </row>
    <row r="79" spans="1:24" s="456" customFormat="1" ht="16.5" thickBot="1" x14ac:dyDescent="0.25">
      <c r="A79" s="527"/>
      <c r="E79" s="200"/>
      <c r="F79" s="200"/>
      <c r="G79" s="200"/>
      <c r="H79" s="194"/>
      <c r="I79" s="517"/>
      <c r="J79" s="200"/>
      <c r="K79" s="194"/>
      <c r="L79" s="200"/>
      <c r="M79" s="118"/>
      <c r="N79" s="134"/>
      <c r="O79" s="134"/>
      <c r="P79" s="134"/>
      <c r="Q79" s="134"/>
      <c r="R79" s="118"/>
      <c r="V79" s="528"/>
      <c r="W79" s="528"/>
    </row>
    <row r="80" spans="1:24" s="14" customFormat="1" ht="32.25" thickBot="1" x14ac:dyDescent="0.25">
      <c r="A80" s="518" t="s">
        <v>31</v>
      </c>
      <c r="B80" s="932" t="s">
        <v>13</v>
      </c>
      <c r="C80" s="933"/>
      <c r="D80" s="934"/>
      <c r="E80" s="519" t="s">
        <v>12</v>
      </c>
      <c r="F80" s="519" t="s">
        <v>14</v>
      </c>
      <c r="G80" s="519" t="s">
        <v>276</v>
      </c>
      <c r="H80" s="519" t="s">
        <v>32</v>
      </c>
      <c r="I80" s="519" t="s">
        <v>16</v>
      </c>
      <c r="J80" s="519" t="s">
        <v>17</v>
      </c>
      <c r="K80" s="519" t="s">
        <v>18</v>
      </c>
      <c r="L80" s="519" t="s">
        <v>19</v>
      </c>
      <c r="M80" s="519" t="s">
        <v>20</v>
      </c>
      <c r="N80" s="520" t="s">
        <v>123</v>
      </c>
      <c r="O80" s="519" t="s">
        <v>94</v>
      </c>
      <c r="P80" s="521" t="s">
        <v>807</v>
      </c>
      <c r="W80" s="13"/>
    </row>
    <row r="81" spans="1:23" s="303" customFormat="1" x14ac:dyDescent="0.2">
      <c r="A81" s="269"/>
      <c r="B81" s="925"/>
      <c r="C81" s="926"/>
      <c r="D81" s="926"/>
      <c r="E81" s="226"/>
      <c r="F81" s="226"/>
      <c r="G81" s="226"/>
      <c r="H81" s="226"/>
      <c r="I81" s="226"/>
      <c r="J81" s="263"/>
      <c r="K81" s="263"/>
      <c r="L81" s="263"/>
      <c r="M81" s="263"/>
      <c r="N81" s="49"/>
      <c r="O81" s="226"/>
      <c r="P81" s="274"/>
      <c r="Q81" s="160"/>
      <c r="R81" s="160"/>
      <c r="S81" s="160"/>
      <c r="T81" s="160"/>
      <c r="U81" s="160"/>
      <c r="V81" s="160"/>
      <c r="W81" s="159"/>
    </row>
    <row r="82" spans="1:23" s="303" customFormat="1" x14ac:dyDescent="0.2">
      <c r="A82" s="248"/>
      <c r="B82" s="927"/>
      <c r="C82" s="928"/>
      <c r="D82" s="928"/>
      <c r="E82" s="125"/>
      <c r="F82" s="125"/>
      <c r="G82" s="125"/>
      <c r="H82" s="125"/>
      <c r="I82" s="125"/>
      <c r="J82" s="255"/>
      <c r="K82" s="255"/>
      <c r="L82" s="255"/>
      <c r="M82" s="255"/>
      <c r="N82" s="21"/>
      <c r="O82" s="125"/>
      <c r="P82" s="276"/>
      <c r="Q82" s="160"/>
      <c r="R82" s="160"/>
      <c r="S82" s="160"/>
      <c r="T82" s="160"/>
      <c r="U82" s="160"/>
      <c r="V82" s="160"/>
      <c r="W82" s="159"/>
    </row>
    <row r="83" spans="1:23" s="303" customFormat="1" x14ac:dyDescent="0.2">
      <c r="A83" s="248"/>
      <c r="B83" s="927"/>
      <c r="C83" s="928"/>
      <c r="D83" s="928"/>
      <c r="E83" s="125"/>
      <c r="F83" s="125"/>
      <c r="G83" s="125"/>
      <c r="H83" s="125"/>
      <c r="I83" s="125"/>
      <c r="J83" s="255"/>
      <c r="K83" s="255"/>
      <c r="L83" s="255"/>
      <c r="M83" s="255"/>
      <c r="N83" s="21"/>
      <c r="O83" s="125"/>
      <c r="P83" s="276"/>
      <c r="Q83" s="160"/>
      <c r="R83" s="160"/>
      <c r="S83" s="160"/>
      <c r="T83" s="160"/>
      <c r="U83" s="160"/>
      <c r="V83" s="160"/>
      <c r="W83" s="159"/>
    </row>
    <row r="84" spans="1:23" s="303" customFormat="1" ht="16.5" thickBot="1" x14ac:dyDescent="0.25">
      <c r="A84" s="304"/>
      <c r="B84" s="912"/>
      <c r="C84" s="913"/>
      <c r="D84" s="913"/>
      <c r="E84" s="130"/>
      <c r="F84" s="130"/>
      <c r="G84" s="130"/>
      <c r="H84" s="130"/>
      <c r="I84" s="130"/>
      <c r="J84" s="256"/>
      <c r="K84" s="256"/>
      <c r="L84" s="256"/>
      <c r="M84" s="256"/>
      <c r="N84" s="29"/>
      <c r="O84" s="129"/>
      <c r="P84" s="132"/>
      <c r="Q84" s="160"/>
      <c r="R84" s="160"/>
      <c r="S84" s="160"/>
      <c r="T84" s="160"/>
      <c r="U84" s="160"/>
      <c r="V84" s="160"/>
      <c r="W84" s="159"/>
    </row>
    <row r="85" spans="1:23" s="456" customFormat="1" ht="16.5" thickBot="1" x14ac:dyDescent="0.25">
      <c r="A85" s="133"/>
      <c r="B85" s="133"/>
      <c r="C85" s="133"/>
      <c r="D85" s="133"/>
      <c r="E85" s="133"/>
      <c r="F85" s="133"/>
      <c r="G85" s="133"/>
      <c r="H85" s="118"/>
      <c r="I85" s="118"/>
      <c r="J85" s="118"/>
      <c r="K85" s="118"/>
      <c r="L85" s="118"/>
      <c r="M85" s="134"/>
      <c r="N85" s="134"/>
      <c r="O85" s="134"/>
      <c r="P85" s="134"/>
      <c r="Q85" s="134"/>
      <c r="R85" s="134"/>
      <c r="S85" s="134"/>
      <c r="T85" s="134"/>
      <c r="U85" s="134"/>
      <c r="V85" s="118"/>
    </row>
    <row r="86" spans="1:23" s="73" customFormat="1" ht="16.5" thickBot="1" x14ac:dyDescent="0.25">
      <c r="A86" s="822" t="s">
        <v>36</v>
      </c>
      <c r="B86" s="823"/>
      <c r="C86" s="823"/>
      <c r="D86" s="823"/>
      <c r="E86" s="823"/>
      <c r="F86" s="823"/>
      <c r="G86" s="823"/>
      <c r="H86" s="823"/>
      <c r="I86" s="824"/>
      <c r="J86" s="169"/>
      <c r="K86" s="118"/>
      <c r="L86" s="134"/>
      <c r="M86" s="134"/>
      <c r="N86" s="134"/>
      <c r="O86" s="134"/>
      <c r="P86" s="134"/>
      <c r="Q86" s="134"/>
      <c r="R86" s="134"/>
      <c r="S86" s="118"/>
      <c r="T86" s="118"/>
      <c r="U86" s="118"/>
    </row>
    <row r="87" spans="1:23" s="73" customFormat="1" ht="16.5" thickBot="1" x14ac:dyDescent="0.25">
      <c r="A87" s="935" t="s">
        <v>37</v>
      </c>
      <c r="B87" s="936"/>
      <c r="C87" s="936"/>
      <c r="D87" s="936"/>
      <c r="E87" s="936"/>
      <c r="F87" s="936"/>
      <c r="G87" s="936"/>
      <c r="H87" s="936"/>
      <c r="I87" s="937"/>
      <c r="J87" s="170"/>
      <c r="K87" s="118"/>
      <c r="L87" s="134"/>
      <c r="M87" s="134"/>
      <c r="N87" s="134"/>
      <c r="O87" s="134"/>
      <c r="P87" s="134"/>
      <c r="Q87" s="134"/>
      <c r="R87" s="134"/>
      <c r="S87" s="118"/>
      <c r="T87" s="118"/>
      <c r="U87" s="118"/>
    </row>
    <row r="88" spans="1:23" s="308" customFormat="1" ht="15.75" customHeight="1" thickBot="1" x14ac:dyDescent="0.25">
      <c r="A88" s="665" t="s">
        <v>296</v>
      </c>
      <c r="B88" s="909" t="s">
        <v>1129</v>
      </c>
      <c r="C88" s="910"/>
      <c r="D88" s="910"/>
      <c r="E88" s="910"/>
      <c r="F88" s="910"/>
      <c r="G88" s="910"/>
      <c r="H88" s="910"/>
      <c r="I88" s="911"/>
      <c r="J88" s="171"/>
      <c r="K88" s="172"/>
      <c r="L88" s="173"/>
      <c r="M88" s="173"/>
      <c r="N88" s="173"/>
      <c r="O88" s="173"/>
      <c r="P88" s="173"/>
      <c r="Q88" s="173"/>
      <c r="R88" s="173"/>
      <c r="S88" s="172"/>
      <c r="T88" s="172"/>
      <c r="U88" s="172"/>
    </row>
    <row r="89" spans="1:23" s="73" customFormat="1" ht="16.5" thickBot="1" x14ac:dyDescent="0.25">
      <c r="A89" s="196"/>
      <c r="B89" s="169"/>
      <c r="C89" s="169"/>
      <c r="D89" s="169"/>
      <c r="E89" s="169"/>
      <c r="F89" s="176"/>
      <c r="G89" s="176"/>
      <c r="H89" s="176"/>
      <c r="I89" s="176"/>
      <c r="J89" s="176"/>
      <c r="K89" s="118"/>
      <c r="L89" s="134"/>
      <c r="M89" s="134"/>
      <c r="N89" s="134"/>
      <c r="O89" s="134"/>
      <c r="P89" s="134"/>
      <c r="Q89" s="118"/>
    </row>
    <row r="90" spans="1:23" s="73" customFormat="1" ht="16.5" customHeight="1" thickBot="1" x14ac:dyDescent="0.25">
      <c r="A90" s="917" t="s">
        <v>214</v>
      </c>
      <c r="B90" s="918"/>
      <c r="C90" s="918"/>
      <c r="D90" s="918"/>
      <c r="E90" s="918"/>
      <c r="F90" s="918"/>
      <c r="G90" s="918"/>
      <c r="H90" s="930" t="s">
        <v>226</v>
      </c>
      <c r="I90" s="786" t="s">
        <v>627</v>
      </c>
      <c r="J90" s="786" t="s">
        <v>215</v>
      </c>
      <c r="K90" s="786" t="s">
        <v>23</v>
      </c>
      <c r="L90" s="786" t="s">
        <v>302</v>
      </c>
      <c r="M90" s="788" t="s">
        <v>83</v>
      </c>
      <c r="N90" s="134"/>
      <c r="O90" s="118"/>
      <c r="P90" s="456"/>
      <c r="Q90" s="528"/>
      <c r="R90" s="528"/>
    </row>
    <row r="91" spans="1:23" s="446" customFormat="1" ht="16.5" thickBot="1" x14ac:dyDescent="0.25">
      <c r="A91" s="919" t="s">
        <v>887</v>
      </c>
      <c r="B91" s="920"/>
      <c r="C91" s="920"/>
      <c r="D91" s="920"/>
      <c r="E91" s="920"/>
      <c r="F91" s="920"/>
      <c r="G91" s="921"/>
      <c r="H91" s="931"/>
      <c r="I91" s="908"/>
      <c r="J91" s="908"/>
      <c r="K91" s="908"/>
      <c r="L91" s="908"/>
      <c r="M91" s="929"/>
      <c r="N91" s="177"/>
      <c r="O91" s="177"/>
      <c r="P91" s="177"/>
      <c r="Q91" s="177"/>
      <c r="R91" s="177"/>
    </row>
    <row r="92" spans="1:23" s="446" customFormat="1" ht="15.75" customHeight="1" thickBot="1" x14ac:dyDescent="0.25">
      <c r="A92" s="919" t="s">
        <v>353</v>
      </c>
      <c r="B92" s="920"/>
      <c r="C92" s="920"/>
      <c r="D92" s="920"/>
      <c r="E92" s="920"/>
      <c r="F92" s="920"/>
      <c r="G92" s="921"/>
      <c r="H92" s="959"/>
      <c r="I92" s="787"/>
      <c r="J92" s="787"/>
      <c r="K92" s="787"/>
      <c r="L92" s="787"/>
      <c r="M92" s="789"/>
      <c r="N92" s="177"/>
      <c r="O92" s="177"/>
      <c r="P92" s="177"/>
      <c r="Q92" s="177"/>
      <c r="R92" s="177"/>
    </row>
    <row r="93" spans="1:23" s="136" customFormat="1" x14ac:dyDescent="0.2">
      <c r="A93" s="178" t="s">
        <v>103</v>
      </c>
      <c r="B93" s="942" t="str">
        <f>IF($A93="","",VLOOKUP($A93,Listes!$A$3:$C$193,2,FALSE))</f>
        <v>Alameda Corridor Surcharge export</v>
      </c>
      <c r="C93" s="942"/>
      <c r="D93" s="942"/>
      <c r="E93" s="941" t="s">
        <v>51</v>
      </c>
      <c r="F93" s="941"/>
      <c r="G93" s="941"/>
      <c r="H93" s="658"/>
      <c r="I93" s="529"/>
      <c r="J93" s="529"/>
      <c r="K93" s="529"/>
      <c r="L93" s="529"/>
      <c r="M93" s="530"/>
      <c r="N93" s="160"/>
      <c r="O93" s="160"/>
      <c r="P93" s="160"/>
      <c r="Q93" s="160"/>
      <c r="R93" s="159"/>
    </row>
    <row r="94" spans="1:23" s="136" customFormat="1" ht="15.75" customHeight="1" x14ac:dyDescent="0.2">
      <c r="A94" s="182" t="s">
        <v>234</v>
      </c>
      <c r="B94" s="813" t="str">
        <f>IF($A94="","",VLOOKUP($A94,Listes!$A$3:$C$193,2,FALSE))</f>
        <v>Bunker Adjustment Factor</v>
      </c>
      <c r="C94" s="813"/>
      <c r="D94" s="813"/>
      <c r="E94" s="814" t="s">
        <v>51</v>
      </c>
      <c r="F94" s="814"/>
      <c r="G94" s="814"/>
      <c r="H94" s="657"/>
      <c r="I94" s="531"/>
      <c r="J94" s="531"/>
      <c r="K94" s="531"/>
      <c r="L94" s="531"/>
      <c r="M94" s="532"/>
      <c r="N94" s="160"/>
      <c r="O94" s="160"/>
      <c r="P94" s="160"/>
      <c r="Q94" s="160"/>
      <c r="R94" s="159"/>
    </row>
    <row r="95" spans="1:23" s="136" customFormat="1" ht="15.75" customHeight="1" x14ac:dyDescent="0.2">
      <c r="A95" s="182" t="s">
        <v>1273</v>
      </c>
      <c r="B95" s="813" t="str">
        <f>IF($A95="","",VLOOKUP($A95,Listes!$A$3:$C$193,2,FALSE))</f>
        <v>Bio Security Facilitation Fee - NZ</v>
      </c>
      <c r="C95" s="813"/>
      <c r="D95" s="813"/>
      <c r="E95" s="814" t="s">
        <v>51</v>
      </c>
      <c r="F95" s="814"/>
      <c r="G95" s="814"/>
      <c r="H95" s="657"/>
      <c r="I95" s="531"/>
      <c r="J95" s="531"/>
      <c r="K95" s="531"/>
      <c r="L95" s="531"/>
      <c r="M95" s="532"/>
      <c r="N95" s="160"/>
      <c r="O95" s="160"/>
      <c r="P95" s="160"/>
      <c r="Q95" s="160"/>
      <c r="R95" s="159"/>
    </row>
    <row r="96" spans="1:23" s="136" customFormat="1" ht="15.75" customHeight="1" x14ac:dyDescent="0.2">
      <c r="A96" s="182" t="s">
        <v>86</v>
      </c>
      <c r="B96" s="813" t="str">
        <f>IF($A96="","",VLOOKUP($A96,Listes!$A$3:$C$193,2,FALSE))</f>
        <v>Currency Adjustment Factor</v>
      </c>
      <c r="C96" s="813"/>
      <c r="D96" s="813"/>
      <c r="E96" s="814" t="s">
        <v>53</v>
      </c>
      <c r="F96" s="814"/>
      <c r="G96" s="814"/>
      <c r="H96" s="657"/>
      <c r="I96" s="531"/>
      <c r="J96" s="531"/>
      <c r="K96" s="531"/>
      <c r="L96" s="531"/>
      <c r="M96" s="532"/>
      <c r="N96" s="160"/>
      <c r="O96" s="160"/>
      <c r="P96" s="160"/>
      <c r="Q96" s="160"/>
      <c r="R96" s="159"/>
    </row>
    <row r="97" spans="1:18" s="136" customFormat="1" ht="15.75" customHeight="1" x14ac:dyDescent="0.2">
      <c r="A97" s="182" t="s">
        <v>1103</v>
      </c>
      <c r="B97" s="813" t="str">
        <f>IF($A97="","",VLOOKUP($A97,Listes!$A$3:$C$193,2,FALSE))</f>
        <v>Chassis Administration Fee Pre-Carriage</v>
      </c>
      <c r="C97" s="813"/>
      <c r="D97" s="813"/>
      <c r="E97" s="814" t="s">
        <v>51</v>
      </c>
      <c r="F97" s="814"/>
      <c r="G97" s="814"/>
      <c r="H97" s="657"/>
      <c r="I97" s="531"/>
      <c r="J97" s="531"/>
      <c r="K97" s="531"/>
      <c r="L97" s="531"/>
      <c r="M97" s="532"/>
      <c r="N97" s="160"/>
      <c r="O97" s="160"/>
      <c r="P97" s="160"/>
      <c r="Q97" s="160"/>
      <c r="R97" s="159"/>
    </row>
    <row r="98" spans="1:18" s="136" customFormat="1" ht="15.75" customHeight="1" x14ac:dyDescent="0.2">
      <c r="A98" s="182" t="s">
        <v>551</v>
      </c>
      <c r="B98" s="813" t="str">
        <f>IF($A98="","",VLOOKUP($A98,Listes!$A$3:$C$193,2,FALSE))</f>
        <v>Chassis Provision Charge</v>
      </c>
      <c r="C98" s="813"/>
      <c r="D98" s="813"/>
      <c r="E98" s="814" t="s">
        <v>51</v>
      </c>
      <c r="F98" s="814"/>
      <c r="G98" s="814"/>
      <c r="H98" s="657"/>
      <c r="I98" s="531"/>
      <c r="J98" s="531"/>
      <c r="K98" s="531"/>
      <c r="L98" s="531"/>
      <c r="M98" s="532"/>
      <c r="N98" s="160"/>
      <c r="O98" s="160"/>
      <c r="P98" s="160"/>
      <c r="Q98" s="160"/>
      <c r="R98" s="159"/>
    </row>
    <row r="99" spans="1:18" s="136" customFormat="1" ht="15.75" customHeight="1" x14ac:dyDescent="0.2">
      <c r="A99" s="182" t="s">
        <v>263</v>
      </c>
      <c r="B99" s="813" t="str">
        <f>IF($A99="","",VLOOKUP($A99,Listes!$A$3:$C$193,2,FALSE))</f>
        <v>Carrier Security Charge</v>
      </c>
      <c r="C99" s="813"/>
      <c r="D99" s="813"/>
      <c r="E99" s="814" t="s">
        <v>51</v>
      </c>
      <c r="F99" s="814"/>
      <c r="G99" s="814"/>
      <c r="H99" s="657"/>
      <c r="I99" s="531"/>
      <c r="J99" s="531"/>
      <c r="K99" s="531"/>
      <c r="L99" s="531"/>
      <c r="M99" s="532"/>
      <c r="N99" s="160"/>
      <c r="O99" s="160"/>
      <c r="P99" s="160"/>
      <c r="Q99" s="160"/>
      <c r="R99" s="159"/>
    </row>
    <row r="100" spans="1:18" s="136" customFormat="1" ht="15.75" customHeight="1" x14ac:dyDescent="0.2">
      <c r="A100" s="182" t="s">
        <v>1262</v>
      </c>
      <c r="B100" s="813" t="str">
        <f>IF($A100="","",VLOOKUP($A100,Listes!$A$3:$C$193,2,FALSE))</f>
        <v>Container Maintenance Charge Destination</v>
      </c>
      <c r="C100" s="813"/>
      <c r="D100" s="813"/>
      <c r="E100" s="814" t="s">
        <v>51</v>
      </c>
      <c r="F100" s="814"/>
      <c r="G100" s="814"/>
      <c r="H100" s="657"/>
      <c r="I100" s="531"/>
      <c r="J100" s="531"/>
      <c r="K100" s="531"/>
      <c r="L100" s="531"/>
      <c r="M100" s="532"/>
      <c r="N100" s="160"/>
      <c r="O100" s="160"/>
      <c r="P100" s="160"/>
      <c r="Q100" s="160"/>
      <c r="R100" s="159"/>
    </row>
    <row r="101" spans="1:18" s="136" customFormat="1" ht="15.75" customHeight="1" x14ac:dyDescent="0.2">
      <c r="A101" s="182" t="s">
        <v>230</v>
      </c>
      <c r="B101" s="813" t="str">
        <f>IF($A101="","",VLOOKUP($A101,Listes!$A$3:$C$193,2,FALSE))</f>
        <v>Destination THC / Destination Receiving Charge</v>
      </c>
      <c r="C101" s="813"/>
      <c r="D101" s="813"/>
      <c r="E101" s="814" t="s">
        <v>51</v>
      </c>
      <c r="F101" s="814"/>
      <c r="G101" s="814"/>
      <c r="H101" s="657"/>
      <c r="I101" s="531"/>
      <c r="J101" s="531"/>
      <c r="K101" s="531"/>
      <c r="L101" s="531"/>
      <c r="M101" s="532"/>
      <c r="N101" s="160"/>
      <c r="O101" s="160"/>
      <c r="P101" s="160"/>
      <c r="Q101" s="160"/>
      <c r="R101" s="159"/>
    </row>
    <row r="102" spans="1:18" s="136" customFormat="1" ht="15.75" customHeight="1" x14ac:dyDescent="0.2">
      <c r="A102" s="182" t="s">
        <v>874</v>
      </c>
      <c r="B102" s="813" t="str">
        <f>IF($A102="","",VLOOKUP($A102,Listes!$A$3:$C$193,2,FALSE))</f>
        <v>Export Documentation Fees - Carrier</v>
      </c>
      <c r="C102" s="813"/>
      <c r="D102" s="813"/>
      <c r="E102" s="814" t="s">
        <v>51</v>
      </c>
      <c r="F102" s="814"/>
      <c r="G102" s="814"/>
      <c r="H102" s="657"/>
      <c r="I102" s="531"/>
      <c r="J102" s="531"/>
      <c r="K102" s="531"/>
      <c r="L102" s="531"/>
      <c r="M102" s="532"/>
      <c r="N102" s="160"/>
      <c r="O102" s="160"/>
      <c r="P102" s="160"/>
      <c r="Q102" s="160"/>
      <c r="R102" s="159"/>
    </row>
    <row r="103" spans="1:18" s="136" customFormat="1" ht="15.75" customHeight="1" x14ac:dyDescent="0.2">
      <c r="A103" s="182" t="s">
        <v>472</v>
      </c>
      <c r="B103" s="813" t="str">
        <f>IF($A103="","",VLOOKUP($A103,Listes!$A$3:$C$193,2,FALSE))</f>
        <v>Extra Container Handling Charge Destination</v>
      </c>
      <c r="C103" s="813"/>
      <c r="D103" s="813"/>
      <c r="E103" s="814" t="s">
        <v>51</v>
      </c>
      <c r="F103" s="814"/>
      <c r="G103" s="814"/>
      <c r="H103" s="657"/>
      <c r="I103" s="531"/>
      <c r="J103" s="531"/>
      <c r="K103" s="531"/>
      <c r="L103" s="531"/>
      <c r="M103" s="532"/>
      <c r="N103" s="160"/>
      <c r="O103" s="160"/>
      <c r="P103" s="160"/>
      <c r="Q103" s="160"/>
      <c r="R103" s="159"/>
    </row>
    <row r="104" spans="1:18" s="136" customFormat="1" ht="15.75" customHeight="1" x14ac:dyDescent="0.2">
      <c r="A104" s="182" t="s">
        <v>82</v>
      </c>
      <c r="B104" s="813" t="str">
        <f>IF($A104="","",VLOOKUP($A104,Listes!$A$3:$C$193,2,FALSE))</f>
        <v>General Rate Increase</v>
      </c>
      <c r="C104" s="813"/>
      <c r="D104" s="813"/>
      <c r="E104" s="814" t="s">
        <v>51</v>
      </c>
      <c r="F104" s="814"/>
      <c r="G104" s="814"/>
      <c r="H104" s="657"/>
      <c r="I104" s="531"/>
      <c r="J104" s="531"/>
      <c r="K104" s="531"/>
      <c r="L104" s="531"/>
      <c r="M104" s="532"/>
      <c r="N104" s="160"/>
      <c r="O104" s="160"/>
      <c r="P104" s="160"/>
      <c r="Q104" s="160"/>
      <c r="R104" s="159"/>
    </row>
    <row r="105" spans="1:18" s="136" customFormat="1" ht="15.75" customHeight="1" x14ac:dyDescent="0.2">
      <c r="A105" s="182" t="s">
        <v>260</v>
      </c>
      <c r="B105" s="813" t="str">
        <f>IF($A105="","",VLOOKUP($A105,Listes!$A$3:$C$193,2,FALSE))</f>
        <v>Hazardous Fees (Ocean)</v>
      </c>
      <c r="C105" s="813"/>
      <c r="D105" s="813"/>
      <c r="E105" s="814" t="s">
        <v>51</v>
      </c>
      <c r="F105" s="814"/>
      <c r="G105" s="814"/>
      <c r="H105" s="657"/>
      <c r="I105" s="531"/>
      <c r="J105" s="531"/>
      <c r="K105" s="531"/>
      <c r="L105" s="531"/>
      <c r="M105" s="532"/>
      <c r="N105" s="160"/>
      <c r="O105" s="160"/>
      <c r="P105" s="160"/>
      <c r="Q105" s="160"/>
      <c r="R105" s="159"/>
    </row>
    <row r="106" spans="1:18" s="136" customFormat="1" ht="15.75" customHeight="1" x14ac:dyDescent="0.2">
      <c r="A106" s="182" t="s">
        <v>897</v>
      </c>
      <c r="B106" s="813" t="str">
        <f>IF($A106="","",VLOOKUP($A106,Listes!$A$3:$C$193,2,FALSE))</f>
        <v xml:space="preserve">Intermodal Door Precarriage Additional for </v>
      </c>
      <c r="C106" s="813"/>
      <c r="D106" s="813"/>
      <c r="E106" s="814" t="s">
        <v>51</v>
      </c>
      <c r="F106" s="814"/>
      <c r="G106" s="814"/>
      <c r="H106" s="657"/>
      <c r="I106" s="531"/>
      <c r="J106" s="531"/>
      <c r="K106" s="531"/>
      <c r="L106" s="531"/>
      <c r="M106" s="532"/>
      <c r="N106" s="160"/>
      <c r="O106" s="160"/>
      <c r="P106" s="160"/>
      <c r="Q106" s="160"/>
      <c r="R106" s="159"/>
    </row>
    <row r="107" spans="1:18" s="136" customFormat="1" ht="15.75" customHeight="1" x14ac:dyDescent="0.2">
      <c r="A107" s="182" t="s">
        <v>877</v>
      </c>
      <c r="B107" s="813" t="str">
        <f>IF($A107="","",VLOOKUP($A107,Listes!$A$3:$C$193,2,FALSE))</f>
        <v>Import Documentation / BL fee - Carrier</v>
      </c>
      <c r="C107" s="813"/>
      <c r="D107" s="813"/>
      <c r="E107" s="814" t="s">
        <v>51</v>
      </c>
      <c r="F107" s="814"/>
      <c r="G107" s="814"/>
      <c r="H107" s="657"/>
      <c r="I107" s="531"/>
      <c r="J107" s="531"/>
      <c r="K107" s="531"/>
      <c r="L107" s="531"/>
      <c r="M107" s="532"/>
      <c r="N107" s="160"/>
      <c r="O107" s="160"/>
      <c r="P107" s="160"/>
      <c r="Q107" s="160"/>
      <c r="R107" s="159"/>
    </row>
    <row r="108" spans="1:18" s="136" customFormat="1" ht="15.75" customHeight="1" x14ac:dyDescent="0.2">
      <c r="A108" s="182" t="s">
        <v>96</v>
      </c>
      <c r="B108" s="813" t="str">
        <f>IF($A108="","",VLOOKUP($A108,Listes!$A$3:$C$193,2,FALSE))</f>
        <v xml:space="preserve">Precarriage Inland Fuel Charge </v>
      </c>
      <c r="C108" s="813"/>
      <c r="D108" s="813"/>
      <c r="E108" s="814" t="s">
        <v>51</v>
      </c>
      <c r="F108" s="814"/>
      <c r="G108" s="814"/>
      <c r="H108" s="657"/>
      <c r="I108" s="531"/>
      <c r="J108" s="531"/>
      <c r="K108" s="531"/>
      <c r="L108" s="531"/>
      <c r="M108" s="532"/>
      <c r="N108" s="160"/>
      <c r="O108" s="160"/>
      <c r="P108" s="160"/>
      <c r="Q108" s="160"/>
      <c r="R108" s="159"/>
    </row>
    <row r="109" spans="1:18" s="136" customFormat="1" ht="15.75" customHeight="1" x14ac:dyDescent="0.2">
      <c r="A109" s="182" t="s">
        <v>1290</v>
      </c>
      <c r="B109" s="813" t="str">
        <f>IF($A109="","",VLOOKUP($A109,Listes!$A$3:$C$193,2,FALSE))</f>
        <v>Local Port Charge Destination Sanitary Fee</v>
      </c>
      <c r="C109" s="813"/>
      <c r="D109" s="813"/>
      <c r="E109" s="814" t="s">
        <v>51</v>
      </c>
      <c r="F109" s="814"/>
      <c r="G109" s="814"/>
      <c r="H109" s="675"/>
      <c r="I109" s="531"/>
      <c r="J109" s="531"/>
      <c r="K109" s="531"/>
      <c r="L109" s="531"/>
      <c r="M109" s="532"/>
      <c r="N109" s="160"/>
      <c r="O109" s="160"/>
      <c r="P109" s="160"/>
      <c r="Q109" s="160"/>
      <c r="R109" s="159"/>
    </row>
    <row r="110" spans="1:18" s="136" customFormat="1" ht="15.75" customHeight="1" x14ac:dyDescent="0.2">
      <c r="A110" s="182" t="s">
        <v>1292</v>
      </c>
      <c r="B110" s="813" t="str">
        <f>IF($A110="","",VLOOKUP($A110,Listes!$A$3:$C$193,2,FALSE))</f>
        <v>Local Port Charge Origin Sanitary Fee</v>
      </c>
      <c r="C110" s="813"/>
      <c r="D110" s="813"/>
      <c r="E110" s="814" t="s">
        <v>51</v>
      </c>
      <c r="F110" s="814"/>
      <c r="G110" s="814"/>
      <c r="H110" s="675"/>
      <c r="I110" s="531"/>
      <c r="J110" s="531"/>
      <c r="K110" s="531"/>
      <c r="L110" s="531"/>
      <c r="M110" s="532"/>
      <c r="N110" s="160"/>
      <c r="O110" s="160"/>
      <c r="P110" s="160"/>
      <c r="Q110" s="160"/>
      <c r="R110" s="159"/>
    </row>
    <row r="111" spans="1:18" s="136" customFormat="1" ht="15.75" customHeight="1" x14ac:dyDescent="0.2">
      <c r="A111" s="182" t="s">
        <v>199</v>
      </c>
      <c r="B111" s="813" t="str">
        <f>IF($A111="","",VLOOKUP($A111,Listes!$A$3:$C$193,2,FALSE))</f>
        <v>Low Sulfur Surcharge</v>
      </c>
      <c r="C111" s="813"/>
      <c r="D111" s="813"/>
      <c r="E111" s="814" t="s">
        <v>53</v>
      </c>
      <c r="F111" s="814"/>
      <c r="G111" s="814"/>
      <c r="H111" s="657"/>
      <c r="I111" s="531"/>
      <c r="J111" s="531"/>
      <c r="K111" s="531"/>
      <c r="L111" s="531"/>
      <c r="M111" s="532"/>
      <c r="N111" s="160"/>
      <c r="O111" s="160"/>
      <c r="P111" s="160"/>
      <c r="Q111" s="160"/>
      <c r="R111" s="159"/>
    </row>
    <row r="112" spans="1:18" s="136" customFormat="1" ht="15.75" customHeight="1" x14ac:dyDescent="0.2">
      <c r="A112" s="182" t="s">
        <v>1124</v>
      </c>
      <c r="B112" s="813" t="str">
        <f>IF($A112="","",VLOOKUP($A112,Listes!$A$3:$C$193,2,FALSE))</f>
        <v>Low Sulfur Surcharge IMO2020</v>
      </c>
      <c r="C112" s="813"/>
      <c r="D112" s="813"/>
      <c r="E112" s="814" t="s">
        <v>53</v>
      </c>
      <c r="F112" s="814"/>
      <c r="G112" s="814"/>
      <c r="H112" s="667"/>
      <c r="I112" s="531"/>
      <c r="J112" s="531"/>
      <c r="K112" s="531"/>
      <c r="L112" s="531"/>
      <c r="M112" s="532"/>
      <c r="N112" s="160"/>
      <c r="O112" s="160"/>
      <c r="P112" s="160"/>
      <c r="Q112" s="160"/>
      <c r="R112" s="159"/>
    </row>
    <row r="113" spans="1:21" s="136" customFormat="1" ht="15.75" customHeight="1" x14ac:dyDescent="0.2">
      <c r="A113" s="182" t="s">
        <v>497</v>
      </c>
      <c r="B113" s="813" t="str">
        <f>IF($A113="","",VLOOKUP($A113,Listes!$A$3:$C$193,2,FALSE))</f>
        <v>Inland Hazardous Charge Oncarriage</v>
      </c>
      <c r="C113" s="813"/>
      <c r="D113" s="813"/>
      <c r="E113" s="814" t="s">
        <v>51</v>
      </c>
      <c r="F113" s="814"/>
      <c r="G113" s="814"/>
      <c r="H113" s="657"/>
      <c r="I113" s="531"/>
      <c r="J113" s="531"/>
      <c r="K113" s="531"/>
      <c r="L113" s="531"/>
      <c r="M113" s="532"/>
      <c r="N113" s="160"/>
      <c r="O113" s="160"/>
      <c r="P113" s="160"/>
      <c r="Q113" s="160"/>
      <c r="R113" s="159"/>
    </row>
    <row r="114" spans="1:21" s="136" customFormat="1" ht="15.75" customHeight="1" x14ac:dyDescent="0.2">
      <c r="A114" s="182" t="s">
        <v>89</v>
      </c>
      <c r="B114" s="813" t="str">
        <f>IF($A114="","",VLOOKUP($A114,Listes!$A$3:$C$193,2,FALSE))</f>
        <v>Origin THC / Origin Receiving Charge</v>
      </c>
      <c r="C114" s="813"/>
      <c r="D114" s="813"/>
      <c r="E114" s="814" t="s">
        <v>53</v>
      </c>
      <c r="F114" s="814"/>
      <c r="G114" s="814"/>
      <c r="H114" s="657"/>
      <c r="I114" s="531"/>
      <c r="J114" s="531"/>
      <c r="K114" s="531"/>
      <c r="L114" s="531"/>
      <c r="M114" s="532"/>
      <c r="N114" s="160"/>
      <c r="O114" s="160"/>
      <c r="P114" s="160"/>
      <c r="Q114" s="160"/>
      <c r="R114" s="159"/>
    </row>
    <row r="115" spans="1:21" s="136" customFormat="1" x14ac:dyDescent="0.2">
      <c r="A115" s="182" t="s">
        <v>1060</v>
      </c>
      <c r="B115" s="813" t="str">
        <f>IF($A115="","",VLOOKUP($A115,Listes!$A$3:$C$193,2,FALSE))</f>
        <v>Pre-Carriage Emergency Inland Fuel Surcharge</v>
      </c>
      <c r="C115" s="813"/>
      <c r="D115" s="813"/>
      <c r="E115" s="814" t="s">
        <v>51</v>
      </c>
      <c r="F115" s="814"/>
      <c r="G115" s="814"/>
      <c r="H115" s="657"/>
      <c r="I115" s="531"/>
      <c r="J115" s="531"/>
      <c r="K115" s="531"/>
      <c r="L115" s="531"/>
      <c r="M115" s="532"/>
      <c r="N115" s="160"/>
      <c r="O115" s="160"/>
      <c r="P115" s="160"/>
      <c r="Q115" s="160"/>
      <c r="R115" s="159"/>
    </row>
    <row r="116" spans="1:21" s="136" customFormat="1" ht="31.5" x14ac:dyDescent="0.2">
      <c r="A116" s="182" t="s">
        <v>1046</v>
      </c>
      <c r="B116" s="813" t="str">
        <f>IF($A116="","",VLOOKUP($A116,Listes!$A$3:$C$193,2,FALSE))</f>
        <v>Pre-Carriage Emergency Intermodal Surcharge</v>
      </c>
      <c r="C116" s="813"/>
      <c r="D116" s="813"/>
      <c r="E116" s="814" t="s">
        <v>51</v>
      </c>
      <c r="F116" s="814"/>
      <c r="G116" s="814"/>
      <c r="H116" s="657"/>
      <c r="I116" s="531"/>
      <c r="J116" s="531"/>
      <c r="K116" s="531"/>
      <c r="L116" s="531"/>
      <c r="M116" s="532"/>
      <c r="N116" s="160"/>
      <c r="O116" s="160"/>
      <c r="P116" s="160"/>
      <c r="Q116" s="160"/>
      <c r="R116" s="159"/>
    </row>
    <row r="117" spans="1:21" s="136" customFormat="1" ht="15.75" customHeight="1" x14ac:dyDescent="0.2">
      <c r="A117" s="182" t="s">
        <v>500</v>
      </c>
      <c r="B117" s="813" t="str">
        <f>IF($A117="","",VLOOKUP($A117,Listes!$A$3:$C$193,2,FALSE))</f>
        <v>Inland Hazardous Charge Precarriage</v>
      </c>
      <c r="C117" s="813"/>
      <c r="D117" s="813"/>
      <c r="E117" s="814" t="s">
        <v>51</v>
      </c>
      <c r="F117" s="814"/>
      <c r="G117" s="814"/>
      <c r="H117" s="657"/>
      <c r="I117" s="531"/>
      <c r="J117" s="531"/>
      <c r="K117" s="531"/>
      <c r="L117" s="531"/>
      <c r="M117" s="532"/>
      <c r="N117" s="160"/>
      <c r="O117" s="160"/>
      <c r="P117" s="160"/>
      <c r="Q117" s="160"/>
      <c r="R117" s="159"/>
    </row>
    <row r="118" spans="1:21" s="136" customFormat="1" ht="15.75" customHeight="1" x14ac:dyDescent="0.2">
      <c r="A118" s="182" t="s">
        <v>278</v>
      </c>
      <c r="B118" s="813" t="str">
        <f>IF($A118="","",VLOOKUP($A118,Listes!$A$3:$C$193,2,FALSE))</f>
        <v>Destination Terminal Security Charge</v>
      </c>
      <c r="C118" s="813"/>
      <c r="D118" s="813"/>
      <c r="E118" s="814" t="s">
        <v>51</v>
      </c>
      <c r="F118" s="814"/>
      <c r="G118" s="814"/>
      <c r="H118" s="657"/>
      <c r="I118" s="531"/>
      <c r="J118" s="531"/>
      <c r="K118" s="531"/>
      <c r="L118" s="531"/>
      <c r="M118" s="532"/>
      <c r="N118" s="160"/>
      <c r="O118" s="160"/>
      <c r="P118" s="160"/>
      <c r="Q118" s="160"/>
      <c r="R118" s="159"/>
    </row>
    <row r="119" spans="1:21" s="136" customFormat="1" ht="15.75" customHeight="1" x14ac:dyDescent="0.2">
      <c r="A119" s="182" t="s">
        <v>277</v>
      </c>
      <c r="B119" s="813" t="str">
        <f>IF($A119="","",VLOOKUP($A119,Listes!$A$3:$C$193,2,FALSE))</f>
        <v>Origin Terminal Security Charge</v>
      </c>
      <c r="C119" s="813"/>
      <c r="D119" s="813"/>
      <c r="E119" s="814" t="s">
        <v>51</v>
      </c>
      <c r="F119" s="814"/>
      <c r="G119" s="814"/>
      <c r="H119" s="657"/>
      <c r="I119" s="531"/>
      <c r="J119" s="531"/>
      <c r="K119" s="531"/>
      <c r="L119" s="531"/>
      <c r="M119" s="532"/>
      <c r="N119" s="160"/>
      <c r="O119" s="160"/>
      <c r="P119" s="160"/>
      <c r="Q119" s="160"/>
      <c r="R119" s="159"/>
    </row>
    <row r="120" spans="1:21" s="136" customFormat="1" ht="15.75" customHeight="1" x14ac:dyDescent="0.2">
      <c r="A120" s="182" t="s">
        <v>489</v>
      </c>
      <c r="B120" s="813" t="str">
        <f>IF($A120="","",VLOOKUP($A120,Listes!$A$3:$C$193,2,FALSE))</f>
        <v>Shipper Owned Container Surcharge</v>
      </c>
      <c r="C120" s="813"/>
      <c r="D120" s="813"/>
      <c r="E120" s="814" t="s">
        <v>51</v>
      </c>
      <c r="F120" s="814"/>
      <c r="G120" s="814"/>
      <c r="H120" s="657"/>
      <c r="I120" s="531"/>
      <c r="J120" s="531"/>
      <c r="K120" s="531"/>
      <c r="L120" s="531"/>
      <c r="M120" s="532"/>
      <c r="N120" s="160"/>
      <c r="O120" s="160"/>
      <c r="P120" s="160"/>
      <c r="Q120" s="160"/>
      <c r="R120" s="159"/>
    </row>
    <row r="121" spans="1:21" s="136" customFormat="1" ht="32.25" thickBot="1" x14ac:dyDescent="0.25">
      <c r="A121" s="185" t="s">
        <v>368</v>
      </c>
      <c r="B121" s="998" t="str">
        <f>IF($A121="","",VLOOKUP($A121,Listes!$A$3:$C$193,2,FALSE))</f>
        <v>Tri-Axle / Super Chassis Precarriage Surcharge</v>
      </c>
      <c r="C121" s="999"/>
      <c r="D121" s="1000"/>
      <c r="E121" s="815" t="s">
        <v>51</v>
      </c>
      <c r="F121" s="815"/>
      <c r="G121" s="815"/>
      <c r="H121" s="659"/>
      <c r="I121" s="533"/>
      <c r="J121" s="533"/>
      <c r="K121" s="533"/>
      <c r="L121" s="533"/>
      <c r="M121" s="534"/>
      <c r="N121" s="160"/>
      <c r="O121" s="160"/>
      <c r="P121" s="160"/>
      <c r="Q121" s="160"/>
      <c r="R121" s="159"/>
    </row>
    <row r="122" spans="1:21" s="73" customFormat="1" ht="16.5" thickBot="1" x14ac:dyDescent="0.25">
      <c r="A122" s="995" t="s">
        <v>216</v>
      </c>
      <c r="B122" s="996"/>
      <c r="C122" s="996"/>
      <c r="D122" s="996"/>
      <c r="E122" s="997"/>
      <c r="F122" s="997"/>
      <c r="G122" s="997"/>
      <c r="H122" s="997"/>
      <c r="I122" s="853"/>
      <c r="J122" s="169"/>
      <c r="K122" s="118"/>
      <c r="L122" s="134"/>
      <c r="M122" s="134"/>
      <c r="N122" s="134"/>
      <c r="O122" s="134"/>
      <c r="P122" s="134"/>
      <c r="Q122" s="118"/>
    </row>
    <row r="123" spans="1:21" s="73" customFormat="1" ht="16.5" thickBot="1" x14ac:dyDescent="0.25">
      <c r="A123" s="849" t="s">
        <v>597</v>
      </c>
      <c r="B123" s="833"/>
      <c r="C123" s="833"/>
      <c r="D123" s="833"/>
      <c r="E123" s="833"/>
      <c r="F123" s="833"/>
      <c r="G123" s="833"/>
      <c r="H123" s="833"/>
      <c r="I123" s="834"/>
      <c r="J123" s="169"/>
      <c r="K123" s="134"/>
      <c r="L123" s="134"/>
      <c r="M123" s="134"/>
      <c r="N123" s="134"/>
      <c r="O123" s="118"/>
    </row>
    <row r="124" spans="1:21" s="73" customFormat="1" ht="16.5" thickBot="1" x14ac:dyDescent="0.25">
      <c r="A124" s="187"/>
      <c r="B124" s="187"/>
      <c r="C124" s="188"/>
      <c r="D124" s="189"/>
      <c r="E124" s="170"/>
      <c r="F124" s="170"/>
      <c r="G124" s="170"/>
      <c r="H124" s="170"/>
      <c r="I124" s="170"/>
      <c r="J124" s="189"/>
      <c r="K124" s="169"/>
      <c r="L124" s="118"/>
      <c r="M124" s="134"/>
      <c r="N124" s="134"/>
      <c r="O124" s="134"/>
      <c r="P124" s="134"/>
      <c r="Q124" s="134"/>
      <c r="R124" s="118"/>
    </row>
    <row r="125" spans="1:21" s="73" customFormat="1" ht="15.6" customHeight="1" x14ac:dyDescent="0.2">
      <c r="A125" s="830" t="s">
        <v>523</v>
      </c>
      <c r="B125" s="831"/>
      <c r="C125" s="831"/>
      <c r="D125" s="831"/>
      <c r="E125" s="842" t="s">
        <v>288</v>
      </c>
      <c r="F125" s="842">
        <v>20</v>
      </c>
      <c r="G125" s="842">
        <v>40</v>
      </c>
      <c r="H125" s="842" t="s">
        <v>19</v>
      </c>
      <c r="I125" s="842" t="s">
        <v>20</v>
      </c>
      <c r="J125" s="848" t="s">
        <v>297</v>
      </c>
      <c r="K125" s="848" t="s">
        <v>33</v>
      </c>
      <c r="L125" s="846" t="s">
        <v>217</v>
      </c>
      <c r="M125" s="189"/>
      <c r="N125" s="134"/>
      <c r="O125" s="134"/>
      <c r="P125" s="134"/>
      <c r="Q125" s="134"/>
      <c r="R125" s="134"/>
      <c r="S125" s="134"/>
      <c r="T125" s="134"/>
      <c r="U125" s="134"/>
    </row>
    <row r="126" spans="1:21" s="73" customFormat="1" x14ac:dyDescent="0.2">
      <c r="A126" s="537" t="s">
        <v>218</v>
      </c>
      <c r="B126" s="538" t="s">
        <v>11</v>
      </c>
      <c r="C126" s="538" t="s">
        <v>12</v>
      </c>
      <c r="D126" s="538" t="s">
        <v>219</v>
      </c>
      <c r="E126" s="843"/>
      <c r="F126" s="843"/>
      <c r="G126" s="843"/>
      <c r="H126" s="843"/>
      <c r="I126" s="843"/>
      <c r="J126" s="843"/>
      <c r="K126" s="843"/>
      <c r="L126" s="847"/>
      <c r="M126" s="189"/>
      <c r="N126" s="134"/>
      <c r="O126" s="134"/>
      <c r="P126" s="134"/>
      <c r="Q126" s="134"/>
      <c r="R126" s="134"/>
      <c r="S126" s="134"/>
      <c r="T126" s="134"/>
      <c r="U126" s="134"/>
    </row>
    <row r="127" spans="1:21" s="136" customFormat="1" x14ac:dyDescent="0.2">
      <c r="A127" s="539"/>
      <c r="B127" s="540"/>
      <c r="C127" s="540"/>
      <c r="D127" s="540"/>
      <c r="E127" s="540"/>
      <c r="F127" s="255"/>
      <c r="G127" s="255"/>
      <c r="H127" s="255"/>
      <c r="I127" s="255"/>
      <c r="J127" s="540"/>
      <c r="K127" s="21"/>
      <c r="L127" s="541"/>
      <c r="M127" s="190"/>
      <c r="N127" s="160"/>
      <c r="O127" s="160"/>
      <c r="P127" s="160"/>
      <c r="Q127" s="160"/>
      <c r="R127" s="160"/>
      <c r="S127" s="160"/>
      <c r="T127" s="160"/>
      <c r="U127" s="160"/>
    </row>
    <row r="128" spans="1:21" s="136" customFormat="1" x14ac:dyDescent="0.2">
      <c r="A128" s="542"/>
      <c r="B128" s="540"/>
      <c r="C128" s="540"/>
      <c r="D128" s="540"/>
      <c r="E128" s="540"/>
      <c r="F128" s="255"/>
      <c r="G128" s="255"/>
      <c r="H128" s="255"/>
      <c r="I128" s="255"/>
      <c r="J128" s="24"/>
      <c r="K128" s="21"/>
      <c r="L128" s="25"/>
      <c r="M128" s="191"/>
      <c r="N128" s="160"/>
      <c r="O128" s="160"/>
      <c r="P128" s="160"/>
      <c r="Q128" s="160"/>
      <c r="R128" s="160"/>
      <c r="S128" s="160"/>
      <c r="T128" s="160"/>
      <c r="U128" s="160"/>
    </row>
    <row r="129" spans="1:23" s="136" customFormat="1" x14ac:dyDescent="0.2">
      <c r="A129" s="542"/>
      <c r="B129" s="540"/>
      <c r="C129" s="540"/>
      <c r="D129" s="540"/>
      <c r="E129" s="540"/>
      <c r="F129" s="255"/>
      <c r="G129" s="255"/>
      <c r="H129" s="255"/>
      <c r="I129" s="255"/>
      <c r="J129" s="24"/>
      <c r="K129" s="21"/>
      <c r="L129" s="25"/>
      <c r="M129" s="191"/>
      <c r="N129" s="160"/>
      <c r="O129" s="160"/>
      <c r="P129" s="160"/>
      <c r="Q129" s="160"/>
      <c r="R129" s="160"/>
      <c r="S129" s="160"/>
      <c r="T129" s="160"/>
      <c r="U129" s="160"/>
    </row>
    <row r="130" spans="1:23" s="136" customFormat="1" ht="16.5" thickBot="1" x14ac:dyDescent="0.25">
      <c r="A130" s="543"/>
      <c r="B130" s="544"/>
      <c r="C130" s="544"/>
      <c r="D130" s="544"/>
      <c r="E130" s="544"/>
      <c r="F130" s="256"/>
      <c r="G130" s="256"/>
      <c r="H130" s="256"/>
      <c r="I130" s="256"/>
      <c r="J130" s="28"/>
      <c r="K130" s="29"/>
      <c r="L130" s="30"/>
      <c r="M130" s="191"/>
      <c r="N130" s="160"/>
      <c r="O130" s="160"/>
      <c r="P130" s="160"/>
      <c r="Q130" s="160"/>
      <c r="R130" s="160"/>
      <c r="S130" s="160"/>
      <c r="T130" s="160"/>
      <c r="U130" s="160"/>
    </row>
    <row r="131" spans="1:23" s="136" customFormat="1" x14ac:dyDescent="0.2">
      <c r="A131" s="173"/>
      <c r="B131" s="545"/>
      <c r="C131" s="545"/>
      <c r="D131" s="545"/>
      <c r="E131" s="545"/>
      <c r="F131" s="545"/>
      <c r="G131" s="545"/>
      <c r="H131" s="545"/>
      <c r="I131" s="545"/>
      <c r="J131" s="33"/>
      <c r="K131" s="33"/>
      <c r="L131" s="34"/>
      <c r="M131" s="191"/>
      <c r="N131" s="160"/>
      <c r="O131" s="160"/>
      <c r="P131" s="160"/>
      <c r="Q131" s="160"/>
      <c r="R131" s="160"/>
      <c r="S131" s="160"/>
      <c r="T131" s="160"/>
      <c r="U131" s="160"/>
    </row>
    <row r="132" spans="1:23" s="73" customFormat="1" ht="15.6" customHeight="1" x14ac:dyDescent="0.2">
      <c r="A132" s="841" t="s">
        <v>596</v>
      </c>
      <c r="B132" s="840"/>
      <c r="C132" s="840"/>
      <c r="D132" s="840"/>
      <c r="E132" s="840" t="s">
        <v>288</v>
      </c>
      <c r="F132" s="840">
        <v>20</v>
      </c>
      <c r="G132" s="840">
        <v>40</v>
      </c>
      <c r="H132" s="840" t="s">
        <v>19</v>
      </c>
      <c r="I132" s="840" t="s">
        <v>20</v>
      </c>
      <c r="J132" s="845" t="s">
        <v>297</v>
      </c>
      <c r="K132" s="845" t="s">
        <v>33</v>
      </c>
      <c r="L132" s="844" t="s">
        <v>217</v>
      </c>
      <c r="M132" s="844" t="s">
        <v>23</v>
      </c>
      <c r="N132" s="169"/>
      <c r="O132" s="118"/>
      <c r="P132" s="134"/>
      <c r="Q132" s="134"/>
      <c r="R132" s="134"/>
      <c r="S132" s="134"/>
      <c r="T132" s="134"/>
      <c r="U132" s="134"/>
      <c r="V132" s="134"/>
      <c r="W132" s="134"/>
    </row>
    <row r="133" spans="1:23" s="73" customFormat="1" x14ac:dyDescent="0.2">
      <c r="A133" s="546" t="s">
        <v>218</v>
      </c>
      <c r="B133" s="546" t="s">
        <v>11</v>
      </c>
      <c r="C133" s="546" t="s">
        <v>12</v>
      </c>
      <c r="D133" s="546" t="s">
        <v>219</v>
      </c>
      <c r="E133" s="840"/>
      <c r="F133" s="840"/>
      <c r="G133" s="840"/>
      <c r="H133" s="840"/>
      <c r="I133" s="840"/>
      <c r="J133" s="840"/>
      <c r="K133" s="840"/>
      <c r="L133" s="844"/>
      <c r="M133" s="844"/>
      <c r="N133" s="169"/>
      <c r="O133" s="118"/>
      <c r="P133" s="134"/>
      <c r="Q133" s="134"/>
      <c r="R133" s="134"/>
      <c r="S133" s="134"/>
      <c r="T133" s="134"/>
      <c r="U133" s="134"/>
      <c r="V133" s="134"/>
      <c r="W133" s="134"/>
    </row>
    <row r="134" spans="1:23" s="136" customFormat="1" x14ac:dyDescent="0.2">
      <c r="A134" s="372"/>
      <c r="B134" s="547"/>
      <c r="C134" s="547"/>
      <c r="D134" s="547"/>
      <c r="E134" s="547"/>
      <c r="F134" s="368"/>
      <c r="G134" s="368"/>
      <c r="H134" s="368"/>
      <c r="I134" s="368"/>
      <c r="J134" s="369"/>
      <c r="K134" s="370"/>
      <c r="L134" s="548"/>
      <c r="M134" s="548"/>
      <c r="N134" s="192"/>
      <c r="O134" s="159"/>
      <c r="P134" s="160"/>
      <c r="Q134" s="160"/>
      <c r="R134" s="160"/>
      <c r="S134" s="160"/>
      <c r="T134" s="160"/>
      <c r="U134" s="160"/>
      <c r="V134" s="160"/>
      <c r="W134" s="160"/>
    </row>
    <row r="135" spans="1:23" s="136" customFormat="1" x14ac:dyDescent="0.2">
      <c r="A135" s="372"/>
      <c r="B135" s="547"/>
      <c r="C135" s="547"/>
      <c r="D135" s="547"/>
      <c r="E135" s="547"/>
      <c r="F135" s="368"/>
      <c r="G135" s="368"/>
      <c r="H135" s="368"/>
      <c r="I135" s="368"/>
      <c r="J135" s="369"/>
      <c r="K135" s="370"/>
      <c r="L135" s="548"/>
      <c r="M135" s="548"/>
      <c r="N135" s="192"/>
      <c r="O135" s="159"/>
      <c r="P135" s="160"/>
      <c r="Q135" s="160"/>
      <c r="R135" s="160"/>
      <c r="S135" s="160"/>
      <c r="T135" s="160"/>
      <c r="U135" s="160"/>
      <c r="V135" s="160"/>
      <c r="W135" s="160"/>
    </row>
    <row r="136" spans="1:23" s="136" customFormat="1" x14ac:dyDescent="0.2">
      <c r="A136" s="372"/>
      <c r="B136" s="547"/>
      <c r="C136" s="547"/>
      <c r="D136" s="547"/>
      <c r="E136" s="547"/>
      <c r="F136" s="368"/>
      <c r="G136" s="368"/>
      <c r="H136" s="368"/>
      <c r="I136" s="368"/>
      <c r="J136" s="369"/>
      <c r="K136" s="370"/>
      <c r="L136" s="548"/>
      <c r="M136" s="548"/>
      <c r="N136" s="192"/>
      <c r="O136" s="159"/>
      <c r="P136" s="160"/>
      <c r="Q136" s="160"/>
      <c r="R136" s="160"/>
      <c r="S136" s="160"/>
      <c r="T136" s="160"/>
      <c r="U136" s="160"/>
      <c r="V136" s="160"/>
      <c r="W136" s="160"/>
    </row>
    <row r="137" spans="1:23" s="136" customFormat="1" x14ac:dyDescent="0.2">
      <c r="A137" s="372"/>
      <c r="B137" s="547"/>
      <c r="C137" s="547"/>
      <c r="D137" s="547"/>
      <c r="E137" s="547"/>
      <c r="F137" s="368"/>
      <c r="G137" s="368"/>
      <c r="H137" s="368"/>
      <c r="I137" s="368"/>
      <c r="J137" s="369"/>
      <c r="K137" s="370"/>
      <c r="L137" s="373"/>
      <c r="M137" s="373"/>
      <c r="N137" s="191"/>
      <c r="O137" s="159"/>
      <c r="P137" s="160"/>
      <c r="Q137" s="160"/>
      <c r="R137" s="160"/>
      <c r="S137" s="160"/>
      <c r="T137" s="160"/>
      <c r="U137" s="160"/>
      <c r="V137" s="160"/>
      <c r="W137" s="160"/>
    </row>
    <row r="138" spans="1:23" s="73" customFormat="1" x14ac:dyDescent="0.2">
      <c r="A138" s="456"/>
      <c r="B138" s="549"/>
      <c r="C138" s="549"/>
      <c r="D138" s="549"/>
      <c r="E138" s="549"/>
      <c r="F138" s="194"/>
      <c r="G138" s="522"/>
      <c r="H138" s="195"/>
      <c r="I138" s="195"/>
      <c r="J138" s="176"/>
      <c r="K138" s="118"/>
      <c r="L138" s="134"/>
      <c r="M138" s="134"/>
      <c r="N138" s="134"/>
      <c r="O138" s="134"/>
      <c r="P138" s="134"/>
      <c r="Q138" s="134"/>
    </row>
    <row r="139" spans="1:23" s="456" customFormat="1" ht="16.5" thickBot="1" x14ac:dyDescent="0.25">
      <c r="A139" s="196"/>
      <c r="B139" s="197"/>
      <c r="C139" s="198"/>
      <c r="D139" s="198"/>
      <c r="E139" s="169"/>
      <c r="F139" s="176"/>
      <c r="G139" s="176"/>
      <c r="H139" s="176"/>
      <c r="I139" s="176"/>
      <c r="J139" s="170"/>
      <c r="K139" s="118"/>
      <c r="L139" s="134"/>
      <c r="M139" s="134"/>
      <c r="N139" s="134"/>
      <c r="O139" s="134"/>
      <c r="P139" s="134"/>
      <c r="Q139" s="134"/>
      <c r="R139" s="134"/>
      <c r="S139" s="118"/>
      <c r="T139" s="118"/>
      <c r="U139" s="118"/>
    </row>
    <row r="140" spans="1:23" s="456" customFormat="1" ht="16.5" thickBot="1" x14ac:dyDescent="0.25">
      <c r="A140" s="822" t="s">
        <v>220</v>
      </c>
      <c r="B140" s="823"/>
      <c r="C140" s="823"/>
      <c r="D140" s="823"/>
      <c r="E140" s="824"/>
      <c r="F140" s="176"/>
      <c r="G140" s="176"/>
      <c r="H140" s="176"/>
      <c r="I140" s="176"/>
      <c r="J140" s="170"/>
      <c r="K140" s="118"/>
      <c r="L140" s="134"/>
      <c r="M140" s="134"/>
      <c r="N140" s="134"/>
      <c r="O140" s="134"/>
      <c r="P140" s="134"/>
      <c r="Q140" s="134"/>
      <c r="R140" s="134"/>
      <c r="S140" s="118"/>
      <c r="T140" s="118"/>
      <c r="U140" s="118"/>
    </row>
    <row r="141" spans="1:23" s="73" customFormat="1" ht="16.5" thickBot="1" x14ac:dyDescent="0.25">
      <c r="A141" s="550"/>
      <c r="B141" s="456"/>
      <c r="C141" s="456"/>
      <c r="D141" s="456"/>
      <c r="E141" s="456"/>
      <c r="F141" s="194"/>
      <c r="G141" s="456"/>
      <c r="H141" s="200"/>
      <c r="I141" s="194"/>
      <c r="J141" s="194"/>
      <c r="K141" s="118"/>
      <c r="L141" s="134"/>
      <c r="M141" s="134"/>
      <c r="N141" s="134"/>
      <c r="O141" s="134"/>
      <c r="P141" s="134"/>
      <c r="Q141" s="134"/>
      <c r="R141" s="134"/>
      <c r="S141" s="118"/>
      <c r="T141" s="118"/>
      <c r="U141" s="118"/>
    </row>
    <row r="142" spans="1:23" s="73" customFormat="1" ht="16.5" thickBot="1" x14ac:dyDescent="0.25">
      <c r="A142" s="825" t="s">
        <v>221</v>
      </c>
      <c r="B142" s="838"/>
      <c r="C142" s="838"/>
      <c r="D142" s="838"/>
      <c r="E142" s="838"/>
      <c r="F142" s="839"/>
      <c r="G142" s="456"/>
      <c r="H142" s="200"/>
      <c r="I142" s="194"/>
      <c r="J142" s="194"/>
      <c r="K142" s="118"/>
      <c r="L142" s="134"/>
      <c r="M142" s="134"/>
      <c r="N142" s="134"/>
      <c r="O142" s="134"/>
      <c r="P142" s="134"/>
      <c r="Q142" s="134"/>
      <c r="R142" s="134"/>
      <c r="S142" s="118"/>
      <c r="T142" s="118"/>
      <c r="U142" s="118"/>
    </row>
    <row r="143" spans="1:23" s="73" customFormat="1" ht="16.5" customHeight="1" x14ac:dyDescent="0.2">
      <c r="A143" s="835" t="s">
        <v>222</v>
      </c>
      <c r="B143" s="836"/>
      <c r="C143" s="836"/>
      <c r="D143" s="836"/>
      <c r="E143" s="836"/>
      <c r="F143" s="837"/>
      <c r="G143" s="456"/>
      <c r="H143" s="201"/>
      <c r="I143" s="170"/>
      <c r="J143" s="170"/>
      <c r="K143" s="118"/>
      <c r="L143" s="134"/>
      <c r="M143" s="134"/>
      <c r="N143" s="134"/>
      <c r="O143" s="134"/>
      <c r="P143" s="134"/>
      <c r="Q143" s="134"/>
      <c r="R143" s="134"/>
      <c r="S143" s="118"/>
      <c r="T143" s="118"/>
      <c r="U143" s="118"/>
    </row>
    <row r="144" spans="1:23" ht="16.5" thickBot="1" x14ac:dyDescent="0.25">
      <c r="A144" s="832" t="s">
        <v>223</v>
      </c>
      <c r="B144" s="833"/>
      <c r="C144" s="833"/>
      <c r="D144" s="833"/>
      <c r="E144" s="833"/>
      <c r="F144" s="834"/>
      <c r="G144" s="176"/>
      <c r="H144" s="176"/>
      <c r="I144" s="176"/>
      <c r="J144" s="169"/>
      <c r="K144" s="169"/>
      <c r="L144" s="169"/>
      <c r="M144" s="169"/>
      <c r="N144" s="169"/>
      <c r="O144" s="169"/>
      <c r="P144" s="169"/>
      <c r="Q144" s="169"/>
      <c r="R144" s="169"/>
      <c r="S144" s="169"/>
      <c r="T144" s="169"/>
      <c r="U144" s="169"/>
    </row>
    <row r="145" spans="1:21" x14ac:dyDescent="0.2">
      <c r="A145" s="551" t="s">
        <v>224</v>
      </c>
      <c r="B145" s="450" t="s">
        <v>225</v>
      </c>
      <c r="C145" s="552" t="s">
        <v>226</v>
      </c>
      <c r="D145" s="553" t="s">
        <v>227</v>
      </c>
      <c r="E145" s="176"/>
      <c r="F145" s="176"/>
      <c r="G145" s="176"/>
      <c r="H145" s="169"/>
      <c r="I145" s="169"/>
      <c r="J145" s="169"/>
      <c r="K145" s="169"/>
      <c r="L145" s="169"/>
      <c r="M145" s="169"/>
      <c r="N145" s="169"/>
      <c r="O145" s="169"/>
      <c r="P145" s="169"/>
      <c r="Q145" s="169"/>
      <c r="R145" s="169"/>
    </row>
    <row r="146" spans="1:21" s="192" customFormat="1" x14ac:dyDescent="0.2">
      <c r="A146" s="203"/>
      <c r="B146" s="204"/>
      <c r="C146" s="205"/>
      <c r="D146" s="206"/>
      <c r="E146" s="191"/>
      <c r="F146" s="191"/>
      <c r="G146" s="191"/>
    </row>
    <row r="147" spans="1:21" s="192" customFormat="1" x14ac:dyDescent="0.2">
      <c r="A147" s="203"/>
      <c r="B147" s="204"/>
      <c r="C147" s="205"/>
      <c r="D147" s="206"/>
      <c r="E147" s="191"/>
      <c r="F147" s="191"/>
      <c r="G147" s="191"/>
    </row>
    <row r="148" spans="1:21" s="192" customFormat="1" ht="16.5" thickBot="1" x14ac:dyDescent="0.25">
      <c r="A148" s="207"/>
      <c r="B148" s="208"/>
      <c r="C148" s="209"/>
      <c r="D148" s="210"/>
      <c r="E148" s="191"/>
      <c r="F148" s="191"/>
      <c r="G148" s="191"/>
    </row>
    <row r="149" spans="1:21" ht="16.5" thickBot="1" x14ac:dyDescent="0.25"/>
    <row r="150" spans="1:21" s="73" customFormat="1" ht="16.5" thickBot="1" x14ac:dyDescent="0.25">
      <c r="A150" s="822" t="s">
        <v>228</v>
      </c>
      <c r="B150" s="823"/>
      <c r="C150" s="823"/>
      <c r="D150" s="823"/>
      <c r="E150" s="823"/>
      <c r="F150" s="823"/>
      <c r="G150" s="823"/>
      <c r="H150" s="823"/>
      <c r="I150" s="824"/>
      <c r="J150" s="169"/>
      <c r="K150" s="118"/>
      <c r="L150" s="134"/>
      <c r="M150" s="134"/>
      <c r="N150" s="134"/>
      <c r="O150" s="134"/>
      <c r="P150" s="134"/>
      <c r="Q150" s="134"/>
      <c r="R150" s="134"/>
      <c r="S150" s="118"/>
      <c r="T150" s="118"/>
      <c r="U150" s="118"/>
    </row>
    <row r="151" spans="1:21" s="73" customFormat="1" ht="16.5" thickBot="1" x14ac:dyDescent="0.25">
      <c r="A151" s="554" t="s">
        <v>229</v>
      </c>
      <c r="B151" s="213"/>
      <c r="C151" s="214"/>
      <c r="D151" s="214"/>
      <c r="E151" s="214"/>
      <c r="F151" s="214"/>
      <c r="G151" s="215"/>
      <c r="H151" s="216"/>
      <c r="I151" s="217"/>
      <c r="J151" s="170"/>
      <c r="K151" s="118"/>
      <c r="L151" s="134"/>
      <c r="M151" s="134"/>
      <c r="N151" s="134"/>
      <c r="O151" s="134"/>
      <c r="P151" s="134"/>
      <c r="Q151" s="134"/>
      <c r="R151" s="134"/>
      <c r="S151" s="118"/>
      <c r="T151" s="118"/>
      <c r="U151" s="118"/>
    </row>
    <row r="152" spans="1:21" s="308" customFormat="1" ht="175.5" customHeight="1" x14ac:dyDescent="0.2">
      <c r="A152" s="228" t="s">
        <v>504</v>
      </c>
      <c r="B152" s="827" t="s">
        <v>1063</v>
      </c>
      <c r="C152" s="828"/>
      <c r="D152" s="828"/>
      <c r="E152" s="828"/>
      <c r="F152" s="828"/>
      <c r="G152" s="828"/>
      <c r="H152" s="828"/>
      <c r="I152" s="829"/>
      <c r="J152" s="171"/>
      <c r="K152" s="172"/>
      <c r="L152" s="173"/>
      <c r="M152" s="173"/>
      <c r="N152" s="173"/>
      <c r="O152" s="173"/>
      <c r="P152" s="173"/>
      <c r="Q152" s="173"/>
      <c r="R152" s="173"/>
      <c r="S152" s="172"/>
      <c r="T152" s="172"/>
      <c r="U152" s="172"/>
    </row>
    <row r="153" spans="1:21" s="218" customFormat="1" x14ac:dyDescent="0.2">
      <c r="A153" s="281"/>
      <c r="B153" s="816"/>
      <c r="C153" s="817"/>
      <c r="D153" s="817"/>
      <c r="E153" s="817"/>
      <c r="F153" s="817"/>
      <c r="G153" s="817"/>
      <c r="H153" s="817"/>
      <c r="I153" s="818"/>
    </row>
    <row r="154" spans="1:21" s="218" customFormat="1" x14ac:dyDescent="0.2">
      <c r="A154" s="281"/>
      <c r="B154" s="816"/>
      <c r="C154" s="817"/>
      <c r="D154" s="817"/>
      <c r="E154" s="817"/>
      <c r="F154" s="817"/>
      <c r="G154" s="817"/>
      <c r="H154" s="817"/>
      <c r="I154" s="818"/>
    </row>
    <row r="155" spans="1:21" s="218" customFormat="1" x14ac:dyDescent="0.2">
      <c r="A155" s="281"/>
      <c r="B155" s="816"/>
      <c r="C155" s="817"/>
      <c r="D155" s="817"/>
      <c r="E155" s="817"/>
      <c r="F155" s="817"/>
      <c r="G155" s="817"/>
      <c r="H155" s="817"/>
      <c r="I155" s="818"/>
    </row>
    <row r="156" spans="1:21" s="218" customFormat="1" x14ac:dyDescent="0.2">
      <c r="A156" s="281"/>
      <c r="B156" s="816"/>
      <c r="C156" s="817"/>
      <c r="D156" s="817"/>
      <c r="E156" s="817"/>
      <c r="F156" s="817"/>
      <c r="G156" s="817"/>
      <c r="H156" s="817"/>
      <c r="I156" s="818"/>
    </row>
    <row r="157" spans="1:21" s="218" customFormat="1" x14ac:dyDescent="0.2">
      <c r="A157" s="281"/>
      <c r="B157" s="816"/>
      <c r="C157" s="817"/>
      <c r="D157" s="817"/>
      <c r="E157" s="817"/>
      <c r="F157" s="817"/>
      <c r="G157" s="817"/>
      <c r="H157" s="817"/>
      <c r="I157" s="818"/>
    </row>
    <row r="158" spans="1:21" s="218" customFormat="1" x14ac:dyDescent="0.2">
      <c r="A158" s="281"/>
      <c r="B158" s="816"/>
      <c r="C158" s="817"/>
      <c r="D158" s="817"/>
      <c r="E158" s="817"/>
      <c r="F158" s="817"/>
      <c r="G158" s="817"/>
      <c r="H158" s="817"/>
      <c r="I158" s="818"/>
    </row>
    <row r="159" spans="1:21" s="218" customFormat="1" x14ac:dyDescent="0.2">
      <c r="A159" s="281"/>
      <c r="B159" s="816"/>
      <c r="C159" s="817"/>
      <c r="D159" s="817"/>
      <c r="E159" s="817"/>
      <c r="F159" s="817"/>
      <c r="G159" s="817"/>
      <c r="H159" s="817"/>
      <c r="I159" s="818"/>
    </row>
    <row r="160" spans="1:21" s="218" customFormat="1" x14ac:dyDescent="0.2">
      <c r="A160" s="281"/>
      <c r="B160" s="816"/>
      <c r="C160" s="817"/>
      <c r="D160" s="817"/>
      <c r="E160" s="817"/>
      <c r="F160" s="817"/>
      <c r="G160" s="817"/>
      <c r="H160" s="817"/>
      <c r="I160" s="818"/>
    </row>
    <row r="161" spans="1:14" s="218" customFormat="1" x14ac:dyDescent="0.2">
      <c r="A161" s="281"/>
      <c r="B161" s="816"/>
      <c r="C161" s="817"/>
      <c r="D161" s="817"/>
      <c r="E161" s="817"/>
      <c r="F161" s="817"/>
      <c r="G161" s="817"/>
      <c r="H161" s="817"/>
      <c r="I161" s="818"/>
    </row>
    <row r="162" spans="1:14" s="218" customFormat="1" x14ac:dyDescent="0.2">
      <c r="A162" s="281"/>
      <c r="B162" s="816"/>
      <c r="C162" s="817"/>
      <c r="D162" s="817"/>
      <c r="E162" s="817"/>
      <c r="F162" s="817"/>
      <c r="G162" s="817"/>
      <c r="H162" s="817"/>
      <c r="I162" s="818"/>
    </row>
    <row r="163" spans="1:14" s="218" customFormat="1" x14ac:dyDescent="0.2">
      <c r="A163" s="281"/>
      <c r="B163" s="816"/>
      <c r="C163" s="817"/>
      <c r="D163" s="817"/>
      <c r="E163" s="817"/>
      <c r="F163" s="817"/>
      <c r="G163" s="817"/>
      <c r="H163" s="817"/>
      <c r="I163" s="818"/>
    </row>
    <row r="164" spans="1:14" s="218" customFormat="1" x14ac:dyDescent="0.2">
      <c r="A164" s="281"/>
      <c r="B164" s="816"/>
      <c r="C164" s="817"/>
      <c r="D164" s="817"/>
      <c r="E164" s="817"/>
      <c r="F164" s="817"/>
      <c r="G164" s="817"/>
      <c r="H164" s="817"/>
      <c r="I164" s="818"/>
    </row>
    <row r="165" spans="1:14" s="218" customFormat="1" x14ac:dyDescent="0.2">
      <c r="A165" s="281"/>
      <c r="B165" s="816"/>
      <c r="C165" s="817"/>
      <c r="D165" s="817"/>
      <c r="E165" s="817"/>
      <c r="F165" s="817"/>
      <c r="G165" s="817"/>
      <c r="H165" s="817"/>
      <c r="I165" s="818"/>
    </row>
    <row r="166" spans="1:14" s="218" customFormat="1" ht="16.5" thickBot="1" x14ac:dyDescent="0.25">
      <c r="A166" s="282"/>
      <c r="B166" s="819"/>
      <c r="C166" s="820"/>
      <c r="D166" s="820"/>
      <c r="E166" s="820"/>
      <c r="F166" s="820"/>
      <c r="G166" s="820"/>
      <c r="H166" s="820"/>
      <c r="I166" s="821"/>
    </row>
    <row r="168" spans="1:14" s="218" customFormat="1" x14ac:dyDescent="0.2">
      <c r="F168" s="337"/>
      <c r="G168" s="337"/>
      <c r="H168" s="337"/>
      <c r="I168" s="337"/>
    </row>
    <row r="169" spans="1:14" s="218" customFormat="1" ht="16.5" thickBot="1" x14ac:dyDescent="0.25">
      <c r="F169" s="337"/>
      <c r="G169" s="337"/>
      <c r="H169" s="337"/>
      <c r="I169" s="337"/>
    </row>
    <row r="170" spans="1:14" s="218" customFormat="1" ht="16.5" thickBot="1" x14ac:dyDescent="0.25">
      <c r="A170" s="825" t="s">
        <v>3</v>
      </c>
      <c r="B170" s="826"/>
      <c r="F170" s="337"/>
      <c r="G170" s="337"/>
      <c r="H170" s="337"/>
      <c r="I170" s="337"/>
    </row>
    <row r="171" spans="1:14" s="347" customFormat="1" ht="16.5" thickBot="1" x14ac:dyDescent="0.25">
      <c r="A171" s="338"/>
      <c r="B171" s="338"/>
      <c r="F171" s="348"/>
      <c r="G171" s="348"/>
      <c r="H171" s="348"/>
      <c r="I171" s="348"/>
    </row>
    <row r="172" spans="1:14" s="218" customFormat="1" ht="15.75" customHeight="1" thickBot="1" x14ac:dyDescent="0.25">
      <c r="A172" s="800" t="s">
        <v>2</v>
      </c>
      <c r="B172" s="801"/>
      <c r="C172" s="801"/>
      <c r="D172" s="801"/>
      <c r="E172" s="801"/>
      <c r="F172" s="801"/>
      <c r="G172" s="802"/>
      <c r="H172" s="337"/>
      <c r="I172" s="337"/>
    </row>
    <row r="173" spans="1:14" s="347" customFormat="1" ht="15.75" customHeight="1" thickBot="1" x14ac:dyDescent="0.25">
      <c r="A173" s="338"/>
      <c r="B173" s="338"/>
      <c r="C173" s="338"/>
      <c r="D173" s="338"/>
      <c r="E173" s="338"/>
      <c r="F173" s="338"/>
      <c r="G173" s="338"/>
      <c r="H173" s="348"/>
      <c r="I173" s="348"/>
    </row>
    <row r="174" spans="1:14" s="218" customFormat="1" ht="15.75" customHeight="1" thickBot="1" x14ac:dyDescent="0.25">
      <c r="A174" s="807" t="s">
        <v>1</v>
      </c>
      <c r="B174" s="808"/>
      <c r="C174" s="808"/>
      <c r="D174" s="808"/>
      <c r="E174" s="809"/>
      <c r="F174" s="339"/>
      <c r="G174" s="339"/>
      <c r="H174" s="337"/>
      <c r="I174" s="337"/>
    </row>
    <row r="175" spans="1:14" s="218" customFormat="1" x14ac:dyDescent="0.2">
      <c r="A175" s="803" t="s">
        <v>627</v>
      </c>
      <c r="B175" s="805" t="s">
        <v>888</v>
      </c>
      <c r="C175" s="786" t="s">
        <v>0</v>
      </c>
      <c r="D175" s="786" t="s">
        <v>609</v>
      </c>
      <c r="E175" s="805" t="s">
        <v>889</v>
      </c>
      <c r="F175" s="786" t="s">
        <v>436</v>
      </c>
      <c r="G175" s="786" t="s">
        <v>421</v>
      </c>
      <c r="H175" s="786" t="s">
        <v>628</v>
      </c>
      <c r="I175" s="786" t="s">
        <v>11</v>
      </c>
      <c r="J175" s="786" t="s">
        <v>12</v>
      </c>
      <c r="K175" s="786" t="s">
        <v>13</v>
      </c>
      <c r="L175" s="786" t="s">
        <v>449</v>
      </c>
      <c r="M175" s="786" t="s">
        <v>610</v>
      </c>
      <c r="N175" s="788"/>
    </row>
    <row r="176" spans="1:14" s="218" customFormat="1" ht="32.25" customHeight="1" thickBot="1" x14ac:dyDescent="0.25">
      <c r="A176" s="804"/>
      <c r="B176" s="806"/>
      <c r="C176" s="787"/>
      <c r="D176" s="787"/>
      <c r="E176" s="806"/>
      <c r="F176" s="787"/>
      <c r="G176" s="787"/>
      <c r="H176" s="787"/>
      <c r="I176" s="787"/>
      <c r="J176" s="787"/>
      <c r="K176" s="787"/>
      <c r="L176" s="787"/>
      <c r="M176" s="787"/>
      <c r="N176" s="789"/>
    </row>
    <row r="177" spans="1:31" s="218" customFormat="1" x14ac:dyDescent="0.2">
      <c r="A177" s="344"/>
      <c r="B177" s="340"/>
      <c r="C177" s="394"/>
      <c r="D177" s="340"/>
      <c r="E177" s="340"/>
      <c r="F177" s="340"/>
      <c r="G177" s="340"/>
      <c r="H177" s="340"/>
      <c r="I177" s="340"/>
      <c r="J177" s="340"/>
      <c r="K177" s="340"/>
      <c r="L177" s="661"/>
      <c r="M177" s="810"/>
      <c r="N177" s="811"/>
    </row>
    <row r="178" spans="1:31" s="218" customFormat="1" x14ac:dyDescent="0.2">
      <c r="A178" s="345"/>
      <c r="B178" s="341"/>
      <c r="C178" s="392"/>
      <c r="D178" s="341"/>
      <c r="E178" s="341"/>
      <c r="F178" s="341"/>
      <c r="G178" s="341"/>
      <c r="H178" s="341"/>
      <c r="I178" s="341"/>
      <c r="J178" s="341"/>
      <c r="K178" s="341"/>
      <c r="L178" s="662"/>
      <c r="M178" s="790"/>
      <c r="N178" s="791"/>
    </row>
    <row r="179" spans="1:31" s="218" customFormat="1" x14ac:dyDescent="0.2">
      <c r="A179" s="345"/>
      <c r="B179" s="341"/>
      <c r="C179" s="392"/>
      <c r="D179" s="341"/>
      <c r="E179" s="341"/>
      <c r="F179" s="341"/>
      <c r="G179" s="341"/>
      <c r="H179" s="341"/>
      <c r="I179" s="341"/>
      <c r="J179" s="341"/>
      <c r="K179" s="341"/>
      <c r="L179" s="662"/>
      <c r="M179" s="790"/>
      <c r="N179" s="791"/>
    </row>
    <row r="180" spans="1:31" s="218" customFormat="1" x14ac:dyDescent="0.2">
      <c r="A180" s="345"/>
      <c r="B180" s="341"/>
      <c r="C180" s="392"/>
      <c r="D180" s="341"/>
      <c r="E180" s="341"/>
      <c r="F180" s="341"/>
      <c r="G180" s="341"/>
      <c r="H180" s="341"/>
      <c r="I180" s="341"/>
      <c r="J180" s="341"/>
      <c r="K180" s="341"/>
      <c r="L180" s="662"/>
      <c r="M180" s="790"/>
      <c r="N180" s="791"/>
    </row>
    <row r="181" spans="1:31" s="218" customFormat="1" x14ac:dyDescent="0.2">
      <c r="A181" s="345"/>
      <c r="B181" s="341"/>
      <c r="C181" s="392"/>
      <c r="D181" s="341"/>
      <c r="E181" s="341"/>
      <c r="F181" s="341"/>
      <c r="G181" s="341"/>
      <c r="H181" s="341"/>
      <c r="I181" s="341"/>
      <c r="J181" s="341"/>
      <c r="K181" s="341"/>
      <c r="L181" s="662"/>
      <c r="M181" s="790"/>
      <c r="N181" s="791"/>
    </row>
    <row r="182" spans="1:31" s="218" customFormat="1" ht="16.5" thickBot="1" x14ac:dyDescent="0.25">
      <c r="A182" s="346"/>
      <c r="B182" s="342"/>
      <c r="C182" s="336"/>
      <c r="D182" s="342"/>
      <c r="E182" s="342"/>
      <c r="F182" s="342"/>
      <c r="G182" s="342"/>
      <c r="H182" s="342"/>
      <c r="I182" s="342"/>
      <c r="J182" s="342"/>
      <c r="K182" s="342"/>
      <c r="L182" s="663"/>
      <c r="M182" s="794"/>
      <c r="N182" s="795"/>
    </row>
    <row r="183" spans="1:31" s="218" customFormat="1" x14ac:dyDescent="0.2">
      <c r="F183" s="337"/>
      <c r="G183" s="337"/>
      <c r="H183" s="337"/>
      <c r="I183" s="337"/>
    </row>
    <row r="184" spans="1:31" s="218" customFormat="1" ht="16.5" thickBot="1" x14ac:dyDescent="0.25">
      <c r="F184" s="337"/>
      <c r="G184" s="337"/>
      <c r="H184" s="337"/>
      <c r="I184" s="337"/>
    </row>
    <row r="185" spans="1:31" s="218" customFormat="1" ht="16.5" thickBot="1" x14ac:dyDescent="0.25">
      <c r="A185" s="800" t="s">
        <v>790</v>
      </c>
      <c r="B185" s="801"/>
      <c r="C185" s="801"/>
      <c r="D185" s="801"/>
      <c r="E185" s="801"/>
      <c r="F185" s="801"/>
      <c r="G185" s="802"/>
      <c r="H185" s="337"/>
      <c r="I185" s="337"/>
    </row>
    <row r="186" spans="1:31" s="192" customFormat="1" ht="16.5" thickBot="1" x14ac:dyDescent="0.25">
      <c r="F186" s="191"/>
      <c r="G186" s="191"/>
      <c r="H186" s="191"/>
      <c r="I186" s="191"/>
    </row>
    <row r="187" spans="1:31" s="218" customFormat="1" ht="16.5" thickBot="1" x14ac:dyDescent="0.25">
      <c r="A187" s="807" t="s">
        <v>1</v>
      </c>
      <c r="B187" s="808"/>
      <c r="C187" s="808"/>
      <c r="D187" s="808"/>
      <c r="E187" s="808"/>
      <c r="F187" s="808"/>
      <c r="G187" s="808"/>
      <c r="H187" s="809"/>
      <c r="I187" s="337"/>
    </row>
    <row r="188" spans="1:31" s="1169" customFormat="1" ht="36.75" customHeight="1" thickBot="1" x14ac:dyDescent="0.25">
      <c r="A188" s="803" t="s">
        <v>627</v>
      </c>
      <c r="B188" s="805" t="s">
        <v>888</v>
      </c>
      <c r="C188" s="786" t="s">
        <v>0</v>
      </c>
      <c r="D188" s="786" t="s">
        <v>609</v>
      </c>
      <c r="E188" s="805" t="s">
        <v>889</v>
      </c>
      <c r="F188" s="971" t="s">
        <v>42</v>
      </c>
      <c r="G188" s="1165" t="s">
        <v>789</v>
      </c>
      <c r="H188" s="1163"/>
      <c r="I188" s="1163"/>
      <c r="J188" s="1163"/>
      <c r="K188" s="1163"/>
      <c r="L188" s="1163"/>
      <c r="M188" s="1163"/>
      <c r="N188" s="1163"/>
      <c r="O188" s="1163"/>
      <c r="P188" s="1163"/>
      <c r="Q188" s="1163"/>
      <c r="R188" s="1163"/>
      <c r="S188" s="1163"/>
      <c r="T188" s="1163"/>
      <c r="U188" s="1163"/>
      <c r="V188" s="1164"/>
      <c r="W188" s="930" t="s">
        <v>436</v>
      </c>
      <c r="X188" s="786" t="s">
        <v>421</v>
      </c>
      <c r="Y188" s="786" t="s">
        <v>628</v>
      </c>
      <c r="Z188" s="786" t="s">
        <v>11</v>
      </c>
      <c r="AA188" s="786" t="s">
        <v>12</v>
      </c>
      <c r="AB188" s="786" t="s">
        <v>13</v>
      </c>
      <c r="AC188" s="786" t="s">
        <v>449</v>
      </c>
      <c r="AD188" s="971" t="s">
        <v>610</v>
      </c>
      <c r="AE188" s="1161"/>
    </row>
    <row r="189" spans="1:31" s="1169" customFormat="1" ht="45.75" customHeight="1" thickBot="1" x14ac:dyDescent="0.25">
      <c r="A189" s="804"/>
      <c r="B189" s="806"/>
      <c r="C189" s="787"/>
      <c r="D189" s="787"/>
      <c r="E189" s="806"/>
      <c r="F189" s="787"/>
      <c r="G189" s="1186" t="s">
        <v>432</v>
      </c>
      <c r="H189" s="1186" t="s">
        <v>1380</v>
      </c>
      <c r="I189" s="1186" t="s">
        <v>1381</v>
      </c>
      <c r="J189" s="1186" t="s">
        <v>1382</v>
      </c>
      <c r="K189" s="1186" t="s">
        <v>433</v>
      </c>
      <c r="L189" s="1186" t="s">
        <v>1383</v>
      </c>
      <c r="M189" s="1182" t="s">
        <v>1386</v>
      </c>
      <c r="N189" s="1182" t="s">
        <v>1387</v>
      </c>
      <c r="O189" s="1186" t="s">
        <v>434</v>
      </c>
      <c r="P189" s="1186" t="s">
        <v>1384</v>
      </c>
      <c r="Q189" s="1182" t="s">
        <v>1388</v>
      </c>
      <c r="R189" s="1182" t="s">
        <v>1389</v>
      </c>
      <c r="S189" s="1186" t="s">
        <v>435</v>
      </c>
      <c r="T189" s="1186" t="s">
        <v>1385</v>
      </c>
      <c r="U189" s="1182" t="s">
        <v>1390</v>
      </c>
      <c r="V189" s="1182" t="s">
        <v>1391</v>
      </c>
      <c r="W189" s="959"/>
      <c r="X189" s="787"/>
      <c r="Y189" s="787"/>
      <c r="Z189" s="787"/>
      <c r="AA189" s="787"/>
      <c r="AB189" s="787"/>
      <c r="AC189" s="787"/>
      <c r="AD189" s="972"/>
      <c r="AE189" s="1162"/>
    </row>
    <row r="190" spans="1:31" s="1169" customFormat="1" x14ac:dyDescent="0.2">
      <c r="A190" s="1176"/>
      <c r="B190" s="1173"/>
      <c r="C190" s="1171"/>
      <c r="D190" s="1173"/>
      <c r="E190" s="1173"/>
      <c r="F190" s="1179"/>
      <c r="G190" s="1173"/>
      <c r="H190" s="1173"/>
      <c r="I190" s="1173"/>
      <c r="J190" s="1173"/>
      <c r="K190" s="1173"/>
      <c r="L190" s="1173"/>
      <c r="M190" s="1173"/>
      <c r="N190" s="1173"/>
      <c r="O190" s="1173"/>
      <c r="P190" s="1173"/>
      <c r="Q190" s="1173"/>
      <c r="R190" s="1173"/>
      <c r="S190" s="1173"/>
      <c r="T190" s="1173"/>
      <c r="U190" s="1173"/>
      <c r="V190" s="1173"/>
      <c r="W190" s="1173"/>
      <c r="X190" s="1173"/>
      <c r="Y190" s="1173"/>
      <c r="Z190" s="1173"/>
      <c r="AA190" s="1173"/>
      <c r="AB190" s="1173"/>
      <c r="AC190" s="1183"/>
      <c r="AD190" s="796"/>
      <c r="AE190" s="797"/>
    </row>
    <row r="191" spans="1:31" s="1169" customFormat="1" x14ac:dyDescent="0.2">
      <c r="A191" s="1177"/>
      <c r="B191" s="1174"/>
      <c r="C191" s="1170"/>
      <c r="D191" s="1174"/>
      <c r="E191" s="1174"/>
      <c r="F191" s="1180"/>
      <c r="G191" s="1174"/>
      <c r="H191" s="1174"/>
      <c r="I191" s="1174"/>
      <c r="J191" s="1174"/>
      <c r="K191" s="1174"/>
      <c r="L191" s="1174"/>
      <c r="M191" s="1174"/>
      <c r="N191" s="1174"/>
      <c r="O191" s="1174"/>
      <c r="P191" s="1174"/>
      <c r="Q191" s="1174"/>
      <c r="R191" s="1174"/>
      <c r="S191" s="1174"/>
      <c r="T191" s="1174"/>
      <c r="U191" s="1174"/>
      <c r="V191" s="1174"/>
      <c r="W191" s="1174"/>
      <c r="X191" s="1174"/>
      <c r="Y191" s="1174"/>
      <c r="Z191" s="1174"/>
      <c r="AA191" s="1174"/>
      <c r="AB191" s="1174"/>
      <c r="AC191" s="1184"/>
      <c r="AD191" s="798"/>
      <c r="AE191" s="799"/>
    </row>
    <row r="192" spans="1:31" s="1169" customFormat="1" x14ac:dyDescent="0.2">
      <c r="A192" s="1177"/>
      <c r="B192" s="1174"/>
      <c r="C192" s="1170"/>
      <c r="D192" s="1174"/>
      <c r="E192" s="1174"/>
      <c r="F192" s="1180"/>
      <c r="G192" s="1174"/>
      <c r="H192" s="1174"/>
      <c r="I192" s="1174"/>
      <c r="J192" s="1174"/>
      <c r="K192" s="1174"/>
      <c r="L192" s="1174"/>
      <c r="M192" s="1174"/>
      <c r="N192" s="1174"/>
      <c r="O192" s="1174"/>
      <c r="P192" s="1174"/>
      <c r="Q192" s="1174"/>
      <c r="R192" s="1174"/>
      <c r="S192" s="1174"/>
      <c r="T192" s="1174"/>
      <c r="U192" s="1174"/>
      <c r="V192" s="1174"/>
      <c r="W192" s="1174"/>
      <c r="X192" s="1174"/>
      <c r="Y192" s="1174"/>
      <c r="Z192" s="1174"/>
      <c r="AA192" s="1174"/>
      <c r="AB192" s="1174"/>
      <c r="AC192" s="1184"/>
      <c r="AD192" s="798"/>
      <c r="AE192" s="799"/>
    </row>
    <row r="193" spans="1:31" s="1169" customFormat="1" x14ac:dyDescent="0.2">
      <c r="A193" s="1177"/>
      <c r="B193" s="1174"/>
      <c r="C193" s="1170"/>
      <c r="D193" s="1174"/>
      <c r="E193" s="1174"/>
      <c r="F193" s="1180"/>
      <c r="G193" s="1174"/>
      <c r="H193" s="1174"/>
      <c r="I193" s="1174"/>
      <c r="J193" s="1174"/>
      <c r="K193" s="1174"/>
      <c r="L193" s="1174"/>
      <c r="M193" s="1174"/>
      <c r="N193" s="1174"/>
      <c r="O193" s="1174"/>
      <c r="P193" s="1174"/>
      <c r="Q193" s="1174"/>
      <c r="R193" s="1174"/>
      <c r="S193" s="1174"/>
      <c r="T193" s="1174"/>
      <c r="U193" s="1174"/>
      <c r="V193" s="1174"/>
      <c r="W193" s="1174"/>
      <c r="X193" s="1174"/>
      <c r="Y193" s="1174"/>
      <c r="Z193" s="1174"/>
      <c r="AA193" s="1174"/>
      <c r="AB193" s="1174"/>
      <c r="AC193" s="1184"/>
      <c r="AD193" s="798"/>
      <c r="AE193" s="799"/>
    </row>
    <row r="194" spans="1:31" s="1169" customFormat="1" x14ac:dyDescent="0.2">
      <c r="A194" s="1177"/>
      <c r="B194" s="1174"/>
      <c r="C194" s="1170"/>
      <c r="D194" s="1174"/>
      <c r="E194" s="1174"/>
      <c r="F194" s="1180"/>
      <c r="G194" s="1174"/>
      <c r="H194" s="1174"/>
      <c r="I194" s="1174"/>
      <c r="J194" s="1174"/>
      <c r="K194" s="1174"/>
      <c r="L194" s="1174"/>
      <c r="M194" s="1174"/>
      <c r="N194" s="1174"/>
      <c r="O194" s="1174"/>
      <c r="P194" s="1174"/>
      <c r="Q194" s="1174"/>
      <c r="R194" s="1174"/>
      <c r="S194" s="1174"/>
      <c r="T194" s="1174"/>
      <c r="U194" s="1174"/>
      <c r="V194" s="1174"/>
      <c r="W194" s="1174"/>
      <c r="X194" s="1174"/>
      <c r="Y194" s="1174"/>
      <c r="Z194" s="1174"/>
      <c r="AA194" s="1174"/>
      <c r="AB194" s="1174"/>
      <c r="AC194" s="1184"/>
      <c r="AD194" s="798"/>
      <c r="AE194" s="799"/>
    </row>
    <row r="195" spans="1:31" s="1169" customFormat="1" ht="16.5" thickBot="1" x14ac:dyDescent="0.25">
      <c r="A195" s="1178"/>
      <c r="B195" s="1175"/>
      <c r="C195" s="1172"/>
      <c r="D195" s="1175"/>
      <c r="E195" s="1175"/>
      <c r="F195" s="1181"/>
      <c r="G195" s="1175"/>
      <c r="H195" s="1175"/>
      <c r="I195" s="1175"/>
      <c r="J195" s="1175"/>
      <c r="K195" s="1175"/>
      <c r="L195" s="1175"/>
      <c r="M195" s="1175"/>
      <c r="N195" s="1175"/>
      <c r="O195" s="1175"/>
      <c r="P195" s="1175"/>
      <c r="Q195" s="1175"/>
      <c r="R195" s="1175"/>
      <c r="S195" s="1175"/>
      <c r="T195" s="1175"/>
      <c r="U195" s="1175"/>
      <c r="V195" s="1175"/>
      <c r="W195" s="1175"/>
      <c r="X195" s="1175"/>
      <c r="Y195" s="1175"/>
      <c r="Z195" s="1175"/>
      <c r="AA195" s="1175"/>
      <c r="AB195" s="1175"/>
      <c r="AC195" s="1185"/>
      <c r="AD195" s="792"/>
      <c r="AE195" s="793"/>
    </row>
    <row r="196" spans="1:31" s="218" customFormat="1" x14ac:dyDescent="0.2">
      <c r="F196" s="337"/>
      <c r="G196" s="337"/>
      <c r="H196" s="337"/>
      <c r="I196" s="337"/>
    </row>
    <row r="197" spans="1:31" s="218" customFormat="1" x14ac:dyDescent="0.2">
      <c r="F197" s="337"/>
      <c r="G197" s="337"/>
      <c r="H197" s="337"/>
      <c r="I197" s="337"/>
    </row>
    <row r="198" spans="1:31" s="218" customFormat="1" ht="16.5" thickBot="1" x14ac:dyDescent="0.25">
      <c r="F198" s="337"/>
      <c r="G198" s="337"/>
      <c r="H198" s="337"/>
      <c r="I198" s="337"/>
    </row>
    <row r="199" spans="1:31" ht="16.5" thickBot="1" x14ac:dyDescent="0.25">
      <c r="A199" s="555" t="s">
        <v>454</v>
      </c>
      <c r="B199" s="556" t="s">
        <v>455</v>
      </c>
    </row>
    <row r="200" spans="1:31" x14ac:dyDescent="0.2">
      <c r="A200" s="450" t="s">
        <v>456</v>
      </c>
      <c r="B200" s="557" t="s">
        <v>51</v>
      </c>
    </row>
    <row r="201" spans="1:31" x14ac:dyDescent="0.2">
      <c r="A201" s="558" t="s">
        <v>65</v>
      </c>
      <c r="B201" s="559" t="s">
        <v>51</v>
      </c>
    </row>
    <row r="202" spans="1:31" x14ac:dyDescent="0.2">
      <c r="A202" s="558" t="s">
        <v>257</v>
      </c>
      <c r="B202" s="559" t="s">
        <v>51</v>
      </c>
    </row>
    <row r="203" spans="1:31" x14ac:dyDescent="0.2">
      <c r="A203" s="558" t="s">
        <v>258</v>
      </c>
      <c r="B203" s="559" t="s">
        <v>51</v>
      </c>
    </row>
    <row r="204" spans="1:31" x14ac:dyDescent="0.2">
      <c r="A204" s="558" t="s">
        <v>259</v>
      </c>
      <c r="B204" s="559" t="s">
        <v>53</v>
      </c>
    </row>
    <row r="205" spans="1:31" x14ac:dyDescent="0.2">
      <c r="A205" s="558" t="s">
        <v>281</v>
      </c>
      <c r="B205" s="559" t="s">
        <v>53</v>
      </c>
    </row>
    <row r="206" spans="1:31" x14ac:dyDescent="0.2">
      <c r="A206" s="560" t="s">
        <v>279</v>
      </c>
      <c r="B206" s="559" t="s">
        <v>53</v>
      </c>
    </row>
    <row r="207" spans="1:31" x14ac:dyDescent="0.2">
      <c r="A207" s="560" t="s">
        <v>457</v>
      </c>
      <c r="B207" s="559" t="s">
        <v>53</v>
      </c>
    </row>
    <row r="208" spans="1:31" ht="16.5" thickBot="1" x14ac:dyDescent="0.25">
      <c r="A208" s="561" t="s">
        <v>460</v>
      </c>
      <c r="B208" s="562" t="s">
        <v>51</v>
      </c>
    </row>
  </sheetData>
  <sheetProtection formatCells="0" formatColumns="0" formatRows="0" insertColumns="0" insertRows="0" deleteColumns="0" deleteRows="0" sort="0" autoFilter="0"/>
  <autoFilter ref="A30:AB30" xr:uid="{00000000-0009-0000-0000-000016000000}"/>
  <sortState xmlns:xlrd2="http://schemas.microsoft.com/office/spreadsheetml/2017/richdata2" ref="A90:A117">
    <sortCondition ref="A89"/>
  </sortState>
  <dataConsolidate>
    <dataRefs count="2">
      <dataRef ref="B9" sheet="APPENDIX B-1  (FE - USWC)"/>
      <dataRef ref="A14:A18" sheet="APPENDIX B-1  (FE - USWC)"/>
    </dataRefs>
  </dataConsolidate>
  <mergeCells count="256">
    <mergeCell ref="AD192:AE192"/>
    <mergeCell ref="AD193:AE193"/>
    <mergeCell ref="AD194:AE194"/>
    <mergeCell ref="AD195:AE195"/>
    <mergeCell ref="X188:X189"/>
    <mergeCell ref="Y188:Y189"/>
    <mergeCell ref="Z188:Z189"/>
    <mergeCell ref="AA188:AA189"/>
    <mergeCell ref="AB188:AB189"/>
    <mergeCell ref="AC188:AC189"/>
    <mergeCell ref="AD188:AE189"/>
    <mergeCell ref="AD190:AE190"/>
    <mergeCell ref="AD191:AE191"/>
    <mergeCell ref="E114:G114"/>
    <mergeCell ref="B112:D112"/>
    <mergeCell ref="E112:G112"/>
    <mergeCell ref="B109:D109"/>
    <mergeCell ref="E117:G117"/>
    <mergeCell ref="B118:D118"/>
    <mergeCell ref="A125:D125"/>
    <mergeCell ref="G125:G126"/>
    <mergeCell ref="A123:I123"/>
    <mergeCell ref="A122:I122"/>
    <mergeCell ref="B117:D117"/>
    <mergeCell ref="E120:G120"/>
    <mergeCell ref="B119:D119"/>
    <mergeCell ref="E119:G119"/>
    <mergeCell ref="B120:D120"/>
    <mergeCell ref="B121:D121"/>
    <mergeCell ref="E121:G121"/>
    <mergeCell ref="E118:G118"/>
    <mergeCell ref="B103:D103"/>
    <mergeCell ref="E103:G103"/>
    <mergeCell ref="B116:D116"/>
    <mergeCell ref="E116:G116"/>
    <mergeCell ref="B105:D105"/>
    <mergeCell ref="E105:G105"/>
    <mergeCell ref="B104:D104"/>
    <mergeCell ref="E104:G104"/>
    <mergeCell ref="B113:D113"/>
    <mergeCell ref="E106:G106"/>
    <mergeCell ref="B108:D108"/>
    <mergeCell ref="B106:D106"/>
    <mergeCell ref="E107:G107"/>
    <mergeCell ref="B107:D107"/>
    <mergeCell ref="E113:G113"/>
    <mergeCell ref="B114:D114"/>
    <mergeCell ref="E111:G111"/>
    <mergeCell ref="B115:D115"/>
    <mergeCell ref="E115:G115"/>
    <mergeCell ref="E109:G109"/>
    <mergeCell ref="B110:D110"/>
    <mergeCell ref="E110:G110"/>
    <mergeCell ref="E108:G108"/>
    <mergeCell ref="B111:D111"/>
    <mergeCell ref="A188:A189"/>
    <mergeCell ref="B188:B189"/>
    <mergeCell ref="C188:C189"/>
    <mergeCell ref="D188:D189"/>
    <mergeCell ref="A185:G185"/>
    <mergeCell ref="A187:H187"/>
    <mergeCell ref="E188:E189"/>
    <mergeCell ref="B165:I165"/>
    <mergeCell ref="B155:I155"/>
    <mergeCell ref="B161:I161"/>
    <mergeCell ref="E175:E176"/>
    <mergeCell ref="C175:C176"/>
    <mergeCell ref="A174:E174"/>
    <mergeCell ref="B163:I163"/>
    <mergeCell ref="B156:I156"/>
    <mergeCell ref="F175:F176"/>
    <mergeCell ref="G175:G176"/>
    <mergeCell ref="G188:V188"/>
    <mergeCell ref="M181:N181"/>
    <mergeCell ref="F188:F189"/>
    <mergeCell ref="M179:N179"/>
    <mergeCell ref="M180:N180"/>
    <mergeCell ref="M182:N182"/>
    <mergeCell ref="W188:W189"/>
    <mergeCell ref="M178:N178"/>
    <mergeCell ref="M177:N177"/>
    <mergeCell ref="J175:J176"/>
    <mergeCell ref="K175:K176"/>
    <mergeCell ref="G132:G133"/>
    <mergeCell ref="B166:I166"/>
    <mergeCell ref="B175:B176"/>
    <mergeCell ref="A132:D132"/>
    <mergeCell ref="B154:I154"/>
    <mergeCell ref="B153:I153"/>
    <mergeCell ref="B159:I159"/>
    <mergeCell ref="A172:G172"/>
    <mergeCell ref="A175:A176"/>
    <mergeCell ref="B162:I162"/>
    <mergeCell ref="B152:I152"/>
    <mergeCell ref="K132:K133"/>
    <mergeCell ref="L132:L133"/>
    <mergeCell ref="B160:I160"/>
    <mergeCell ref="B158:I158"/>
    <mergeCell ref="D175:D176"/>
    <mergeCell ref="A143:F143"/>
    <mergeCell ref="A170:B170"/>
    <mergeCell ref="J125:J126"/>
    <mergeCell ref="K125:K126"/>
    <mergeCell ref="E125:E126"/>
    <mergeCell ref="F125:F126"/>
    <mergeCell ref="L125:L126"/>
    <mergeCell ref="H125:H126"/>
    <mergeCell ref="I125:I126"/>
    <mergeCell ref="J13:K13"/>
    <mergeCell ref="C7:F7"/>
    <mergeCell ref="B13:I13"/>
    <mergeCell ref="B14:I14"/>
    <mergeCell ref="J14:K14"/>
    <mergeCell ref="L14:M14"/>
    <mergeCell ref="A7:B7"/>
    <mergeCell ref="A12:J12"/>
    <mergeCell ref="M175:N176"/>
    <mergeCell ref="J132:J133"/>
    <mergeCell ref="H132:H133"/>
    <mergeCell ref="I132:I133"/>
    <mergeCell ref="E132:E133"/>
    <mergeCell ref="F132:F133"/>
    <mergeCell ref="A142:F142"/>
    <mergeCell ref="A140:E140"/>
    <mergeCell ref="H175:H176"/>
    <mergeCell ref="I175:I176"/>
    <mergeCell ref="A144:F144"/>
    <mergeCell ref="B157:I157"/>
    <mergeCell ref="M132:M133"/>
    <mergeCell ref="B164:I164"/>
    <mergeCell ref="A150:I150"/>
    <mergeCell ref="L175:L176"/>
    <mergeCell ref="B15:I15"/>
    <mergeCell ref="L16:M16"/>
    <mergeCell ref="L17:M17"/>
    <mergeCell ref="B21:H21"/>
    <mergeCell ref="B22:H22"/>
    <mergeCell ref="H30:H31"/>
    <mergeCell ref="A1:B1"/>
    <mergeCell ref="C1:F1"/>
    <mergeCell ref="A2:B2"/>
    <mergeCell ref="C2:F2"/>
    <mergeCell ref="A3:B3"/>
    <mergeCell ref="C3:F3"/>
    <mergeCell ref="A4:B4"/>
    <mergeCell ref="C4:F4"/>
    <mergeCell ref="A5:B5"/>
    <mergeCell ref="C5:F5"/>
    <mergeCell ref="B20:H20"/>
    <mergeCell ref="L15:M15"/>
    <mergeCell ref="J15:K15"/>
    <mergeCell ref="L13:M13"/>
    <mergeCell ref="C8:F8"/>
    <mergeCell ref="A8:B8"/>
    <mergeCell ref="A6:B6"/>
    <mergeCell ref="C6:F6"/>
    <mergeCell ref="J39:J40"/>
    <mergeCell ref="H39:H40"/>
    <mergeCell ref="J16:K16"/>
    <mergeCell ref="B17:I17"/>
    <mergeCell ref="J17:K17"/>
    <mergeCell ref="B24:H24"/>
    <mergeCell ref="J30:J31"/>
    <mergeCell ref="C30:C31"/>
    <mergeCell ref="I30:I31"/>
    <mergeCell ref="E30:E31"/>
    <mergeCell ref="B16:I16"/>
    <mergeCell ref="B30:B31"/>
    <mergeCell ref="B23:H23"/>
    <mergeCell ref="F30:F31"/>
    <mergeCell ref="B81:D81"/>
    <mergeCell ref="B82:D82"/>
    <mergeCell ref="A87:I87"/>
    <mergeCell ref="C39:C40"/>
    <mergeCell ref="A30:A31"/>
    <mergeCell ref="A39:A40"/>
    <mergeCell ref="D39:D40"/>
    <mergeCell ref="D30:D31"/>
    <mergeCell ref="E39:E40"/>
    <mergeCell ref="G30:G31"/>
    <mergeCell ref="G39:G40"/>
    <mergeCell ref="F39:F40"/>
    <mergeCell ref="A73:C73"/>
    <mergeCell ref="A57:C57"/>
    <mergeCell ref="A47:D47"/>
    <mergeCell ref="A48:A49"/>
    <mergeCell ref="C48:C49"/>
    <mergeCell ref="B39:B40"/>
    <mergeCell ref="I39:I40"/>
    <mergeCell ref="B83:D83"/>
    <mergeCell ref="I48:I49"/>
    <mergeCell ref="E48:E49"/>
    <mergeCell ref="F48:F49"/>
    <mergeCell ref="B84:D84"/>
    <mergeCell ref="AA30:AA31"/>
    <mergeCell ref="AA39:AA40"/>
    <mergeCell ref="K39:K40"/>
    <mergeCell ref="Y39:Y40"/>
    <mergeCell ref="Z30:Z31"/>
    <mergeCell ref="X39:X40"/>
    <mergeCell ref="K48:K49"/>
    <mergeCell ref="L48:L49"/>
    <mergeCell ref="Y30:Y31"/>
    <mergeCell ref="L30:L31"/>
    <mergeCell ref="X30:X31"/>
    <mergeCell ref="K30:K31"/>
    <mergeCell ref="Z39:Z40"/>
    <mergeCell ref="AC48:AC49"/>
    <mergeCell ref="AA48:AA49"/>
    <mergeCell ref="AB48:AB49"/>
    <mergeCell ref="Z48:Z49"/>
    <mergeCell ref="M48:M49"/>
    <mergeCell ref="J48:J49"/>
    <mergeCell ref="B66:D66"/>
    <mergeCell ref="B80:D80"/>
    <mergeCell ref="A72:C72"/>
    <mergeCell ref="B67:D67"/>
    <mergeCell ref="B65:D65"/>
    <mergeCell ref="D48:D49"/>
    <mergeCell ref="B48:B49"/>
    <mergeCell ref="H48:H49"/>
    <mergeCell ref="B69:D69"/>
    <mergeCell ref="B68:D68"/>
    <mergeCell ref="G48:G49"/>
    <mergeCell ref="A58:C58"/>
    <mergeCell ref="B88:I88"/>
    <mergeCell ref="A86:I86"/>
    <mergeCell ref="B102:D102"/>
    <mergeCell ref="E102:G102"/>
    <mergeCell ref="E95:G95"/>
    <mergeCell ref="E99:G99"/>
    <mergeCell ref="B98:D98"/>
    <mergeCell ref="B99:D99"/>
    <mergeCell ref="L90:L92"/>
    <mergeCell ref="J90:J92"/>
    <mergeCell ref="A91:G91"/>
    <mergeCell ref="H90:H92"/>
    <mergeCell ref="I90:I92"/>
    <mergeCell ref="A90:G90"/>
    <mergeCell ref="A92:G92"/>
    <mergeCell ref="B95:D95"/>
    <mergeCell ref="B93:D93"/>
    <mergeCell ref="B94:D94"/>
    <mergeCell ref="E94:G94"/>
    <mergeCell ref="E93:G93"/>
    <mergeCell ref="M90:M92"/>
    <mergeCell ref="K90:K92"/>
    <mergeCell ref="B96:D96"/>
    <mergeCell ref="E101:G101"/>
    <mergeCell ref="E96:G96"/>
    <mergeCell ref="B97:D97"/>
    <mergeCell ref="E97:G97"/>
    <mergeCell ref="B100:D100"/>
    <mergeCell ref="E100:G100"/>
    <mergeCell ref="B101:D101"/>
    <mergeCell ref="E98:G98"/>
  </mergeCells>
  <phoneticPr fontId="11" type="noConversion"/>
  <dataValidations count="33">
    <dataValidation type="list" allowBlank="1" showInputMessage="1" showErrorMessage="1" sqref="B200:B208" xr:uid="{00000000-0002-0000-1600-000000000000}">
      <formula1>Autom</formula1>
    </dataValidation>
    <dataValidation type="list" showInputMessage="1" showErrorMessage="1" sqref="C177:C182 C190:C195" xr:uid="{00000000-0002-0000-1600-000001000000}">
      <formula1>IF($B177="I",DDTARIFF,DDTARIFFUSE)</formula1>
    </dataValidation>
    <dataValidation type="list" allowBlank="1" showInputMessage="1" showErrorMessage="1" sqref="B177:B182 B190:B195" xr:uid="{00000000-0002-0000-1600-000002000000}">
      <formula1>EXPIMP</formula1>
    </dataValidation>
    <dataValidation type="list" allowBlank="1" showInputMessage="1" showErrorMessage="1" sqref="F177:F182 W190:W195" xr:uid="{00000000-0002-0000-1600-000003000000}">
      <formula1>EQTYPE</formula1>
    </dataValidation>
    <dataValidation type="list" allowBlank="1" showInputMessage="1" showErrorMessage="1" sqref="G177:G182 X190:X195" xr:uid="{00000000-0002-0000-1600-000004000000}">
      <formula1>OPREEFER</formula1>
    </dataValidation>
    <dataValidation type="list" allowBlank="1" showInputMessage="1" showErrorMessage="1" sqref="F190:F195" xr:uid="{29E08099-5FE5-4E02-B32F-D9340E97FD6C}">
      <formula1>CURRENCY</formula1>
    </dataValidation>
    <dataValidation type="whole" allowBlank="1" showInputMessage="1" showErrorMessage="1" error="Only whole numbers can be entered into this field" sqref="D177:D182 D190:D195" xr:uid="{00000000-0002-0000-1600-000006000000}">
      <formula1>1</formula1>
      <formula2>99</formula2>
    </dataValidation>
    <dataValidation type="list" showInputMessage="1" showErrorMessage="1" sqref="E177:E182 E190:E195" xr:uid="{00000000-0002-0000-1600-000007000000}">
      <formula1>DAYS</formula1>
    </dataValidation>
    <dataValidation type="whole" allowBlank="1" showInputMessage="1" showErrorMessage="1" error="Only whole numbers may be entered into this field_x000a_" sqref="G190:G195 S190:S195 O190:O195 K190:K195" xr:uid="{0D1C4B32-7213-4A30-A982-A46AD18B113E}">
      <formula1>1</formula1>
      <formula2>99</formula2>
    </dataValidation>
    <dataValidation type="decimal" allowBlank="1" showInputMessage="1" showErrorMessage="1" error="Only numbers may be entered into this field" sqref="H190:J195 L190:N195 P190:R195 T190:V195" xr:uid="{43002F31-52F5-494C-8817-16D4B7A6ABE6}">
      <formula1>1</formula1>
      <formula2>1000000000</formula2>
    </dataValidation>
    <dataValidation type="list" showInputMessage="1" showErrorMessage="1" sqref="K127:K130 K134:K137 N66:N69 A41:A44 A50:A53 A32:A35 N81:N84" xr:uid="{00000000-0002-0000-1600-00000A000000}">
      <formula1>$A$14:$A$18</formula1>
    </dataValidation>
    <dataValidation type="list" allowBlank="1" showInputMessage="1" showErrorMessage="1" sqref="J127:J130 J134:J137" xr:uid="{00000000-0002-0000-1600-00000B000000}">
      <formula1>GRIPSS</formula1>
    </dataValidation>
    <dataValidation type="decimal" allowBlank="1" showInputMessage="1" showErrorMessage="1" sqref="F134:I137 F127:I130 I32:L35 I41:K44 J81:M84 I50:L53" xr:uid="{00000000-0002-0000-1600-00000C000000}">
      <formula1>0</formula1>
      <formula2>999999999999999</formula2>
    </dataValidation>
    <dataValidation type="list" allowBlank="1" showInputMessage="1" showErrorMessage="1" sqref="E127:E130 E134:E137" xr:uid="{00000000-0002-0000-1600-00000D000000}">
      <formula1>GRIPSS_EQ</formula1>
    </dataValidation>
    <dataValidation type="list" showInputMessage="1" showErrorMessage="1" sqref="A177:A182 A190:A195" xr:uid="{00000000-0002-0000-1600-00000E000000}">
      <formula1>BULLET</formula1>
    </dataValidation>
    <dataValidation type="date" allowBlank="1" showInputMessage="1" showErrorMessage="1" sqref="X32:Y35 J93:K121" xr:uid="{00000000-0002-0000-1600-00000F000000}">
      <formula1>10101</formula1>
      <formula2>311299</formula2>
    </dataValidation>
    <dataValidation type="list" showDropDown="1" showErrorMessage="1" sqref="O65:P65 O80:P80" xr:uid="{00000000-0002-0000-1600-000010000000}">
      <formula1>Charges</formula1>
    </dataValidation>
    <dataValidation type="list" allowBlank="1" showInputMessage="1" showErrorMessage="1" sqref="O66:P69 O81:P84" xr:uid="{00000000-0002-0000-1600-000011000000}">
      <formula1 xml:space="preserve"> droppull</formula1>
    </dataValidation>
    <dataValidation type="list" allowBlank="1" showInputMessage="1" showErrorMessage="1" sqref="L41:L44 G66:G69 P50:P53 N41:N44 G81:G84" xr:uid="{00000000-0002-0000-1600-000012000000}">
      <formula1>YesNo</formula1>
    </dataValidation>
    <dataValidation type="list" allowBlank="1" showInputMessage="1" showErrorMessage="1" sqref="M50:M53" xr:uid="{00000000-0002-0000-1600-000013000000}">
      <formula1>Equip</formula1>
    </dataValidation>
    <dataValidation type="list" allowBlank="1" showInputMessage="1" showErrorMessage="1" sqref="F66:F69 F81:F84" xr:uid="{00000000-0002-0000-1600-000014000000}">
      <formula1>ArbMode</formula1>
    </dataValidation>
    <dataValidation type="list" allowBlank="1" showInputMessage="1" showErrorMessage="1" sqref="G41:G44 G50:G53 G32:G35" xr:uid="{00000000-0002-0000-1600-000015000000}">
      <formula1>SDD</formula1>
    </dataValidation>
    <dataValidation type="list" allowBlank="1" showInputMessage="1" showErrorMessage="1" sqref="M31:W31 Q49:Y49" xr:uid="{00000000-0002-0000-1600-000016000000}">
      <formula1>Container</formula1>
    </dataValidation>
    <dataValidation type="list" allowBlank="1" showInputMessage="1" showErrorMessage="1" sqref="O40:W40" xr:uid="{00000000-0002-0000-1600-000017000000}">
      <formula1>Reefer</formula1>
    </dataValidation>
    <dataValidation type="list" allowBlank="1" showInputMessage="1" showErrorMessage="1" sqref="F32:F35 F50:F53 F41:F44" xr:uid="{00000000-0002-0000-1600-000018000000}">
      <formula1>Mode</formula1>
    </dataValidation>
    <dataValidation type="list" allowBlank="1" showInputMessage="1" showErrorMessage="1" sqref="M41:M44 O50:O53" xr:uid="{00000000-0002-0000-1600-000019000000}">
      <formula1>ShipperOwn</formula1>
    </dataValidation>
    <dataValidation type="list" allowBlank="1" showInputMessage="1" showErrorMessage="1" sqref="N50:N53" xr:uid="{00000000-0002-0000-1600-00001A000000}">
      <formula1>OOG</formula1>
    </dataValidation>
    <dataValidation type="list" allowBlank="1" showErrorMessage="1" sqref="M30:W30 Q48:Y48 O39:W39" xr:uid="{00000000-0002-0000-1600-00001B000000}">
      <formula1>Exceptions</formula1>
    </dataValidation>
    <dataValidation type="list" allowBlank="1" showInputMessage="1" showErrorMessage="1" sqref="AA32:AA35 AC50:AC53 AA41:AA44" xr:uid="{00000000-0002-0000-1600-00001C000000}">
      <formula1>CST</formula1>
    </dataValidation>
    <dataValidation type="list" allowBlank="1" showInputMessage="1" showErrorMessage="1" sqref="I93:I121" xr:uid="{00000000-0002-0000-1600-00001D000000}">
      <formula1>$A$14:$A$18</formula1>
    </dataValidation>
    <dataValidation type="list" allowBlank="1" showErrorMessage="1" sqref="A93:A121" xr:uid="{00000000-0002-0000-1600-00001E000000}">
      <formula1>Charges</formula1>
    </dataValidation>
    <dataValidation allowBlank="1" showInputMessage="1" showErrorMessage="1" promptTitle="Acceptable Values:" prompt="- Applicable _x000a_- Not applicable _x000a_- Included_x000a_- Amount and OSPF for cases of fixed per D40 OSPF_x000a_    (example-  &quot;375 OSPF&quot;)" sqref="E93:G121" xr:uid="{00000000-0002-0000-1600-00001F000000}"/>
    <dataValidation type="list" allowBlank="1" showInputMessage="1" showErrorMessage="1" errorTitle="Pick up the list" promptTitle="Blank = ALL" sqref="H93:H121" xr:uid="{00000000-0002-0000-1600-000020000000}">
      <formula1>Type_note2</formula1>
    </dataValidation>
  </dataValidations>
  <pageMargins left="0.25" right="0.25" top="0.25" bottom="0.25" header="0.5" footer="0"/>
  <pageSetup scale="28" fitToHeight="0" orientation="landscape" r:id="rId1"/>
  <headerFooter alignWithMargins="0"/>
  <rowBreaks count="1" manualBreakCount="1">
    <brk id="88" max="16383" man="1"/>
  </rowBreaks>
  <legacy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64">
    <tabColor indexed="12"/>
    <pageSetUpPr fitToPage="1"/>
  </sheetPr>
  <dimension ref="A1:BB221"/>
  <sheetViews>
    <sheetView showGridLines="0" topLeftCell="A175" zoomScale="75" zoomScaleNormal="75" zoomScaleSheetLayoutView="75" workbookViewId="0">
      <selection activeCell="G201" sqref="A201:XFD208"/>
    </sheetView>
  </sheetViews>
  <sheetFormatPr defaultColWidth="9.140625" defaultRowHeight="15.75" x14ac:dyDescent="0.2"/>
  <cols>
    <col min="1" max="1" width="25.140625" style="69" customWidth="1"/>
    <col min="2" max="2" width="18.5703125" style="69" customWidth="1"/>
    <col min="3" max="3" width="18.28515625" style="69" customWidth="1"/>
    <col min="4" max="4" width="17.42578125" style="69" customWidth="1"/>
    <col min="5" max="5" width="19.28515625" style="69" customWidth="1"/>
    <col min="6" max="6" width="12.140625" style="211" customWidth="1"/>
    <col min="7" max="8" width="17.42578125" style="211" customWidth="1"/>
    <col min="9" max="9" width="17.7109375" style="211" customWidth="1"/>
    <col min="10" max="10" width="17.85546875" style="69" customWidth="1"/>
    <col min="11" max="11" width="18.42578125" style="69" bestFit="1" customWidth="1"/>
    <col min="12" max="12" width="18.5703125" style="69" customWidth="1"/>
    <col min="13" max="13" width="17.28515625" style="69" customWidth="1"/>
    <col min="14" max="14" width="17.7109375" style="69" customWidth="1"/>
    <col min="15" max="16" width="16.5703125" style="69" customWidth="1"/>
    <col min="17" max="17" width="17.5703125" style="69" customWidth="1"/>
    <col min="18" max="18" width="15.85546875" style="69" customWidth="1"/>
    <col min="19" max="19" width="16.7109375" style="69" customWidth="1"/>
    <col min="20" max="20" width="16.5703125" style="69" customWidth="1"/>
    <col min="21" max="21" width="16.7109375" style="69" customWidth="1"/>
    <col min="22" max="22" width="17.5703125" style="69" customWidth="1"/>
    <col min="23" max="23" width="18" style="69" customWidth="1"/>
    <col min="24" max="24" width="12.7109375" style="69" customWidth="1"/>
    <col min="25" max="25" width="16.85546875" style="69" customWidth="1"/>
    <col min="26" max="26" width="9.7109375" style="69" customWidth="1"/>
    <col min="27" max="27" width="14.140625" style="69" customWidth="1"/>
    <col min="28" max="28" width="9.7109375" style="69" customWidth="1"/>
    <col min="29" max="29" width="14.140625" style="69" customWidth="1"/>
    <col min="30" max="16384" width="9.140625" style="69"/>
  </cols>
  <sheetData>
    <row r="1" spans="1:54" x14ac:dyDescent="0.2">
      <c r="A1" s="835" t="s">
        <v>511</v>
      </c>
      <c r="B1" s="837"/>
      <c r="C1" s="902" t="str">
        <f>Cover!B1</f>
        <v>22-XXXX</v>
      </c>
      <c r="D1" s="903"/>
      <c r="E1" s="903"/>
      <c r="F1" s="904"/>
      <c r="G1" s="69"/>
      <c r="H1" s="69"/>
      <c r="I1" s="69"/>
    </row>
    <row r="2" spans="1:54" x14ac:dyDescent="0.2">
      <c r="A2" s="885" t="s">
        <v>1236</v>
      </c>
      <c r="B2" s="886"/>
      <c r="C2" s="887"/>
      <c r="D2" s="888"/>
      <c r="E2" s="888"/>
      <c r="F2" s="889"/>
      <c r="G2" s="69"/>
      <c r="H2" s="69"/>
      <c r="I2" s="69"/>
    </row>
    <row r="3" spans="1:54" x14ac:dyDescent="0.2">
      <c r="A3" s="885" t="s">
        <v>522</v>
      </c>
      <c r="B3" s="886"/>
      <c r="C3" s="905">
        <f>Cover!B2</f>
        <v>0</v>
      </c>
      <c r="D3" s="906"/>
      <c r="E3" s="906"/>
      <c r="F3" s="907"/>
      <c r="G3" s="69"/>
      <c r="H3" s="69"/>
      <c r="I3" s="69"/>
    </row>
    <row r="4" spans="1:54" x14ac:dyDescent="0.2">
      <c r="A4" s="885" t="s">
        <v>1229</v>
      </c>
      <c r="B4" s="886"/>
      <c r="C4" s="884">
        <f>Cover!B7</f>
        <v>0</v>
      </c>
      <c r="D4" s="817"/>
      <c r="E4" s="817"/>
      <c r="F4" s="818"/>
      <c r="G4" s="69"/>
      <c r="H4" s="69"/>
      <c r="I4" s="69"/>
    </row>
    <row r="5" spans="1:54" x14ac:dyDescent="0.2">
      <c r="A5" s="885" t="s">
        <v>528</v>
      </c>
      <c r="B5" s="886"/>
      <c r="C5" s="887" t="s">
        <v>527</v>
      </c>
      <c r="D5" s="888"/>
      <c r="E5" s="888"/>
      <c r="F5" s="889"/>
      <c r="G5" s="69"/>
      <c r="H5" s="69"/>
      <c r="I5" s="69"/>
    </row>
    <row r="6" spans="1:54" ht="33" customHeight="1" x14ac:dyDescent="0.2">
      <c r="A6" s="885" t="s">
        <v>512</v>
      </c>
      <c r="B6" s="886"/>
      <c r="C6" s="887" t="s">
        <v>591</v>
      </c>
      <c r="D6" s="888"/>
      <c r="E6" s="888"/>
      <c r="F6" s="889"/>
      <c r="G6" s="69"/>
      <c r="H6" s="69"/>
      <c r="I6" s="69"/>
    </row>
    <row r="7" spans="1:54" ht="15.75" customHeight="1" x14ac:dyDescent="0.2">
      <c r="A7" s="885" t="s">
        <v>612</v>
      </c>
      <c r="B7" s="886"/>
      <c r="C7" s="887" t="s">
        <v>122</v>
      </c>
      <c r="D7" s="888"/>
      <c r="E7" s="888"/>
      <c r="F7" s="889"/>
      <c r="G7" s="69"/>
      <c r="H7" s="69"/>
      <c r="I7" s="69"/>
    </row>
    <row r="8" spans="1:54" ht="2.25" customHeight="1" thickBot="1" x14ac:dyDescent="0.25">
      <c r="A8" s="900"/>
      <c r="B8" s="901"/>
      <c r="C8" s="894"/>
      <c r="D8" s="895"/>
      <c r="E8" s="895"/>
      <c r="F8" s="896"/>
      <c r="G8" s="69"/>
      <c r="H8" s="69"/>
      <c r="I8" s="69"/>
    </row>
    <row r="9" spans="1:54" s="73" customFormat="1" x14ac:dyDescent="0.2">
      <c r="A9" s="442">
        <v>39</v>
      </c>
      <c r="B9" s="443" t="s">
        <v>615</v>
      </c>
      <c r="D9" s="444"/>
      <c r="E9" s="444"/>
      <c r="F9" s="445"/>
    </row>
    <row r="10" spans="1:54" s="73" customFormat="1" ht="16.5" thickBot="1" x14ac:dyDescent="0.25">
      <c r="A10" s="446"/>
      <c r="D10" s="444"/>
      <c r="E10" s="444"/>
      <c r="F10" s="445"/>
      <c r="G10" s="447"/>
      <c r="H10" s="444"/>
      <c r="I10" s="444"/>
      <c r="J10" s="444"/>
    </row>
    <row r="11" spans="1:54" ht="19.5" thickBot="1" x14ac:dyDescent="0.25">
      <c r="A11" s="448" t="s">
        <v>613</v>
      </c>
      <c r="B11" s="449"/>
      <c r="C11" s="73"/>
      <c r="D11" s="444"/>
      <c r="E11" s="444"/>
      <c r="F11" s="445"/>
      <c r="G11" s="447"/>
      <c r="H11" s="444"/>
      <c r="I11" s="444"/>
      <c r="J11" s="444"/>
    </row>
    <row r="12" spans="1:54" s="78" customFormat="1" ht="16.5" thickBot="1" x14ac:dyDescent="0.25">
      <c r="A12" s="897" t="s">
        <v>616</v>
      </c>
      <c r="B12" s="898"/>
      <c r="C12" s="898"/>
      <c r="D12" s="898"/>
      <c r="E12" s="898"/>
      <c r="F12" s="898"/>
      <c r="G12" s="898"/>
      <c r="H12" s="898"/>
      <c r="I12" s="898"/>
      <c r="J12" s="899"/>
    </row>
    <row r="13" spans="1:54" ht="17.25" customHeight="1" x14ac:dyDescent="0.2">
      <c r="A13" s="450" t="s">
        <v>617</v>
      </c>
      <c r="B13" s="881" t="s">
        <v>618</v>
      </c>
      <c r="C13" s="881"/>
      <c r="D13" s="881"/>
      <c r="E13" s="881"/>
      <c r="F13" s="881"/>
      <c r="G13" s="881"/>
      <c r="H13" s="881"/>
      <c r="I13" s="881"/>
      <c r="J13" s="882" t="s">
        <v>622</v>
      </c>
      <c r="K13" s="883"/>
      <c r="L13" s="890" t="s">
        <v>623</v>
      </c>
      <c r="M13" s="891"/>
      <c r="N13" s="350" t="s">
        <v>4</v>
      </c>
    </row>
    <row r="14" spans="1:54" s="81" customFormat="1" x14ac:dyDescent="0.2">
      <c r="A14" s="451"/>
      <c r="B14" s="862"/>
      <c r="C14" s="892"/>
      <c r="D14" s="892"/>
      <c r="E14" s="892"/>
      <c r="F14" s="892"/>
      <c r="G14" s="892"/>
      <c r="H14" s="892"/>
      <c r="I14" s="892"/>
      <c r="J14" s="870"/>
      <c r="K14" s="855"/>
      <c r="L14" s="893"/>
      <c r="M14" s="871"/>
      <c r="N14" s="349" t="str">
        <f>IF($A14&gt;0,$A14,"")</f>
        <v/>
      </c>
    </row>
    <row r="15" spans="1:54" s="453" customFormat="1" x14ac:dyDescent="0.2">
      <c r="A15" s="452"/>
      <c r="B15" s="879"/>
      <c r="C15" s="880"/>
      <c r="D15" s="880"/>
      <c r="E15" s="880"/>
      <c r="F15" s="880"/>
      <c r="G15" s="880"/>
      <c r="H15" s="880"/>
      <c r="I15" s="880"/>
      <c r="J15" s="870"/>
      <c r="K15" s="855"/>
      <c r="L15" s="870"/>
      <c r="M15" s="871"/>
      <c r="N15" s="349" t="str">
        <f>IF($A15&gt;0,$A15,"")</f>
        <v/>
      </c>
      <c r="BB15" s="81"/>
    </row>
    <row r="16" spans="1:54" s="453" customFormat="1" x14ac:dyDescent="0.2">
      <c r="A16" s="452"/>
      <c r="B16" s="879"/>
      <c r="C16" s="880"/>
      <c r="D16" s="880"/>
      <c r="E16" s="880"/>
      <c r="F16" s="880"/>
      <c r="G16" s="880"/>
      <c r="H16" s="880"/>
      <c r="I16" s="880"/>
      <c r="J16" s="870"/>
      <c r="K16" s="855"/>
      <c r="L16" s="870"/>
      <c r="M16" s="871"/>
      <c r="N16" s="349" t="str">
        <f>IF($A16&gt;0,$A16,"")</f>
        <v/>
      </c>
      <c r="BB16" s="81"/>
    </row>
    <row r="17" spans="1:54" s="453" customFormat="1" ht="16.5" thickBot="1" x14ac:dyDescent="0.25">
      <c r="A17" s="454"/>
      <c r="B17" s="864"/>
      <c r="C17" s="865"/>
      <c r="D17" s="865"/>
      <c r="E17" s="865"/>
      <c r="F17" s="865"/>
      <c r="G17" s="865"/>
      <c r="H17" s="865"/>
      <c r="I17" s="865"/>
      <c r="J17" s="866"/>
      <c r="K17" s="867"/>
      <c r="L17" s="857"/>
      <c r="M17" s="858"/>
      <c r="N17" s="349" t="str">
        <f>IF($A17&gt;0,$A17,"")</f>
        <v/>
      </c>
      <c r="BB17" s="81"/>
    </row>
    <row r="18" spans="1:54" s="462" customFormat="1" ht="16.5" thickBot="1" x14ac:dyDescent="0.25">
      <c r="A18" s="455"/>
      <c r="B18" s="456"/>
      <c r="C18" s="457"/>
      <c r="D18" s="458"/>
      <c r="E18" s="458"/>
      <c r="F18" s="459"/>
      <c r="G18" s="459"/>
      <c r="H18" s="460"/>
      <c r="I18" s="461"/>
      <c r="J18" s="461"/>
      <c r="K18" s="457"/>
      <c r="L18" s="457"/>
      <c r="M18" s="457"/>
      <c r="N18" s="349" t="str">
        <f>IF($A18&gt;0,$A18,"")</f>
        <v/>
      </c>
      <c r="O18" s="457"/>
      <c r="P18" s="457"/>
      <c r="Q18" s="457"/>
      <c r="BB18" s="81"/>
    </row>
    <row r="19" spans="1:54" s="462" customFormat="1" ht="19.5" thickBot="1" x14ac:dyDescent="0.25">
      <c r="A19" s="448" t="s">
        <v>419</v>
      </c>
      <c r="B19" s="463"/>
      <c r="I19" s="461"/>
      <c r="J19" s="461"/>
      <c r="K19" s="457"/>
      <c r="L19" s="457"/>
      <c r="M19" s="457"/>
      <c r="N19" s="457"/>
      <c r="O19" s="457"/>
      <c r="P19" s="457"/>
      <c r="Q19" s="457"/>
    </row>
    <row r="20" spans="1:54" s="462" customFormat="1" x14ac:dyDescent="0.2">
      <c r="A20" s="464" t="s">
        <v>419</v>
      </c>
      <c r="B20" s="859" t="s">
        <v>618</v>
      </c>
      <c r="C20" s="860"/>
      <c r="D20" s="860"/>
      <c r="E20" s="860"/>
      <c r="F20" s="860"/>
      <c r="G20" s="860"/>
      <c r="H20" s="861"/>
      <c r="I20" s="461"/>
      <c r="J20" s="461"/>
      <c r="K20" s="457"/>
      <c r="L20" s="457"/>
      <c r="M20" s="457"/>
      <c r="N20" s="457"/>
      <c r="O20" s="457"/>
      <c r="P20" s="457"/>
      <c r="Q20" s="457"/>
    </row>
    <row r="21" spans="1:54" s="467" customFormat="1" ht="15.75" customHeight="1" x14ac:dyDescent="0.2">
      <c r="A21" s="388" t="s">
        <v>882</v>
      </c>
      <c r="B21" s="1004" t="s">
        <v>485</v>
      </c>
      <c r="C21" s="1005"/>
      <c r="D21" s="1005"/>
      <c r="E21" s="1005"/>
      <c r="F21" s="1005"/>
      <c r="G21" s="1005"/>
      <c r="H21" s="1006"/>
      <c r="I21" s="220"/>
      <c r="J21" s="465"/>
      <c r="K21" s="466"/>
      <c r="L21" s="466"/>
      <c r="M21" s="466"/>
      <c r="N21" s="466"/>
      <c r="O21" s="466"/>
      <c r="P21" s="466"/>
      <c r="Q21" s="466"/>
    </row>
    <row r="22" spans="1:54" s="467" customFormat="1" ht="15.75" customHeight="1" x14ac:dyDescent="0.2">
      <c r="A22" s="388" t="s">
        <v>883</v>
      </c>
      <c r="B22" s="1004" t="s">
        <v>1379</v>
      </c>
      <c r="C22" s="1005"/>
      <c r="D22" s="1005"/>
      <c r="E22" s="1005"/>
      <c r="F22" s="1005"/>
      <c r="G22" s="1005"/>
      <c r="H22" s="1006"/>
      <c r="I22" s="220"/>
      <c r="J22" s="465"/>
      <c r="K22" s="466"/>
      <c r="L22" s="466"/>
      <c r="M22" s="466"/>
      <c r="N22" s="466"/>
      <c r="O22" s="466"/>
      <c r="P22" s="466"/>
      <c r="Q22" s="466"/>
    </row>
    <row r="23" spans="1:54" s="467" customFormat="1" x14ac:dyDescent="0.2">
      <c r="A23" s="389" t="s">
        <v>1026</v>
      </c>
      <c r="B23" s="1001" t="s">
        <v>1277</v>
      </c>
      <c r="C23" s="1002"/>
      <c r="D23" s="1002"/>
      <c r="E23" s="1002"/>
      <c r="F23" s="1002"/>
      <c r="G23" s="1002"/>
      <c r="H23" s="1003"/>
      <c r="I23" s="465"/>
      <c r="J23" s="465"/>
      <c r="K23" s="466"/>
      <c r="L23" s="466"/>
      <c r="M23" s="466"/>
      <c r="N23" s="466"/>
      <c r="O23" s="466"/>
      <c r="P23" s="466"/>
      <c r="Q23" s="466"/>
    </row>
    <row r="24" spans="1:54" s="467" customFormat="1" x14ac:dyDescent="0.2">
      <c r="A24" s="389" t="s">
        <v>1027</v>
      </c>
      <c r="B24" s="1001" t="s">
        <v>1281</v>
      </c>
      <c r="C24" s="1002"/>
      <c r="D24" s="1002"/>
      <c r="E24" s="1002"/>
      <c r="F24" s="1002"/>
      <c r="G24" s="1002"/>
      <c r="H24" s="1003"/>
      <c r="I24" s="465"/>
      <c r="J24" s="465"/>
      <c r="K24" s="466"/>
      <c r="L24" s="466"/>
      <c r="M24" s="466"/>
      <c r="N24" s="466"/>
      <c r="O24" s="466"/>
      <c r="P24" s="466"/>
      <c r="Q24" s="466"/>
    </row>
    <row r="25" spans="1:54" s="467" customFormat="1" x14ac:dyDescent="0.2">
      <c r="A25" s="389" t="s">
        <v>486</v>
      </c>
      <c r="B25" s="1001" t="s">
        <v>483</v>
      </c>
      <c r="C25" s="1002"/>
      <c r="D25" s="1002"/>
      <c r="E25" s="1002"/>
      <c r="F25" s="1002"/>
      <c r="G25" s="1002"/>
      <c r="H25" s="1003"/>
      <c r="I25" s="465"/>
      <c r="J25" s="465"/>
      <c r="K25" s="466"/>
      <c r="L25" s="466"/>
      <c r="M25" s="466"/>
      <c r="N25" s="466"/>
      <c r="O25" s="466"/>
      <c r="P25" s="466"/>
      <c r="Q25" s="466"/>
    </row>
    <row r="26" spans="1:54" s="467" customFormat="1" x14ac:dyDescent="0.2">
      <c r="A26" s="389" t="s">
        <v>487</v>
      </c>
      <c r="B26" s="1001" t="s">
        <v>1278</v>
      </c>
      <c r="C26" s="1002"/>
      <c r="D26" s="1002"/>
      <c r="E26" s="1002"/>
      <c r="F26" s="1002"/>
      <c r="G26" s="1002"/>
      <c r="H26" s="1003"/>
      <c r="I26" s="465"/>
      <c r="J26" s="465"/>
      <c r="K26" s="466"/>
      <c r="L26" s="466"/>
      <c r="M26" s="466"/>
      <c r="N26" s="466"/>
      <c r="O26" s="466"/>
      <c r="P26" s="466"/>
      <c r="Q26" s="466"/>
    </row>
    <row r="27" spans="1:54" s="467" customFormat="1" x14ac:dyDescent="0.2">
      <c r="A27" s="389" t="s">
        <v>1279</v>
      </c>
      <c r="B27" s="1001" t="s">
        <v>1280</v>
      </c>
      <c r="C27" s="1002"/>
      <c r="D27" s="1002"/>
      <c r="E27" s="1002"/>
      <c r="F27" s="1002"/>
      <c r="G27" s="1002"/>
      <c r="H27" s="1003"/>
      <c r="I27" s="465"/>
      <c r="J27" s="465"/>
      <c r="K27" s="466"/>
      <c r="L27" s="466"/>
      <c r="M27" s="466"/>
      <c r="N27" s="466"/>
      <c r="O27" s="466"/>
      <c r="P27" s="466"/>
      <c r="Q27" s="466"/>
    </row>
    <row r="28" spans="1:54" s="467" customFormat="1" ht="16.5" thickBot="1" x14ac:dyDescent="0.25">
      <c r="A28" s="469"/>
      <c r="B28" s="877"/>
      <c r="C28" s="867"/>
      <c r="D28" s="867"/>
      <c r="E28" s="867"/>
      <c r="F28" s="867"/>
      <c r="G28" s="867"/>
      <c r="H28" s="878"/>
      <c r="I28" s="465"/>
      <c r="J28" s="465"/>
      <c r="K28" s="466"/>
      <c r="L28" s="466"/>
      <c r="M28" s="466"/>
      <c r="N28" s="466"/>
      <c r="O28" s="466"/>
      <c r="P28" s="466"/>
      <c r="Q28" s="466"/>
    </row>
    <row r="29" spans="1:54" s="462" customFormat="1" ht="16.5" thickBot="1" x14ac:dyDescent="0.25">
      <c r="A29" s="456"/>
      <c r="B29" s="95"/>
      <c r="C29" s="95"/>
      <c r="D29" s="95"/>
      <c r="E29" s="95"/>
      <c r="F29" s="95"/>
      <c r="G29" s="95"/>
      <c r="H29" s="95"/>
      <c r="I29" s="461"/>
      <c r="J29" s="461"/>
      <c r="K29" s="457"/>
      <c r="L29" s="457"/>
      <c r="M29" s="457"/>
      <c r="N29" s="457"/>
      <c r="O29" s="457"/>
      <c r="P29" s="457"/>
      <c r="Q29" s="457"/>
      <c r="R29" s="457"/>
      <c r="S29" s="457"/>
      <c r="T29" s="457"/>
      <c r="U29" s="457"/>
    </row>
    <row r="30" spans="1:54" s="462" customFormat="1" ht="19.5" thickBot="1" x14ac:dyDescent="0.25">
      <c r="A30" s="448" t="s">
        <v>624</v>
      </c>
      <c r="B30" s="449"/>
      <c r="I30" s="461"/>
      <c r="J30" s="461"/>
      <c r="K30" s="457"/>
      <c r="L30" s="457"/>
      <c r="M30" s="457"/>
      <c r="N30" s="457"/>
      <c r="O30" s="457"/>
      <c r="P30" s="457"/>
      <c r="Q30" s="457"/>
      <c r="R30" s="457"/>
      <c r="S30" s="457"/>
      <c r="T30" s="457"/>
      <c r="U30" s="457"/>
    </row>
    <row r="31" spans="1:54" s="462" customFormat="1" x14ac:dyDescent="0.2">
      <c r="A31" s="223" t="s">
        <v>886</v>
      </c>
      <c r="B31" s="470"/>
      <c r="C31" s="471"/>
      <c r="D31" s="472"/>
      <c r="E31" s="472"/>
      <c r="F31" s="473"/>
      <c r="G31" s="473"/>
      <c r="H31" s="473"/>
      <c r="I31" s="474"/>
      <c r="J31" s="475"/>
      <c r="K31" s="476"/>
      <c r="L31" s="457"/>
      <c r="M31" s="457"/>
      <c r="N31" s="457"/>
      <c r="O31" s="457"/>
      <c r="P31" s="457"/>
      <c r="Q31" s="457"/>
      <c r="R31" s="457"/>
      <c r="S31" s="457"/>
      <c r="T31" s="457"/>
      <c r="U31" s="457"/>
      <c r="V31" s="457"/>
    </row>
    <row r="32" spans="1:54" s="462" customFormat="1" x14ac:dyDescent="0.2">
      <c r="A32" s="96" t="s">
        <v>626</v>
      </c>
      <c r="B32" s="214"/>
      <c r="C32" s="477"/>
      <c r="D32" s="478"/>
      <c r="E32" s="478"/>
      <c r="F32" s="479"/>
      <c r="G32" s="479"/>
      <c r="H32" s="479"/>
      <c r="I32" s="480"/>
      <c r="J32" s="481"/>
      <c r="K32" s="482"/>
      <c r="L32" s="457"/>
      <c r="M32" s="457"/>
      <c r="N32" s="457"/>
      <c r="O32" s="457"/>
      <c r="P32" s="457"/>
      <c r="Q32" s="457"/>
      <c r="R32" s="457"/>
    </row>
    <row r="33" spans="1:27" s="462" customFormat="1" ht="16.5" thickBot="1" x14ac:dyDescent="0.25">
      <c r="A33" s="110" t="s">
        <v>172</v>
      </c>
      <c r="B33" s="483"/>
      <c r="C33" s="484"/>
      <c r="D33" s="485"/>
      <c r="E33" s="485"/>
      <c r="F33" s="486"/>
      <c r="G33" s="486"/>
      <c r="H33" s="486"/>
      <c r="I33" s="487"/>
      <c r="J33" s="488"/>
      <c r="K33" s="489"/>
      <c r="L33" s="457"/>
      <c r="M33" s="457"/>
      <c r="N33" s="457"/>
      <c r="O33" s="457"/>
      <c r="P33" s="457"/>
      <c r="Q33" s="457"/>
      <c r="R33" s="457"/>
      <c r="S33" s="118"/>
      <c r="T33" s="118"/>
      <c r="U33" s="118"/>
      <c r="V33" s="457"/>
      <c r="W33" s="457"/>
      <c r="X33" s="457"/>
    </row>
    <row r="34" spans="1:27" s="491" customFormat="1" ht="32.25" customHeight="1" x14ac:dyDescent="0.2">
      <c r="A34" s="875" t="s">
        <v>627</v>
      </c>
      <c r="B34" s="868" t="s">
        <v>628</v>
      </c>
      <c r="C34" s="868" t="s">
        <v>11</v>
      </c>
      <c r="D34" s="868" t="s">
        <v>12</v>
      </c>
      <c r="E34" s="868" t="s">
        <v>13</v>
      </c>
      <c r="F34" s="868" t="s">
        <v>14</v>
      </c>
      <c r="G34" s="868" t="s">
        <v>15</v>
      </c>
      <c r="H34" s="868" t="s">
        <v>16</v>
      </c>
      <c r="I34" s="868" t="s">
        <v>17</v>
      </c>
      <c r="J34" s="868" t="s">
        <v>18</v>
      </c>
      <c r="K34" s="868" t="s">
        <v>19</v>
      </c>
      <c r="L34" s="868" t="s">
        <v>20</v>
      </c>
      <c r="M34" s="490"/>
      <c r="N34" s="490"/>
      <c r="O34" s="490"/>
      <c r="P34" s="490"/>
      <c r="Q34" s="490"/>
      <c r="R34" s="490"/>
      <c r="S34" s="490"/>
      <c r="T34" s="490"/>
      <c r="U34" s="490"/>
      <c r="V34" s="490"/>
      <c r="W34" s="490"/>
      <c r="X34" s="868" t="s">
        <v>22</v>
      </c>
      <c r="Y34" s="868" t="s">
        <v>23</v>
      </c>
      <c r="Z34" s="868" t="s">
        <v>24</v>
      </c>
      <c r="AA34" s="922" t="s">
        <v>352</v>
      </c>
    </row>
    <row r="35" spans="1:27" s="491" customFormat="1" ht="16.5" thickBot="1" x14ac:dyDescent="0.25">
      <c r="A35" s="876"/>
      <c r="B35" s="869"/>
      <c r="C35" s="869"/>
      <c r="D35" s="869"/>
      <c r="E35" s="869"/>
      <c r="F35" s="869"/>
      <c r="G35" s="872"/>
      <c r="H35" s="869"/>
      <c r="I35" s="869"/>
      <c r="J35" s="869"/>
      <c r="K35" s="869"/>
      <c r="L35" s="869"/>
      <c r="M35" s="492"/>
      <c r="N35" s="492"/>
      <c r="O35" s="492"/>
      <c r="P35" s="492"/>
      <c r="Q35" s="492"/>
      <c r="R35" s="492"/>
      <c r="S35" s="492"/>
      <c r="T35" s="492"/>
      <c r="U35" s="492"/>
      <c r="V35" s="492"/>
      <c r="W35" s="492"/>
      <c r="X35" s="869"/>
      <c r="Y35" s="869"/>
      <c r="Z35" s="869"/>
      <c r="AA35" s="923"/>
    </row>
    <row r="36" spans="1:27" s="136" customFormat="1" x14ac:dyDescent="0.2">
      <c r="A36" s="493"/>
      <c r="B36" s="49"/>
      <c r="C36" s="225"/>
      <c r="D36" s="225"/>
      <c r="E36" s="225"/>
      <c r="F36" s="225"/>
      <c r="G36" s="120"/>
      <c r="H36" s="225"/>
      <c r="I36" s="263"/>
      <c r="J36" s="263"/>
      <c r="K36" s="263"/>
      <c r="L36" s="263"/>
      <c r="M36" s="120"/>
      <c r="N36" s="120"/>
      <c r="O36" s="120"/>
      <c r="P36" s="226"/>
      <c r="Q36" s="226"/>
      <c r="R36" s="226"/>
      <c r="S36" s="120"/>
      <c r="T36" s="120"/>
      <c r="U36" s="120"/>
      <c r="V36" s="120"/>
      <c r="W36" s="120"/>
      <c r="X36" s="227"/>
      <c r="Y36" s="227"/>
      <c r="Z36" s="120"/>
      <c r="AA36" s="121"/>
    </row>
    <row r="37" spans="1:27" s="136" customFormat="1" x14ac:dyDescent="0.2">
      <c r="A37" s="494"/>
      <c r="B37" s="123"/>
      <c r="C37" s="123"/>
      <c r="D37" s="123"/>
      <c r="E37" s="123"/>
      <c r="F37" s="123"/>
      <c r="G37" s="124"/>
      <c r="H37" s="123"/>
      <c r="I37" s="255"/>
      <c r="J37" s="255"/>
      <c r="K37" s="255"/>
      <c r="L37" s="255"/>
      <c r="M37" s="125"/>
      <c r="N37" s="124"/>
      <c r="O37" s="124"/>
      <c r="P37" s="125"/>
      <c r="Q37" s="125"/>
      <c r="R37" s="125"/>
      <c r="S37" s="124"/>
      <c r="T37" s="124"/>
      <c r="U37" s="124"/>
      <c r="V37" s="124"/>
      <c r="W37" s="124"/>
      <c r="X37" s="126"/>
      <c r="Y37" s="126"/>
      <c r="Z37" s="124"/>
      <c r="AA37" s="127"/>
    </row>
    <row r="38" spans="1:27" s="136" customFormat="1" x14ac:dyDescent="0.2">
      <c r="A38" s="494"/>
      <c r="B38" s="123"/>
      <c r="C38" s="123"/>
      <c r="D38" s="123"/>
      <c r="E38" s="123"/>
      <c r="F38" s="123"/>
      <c r="G38" s="124"/>
      <c r="H38" s="123"/>
      <c r="I38" s="255"/>
      <c r="J38" s="255"/>
      <c r="K38" s="255"/>
      <c r="L38" s="255"/>
      <c r="M38" s="125"/>
      <c r="N38" s="124"/>
      <c r="O38" s="124"/>
      <c r="P38" s="125"/>
      <c r="Q38" s="125"/>
      <c r="R38" s="125"/>
      <c r="S38" s="124"/>
      <c r="T38" s="124"/>
      <c r="U38" s="124"/>
      <c r="V38" s="124"/>
      <c r="W38" s="124"/>
      <c r="X38" s="126"/>
      <c r="Y38" s="126"/>
      <c r="Z38" s="124"/>
      <c r="AA38" s="127"/>
    </row>
    <row r="39" spans="1:27" s="136" customFormat="1" ht="16.5" thickBot="1" x14ac:dyDescent="0.25">
      <c r="A39" s="495"/>
      <c r="B39" s="128"/>
      <c r="C39" s="128"/>
      <c r="D39" s="128"/>
      <c r="E39" s="128"/>
      <c r="F39" s="128"/>
      <c r="G39" s="129"/>
      <c r="H39" s="128"/>
      <c r="I39" s="256"/>
      <c r="J39" s="256"/>
      <c r="K39" s="256"/>
      <c r="L39" s="256"/>
      <c r="M39" s="129"/>
      <c r="N39" s="129"/>
      <c r="O39" s="129"/>
      <c r="P39" s="130"/>
      <c r="Q39" s="130"/>
      <c r="R39" s="130"/>
      <c r="S39" s="129"/>
      <c r="T39" s="129"/>
      <c r="U39" s="129"/>
      <c r="V39" s="129"/>
      <c r="W39" s="129"/>
      <c r="X39" s="131"/>
      <c r="Y39" s="131"/>
      <c r="Z39" s="129"/>
      <c r="AA39" s="132"/>
    </row>
    <row r="40" spans="1:27" s="73" customFormat="1" x14ac:dyDescent="0.2">
      <c r="A40" s="133"/>
      <c r="B40" s="133"/>
      <c r="C40" s="133"/>
      <c r="D40" s="133"/>
      <c r="E40" s="133"/>
      <c r="F40" s="133"/>
      <c r="G40" s="118"/>
      <c r="H40" s="118"/>
      <c r="I40" s="118"/>
      <c r="J40" s="118"/>
      <c r="K40" s="118"/>
      <c r="L40" s="118"/>
      <c r="M40" s="134"/>
      <c r="N40" s="118"/>
      <c r="O40" s="159"/>
      <c r="P40" s="159"/>
      <c r="Q40" s="159"/>
      <c r="R40" s="159"/>
      <c r="S40" s="159"/>
      <c r="T40" s="159"/>
      <c r="U40" s="159"/>
      <c r="V40" s="159"/>
      <c r="W40" s="466"/>
    </row>
    <row r="41" spans="1:27" s="73" customFormat="1" ht="16.5" thickBot="1" x14ac:dyDescent="0.25">
      <c r="A41" s="133"/>
      <c r="B41" s="133"/>
      <c r="C41" s="133"/>
      <c r="D41" s="133"/>
      <c r="E41" s="133"/>
      <c r="F41" s="133"/>
      <c r="G41" s="118"/>
      <c r="H41" s="118"/>
      <c r="I41" s="118"/>
      <c r="J41" s="118"/>
      <c r="K41" s="118"/>
      <c r="N41" s="118"/>
      <c r="O41" s="159"/>
      <c r="P41" s="159"/>
      <c r="Q41" s="159"/>
      <c r="R41" s="159"/>
      <c r="S41" s="159"/>
      <c r="T41" s="159"/>
      <c r="U41" s="159"/>
      <c r="V41" s="159"/>
      <c r="W41" s="467"/>
    </row>
    <row r="42" spans="1:27" s="73" customFormat="1" ht="16.5" thickBot="1" x14ac:dyDescent="0.25">
      <c r="A42" s="496" t="s">
        <v>25</v>
      </c>
      <c r="B42" s="133"/>
      <c r="C42" s="133"/>
      <c r="D42" s="133"/>
      <c r="E42" s="133"/>
      <c r="F42" s="133"/>
      <c r="G42" s="118"/>
      <c r="H42" s="118"/>
      <c r="I42" s="118"/>
      <c r="J42" s="118"/>
      <c r="K42" s="118"/>
      <c r="M42" s="118"/>
      <c r="N42" s="118"/>
      <c r="O42" s="159"/>
      <c r="P42" s="136"/>
      <c r="Q42" s="136"/>
      <c r="R42" s="136"/>
      <c r="S42" s="466"/>
      <c r="T42" s="466"/>
      <c r="U42" s="466"/>
      <c r="V42" s="466"/>
      <c r="W42" s="159"/>
    </row>
    <row r="43" spans="1:27" s="73" customFormat="1" ht="15.75" customHeight="1" x14ac:dyDescent="0.2">
      <c r="A43" s="875" t="s">
        <v>627</v>
      </c>
      <c r="B43" s="868" t="s">
        <v>628</v>
      </c>
      <c r="C43" s="868" t="s">
        <v>11</v>
      </c>
      <c r="D43" s="868" t="s">
        <v>12</v>
      </c>
      <c r="E43" s="868" t="s">
        <v>13</v>
      </c>
      <c r="F43" s="868" t="s">
        <v>14</v>
      </c>
      <c r="G43" s="868" t="s">
        <v>15</v>
      </c>
      <c r="H43" s="868" t="s">
        <v>16</v>
      </c>
      <c r="I43" s="868" t="s">
        <v>26</v>
      </c>
      <c r="J43" s="868" t="s">
        <v>27</v>
      </c>
      <c r="K43" s="945" t="s">
        <v>295</v>
      </c>
      <c r="L43" s="497" t="s">
        <v>63</v>
      </c>
      <c r="M43" s="498" t="s">
        <v>64</v>
      </c>
      <c r="N43" s="499" t="s">
        <v>65</v>
      </c>
      <c r="O43" s="490"/>
      <c r="P43" s="490"/>
      <c r="Q43" s="490"/>
      <c r="R43" s="490"/>
      <c r="S43" s="490"/>
      <c r="T43" s="490"/>
      <c r="U43" s="490"/>
      <c r="V43" s="490"/>
      <c r="W43" s="490"/>
      <c r="X43" s="868" t="s">
        <v>22</v>
      </c>
      <c r="Y43" s="868" t="s">
        <v>23</v>
      </c>
      <c r="Z43" s="868" t="s">
        <v>24</v>
      </c>
      <c r="AA43" s="922" t="s">
        <v>352</v>
      </c>
    </row>
    <row r="44" spans="1:27" s="73" customFormat="1" ht="31.7" customHeight="1" thickBot="1" x14ac:dyDescent="0.25">
      <c r="A44" s="876"/>
      <c r="B44" s="869"/>
      <c r="C44" s="869"/>
      <c r="D44" s="869"/>
      <c r="E44" s="869"/>
      <c r="F44" s="869"/>
      <c r="G44" s="872"/>
      <c r="H44" s="869"/>
      <c r="I44" s="869"/>
      <c r="J44" s="869"/>
      <c r="K44" s="946"/>
      <c r="L44" s="500" t="s">
        <v>66</v>
      </c>
      <c r="M44" s="501" t="s">
        <v>67</v>
      </c>
      <c r="N44" s="502" t="s">
        <v>68</v>
      </c>
      <c r="O44" s="503"/>
      <c r="P44" s="492"/>
      <c r="Q44" s="492"/>
      <c r="R44" s="492"/>
      <c r="S44" s="492"/>
      <c r="T44" s="492"/>
      <c r="U44" s="492"/>
      <c r="V44" s="492"/>
      <c r="W44" s="492"/>
      <c r="X44" s="869"/>
      <c r="Y44" s="869"/>
      <c r="Z44" s="869"/>
      <c r="AA44" s="923"/>
    </row>
    <row r="45" spans="1:27" s="136" customFormat="1" x14ac:dyDescent="0.2">
      <c r="A45" s="493"/>
      <c r="B45" s="225"/>
      <c r="C45" s="225"/>
      <c r="D45" s="225"/>
      <c r="E45" s="225"/>
      <c r="F45" s="225"/>
      <c r="G45" s="120"/>
      <c r="H45" s="225"/>
      <c r="I45" s="263"/>
      <c r="J45" s="263"/>
      <c r="K45" s="265"/>
      <c r="L45" s="268"/>
      <c r="M45" s="120"/>
      <c r="N45" s="121"/>
      <c r="O45" s="269"/>
      <c r="P45" s="226"/>
      <c r="Q45" s="226"/>
      <c r="R45" s="226"/>
      <c r="S45" s="120"/>
      <c r="T45" s="120"/>
      <c r="U45" s="120"/>
      <c r="V45" s="120"/>
      <c r="W45" s="120"/>
      <c r="X45" s="227"/>
      <c r="Y45" s="227"/>
      <c r="Z45" s="120"/>
      <c r="AA45" s="121"/>
    </row>
    <row r="46" spans="1:27" s="136" customFormat="1" x14ac:dyDescent="0.2">
      <c r="A46" s="494"/>
      <c r="B46" s="123"/>
      <c r="C46" s="123"/>
      <c r="D46" s="123"/>
      <c r="E46" s="123"/>
      <c r="F46" s="123"/>
      <c r="G46" s="124"/>
      <c r="H46" s="123"/>
      <c r="I46" s="255"/>
      <c r="J46" s="255"/>
      <c r="K46" s="266"/>
      <c r="L46" s="259"/>
      <c r="M46" s="124"/>
      <c r="N46" s="127"/>
      <c r="O46" s="248"/>
      <c r="P46" s="125"/>
      <c r="Q46" s="125"/>
      <c r="R46" s="125"/>
      <c r="S46" s="124"/>
      <c r="T46" s="124"/>
      <c r="U46" s="124"/>
      <c r="V46" s="124"/>
      <c r="W46" s="124"/>
      <c r="X46" s="126"/>
      <c r="Y46" s="126"/>
      <c r="Z46" s="124"/>
      <c r="AA46" s="127"/>
    </row>
    <row r="47" spans="1:27" s="136" customFormat="1" x14ac:dyDescent="0.2">
      <c r="A47" s="494"/>
      <c r="B47" s="123"/>
      <c r="C47" s="123"/>
      <c r="D47" s="123"/>
      <c r="E47" s="123"/>
      <c r="F47" s="123"/>
      <c r="G47" s="124"/>
      <c r="H47" s="123"/>
      <c r="I47" s="255"/>
      <c r="J47" s="255"/>
      <c r="K47" s="266"/>
      <c r="L47" s="259"/>
      <c r="M47" s="124"/>
      <c r="N47" s="127"/>
      <c r="O47" s="248"/>
      <c r="P47" s="125"/>
      <c r="Q47" s="125"/>
      <c r="R47" s="125"/>
      <c r="S47" s="124"/>
      <c r="T47" s="124"/>
      <c r="U47" s="124"/>
      <c r="V47" s="124"/>
      <c r="W47" s="124"/>
      <c r="X47" s="126"/>
      <c r="Y47" s="126"/>
      <c r="Z47" s="124"/>
      <c r="AA47" s="127"/>
    </row>
    <row r="48" spans="1:27" s="136" customFormat="1" ht="16.5" thickBot="1" x14ac:dyDescent="0.25">
      <c r="A48" s="495"/>
      <c r="B48" s="128"/>
      <c r="C48" s="128"/>
      <c r="D48" s="128"/>
      <c r="E48" s="128"/>
      <c r="F48" s="128"/>
      <c r="G48" s="129"/>
      <c r="H48" s="128"/>
      <c r="I48" s="256"/>
      <c r="J48" s="256"/>
      <c r="K48" s="267"/>
      <c r="L48" s="137"/>
      <c r="M48" s="129"/>
      <c r="N48" s="132"/>
      <c r="O48" s="137"/>
      <c r="P48" s="129"/>
      <c r="Q48" s="129"/>
      <c r="R48" s="129"/>
      <c r="S48" s="129"/>
      <c r="T48" s="129"/>
      <c r="U48" s="129"/>
      <c r="V48" s="129"/>
      <c r="W48" s="129"/>
      <c r="X48" s="131"/>
      <c r="Y48" s="131"/>
      <c r="Z48" s="129"/>
      <c r="AA48" s="132"/>
    </row>
    <row r="49" spans="1:29" s="73" customFormat="1" x14ac:dyDescent="0.2">
      <c r="A49" s="133"/>
      <c r="B49" s="133"/>
      <c r="C49" s="133"/>
      <c r="D49" s="133"/>
      <c r="E49" s="133"/>
      <c r="F49" s="133"/>
      <c r="G49" s="118"/>
      <c r="H49" s="118"/>
      <c r="I49" s="118"/>
      <c r="J49" s="118"/>
      <c r="K49" s="118"/>
      <c r="L49" s="118"/>
      <c r="M49" s="118"/>
      <c r="N49" s="118"/>
      <c r="O49" s="160"/>
      <c r="P49" s="159"/>
      <c r="Q49" s="159"/>
      <c r="R49" s="159"/>
      <c r="S49" s="136"/>
      <c r="T49" s="136"/>
      <c r="U49" s="136"/>
      <c r="V49" s="136"/>
      <c r="W49" s="136"/>
      <c r="X49" s="118"/>
    </row>
    <row r="50" spans="1:29" s="73" customFormat="1" ht="16.5" thickBot="1" x14ac:dyDescent="0.25">
      <c r="A50" s="133"/>
      <c r="B50" s="133"/>
      <c r="C50" s="133"/>
      <c r="D50" s="133"/>
      <c r="E50" s="133"/>
      <c r="F50" s="133"/>
      <c r="G50" s="118"/>
      <c r="H50" s="118"/>
      <c r="I50" s="118"/>
      <c r="J50" s="118"/>
      <c r="K50" s="118"/>
      <c r="L50" s="118"/>
      <c r="M50" s="118"/>
      <c r="N50" s="118"/>
      <c r="O50" s="160"/>
      <c r="P50" s="159"/>
      <c r="Q50" s="159"/>
      <c r="R50" s="159"/>
      <c r="S50" s="136"/>
      <c r="T50" s="136"/>
      <c r="U50" s="136"/>
      <c r="V50" s="136"/>
      <c r="W50" s="136"/>
      <c r="X50" s="118"/>
    </row>
    <row r="51" spans="1:29" s="73" customFormat="1" ht="16.5" thickBot="1" x14ac:dyDescent="0.25">
      <c r="A51" s="822" t="s">
        <v>307</v>
      </c>
      <c r="B51" s="873"/>
      <c r="C51" s="873"/>
      <c r="D51" s="874"/>
      <c r="E51" s="133"/>
      <c r="F51" s="133"/>
      <c r="G51" s="118"/>
      <c r="H51" s="118"/>
      <c r="I51" s="118"/>
      <c r="J51" s="118"/>
      <c r="K51" s="118"/>
      <c r="L51" s="118"/>
      <c r="M51" s="118"/>
      <c r="N51" s="118"/>
      <c r="O51" s="136"/>
      <c r="P51" s="159"/>
      <c r="Q51" s="159"/>
      <c r="R51" s="159"/>
      <c r="S51" s="466"/>
      <c r="T51" s="466"/>
      <c r="U51" s="466"/>
      <c r="V51" s="466"/>
      <c r="W51" s="159"/>
      <c r="X51" s="118"/>
      <c r="Y51" s="118"/>
    </row>
    <row r="52" spans="1:29" s="73" customFormat="1" ht="15.75" customHeight="1" x14ac:dyDescent="0.2">
      <c r="A52" s="875" t="s">
        <v>627</v>
      </c>
      <c r="B52" s="868" t="s">
        <v>628</v>
      </c>
      <c r="C52" s="868" t="s">
        <v>11</v>
      </c>
      <c r="D52" s="868" t="s">
        <v>12</v>
      </c>
      <c r="E52" s="868" t="s">
        <v>13</v>
      </c>
      <c r="F52" s="868" t="s">
        <v>14</v>
      </c>
      <c r="G52" s="868" t="s">
        <v>15</v>
      </c>
      <c r="H52" s="868" t="s">
        <v>16</v>
      </c>
      <c r="I52" s="868">
        <v>20</v>
      </c>
      <c r="J52" s="868">
        <v>40</v>
      </c>
      <c r="K52" s="868" t="s">
        <v>19</v>
      </c>
      <c r="L52" s="922" t="s">
        <v>20</v>
      </c>
      <c r="M52" s="943" t="s">
        <v>28</v>
      </c>
      <c r="N52" s="504" t="s">
        <v>69</v>
      </c>
      <c r="O52" s="498" t="s">
        <v>64</v>
      </c>
      <c r="P52" s="499" t="s">
        <v>65</v>
      </c>
      <c r="Q52" s="490" t="s">
        <v>147</v>
      </c>
      <c r="R52" s="490" t="s">
        <v>71</v>
      </c>
      <c r="S52" s="490"/>
      <c r="T52" s="490"/>
      <c r="U52" s="490"/>
      <c r="V52" s="490"/>
      <c r="W52" s="490"/>
      <c r="X52" s="490"/>
      <c r="Y52" s="490"/>
      <c r="Z52" s="868" t="s">
        <v>22</v>
      </c>
      <c r="AA52" s="868" t="s">
        <v>23</v>
      </c>
      <c r="AB52" s="868" t="s">
        <v>24</v>
      </c>
      <c r="AC52" s="922" t="s">
        <v>352</v>
      </c>
    </row>
    <row r="53" spans="1:29" s="73" customFormat="1" ht="48" thickBot="1" x14ac:dyDescent="0.25">
      <c r="A53" s="876"/>
      <c r="B53" s="869"/>
      <c r="C53" s="869"/>
      <c r="D53" s="869"/>
      <c r="E53" s="869"/>
      <c r="F53" s="869"/>
      <c r="G53" s="872"/>
      <c r="H53" s="869"/>
      <c r="I53" s="869"/>
      <c r="J53" s="869"/>
      <c r="K53" s="869"/>
      <c r="L53" s="923"/>
      <c r="M53" s="944"/>
      <c r="N53" s="505" t="s">
        <v>70</v>
      </c>
      <c r="O53" s="501" t="s">
        <v>67</v>
      </c>
      <c r="P53" s="502" t="s">
        <v>68</v>
      </c>
      <c r="Q53" s="503" t="s">
        <v>84</v>
      </c>
      <c r="R53" s="492" t="s">
        <v>84</v>
      </c>
      <c r="S53" s="492"/>
      <c r="T53" s="492"/>
      <c r="U53" s="492"/>
      <c r="V53" s="492"/>
      <c r="W53" s="492"/>
      <c r="X53" s="492"/>
      <c r="Y53" s="492"/>
      <c r="Z53" s="924"/>
      <c r="AA53" s="924"/>
      <c r="AB53" s="924"/>
      <c r="AC53" s="923"/>
    </row>
    <row r="54" spans="1:29" s="136" customFormat="1" x14ac:dyDescent="0.2">
      <c r="A54" s="493"/>
      <c r="B54" s="225"/>
      <c r="C54" s="225"/>
      <c r="D54" s="225"/>
      <c r="E54" s="225"/>
      <c r="F54" s="225"/>
      <c r="G54" s="120"/>
      <c r="H54" s="225"/>
      <c r="I54" s="263"/>
      <c r="J54" s="263"/>
      <c r="K54" s="263"/>
      <c r="L54" s="265"/>
      <c r="M54" s="270"/>
      <c r="N54" s="268"/>
      <c r="O54" s="120"/>
      <c r="P54" s="121"/>
      <c r="Q54" s="269"/>
      <c r="R54" s="226"/>
      <c r="S54" s="226"/>
      <c r="T54" s="226"/>
      <c r="U54" s="226"/>
      <c r="V54" s="226"/>
      <c r="W54" s="120"/>
      <c r="X54" s="120"/>
      <c r="Y54" s="120"/>
      <c r="Z54" s="227"/>
      <c r="AA54" s="227"/>
      <c r="AB54" s="120"/>
      <c r="AC54" s="121"/>
    </row>
    <row r="55" spans="1:29" s="136" customFormat="1" x14ac:dyDescent="0.2">
      <c r="A55" s="494"/>
      <c r="B55" s="123"/>
      <c r="C55" s="123"/>
      <c r="D55" s="123"/>
      <c r="E55" s="123"/>
      <c r="F55" s="123"/>
      <c r="G55" s="124"/>
      <c r="H55" s="123"/>
      <c r="I55" s="255"/>
      <c r="J55" s="255"/>
      <c r="K55" s="255"/>
      <c r="L55" s="266"/>
      <c r="M55" s="271"/>
      <c r="N55" s="259"/>
      <c r="O55" s="124"/>
      <c r="P55" s="127"/>
      <c r="Q55" s="248"/>
      <c r="R55" s="125"/>
      <c r="S55" s="125"/>
      <c r="T55" s="125"/>
      <c r="U55" s="125"/>
      <c r="V55" s="125"/>
      <c r="W55" s="124"/>
      <c r="X55" s="124"/>
      <c r="Y55" s="124"/>
      <c r="Z55" s="126"/>
      <c r="AA55" s="126"/>
      <c r="AB55" s="124"/>
      <c r="AC55" s="127"/>
    </row>
    <row r="56" spans="1:29" s="136" customFormat="1" x14ac:dyDescent="0.2">
      <c r="A56" s="494"/>
      <c r="B56" s="123"/>
      <c r="C56" s="123"/>
      <c r="D56" s="123"/>
      <c r="E56" s="123"/>
      <c r="F56" s="123"/>
      <c r="G56" s="124"/>
      <c r="H56" s="123"/>
      <c r="I56" s="255"/>
      <c r="J56" s="255"/>
      <c r="K56" s="255"/>
      <c r="L56" s="266"/>
      <c r="M56" s="271"/>
      <c r="N56" s="259"/>
      <c r="O56" s="124"/>
      <c r="P56" s="127"/>
      <c r="Q56" s="248"/>
      <c r="R56" s="125"/>
      <c r="S56" s="125"/>
      <c r="T56" s="125"/>
      <c r="U56" s="125"/>
      <c r="V56" s="125"/>
      <c r="W56" s="124"/>
      <c r="X56" s="124"/>
      <c r="Y56" s="124"/>
      <c r="Z56" s="126"/>
      <c r="AA56" s="126"/>
      <c r="AB56" s="124"/>
      <c r="AC56" s="127"/>
    </row>
    <row r="57" spans="1:29" s="136" customFormat="1" ht="16.5" thickBot="1" x14ac:dyDescent="0.25">
      <c r="A57" s="495"/>
      <c r="B57" s="128"/>
      <c r="C57" s="128"/>
      <c r="D57" s="128"/>
      <c r="E57" s="128"/>
      <c r="F57" s="128"/>
      <c r="G57" s="129"/>
      <c r="H57" s="128"/>
      <c r="I57" s="256"/>
      <c r="J57" s="256"/>
      <c r="K57" s="256"/>
      <c r="L57" s="267"/>
      <c r="M57" s="161"/>
      <c r="N57" s="137"/>
      <c r="O57" s="129"/>
      <c r="P57" s="132"/>
      <c r="Q57" s="137"/>
      <c r="R57" s="129"/>
      <c r="S57" s="129"/>
      <c r="T57" s="129"/>
      <c r="U57" s="129"/>
      <c r="V57" s="129"/>
      <c r="W57" s="129"/>
      <c r="X57" s="129"/>
      <c r="Y57" s="129"/>
      <c r="Z57" s="131"/>
      <c r="AA57" s="131"/>
      <c r="AB57" s="129"/>
      <c r="AC57" s="132"/>
    </row>
    <row r="58" spans="1:29" s="73" customFormat="1" x14ac:dyDescent="0.2">
      <c r="A58" s="133"/>
      <c r="B58" s="133"/>
      <c r="C58" s="133"/>
      <c r="D58" s="133"/>
      <c r="E58" s="133"/>
      <c r="F58" s="133"/>
      <c r="G58" s="118"/>
      <c r="H58" s="118"/>
      <c r="I58" s="118"/>
      <c r="J58" s="118"/>
      <c r="K58" s="118"/>
      <c r="M58" s="118"/>
      <c r="V58" s="118"/>
      <c r="W58" s="118"/>
    </row>
    <row r="59" spans="1:29" s="73" customFormat="1" x14ac:dyDescent="0.2">
      <c r="A59" s="133"/>
      <c r="B59" s="133"/>
      <c r="C59" s="133"/>
      <c r="D59" s="133"/>
      <c r="E59" s="133"/>
      <c r="F59" s="118"/>
      <c r="G59" s="118"/>
      <c r="H59" s="118"/>
      <c r="I59" s="118"/>
      <c r="J59" s="118"/>
      <c r="K59" s="134"/>
      <c r="L59" s="118"/>
      <c r="M59" s="118"/>
      <c r="N59" s="118"/>
      <c r="S59" s="118"/>
      <c r="T59" s="118"/>
      <c r="U59" s="118"/>
    </row>
    <row r="60" spans="1:29" s="456" customFormat="1" ht="16.5" thickBot="1" x14ac:dyDescent="0.25">
      <c r="A60" s="133"/>
      <c r="B60" s="133"/>
      <c r="C60" s="133"/>
      <c r="D60" s="133"/>
      <c r="E60" s="118"/>
      <c r="F60" s="118"/>
      <c r="G60" s="118"/>
      <c r="H60" s="118"/>
      <c r="I60" s="118"/>
      <c r="J60" s="134"/>
      <c r="K60" s="134"/>
      <c r="L60" s="134"/>
      <c r="M60" s="134"/>
      <c r="R60" s="134"/>
    </row>
    <row r="61" spans="1:29" s="456" customFormat="1" ht="19.5" thickBot="1" x14ac:dyDescent="0.25">
      <c r="A61" s="938" t="s">
        <v>29</v>
      </c>
      <c r="B61" s="939"/>
      <c r="C61" s="940"/>
      <c r="D61" s="133"/>
      <c r="E61" s="133"/>
      <c r="F61" s="118"/>
      <c r="G61" s="118"/>
      <c r="H61" s="118"/>
      <c r="I61" s="118"/>
      <c r="J61" s="118"/>
      <c r="K61" s="134"/>
      <c r="L61" s="134"/>
      <c r="M61" s="134"/>
      <c r="N61" s="134"/>
      <c r="S61" s="134"/>
      <c r="T61" s="134"/>
      <c r="U61" s="134"/>
    </row>
    <row r="62" spans="1:29" s="456" customFormat="1" ht="16.5" thickBot="1" x14ac:dyDescent="0.25">
      <c r="A62" s="800" t="s">
        <v>625</v>
      </c>
      <c r="B62" s="801"/>
      <c r="C62" s="802"/>
      <c r="D62" s="133"/>
      <c r="E62" s="133"/>
      <c r="F62" s="133"/>
      <c r="G62" s="118"/>
      <c r="H62" s="118"/>
      <c r="I62" s="118"/>
      <c r="J62" s="118"/>
      <c r="K62" s="118"/>
      <c r="L62" s="134"/>
      <c r="N62" s="134"/>
      <c r="O62" s="134"/>
      <c r="V62" s="134"/>
    </row>
    <row r="63" spans="1:29" s="456" customFormat="1" x14ac:dyDescent="0.2">
      <c r="A63" s="506" t="s">
        <v>30</v>
      </c>
      <c r="B63" s="507"/>
      <c r="C63" s="508" t="s">
        <v>155</v>
      </c>
      <c r="D63" s="509"/>
      <c r="E63" s="509"/>
      <c r="F63" s="510"/>
      <c r="G63" s="510"/>
      <c r="H63" s="509"/>
      <c r="I63" s="510"/>
      <c r="J63" s="509"/>
      <c r="K63" s="143"/>
      <c r="L63" s="144"/>
      <c r="N63" s="134"/>
      <c r="O63" s="134"/>
      <c r="P63" s="134"/>
    </row>
    <row r="64" spans="1:29" s="456" customFormat="1" x14ac:dyDescent="0.2">
      <c r="A64" s="96" t="s">
        <v>626</v>
      </c>
      <c r="B64" s="511"/>
      <c r="C64" s="511"/>
      <c r="D64" s="512"/>
      <c r="E64" s="512"/>
      <c r="F64" s="215"/>
      <c r="G64" s="215"/>
      <c r="H64" s="512"/>
      <c r="I64" s="215"/>
      <c r="J64" s="512"/>
      <c r="K64" s="149"/>
      <c r="L64" s="150"/>
      <c r="N64" s="134"/>
      <c r="O64" s="134"/>
      <c r="P64" s="134"/>
    </row>
    <row r="65" spans="1:24" s="456" customFormat="1" x14ac:dyDescent="0.2">
      <c r="A65" s="96" t="s">
        <v>173</v>
      </c>
      <c r="B65" s="511"/>
      <c r="C65" s="511"/>
      <c r="D65" s="512"/>
      <c r="E65" s="512"/>
      <c r="F65" s="215"/>
      <c r="G65" s="215"/>
      <c r="H65" s="512"/>
      <c r="I65" s="215"/>
      <c r="J65" s="512"/>
      <c r="K65" s="149"/>
      <c r="L65" s="150"/>
      <c r="N65" s="134"/>
      <c r="O65" s="134"/>
      <c r="P65" s="134"/>
    </row>
    <row r="66" spans="1:24" s="456" customFormat="1" x14ac:dyDescent="0.2">
      <c r="A66" s="96" t="s">
        <v>987</v>
      </c>
      <c r="B66" s="511"/>
      <c r="C66" s="511"/>
      <c r="D66" s="512"/>
      <c r="E66" s="512"/>
      <c r="F66" s="215"/>
      <c r="G66" s="215"/>
      <c r="H66" s="512"/>
      <c r="I66" s="215"/>
      <c r="J66" s="512"/>
      <c r="K66" s="149"/>
      <c r="L66" s="150"/>
      <c r="N66" s="134"/>
      <c r="O66" s="134"/>
      <c r="P66" s="134"/>
    </row>
    <row r="67" spans="1:24" s="456" customFormat="1" ht="16.5" thickBot="1" x14ac:dyDescent="0.25">
      <c r="A67" s="110" t="s">
        <v>988</v>
      </c>
      <c r="B67" s="513"/>
      <c r="C67" s="513"/>
      <c r="D67" s="514"/>
      <c r="E67" s="514"/>
      <c r="F67" s="515"/>
      <c r="G67" s="515"/>
      <c r="H67" s="514"/>
      <c r="I67" s="515"/>
      <c r="J67" s="514"/>
      <c r="K67" s="154"/>
      <c r="L67" s="155"/>
      <c r="N67" s="134"/>
      <c r="O67" s="134"/>
      <c r="P67" s="134"/>
    </row>
    <row r="68" spans="1:24" s="456" customFormat="1" ht="16.5" thickBot="1" x14ac:dyDescent="0.25">
      <c r="A68" s="516"/>
      <c r="B68" s="517"/>
      <c r="C68" s="134"/>
      <c r="D68" s="133"/>
      <c r="E68" s="133"/>
      <c r="F68" s="133"/>
      <c r="G68" s="133"/>
      <c r="H68" s="118"/>
      <c r="I68" s="118"/>
      <c r="J68" s="118"/>
      <c r="K68" s="118"/>
      <c r="L68" s="118"/>
      <c r="M68" s="134"/>
      <c r="O68" s="134"/>
      <c r="P68" s="134"/>
      <c r="Q68" s="118"/>
    </row>
    <row r="69" spans="1:24" s="14" customFormat="1" ht="48" thickBot="1" x14ac:dyDescent="0.25">
      <c r="A69" s="518" t="s">
        <v>31</v>
      </c>
      <c r="B69" s="932" t="s">
        <v>628</v>
      </c>
      <c r="C69" s="933"/>
      <c r="D69" s="934"/>
      <c r="E69" s="519" t="s">
        <v>11</v>
      </c>
      <c r="F69" s="519" t="s">
        <v>14</v>
      </c>
      <c r="G69" s="519" t="s">
        <v>287</v>
      </c>
      <c r="H69" s="519" t="s">
        <v>32</v>
      </c>
      <c r="I69" s="519" t="s">
        <v>16</v>
      </c>
      <c r="J69" s="519" t="s">
        <v>17</v>
      </c>
      <c r="K69" s="519" t="s">
        <v>18</v>
      </c>
      <c r="L69" s="519" t="s">
        <v>19</v>
      </c>
      <c r="M69" s="519" t="s">
        <v>20</v>
      </c>
      <c r="N69" s="520" t="s">
        <v>123</v>
      </c>
      <c r="O69" s="519" t="s">
        <v>96</v>
      </c>
      <c r="P69" s="521" t="s">
        <v>809</v>
      </c>
    </row>
    <row r="70" spans="1:24" s="303" customFormat="1" x14ac:dyDescent="0.2">
      <c r="A70" s="269"/>
      <c r="B70" s="925"/>
      <c r="C70" s="926"/>
      <c r="D70" s="926"/>
      <c r="E70" s="226"/>
      <c r="F70" s="226"/>
      <c r="G70" s="226"/>
      <c r="H70" s="226"/>
      <c r="I70" s="226"/>
      <c r="J70" s="273"/>
      <c r="K70" s="263"/>
      <c r="L70" s="263"/>
      <c r="M70" s="306"/>
      <c r="N70" s="49"/>
      <c r="O70" s="226"/>
      <c r="P70" s="274"/>
      <c r="Q70" s="159"/>
      <c r="R70" s="159"/>
      <c r="S70" s="159"/>
      <c r="T70" s="159"/>
      <c r="U70" s="159"/>
      <c r="V70" s="160"/>
      <c r="W70" s="160"/>
      <c r="X70" s="160"/>
    </row>
    <row r="71" spans="1:24" s="303" customFormat="1" x14ac:dyDescent="0.2">
      <c r="A71" s="248"/>
      <c r="B71" s="927"/>
      <c r="C71" s="928"/>
      <c r="D71" s="928"/>
      <c r="E71" s="125"/>
      <c r="F71" s="125"/>
      <c r="G71" s="125"/>
      <c r="H71" s="125"/>
      <c r="I71" s="125"/>
      <c r="J71" s="275"/>
      <c r="K71" s="255"/>
      <c r="L71" s="255"/>
      <c r="M71" s="307"/>
      <c r="N71" s="21"/>
      <c r="O71" s="125"/>
      <c r="P71" s="276"/>
      <c r="Q71" s="159"/>
      <c r="R71" s="159"/>
      <c r="S71" s="159"/>
      <c r="T71" s="159"/>
      <c r="U71" s="159"/>
      <c r="V71" s="160"/>
      <c r="W71" s="160"/>
      <c r="X71" s="160"/>
    </row>
    <row r="72" spans="1:24" s="303" customFormat="1" x14ac:dyDescent="0.2">
      <c r="A72" s="248"/>
      <c r="B72" s="927"/>
      <c r="C72" s="928"/>
      <c r="D72" s="928"/>
      <c r="E72" s="125"/>
      <c r="F72" s="125"/>
      <c r="G72" s="125"/>
      <c r="H72" s="125"/>
      <c r="I72" s="125"/>
      <c r="J72" s="275"/>
      <c r="K72" s="255"/>
      <c r="L72" s="255"/>
      <c r="M72" s="307"/>
      <c r="N72" s="21"/>
      <c r="O72" s="125"/>
      <c r="P72" s="276"/>
      <c r="Q72" s="159"/>
      <c r="R72" s="159"/>
      <c r="S72" s="159"/>
      <c r="T72" s="159"/>
      <c r="U72" s="159"/>
      <c r="V72" s="160"/>
      <c r="W72" s="160"/>
      <c r="X72" s="160"/>
    </row>
    <row r="73" spans="1:24" s="303" customFormat="1" ht="16.5" thickBot="1" x14ac:dyDescent="0.25">
      <c r="A73" s="304"/>
      <c r="B73" s="912"/>
      <c r="C73" s="913"/>
      <c r="D73" s="913"/>
      <c r="E73" s="130"/>
      <c r="F73" s="130"/>
      <c r="G73" s="130"/>
      <c r="H73" s="130"/>
      <c r="I73" s="130"/>
      <c r="J73" s="258"/>
      <c r="K73" s="256"/>
      <c r="L73" s="256"/>
      <c r="M73" s="305"/>
      <c r="N73" s="29"/>
      <c r="O73" s="129"/>
      <c r="P73" s="132"/>
      <c r="Q73" s="159"/>
      <c r="R73" s="159"/>
      <c r="S73" s="159"/>
      <c r="T73" s="159"/>
      <c r="U73" s="159"/>
      <c r="V73" s="160"/>
      <c r="W73" s="160"/>
      <c r="X73" s="160"/>
    </row>
    <row r="74" spans="1:24" s="456" customFormat="1" x14ac:dyDescent="0.2">
      <c r="A74" s="134"/>
      <c r="B74" s="134"/>
      <c r="C74" s="522"/>
      <c r="D74" s="522"/>
      <c r="E74" s="134"/>
      <c r="F74" s="134"/>
      <c r="G74" s="134"/>
      <c r="H74" s="134"/>
      <c r="I74" s="134"/>
      <c r="J74" s="134"/>
      <c r="K74" s="134"/>
      <c r="L74" s="134"/>
      <c r="M74" s="134"/>
      <c r="O74" s="118"/>
      <c r="P74" s="118"/>
      <c r="Q74" s="118"/>
      <c r="R74" s="118"/>
      <c r="S74" s="118"/>
      <c r="T74" s="118"/>
      <c r="U74" s="118"/>
      <c r="V74" s="134"/>
      <c r="W74" s="134"/>
      <c r="X74" s="134"/>
    </row>
    <row r="75" spans="1:24" s="456" customFormat="1" ht="16.5" thickBot="1" x14ac:dyDescent="0.25">
      <c r="A75" s="133"/>
      <c r="B75" s="133"/>
      <c r="C75" s="133"/>
      <c r="D75" s="133"/>
      <c r="E75" s="133"/>
      <c r="F75" s="133"/>
      <c r="G75" s="133"/>
      <c r="H75" s="133"/>
      <c r="I75" s="118"/>
      <c r="J75" s="118"/>
      <c r="K75" s="118"/>
      <c r="L75" s="118"/>
      <c r="M75" s="118"/>
      <c r="N75" s="134"/>
      <c r="O75" s="134"/>
      <c r="P75" s="134"/>
      <c r="Q75" s="134"/>
      <c r="R75" s="134"/>
      <c r="S75" s="134"/>
      <c r="T75" s="134"/>
      <c r="U75" s="134"/>
      <c r="V75" s="134"/>
      <c r="W75" s="118"/>
    </row>
    <row r="76" spans="1:24" s="456" customFormat="1" ht="19.5" thickBot="1" x14ac:dyDescent="0.25">
      <c r="A76" s="938" t="s">
        <v>34</v>
      </c>
      <c r="B76" s="939"/>
      <c r="C76" s="940"/>
      <c r="D76" s="523"/>
      <c r="E76" s="133"/>
      <c r="F76" s="133"/>
      <c r="G76" s="133"/>
      <c r="H76" s="133"/>
      <c r="I76" s="118"/>
      <c r="J76" s="118"/>
      <c r="K76" s="118"/>
      <c r="L76" s="118"/>
      <c r="M76" s="118"/>
      <c r="N76" s="134"/>
      <c r="O76" s="134"/>
      <c r="P76" s="134"/>
      <c r="Q76" s="134"/>
      <c r="R76" s="134"/>
      <c r="S76" s="134"/>
      <c r="T76" s="134"/>
      <c r="U76" s="134"/>
      <c r="V76" s="134"/>
      <c r="W76" s="118"/>
    </row>
    <row r="77" spans="1:24" s="456" customFormat="1" ht="16.5" thickBot="1" x14ac:dyDescent="0.25">
      <c r="A77" s="800" t="s">
        <v>625</v>
      </c>
      <c r="B77" s="801"/>
      <c r="C77" s="802"/>
      <c r="D77" s="200"/>
      <c r="E77" s="200"/>
      <c r="F77" s="200"/>
      <c r="G77" s="200"/>
      <c r="H77" s="194"/>
      <c r="I77" s="194"/>
      <c r="J77" s="200"/>
      <c r="K77" s="194"/>
      <c r="L77" s="200"/>
      <c r="M77" s="118"/>
      <c r="N77" s="134"/>
      <c r="O77" s="134"/>
      <c r="P77" s="134"/>
      <c r="Q77" s="134"/>
      <c r="R77" s="134"/>
      <c r="S77" s="134"/>
      <c r="T77" s="134"/>
      <c r="U77" s="134"/>
      <c r="V77" s="134"/>
      <c r="W77" s="118"/>
    </row>
    <row r="78" spans="1:24" s="456" customFormat="1" x14ac:dyDescent="0.2">
      <c r="A78" s="506" t="s">
        <v>30</v>
      </c>
      <c r="B78" s="470"/>
      <c r="C78" s="508" t="s">
        <v>155</v>
      </c>
      <c r="D78" s="508"/>
      <c r="E78" s="509"/>
      <c r="F78" s="509"/>
      <c r="G78" s="509"/>
      <c r="H78" s="510"/>
      <c r="I78" s="510"/>
      <c r="J78" s="509"/>
      <c r="K78" s="510"/>
      <c r="L78" s="524"/>
      <c r="M78" s="118"/>
      <c r="N78" s="134"/>
      <c r="O78" s="134"/>
      <c r="P78" s="134"/>
      <c r="Q78" s="134"/>
      <c r="R78" s="134"/>
      <c r="S78" s="134"/>
      <c r="T78" s="134"/>
      <c r="U78" s="134"/>
      <c r="V78" s="134"/>
      <c r="W78" s="118"/>
    </row>
    <row r="79" spans="1:24" s="456" customFormat="1" x14ac:dyDescent="0.2">
      <c r="A79" s="96" t="s">
        <v>35</v>
      </c>
      <c r="B79" s="512"/>
      <c r="C79" s="512"/>
      <c r="D79" s="512"/>
      <c r="E79" s="512"/>
      <c r="F79" s="512"/>
      <c r="G79" s="512"/>
      <c r="H79" s="215"/>
      <c r="I79" s="215"/>
      <c r="J79" s="512"/>
      <c r="K79" s="215"/>
      <c r="L79" s="525"/>
      <c r="M79" s="118"/>
      <c r="N79" s="134"/>
      <c r="O79" s="134"/>
      <c r="P79" s="134"/>
      <c r="Q79" s="134"/>
      <c r="R79" s="134"/>
      <c r="S79" s="134"/>
      <c r="T79" s="134"/>
      <c r="U79" s="134"/>
      <c r="V79" s="134"/>
      <c r="W79" s="118"/>
    </row>
    <row r="80" spans="1:24" s="456" customFormat="1" x14ac:dyDescent="0.2">
      <c r="A80" s="96" t="s">
        <v>174</v>
      </c>
      <c r="B80" s="512"/>
      <c r="C80" s="512"/>
      <c r="D80" s="512"/>
      <c r="E80" s="512"/>
      <c r="F80" s="512"/>
      <c r="G80" s="512"/>
      <c r="H80" s="215"/>
      <c r="I80" s="215"/>
      <c r="J80" s="512"/>
      <c r="K80" s="215"/>
      <c r="L80" s="525"/>
      <c r="M80" s="118"/>
      <c r="N80" s="134"/>
      <c r="O80" s="134"/>
      <c r="P80" s="134"/>
      <c r="Q80" s="134"/>
      <c r="R80" s="134"/>
      <c r="S80" s="134"/>
      <c r="T80" s="134"/>
      <c r="U80" s="134"/>
      <c r="V80" s="134"/>
      <c r="W80" s="118"/>
    </row>
    <row r="81" spans="1:23" s="456" customFormat="1" x14ac:dyDescent="0.2">
      <c r="A81" s="96" t="s">
        <v>987</v>
      </c>
      <c r="B81" s="512"/>
      <c r="C81" s="512"/>
      <c r="D81" s="512"/>
      <c r="E81" s="512"/>
      <c r="F81" s="512"/>
      <c r="G81" s="512"/>
      <c r="H81" s="215"/>
      <c r="I81" s="215"/>
      <c r="J81" s="512"/>
      <c r="K81" s="215"/>
      <c r="L81" s="525"/>
      <c r="M81" s="118"/>
      <c r="N81" s="134"/>
      <c r="O81" s="134"/>
      <c r="P81" s="134"/>
      <c r="Q81" s="134"/>
      <c r="R81" s="134"/>
      <c r="S81" s="134"/>
      <c r="T81" s="134"/>
      <c r="U81" s="134"/>
      <c r="V81" s="134"/>
      <c r="W81" s="118"/>
    </row>
    <row r="82" spans="1:23" s="456" customFormat="1" ht="16.5" thickBot="1" x14ac:dyDescent="0.25">
      <c r="A82" s="110" t="s">
        <v>988</v>
      </c>
      <c r="B82" s="514"/>
      <c r="C82" s="514"/>
      <c r="D82" s="514"/>
      <c r="E82" s="514"/>
      <c r="F82" s="514"/>
      <c r="G82" s="514"/>
      <c r="H82" s="515"/>
      <c r="I82" s="515"/>
      <c r="J82" s="514"/>
      <c r="K82" s="515"/>
      <c r="L82" s="526"/>
      <c r="M82" s="118"/>
      <c r="N82" s="134"/>
      <c r="O82" s="134"/>
      <c r="P82" s="134"/>
      <c r="Q82" s="134"/>
      <c r="R82" s="134"/>
      <c r="S82" s="134"/>
      <c r="T82" s="134"/>
      <c r="U82" s="134"/>
      <c r="V82" s="134"/>
      <c r="W82" s="118"/>
    </row>
    <row r="83" spans="1:23" s="456" customFormat="1" ht="16.5" thickBot="1" x14ac:dyDescent="0.25">
      <c r="A83" s="527"/>
      <c r="E83" s="200"/>
      <c r="F83" s="200"/>
      <c r="G83" s="200"/>
      <c r="H83" s="194"/>
      <c r="I83" s="517"/>
      <c r="J83" s="200"/>
      <c r="K83" s="194"/>
      <c r="L83" s="200"/>
      <c r="M83" s="118"/>
      <c r="N83" s="134"/>
      <c r="O83" s="134"/>
      <c r="P83" s="134"/>
      <c r="Q83" s="134"/>
      <c r="R83" s="118"/>
      <c r="V83" s="528"/>
      <c r="W83" s="528"/>
    </row>
    <row r="84" spans="1:23" s="14" customFormat="1" ht="32.25" thickBot="1" x14ac:dyDescent="0.25">
      <c r="A84" s="518" t="s">
        <v>31</v>
      </c>
      <c r="B84" s="932" t="s">
        <v>13</v>
      </c>
      <c r="C84" s="933"/>
      <c r="D84" s="934"/>
      <c r="E84" s="519" t="s">
        <v>12</v>
      </c>
      <c r="F84" s="519" t="s">
        <v>14</v>
      </c>
      <c r="G84" s="519" t="s">
        <v>276</v>
      </c>
      <c r="H84" s="519" t="s">
        <v>32</v>
      </c>
      <c r="I84" s="519" t="s">
        <v>16</v>
      </c>
      <c r="J84" s="519" t="s">
        <v>17</v>
      </c>
      <c r="K84" s="519" t="s">
        <v>18</v>
      </c>
      <c r="L84" s="519" t="s">
        <v>19</v>
      </c>
      <c r="M84" s="519" t="s">
        <v>20</v>
      </c>
      <c r="N84" s="520" t="s">
        <v>123</v>
      </c>
      <c r="O84" s="519" t="s">
        <v>94</v>
      </c>
      <c r="P84" s="521" t="s">
        <v>807</v>
      </c>
      <c r="W84" s="13"/>
    </row>
    <row r="85" spans="1:23" s="303" customFormat="1" x14ac:dyDescent="0.2">
      <c r="A85" s="269"/>
      <c r="B85" s="925"/>
      <c r="C85" s="926"/>
      <c r="D85" s="926"/>
      <c r="E85" s="226"/>
      <c r="F85" s="226"/>
      <c r="G85" s="226"/>
      <c r="H85" s="226"/>
      <c r="I85" s="226"/>
      <c r="J85" s="263"/>
      <c r="K85" s="263"/>
      <c r="L85" s="263"/>
      <c r="M85" s="263"/>
      <c r="N85" s="49"/>
      <c r="O85" s="226"/>
      <c r="P85" s="274"/>
      <c r="Q85" s="160"/>
      <c r="R85" s="160"/>
      <c r="S85" s="160"/>
      <c r="T85" s="160"/>
      <c r="U85" s="160"/>
      <c r="V85" s="160"/>
      <c r="W85" s="159"/>
    </row>
    <row r="86" spans="1:23" s="303" customFormat="1" x14ac:dyDescent="0.2">
      <c r="A86" s="248"/>
      <c r="B86" s="927"/>
      <c r="C86" s="928"/>
      <c r="D86" s="928"/>
      <c r="E86" s="125"/>
      <c r="F86" s="125"/>
      <c r="G86" s="125"/>
      <c r="H86" s="125"/>
      <c r="I86" s="125"/>
      <c r="J86" s="255"/>
      <c r="K86" s="255"/>
      <c r="L86" s="255"/>
      <c r="M86" s="255"/>
      <c r="N86" s="21"/>
      <c r="O86" s="125"/>
      <c r="P86" s="276"/>
      <c r="Q86" s="160"/>
      <c r="R86" s="160"/>
      <c r="S86" s="160"/>
      <c r="T86" s="160"/>
      <c r="U86" s="160"/>
      <c r="V86" s="160"/>
      <c r="W86" s="159"/>
    </row>
    <row r="87" spans="1:23" s="303" customFormat="1" x14ac:dyDescent="0.2">
      <c r="A87" s="248"/>
      <c r="B87" s="927"/>
      <c r="C87" s="928"/>
      <c r="D87" s="928"/>
      <c r="E87" s="125"/>
      <c r="F87" s="125"/>
      <c r="G87" s="125"/>
      <c r="H87" s="125"/>
      <c r="I87" s="125"/>
      <c r="J87" s="255"/>
      <c r="K87" s="255"/>
      <c r="L87" s="255"/>
      <c r="M87" s="255"/>
      <c r="N87" s="21"/>
      <c r="O87" s="125"/>
      <c r="P87" s="276"/>
      <c r="Q87" s="160"/>
      <c r="R87" s="160"/>
      <c r="S87" s="160"/>
      <c r="T87" s="160"/>
      <c r="U87" s="160"/>
      <c r="V87" s="160"/>
      <c r="W87" s="159"/>
    </row>
    <row r="88" spans="1:23" s="303" customFormat="1" ht="16.5" thickBot="1" x14ac:dyDescent="0.25">
      <c r="A88" s="304"/>
      <c r="B88" s="912"/>
      <c r="C88" s="913"/>
      <c r="D88" s="913"/>
      <c r="E88" s="130"/>
      <c r="F88" s="130"/>
      <c r="G88" s="130"/>
      <c r="H88" s="130"/>
      <c r="I88" s="130"/>
      <c r="J88" s="256"/>
      <c r="K88" s="256"/>
      <c r="L88" s="256"/>
      <c r="M88" s="256"/>
      <c r="N88" s="29"/>
      <c r="O88" s="129"/>
      <c r="P88" s="132"/>
      <c r="Q88" s="160"/>
      <c r="R88" s="160"/>
      <c r="S88" s="160"/>
      <c r="T88" s="160"/>
      <c r="U88" s="160"/>
      <c r="V88" s="160"/>
      <c r="W88" s="159"/>
    </row>
    <row r="89" spans="1:23" s="456" customFormat="1" ht="16.5" thickBot="1" x14ac:dyDescent="0.25">
      <c r="A89" s="133"/>
      <c r="B89" s="133"/>
      <c r="C89" s="133"/>
      <c r="D89" s="133"/>
      <c r="E89" s="133"/>
      <c r="F89" s="133"/>
      <c r="G89" s="133"/>
      <c r="H89" s="118"/>
      <c r="I89" s="118"/>
      <c r="J89" s="118"/>
      <c r="K89" s="118"/>
      <c r="L89" s="118"/>
      <c r="M89" s="134"/>
      <c r="N89" s="134"/>
      <c r="O89" s="134"/>
      <c r="P89" s="134"/>
      <c r="Q89" s="134"/>
      <c r="R89" s="134"/>
      <c r="S89" s="134"/>
      <c r="T89" s="134"/>
      <c r="U89" s="134"/>
      <c r="V89" s="118"/>
    </row>
    <row r="90" spans="1:23" s="73" customFormat="1" ht="16.5" thickBot="1" x14ac:dyDescent="0.25">
      <c r="A90" s="822" t="s">
        <v>36</v>
      </c>
      <c r="B90" s="823"/>
      <c r="C90" s="823"/>
      <c r="D90" s="823"/>
      <c r="E90" s="823"/>
      <c r="F90" s="823"/>
      <c r="G90" s="823"/>
      <c r="H90" s="823"/>
      <c r="I90" s="824"/>
      <c r="J90" s="169"/>
      <c r="K90" s="118"/>
      <c r="L90" s="134"/>
      <c r="M90" s="134"/>
      <c r="N90" s="134"/>
      <c r="O90" s="134"/>
      <c r="P90" s="134"/>
      <c r="Q90" s="134"/>
      <c r="R90" s="134"/>
      <c r="S90" s="118"/>
      <c r="T90" s="118"/>
      <c r="U90" s="118"/>
    </row>
    <row r="91" spans="1:23" s="73" customFormat="1" ht="16.5" thickBot="1" x14ac:dyDescent="0.25">
      <c r="A91" s="935" t="s">
        <v>37</v>
      </c>
      <c r="B91" s="936"/>
      <c r="C91" s="936"/>
      <c r="D91" s="936"/>
      <c r="E91" s="936"/>
      <c r="F91" s="936"/>
      <c r="G91" s="936"/>
      <c r="H91" s="936"/>
      <c r="I91" s="937"/>
      <c r="J91" s="170"/>
      <c r="K91" s="118"/>
      <c r="L91" s="134"/>
      <c r="M91" s="134"/>
      <c r="N91" s="134"/>
      <c r="O91" s="134"/>
      <c r="P91" s="134"/>
      <c r="Q91" s="134"/>
      <c r="R91" s="134"/>
      <c r="S91" s="118"/>
      <c r="T91" s="118"/>
      <c r="U91" s="118"/>
    </row>
    <row r="92" spans="1:23" s="308" customFormat="1" ht="15.75" customHeight="1" thickBot="1" x14ac:dyDescent="0.25">
      <c r="A92" s="665" t="s">
        <v>296</v>
      </c>
      <c r="B92" s="909" t="s">
        <v>1129</v>
      </c>
      <c r="C92" s="910"/>
      <c r="D92" s="910"/>
      <c r="E92" s="910"/>
      <c r="F92" s="910"/>
      <c r="G92" s="910"/>
      <c r="H92" s="910"/>
      <c r="I92" s="911"/>
      <c r="J92" s="171"/>
      <c r="K92" s="172"/>
      <c r="L92" s="173"/>
      <c r="M92" s="173"/>
      <c r="N92" s="173"/>
      <c r="O92" s="173"/>
      <c r="P92" s="173"/>
      <c r="Q92" s="173"/>
      <c r="R92" s="173"/>
      <c r="S92" s="172"/>
      <c r="T92" s="172"/>
      <c r="U92" s="172"/>
    </row>
    <row r="93" spans="1:23" s="73" customFormat="1" ht="16.5" thickBot="1" x14ac:dyDescent="0.25">
      <c r="A93" s="196"/>
      <c r="B93" s="169"/>
      <c r="C93" s="169"/>
      <c r="D93" s="169"/>
      <c r="E93" s="169"/>
      <c r="F93" s="176"/>
      <c r="G93" s="176"/>
      <c r="H93" s="176"/>
      <c r="I93" s="176"/>
      <c r="J93" s="176"/>
      <c r="K93" s="118"/>
      <c r="L93" s="134"/>
      <c r="M93" s="134"/>
      <c r="N93" s="134"/>
      <c r="O93" s="134"/>
      <c r="P93" s="134"/>
      <c r="Q93" s="118"/>
    </row>
    <row r="94" spans="1:23" s="73" customFormat="1" ht="16.5" customHeight="1" thickBot="1" x14ac:dyDescent="0.25">
      <c r="A94" s="917" t="s">
        <v>214</v>
      </c>
      <c r="B94" s="918"/>
      <c r="C94" s="918"/>
      <c r="D94" s="918"/>
      <c r="E94" s="918"/>
      <c r="F94" s="918"/>
      <c r="G94" s="918"/>
      <c r="H94" s="930" t="s">
        <v>226</v>
      </c>
      <c r="I94" s="786" t="s">
        <v>627</v>
      </c>
      <c r="J94" s="786" t="s">
        <v>215</v>
      </c>
      <c r="K94" s="786" t="s">
        <v>23</v>
      </c>
      <c r="L94" s="786" t="s">
        <v>302</v>
      </c>
      <c r="M94" s="788" t="s">
        <v>83</v>
      </c>
      <c r="N94" s="134"/>
      <c r="O94" s="118"/>
      <c r="P94" s="456"/>
      <c r="Q94" s="528"/>
      <c r="R94" s="528"/>
    </row>
    <row r="95" spans="1:23" s="446" customFormat="1" ht="16.5" thickBot="1" x14ac:dyDescent="0.25">
      <c r="A95" s="919" t="s">
        <v>887</v>
      </c>
      <c r="B95" s="920"/>
      <c r="C95" s="920"/>
      <c r="D95" s="920"/>
      <c r="E95" s="920"/>
      <c r="F95" s="920"/>
      <c r="G95" s="921"/>
      <c r="H95" s="931"/>
      <c r="I95" s="908"/>
      <c r="J95" s="908"/>
      <c r="K95" s="908"/>
      <c r="L95" s="908"/>
      <c r="M95" s="929"/>
      <c r="N95" s="177"/>
      <c r="O95" s="177"/>
      <c r="P95" s="177"/>
      <c r="Q95" s="177"/>
      <c r="R95" s="177"/>
    </row>
    <row r="96" spans="1:23" s="446" customFormat="1" ht="15.75" customHeight="1" thickBot="1" x14ac:dyDescent="0.25">
      <c r="A96" s="914" t="s">
        <v>353</v>
      </c>
      <c r="B96" s="915"/>
      <c r="C96" s="915"/>
      <c r="D96" s="915"/>
      <c r="E96" s="915"/>
      <c r="F96" s="915"/>
      <c r="G96" s="916"/>
      <c r="H96" s="931"/>
      <c r="I96" s="908"/>
      <c r="J96" s="908"/>
      <c r="K96" s="908"/>
      <c r="L96" s="908"/>
      <c r="M96" s="929"/>
      <c r="N96" s="177"/>
      <c r="O96" s="177"/>
      <c r="P96" s="177"/>
      <c r="Q96" s="177"/>
      <c r="R96" s="177"/>
    </row>
    <row r="97" spans="1:18" s="136" customFormat="1" ht="15.75" customHeight="1" x14ac:dyDescent="0.2">
      <c r="A97" s="178" t="s">
        <v>234</v>
      </c>
      <c r="B97" s="942" t="str">
        <f>IF($A97="","",VLOOKUP($A97,Listes!$A$3:$C$193,2,FALSE))</f>
        <v>Bunker Adjustment Factor</v>
      </c>
      <c r="C97" s="942"/>
      <c r="D97" s="942"/>
      <c r="E97" s="941" t="s">
        <v>51</v>
      </c>
      <c r="F97" s="941"/>
      <c r="G97" s="941"/>
      <c r="H97" s="658"/>
      <c r="I97" s="529"/>
      <c r="J97" s="529"/>
      <c r="K97" s="529"/>
      <c r="L97" s="529"/>
      <c r="M97" s="530"/>
      <c r="N97" s="160"/>
      <c r="O97" s="160"/>
      <c r="P97" s="160"/>
      <c r="Q97" s="160"/>
      <c r="R97" s="159"/>
    </row>
    <row r="98" spans="1:18" s="136" customFormat="1" ht="15.75" customHeight="1" x14ac:dyDescent="0.2">
      <c r="A98" s="182" t="s">
        <v>1273</v>
      </c>
      <c r="B98" s="813" t="str">
        <f>IF($A98="","",VLOOKUP($A98,Listes!$A$3:$C$193,2,FALSE))</f>
        <v>Bio Security Facilitation Fee - NZ</v>
      </c>
      <c r="C98" s="813"/>
      <c r="D98" s="813"/>
      <c r="E98" s="814" t="s">
        <v>51</v>
      </c>
      <c r="F98" s="814"/>
      <c r="G98" s="814"/>
      <c r="H98" s="657"/>
      <c r="I98" s="531"/>
      <c r="J98" s="531"/>
      <c r="K98" s="531"/>
      <c r="L98" s="531"/>
      <c r="M98" s="532"/>
      <c r="N98" s="160"/>
      <c r="O98" s="160"/>
      <c r="P98" s="160"/>
      <c r="Q98" s="160"/>
      <c r="R98" s="159"/>
    </row>
    <row r="99" spans="1:18" s="136" customFormat="1" x14ac:dyDescent="0.2">
      <c r="A99" s="182" t="s">
        <v>86</v>
      </c>
      <c r="B99" s="813" t="str">
        <f>IF($A99="","",VLOOKUP($A99,Listes!$A$3:$C$193,2,FALSE))</f>
        <v>Currency Adjustment Factor</v>
      </c>
      <c r="C99" s="813"/>
      <c r="D99" s="813"/>
      <c r="E99" s="814" t="s">
        <v>53</v>
      </c>
      <c r="F99" s="814"/>
      <c r="G99" s="814"/>
      <c r="H99" s="657"/>
      <c r="I99" s="531"/>
      <c r="J99" s="531"/>
      <c r="K99" s="531"/>
      <c r="L99" s="531"/>
      <c r="M99" s="532"/>
      <c r="N99" s="160"/>
      <c r="O99" s="160"/>
      <c r="P99" s="160"/>
      <c r="Q99" s="160"/>
      <c r="R99" s="159"/>
    </row>
    <row r="100" spans="1:18" s="136" customFormat="1" ht="15.75" customHeight="1" x14ac:dyDescent="0.2">
      <c r="A100" s="182" t="s">
        <v>557</v>
      </c>
      <c r="B100" s="813" t="str">
        <f>IF($A100="","",VLOOKUP($A100,Listes!$A$3:$C$193,2,FALSE))</f>
        <v>Cargo Facility Charge</v>
      </c>
      <c r="C100" s="813"/>
      <c r="D100" s="813"/>
      <c r="E100" s="814" t="s">
        <v>51</v>
      </c>
      <c r="F100" s="814"/>
      <c r="G100" s="814"/>
      <c r="H100" s="657"/>
      <c r="I100" s="531"/>
      <c r="J100" s="531"/>
      <c r="K100" s="531"/>
      <c r="L100" s="531"/>
      <c r="M100" s="532"/>
      <c r="N100" s="160"/>
      <c r="O100" s="160"/>
      <c r="P100" s="160"/>
      <c r="Q100" s="160"/>
      <c r="R100" s="159"/>
    </row>
    <row r="101" spans="1:18" s="136" customFormat="1" ht="15.75" customHeight="1" x14ac:dyDescent="0.2">
      <c r="A101" s="182" t="s">
        <v>1103</v>
      </c>
      <c r="B101" s="813" t="str">
        <f>IF($A101="","",VLOOKUP($A101,Listes!$A$3:$C$193,2,FALSE))</f>
        <v>Chassis Administration Fee Pre-Carriage</v>
      </c>
      <c r="C101" s="813"/>
      <c r="D101" s="813"/>
      <c r="E101" s="814" t="s">
        <v>51</v>
      </c>
      <c r="F101" s="814"/>
      <c r="G101" s="814"/>
      <c r="H101" s="657"/>
      <c r="I101" s="531"/>
      <c r="J101" s="531"/>
      <c r="K101" s="531"/>
      <c r="L101" s="531"/>
      <c r="M101" s="532"/>
      <c r="N101" s="160"/>
      <c r="O101" s="160"/>
      <c r="P101" s="160"/>
      <c r="Q101" s="160"/>
      <c r="R101" s="159"/>
    </row>
    <row r="102" spans="1:18" s="136" customFormat="1" ht="15.75" customHeight="1" x14ac:dyDescent="0.2">
      <c r="A102" s="182" t="s">
        <v>551</v>
      </c>
      <c r="B102" s="813" t="str">
        <f>IF($A102="","",VLOOKUP($A102,Listes!$A$3:$C$193,2,FALSE))</f>
        <v>Chassis Provision Charge</v>
      </c>
      <c r="C102" s="813"/>
      <c r="D102" s="813"/>
      <c r="E102" s="814" t="s">
        <v>51</v>
      </c>
      <c r="F102" s="814"/>
      <c r="G102" s="814"/>
      <c r="H102" s="657"/>
      <c r="I102" s="531"/>
      <c r="J102" s="531"/>
      <c r="K102" s="531"/>
      <c r="L102" s="531"/>
      <c r="M102" s="532"/>
      <c r="N102" s="160"/>
      <c r="O102" s="160"/>
      <c r="P102" s="160"/>
      <c r="Q102" s="160"/>
      <c r="R102" s="159"/>
    </row>
    <row r="103" spans="1:18" s="136" customFormat="1" ht="15.75" customHeight="1" x14ac:dyDescent="0.2">
      <c r="A103" s="182" t="s">
        <v>202</v>
      </c>
      <c r="B103" s="813" t="str">
        <f>IF($A103="","",VLOOKUP($A103,Listes!$A$3:$C$193,2,FALSE))</f>
        <v>Container Inspection Fee/Survey Fee</v>
      </c>
      <c r="C103" s="813"/>
      <c r="D103" s="813"/>
      <c r="E103" s="814" t="s">
        <v>51</v>
      </c>
      <c r="F103" s="814"/>
      <c r="G103" s="814"/>
      <c r="H103" s="657"/>
      <c r="I103" s="531"/>
      <c r="J103" s="531"/>
      <c r="K103" s="531"/>
      <c r="L103" s="531"/>
      <c r="M103" s="532"/>
      <c r="N103" s="160"/>
      <c r="O103" s="160"/>
      <c r="P103" s="160"/>
      <c r="Q103" s="160"/>
      <c r="R103" s="159"/>
    </row>
    <row r="104" spans="1:18" s="136" customFormat="1" ht="18.75" customHeight="1" x14ac:dyDescent="0.2">
      <c r="A104" s="182" t="s">
        <v>263</v>
      </c>
      <c r="B104" s="813" t="str">
        <f>IF($A104="","",VLOOKUP($A104,Listes!$A$3:$C$193,2,FALSE))</f>
        <v>Carrier Security Charge</v>
      </c>
      <c r="C104" s="813"/>
      <c r="D104" s="813"/>
      <c r="E104" s="814" t="s">
        <v>51</v>
      </c>
      <c r="F104" s="814"/>
      <c r="G104" s="814"/>
      <c r="H104" s="657"/>
      <c r="I104" s="531"/>
      <c r="J104" s="531"/>
      <c r="K104" s="531"/>
      <c r="L104" s="531"/>
      <c r="M104" s="532"/>
      <c r="N104" s="160"/>
      <c r="O104" s="160"/>
      <c r="P104" s="160"/>
      <c r="Q104" s="160"/>
      <c r="R104" s="159"/>
    </row>
    <row r="105" spans="1:18" s="136" customFormat="1" ht="15.75" customHeight="1" x14ac:dyDescent="0.2">
      <c r="A105" s="182" t="s">
        <v>1262</v>
      </c>
      <c r="B105" s="813" t="str">
        <f>IF($A105="","",VLOOKUP($A105,Listes!$A$3:$C$193,2,FALSE))</f>
        <v>Container Maintenance Charge Destination</v>
      </c>
      <c r="C105" s="813"/>
      <c r="D105" s="813"/>
      <c r="E105" s="814" t="s">
        <v>51</v>
      </c>
      <c r="F105" s="814"/>
      <c r="G105" s="814"/>
      <c r="H105" s="657"/>
      <c r="I105" s="531"/>
      <c r="J105" s="531"/>
      <c r="K105" s="531"/>
      <c r="L105" s="531"/>
      <c r="M105" s="532"/>
      <c r="N105" s="160"/>
      <c r="O105" s="160"/>
      <c r="P105" s="160"/>
      <c r="Q105" s="160"/>
      <c r="R105" s="159"/>
    </row>
    <row r="106" spans="1:18" s="136" customFormat="1" ht="15.75" customHeight="1" x14ac:dyDescent="0.2">
      <c r="A106" s="182" t="s">
        <v>230</v>
      </c>
      <c r="B106" s="813" t="str">
        <f>IF($A106="","",VLOOKUP($A106,Listes!$A$3:$C$193,2,FALSE))</f>
        <v>Destination THC / Destination Receiving Charge</v>
      </c>
      <c r="C106" s="813"/>
      <c r="D106" s="813"/>
      <c r="E106" s="814" t="s">
        <v>51</v>
      </c>
      <c r="F106" s="814"/>
      <c r="G106" s="814"/>
      <c r="H106" s="657"/>
      <c r="I106" s="531"/>
      <c r="J106" s="531"/>
      <c r="K106" s="531"/>
      <c r="L106" s="531"/>
      <c r="M106" s="532"/>
      <c r="N106" s="160"/>
      <c r="O106" s="160"/>
      <c r="P106" s="160"/>
      <c r="Q106" s="160"/>
      <c r="R106" s="159"/>
    </row>
    <row r="107" spans="1:18" s="136" customFormat="1" ht="15.75" customHeight="1" x14ac:dyDescent="0.2">
      <c r="A107" s="182" t="s">
        <v>874</v>
      </c>
      <c r="B107" s="813" t="str">
        <f>IF($A107="","",VLOOKUP($A107,Listes!$A$3:$C$193,2,FALSE))</f>
        <v>Export Documentation Fees - Carrier</v>
      </c>
      <c r="C107" s="813"/>
      <c r="D107" s="813"/>
      <c r="E107" s="814" t="s">
        <v>51</v>
      </c>
      <c r="F107" s="814"/>
      <c r="G107" s="814"/>
      <c r="H107" s="657"/>
      <c r="I107" s="531"/>
      <c r="J107" s="531"/>
      <c r="K107" s="531"/>
      <c r="L107" s="531"/>
      <c r="M107" s="532"/>
      <c r="N107" s="160"/>
      <c r="O107" s="160"/>
      <c r="P107" s="160"/>
      <c r="Q107" s="160"/>
      <c r="R107" s="159"/>
    </row>
    <row r="108" spans="1:18" s="136" customFormat="1" ht="15.75" customHeight="1" x14ac:dyDescent="0.2">
      <c r="A108" s="182" t="s">
        <v>472</v>
      </c>
      <c r="B108" s="813" t="str">
        <f>IF($A108="","",VLOOKUP($A108,Listes!$A$3:$C$193,2,FALSE))</f>
        <v>Extra Container Handling Charge Destination</v>
      </c>
      <c r="C108" s="813"/>
      <c r="D108" s="813"/>
      <c r="E108" s="814" t="s">
        <v>51</v>
      </c>
      <c r="F108" s="814"/>
      <c r="G108" s="814"/>
      <c r="H108" s="657"/>
      <c r="I108" s="531"/>
      <c r="J108" s="531"/>
      <c r="K108" s="531"/>
      <c r="L108" s="531"/>
      <c r="M108" s="532"/>
      <c r="N108" s="160"/>
      <c r="O108" s="160"/>
      <c r="P108" s="160"/>
      <c r="Q108" s="160"/>
      <c r="R108" s="159"/>
    </row>
    <row r="109" spans="1:18" s="136" customFormat="1" ht="15.75" customHeight="1" x14ac:dyDescent="0.2">
      <c r="A109" s="182" t="s">
        <v>82</v>
      </c>
      <c r="B109" s="813" t="str">
        <f>IF($A109="","",VLOOKUP($A109,Listes!$A$3:$C$193,2,FALSE))</f>
        <v>General Rate Increase</v>
      </c>
      <c r="C109" s="813"/>
      <c r="D109" s="813"/>
      <c r="E109" s="814" t="s">
        <v>51</v>
      </c>
      <c r="F109" s="814"/>
      <c r="G109" s="814"/>
      <c r="H109" s="657"/>
      <c r="I109" s="531"/>
      <c r="J109" s="531"/>
      <c r="K109" s="531"/>
      <c r="L109" s="531"/>
      <c r="M109" s="532"/>
      <c r="N109" s="160"/>
      <c r="O109" s="160"/>
      <c r="P109" s="160"/>
      <c r="Q109" s="160"/>
      <c r="R109" s="159"/>
    </row>
    <row r="110" spans="1:18" s="136" customFormat="1" ht="15.75" customHeight="1" x14ac:dyDescent="0.2">
      <c r="A110" s="182" t="s">
        <v>358</v>
      </c>
      <c r="B110" s="813" t="str">
        <f>IF($A110="","",VLOOKUP($A110,Listes!$A$3:$C$193,2,FALSE))</f>
        <v>Harbor Dues / Port Dues</v>
      </c>
      <c r="C110" s="813"/>
      <c r="D110" s="813"/>
      <c r="E110" s="814" t="s">
        <v>51</v>
      </c>
      <c r="F110" s="814"/>
      <c r="G110" s="814"/>
      <c r="H110" s="657"/>
      <c r="I110" s="531"/>
      <c r="J110" s="531"/>
      <c r="K110" s="531"/>
      <c r="L110" s="531"/>
      <c r="M110" s="532"/>
      <c r="N110" s="160"/>
      <c r="O110" s="160"/>
      <c r="P110" s="160"/>
      <c r="Q110" s="160"/>
      <c r="R110" s="159"/>
    </row>
    <row r="111" spans="1:18" s="136" customFormat="1" ht="15.75" customHeight="1" x14ac:dyDescent="0.2">
      <c r="A111" s="182" t="s">
        <v>260</v>
      </c>
      <c r="B111" s="813" t="str">
        <f>IF($A111="","",VLOOKUP($A111,Listes!$A$3:$C$193,2,FALSE))</f>
        <v>Hazardous Fees (Ocean)</v>
      </c>
      <c r="C111" s="813"/>
      <c r="D111" s="813"/>
      <c r="E111" s="814" t="s">
        <v>51</v>
      </c>
      <c r="F111" s="814"/>
      <c r="G111" s="814"/>
      <c r="H111" s="657"/>
      <c r="I111" s="531"/>
      <c r="J111" s="531"/>
      <c r="K111" s="531"/>
      <c r="L111" s="531"/>
      <c r="M111" s="532"/>
      <c r="N111" s="160"/>
      <c r="O111" s="160"/>
      <c r="P111" s="160"/>
      <c r="Q111" s="160"/>
      <c r="R111" s="159"/>
    </row>
    <row r="112" spans="1:18" s="136" customFormat="1" ht="15.75" customHeight="1" x14ac:dyDescent="0.2">
      <c r="A112" s="182" t="s">
        <v>897</v>
      </c>
      <c r="B112" s="813" t="str">
        <f>IF($A112="","",VLOOKUP($A112,Listes!$A$3:$C$193,2,FALSE))</f>
        <v xml:space="preserve">Intermodal Door Precarriage Additional for </v>
      </c>
      <c r="C112" s="813"/>
      <c r="D112" s="813"/>
      <c r="E112" s="814" t="s">
        <v>51</v>
      </c>
      <c r="F112" s="814"/>
      <c r="G112" s="814"/>
      <c r="H112" s="657"/>
      <c r="I112" s="531"/>
      <c r="J112" s="531"/>
      <c r="K112" s="531"/>
      <c r="L112" s="531"/>
      <c r="M112" s="532"/>
      <c r="N112" s="160"/>
      <c r="O112" s="160"/>
      <c r="P112" s="160"/>
      <c r="Q112" s="160"/>
      <c r="R112" s="159"/>
    </row>
    <row r="113" spans="1:18" s="136" customFormat="1" ht="15.75" customHeight="1" x14ac:dyDescent="0.2">
      <c r="A113" s="182" t="s">
        <v>877</v>
      </c>
      <c r="B113" s="813" t="str">
        <f>IF($A113="","",VLOOKUP($A113,Listes!$A$3:$C$193,2,FALSE))</f>
        <v>Import Documentation / BL fee - Carrier</v>
      </c>
      <c r="C113" s="813"/>
      <c r="D113" s="813"/>
      <c r="E113" s="814" t="s">
        <v>51</v>
      </c>
      <c r="F113" s="814"/>
      <c r="G113" s="814"/>
      <c r="H113" s="657"/>
      <c r="I113" s="531"/>
      <c r="J113" s="531"/>
      <c r="K113" s="531"/>
      <c r="L113" s="531"/>
      <c r="M113" s="532"/>
      <c r="N113" s="160"/>
      <c r="O113" s="160"/>
      <c r="P113" s="160"/>
      <c r="Q113" s="160"/>
      <c r="R113" s="159"/>
    </row>
    <row r="114" spans="1:18" s="136" customFormat="1" ht="15.75" customHeight="1" x14ac:dyDescent="0.2">
      <c r="A114" s="182" t="s">
        <v>96</v>
      </c>
      <c r="B114" s="813" t="str">
        <f>IF($A114="","",VLOOKUP($A114,Listes!$A$3:$C$193,2,FALSE))</f>
        <v xml:space="preserve">Precarriage Inland Fuel Charge </v>
      </c>
      <c r="C114" s="813"/>
      <c r="D114" s="813"/>
      <c r="E114" s="814" t="s">
        <v>51</v>
      </c>
      <c r="F114" s="814"/>
      <c r="G114" s="814"/>
      <c r="H114" s="657"/>
      <c r="I114" s="531"/>
      <c r="J114" s="531"/>
      <c r="K114" s="531"/>
      <c r="L114" s="531"/>
      <c r="M114" s="532"/>
      <c r="N114" s="160"/>
      <c r="O114" s="160"/>
      <c r="P114" s="160"/>
      <c r="Q114" s="160"/>
      <c r="R114" s="159"/>
    </row>
    <row r="115" spans="1:18" s="136" customFormat="1" ht="15.75" customHeight="1" x14ac:dyDescent="0.2">
      <c r="A115" s="182" t="s">
        <v>108</v>
      </c>
      <c r="B115" s="813" t="str">
        <f>IF($A115="","",VLOOKUP($A115,Listes!$A$3:$C$193,2,FALSE))</f>
        <v>Lift-On Lift-Off Charges Destination</v>
      </c>
      <c r="C115" s="813"/>
      <c r="D115" s="813"/>
      <c r="E115" s="814" t="s">
        <v>51</v>
      </c>
      <c r="F115" s="814"/>
      <c r="G115" s="814"/>
      <c r="H115" s="657"/>
      <c r="I115" s="531"/>
      <c r="J115" s="531"/>
      <c r="K115" s="531"/>
      <c r="L115" s="531"/>
      <c r="M115" s="532"/>
      <c r="N115" s="160"/>
      <c r="O115" s="160"/>
      <c r="P115" s="160"/>
      <c r="Q115" s="160"/>
      <c r="R115" s="159"/>
    </row>
    <row r="116" spans="1:18" s="136" customFormat="1" ht="15.75" customHeight="1" x14ac:dyDescent="0.2">
      <c r="A116" s="182" t="s">
        <v>1290</v>
      </c>
      <c r="B116" s="813" t="str">
        <f>IF($A116="","",VLOOKUP($A116,Listes!$A$3:$C$193,2,FALSE))</f>
        <v>Local Port Charge Destination Sanitary Fee</v>
      </c>
      <c r="C116" s="813"/>
      <c r="D116" s="813"/>
      <c r="E116" s="814" t="s">
        <v>51</v>
      </c>
      <c r="F116" s="814"/>
      <c r="G116" s="814"/>
      <c r="H116" s="675"/>
      <c r="I116" s="531"/>
      <c r="J116" s="531"/>
      <c r="K116" s="531"/>
      <c r="L116" s="531"/>
      <c r="M116" s="532"/>
      <c r="N116" s="160"/>
      <c r="O116" s="160"/>
      <c r="P116" s="160"/>
      <c r="Q116" s="160"/>
      <c r="R116" s="159"/>
    </row>
    <row r="117" spans="1:18" s="136" customFormat="1" ht="15.75" customHeight="1" x14ac:dyDescent="0.2">
      <c r="A117" s="182" t="s">
        <v>1292</v>
      </c>
      <c r="B117" s="813" t="str">
        <f>IF($A117="","",VLOOKUP($A117,Listes!$A$3:$C$193,2,FALSE))</f>
        <v>Local Port Charge Origin Sanitary Fee</v>
      </c>
      <c r="C117" s="813"/>
      <c r="D117" s="813"/>
      <c r="E117" s="814" t="s">
        <v>51</v>
      </c>
      <c r="F117" s="814"/>
      <c r="G117" s="814"/>
      <c r="H117" s="675"/>
      <c r="I117" s="531"/>
      <c r="J117" s="531"/>
      <c r="K117" s="531"/>
      <c r="L117" s="531"/>
      <c r="M117" s="532"/>
      <c r="N117" s="160"/>
      <c r="O117" s="160"/>
      <c r="P117" s="160"/>
      <c r="Q117" s="160"/>
      <c r="R117" s="159"/>
    </row>
    <row r="118" spans="1:18" s="136" customFormat="1" ht="15.75" customHeight="1" x14ac:dyDescent="0.2">
      <c r="A118" s="182" t="s">
        <v>199</v>
      </c>
      <c r="B118" s="813" t="str">
        <f>IF($A118="","",VLOOKUP($A118,Listes!$A$3:$C$193,2,FALSE))</f>
        <v>Low Sulfur Surcharge</v>
      </c>
      <c r="C118" s="813"/>
      <c r="D118" s="813"/>
      <c r="E118" s="814" t="s">
        <v>53</v>
      </c>
      <c r="F118" s="814"/>
      <c r="G118" s="814"/>
      <c r="H118" s="657"/>
      <c r="I118" s="531"/>
      <c r="J118" s="531"/>
      <c r="K118" s="531"/>
      <c r="L118" s="531"/>
      <c r="M118" s="532"/>
      <c r="N118" s="160"/>
      <c r="O118" s="160"/>
      <c r="P118" s="160"/>
      <c r="Q118" s="160"/>
      <c r="R118" s="159"/>
    </row>
    <row r="119" spans="1:18" s="136" customFormat="1" ht="15.75" customHeight="1" x14ac:dyDescent="0.2">
      <c r="A119" s="182" t="s">
        <v>1124</v>
      </c>
      <c r="B119" s="813" t="str">
        <f>IF($A119="","",VLOOKUP($A119,Listes!$A$3:$C$193,2,FALSE))</f>
        <v>Low Sulfur Surcharge IMO2020</v>
      </c>
      <c r="C119" s="813"/>
      <c r="D119" s="813"/>
      <c r="E119" s="814" t="s">
        <v>53</v>
      </c>
      <c r="F119" s="814"/>
      <c r="G119" s="814"/>
      <c r="H119" s="667"/>
      <c r="I119" s="531"/>
      <c r="J119" s="531"/>
      <c r="K119" s="531"/>
      <c r="L119" s="531"/>
      <c r="M119" s="532"/>
      <c r="N119" s="160"/>
      <c r="O119" s="160"/>
      <c r="P119" s="160"/>
      <c r="Q119" s="160"/>
      <c r="R119" s="159"/>
    </row>
    <row r="120" spans="1:18" s="136" customFormat="1" ht="15.75" customHeight="1" x14ac:dyDescent="0.2">
      <c r="A120" s="182" t="s">
        <v>497</v>
      </c>
      <c r="B120" s="813" t="str">
        <f>IF($A120="","",VLOOKUP($A120,Listes!$A$3:$C$193,2,FALSE))</f>
        <v>Inland Hazardous Charge Oncarriage</v>
      </c>
      <c r="C120" s="813"/>
      <c r="D120" s="813"/>
      <c r="E120" s="814" t="s">
        <v>51</v>
      </c>
      <c r="F120" s="814"/>
      <c r="G120" s="814"/>
      <c r="H120" s="657"/>
      <c r="I120" s="531"/>
      <c r="J120" s="531"/>
      <c r="K120" s="531"/>
      <c r="L120" s="531"/>
      <c r="M120" s="532"/>
      <c r="N120" s="160"/>
      <c r="O120" s="160"/>
      <c r="P120" s="160"/>
      <c r="Q120" s="160"/>
      <c r="R120" s="159"/>
    </row>
    <row r="121" spans="1:18" s="136" customFormat="1" ht="15.75" customHeight="1" x14ac:dyDescent="0.2">
      <c r="A121" s="182" t="s">
        <v>89</v>
      </c>
      <c r="B121" s="813" t="str">
        <f>IF($A121="","",VLOOKUP($A121,Listes!$A$3:$C$193,2,FALSE))</f>
        <v>Origin THC / Origin Receiving Charge</v>
      </c>
      <c r="C121" s="813"/>
      <c r="D121" s="813"/>
      <c r="E121" s="814" t="s">
        <v>51</v>
      </c>
      <c r="F121" s="814"/>
      <c r="G121" s="814"/>
      <c r="H121" s="657"/>
      <c r="I121" s="531"/>
      <c r="J121" s="531"/>
      <c r="K121" s="531"/>
      <c r="L121" s="531"/>
      <c r="M121" s="532"/>
      <c r="N121" s="160"/>
      <c r="O121" s="160"/>
      <c r="P121" s="160"/>
      <c r="Q121" s="160"/>
      <c r="R121" s="159"/>
    </row>
    <row r="122" spans="1:18" s="136" customFormat="1" ht="15.75" customHeight="1" x14ac:dyDescent="0.2">
      <c r="A122" s="182" t="s">
        <v>1257</v>
      </c>
      <c r="B122" s="813" t="str">
        <f>IF($A122="","",VLOOKUP($A122,Listes!$A$3:$C$193,2,FALSE))</f>
        <v>Panama Canal Adj Factor</v>
      </c>
      <c r="C122" s="813"/>
      <c r="D122" s="813"/>
      <c r="E122" s="814" t="s">
        <v>51</v>
      </c>
      <c r="F122" s="814"/>
      <c r="G122" s="814"/>
      <c r="H122" s="657"/>
      <c r="I122" s="531"/>
      <c r="J122" s="531"/>
      <c r="K122" s="531"/>
      <c r="L122" s="531"/>
      <c r="M122" s="532"/>
      <c r="N122" s="160"/>
      <c r="O122" s="160"/>
      <c r="P122" s="160"/>
      <c r="Q122" s="160"/>
      <c r="R122" s="159"/>
    </row>
    <row r="123" spans="1:18" s="136" customFormat="1" ht="15.75" customHeight="1" x14ac:dyDescent="0.2">
      <c r="A123" s="182" t="s">
        <v>832</v>
      </c>
      <c r="B123" s="813" t="str">
        <f>IF($A123="","",VLOOKUP($A123,Listes!$A$3:$C$193,2,FALSE))</f>
        <v>Port Congestion Surcharge Destination</v>
      </c>
      <c r="C123" s="813"/>
      <c r="D123" s="813"/>
      <c r="E123" s="814" t="s">
        <v>51</v>
      </c>
      <c r="F123" s="814"/>
      <c r="G123" s="814"/>
      <c r="H123" s="657"/>
      <c r="I123" s="531"/>
      <c r="J123" s="531"/>
      <c r="K123" s="531"/>
      <c r="L123" s="531"/>
      <c r="M123" s="532"/>
      <c r="N123" s="160"/>
      <c r="O123" s="160"/>
      <c r="P123" s="160"/>
      <c r="Q123" s="160"/>
      <c r="R123" s="159"/>
    </row>
    <row r="124" spans="1:18" s="136" customFormat="1" ht="15.75" customHeight="1" x14ac:dyDescent="0.2">
      <c r="A124" s="182" t="s">
        <v>813</v>
      </c>
      <c r="B124" s="813" t="str">
        <f>IF($A124="","",VLOOKUP($A124,Listes!$A$3:$C$193,2,FALSE))</f>
        <v>Port License Fee / Port Taxes NOS</v>
      </c>
      <c r="C124" s="813"/>
      <c r="D124" s="813"/>
      <c r="E124" s="814" t="s">
        <v>51</v>
      </c>
      <c r="F124" s="814"/>
      <c r="G124" s="814"/>
      <c r="H124" s="657"/>
      <c r="I124" s="531"/>
      <c r="J124" s="531"/>
      <c r="K124" s="531"/>
      <c r="L124" s="531"/>
      <c r="M124" s="532"/>
      <c r="N124" s="160"/>
      <c r="O124" s="160"/>
      <c r="P124" s="160"/>
      <c r="Q124" s="160"/>
      <c r="R124" s="159"/>
    </row>
    <row r="125" spans="1:18" s="136" customFormat="1" ht="15.75" customHeight="1" x14ac:dyDescent="0.2">
      <c r="A125" s="182" t="s">
        <v>1375</v>
      </c>
      <c r="B125" s="813" t="str">
        <f>IF($A125="","",VLOOKUP($A125,Listes!$A$3:$C$193,2,FALSE))</f>
        <v>Port Access Fee Destination</v>
      </c>
      <c r="C125" s="813"/>
      <c r="D125" s="813"/>
      <c r="E125" s="814" t="s">
        <v>51</v>
      </c>
      <c r="F125" s="814"/>
      <c r="G125" s="814"/>
      <c r="H125" s="657"/>
      <c r="I125" s="531"/>
      <c r="J125" s="531"/>
      <c r="K125" s="531"/>
      <c r="L125" s="531" t="s">
        <v>488</v>
      </c>
      <c r="M125" s="532"/>
      <c r="N125" s="160"/>
      <c r="O125" s="160"/>
      <c r="P125" s="160"/>
      <c r="Q125" s="160"/>
      <c r="R125" s="159"/>
    </row>
    <row r="126" spans="1:18" s="136" customFormat="1" x14ac:dyDescent="0.2">
      <c r="A126" s="182" t="s">
        <v>1060</v>
      </c>
      <c r="B126" s="813" t="str">
        <f>IF($A126="","",VLOOKUP($A126,Listes!$A$3:$C$193,2,FALSE))</f>
        <v>Pre-Carriage Emergency Inland Fuel Surcharge</v>
      </c>
      <c r="C126" s="813"/>
      <c r="D126" s="813"/>
      <c r="E126" s="814" t="s">
        <v>51</v>
      </c>
      <c r="F126" s="814"/>
      <c r="G126" s="814"/>
      <c r="H126" s="657"/>
      <c r="I126" s="531"/>
      <c r="J126" s="531"/>
      <c r="K126" s="531"/>
      <c r="L126" s="531"/>
      <c r="M126" s="532"/>
      <c r="N126" s="160"/>
      <c r="O126" s="160"/>
      <c r="P126" s="160"/>
      <c r="Q126" s="160"/>
      <c r="R126" s="159"/>
    </row>
    <row r="127" spans="1:18" s="136" customFormat="1" ht="31.5" x14ac:dyDescent="0.2">
      <c r="A127" s="182" t="s">
        <v>1046</v>
      </c>
      <c r="B127" s="813" t="str">
        <f>IF($A127="","",VLOOKUP($A127,Listes!$A$3:$C$193,2,FALSE))</f>
        <v>Pre-Carriage Emergency Intermodal Surcharge</v>
      </c>
      <c r="C127" s="813"/>
      <c r="D127" s="813"/>
      <c r="E127" s="814" t="s">
        <v>51</v>
      </c>
      <c r="F127" s="814"/>
      <c r="G127" s="814"/>
      <c r="H127" s="657"/>
      <c r="I127" s="531"/>
      <c r="J127" s="531"/>
      <c r="K127" s="531"/>
      <c r="L127" s="531"/>
      <c r="M127" s="532"/>
      <c r="N127" s="160"/>
      <c r="O127" s="160"/>
      <c r="P127" s="160"/>
      <c r="Q127" s="160"/>
      <c r="R127" s="159"/>
    </row>
    <row r="128" spans="1:18" s="136" customFormat="1" ht="15.75" customHeight="1" x14ac:dyDescent="0.2">
      <c r="A128" s="182" t="s">
        <v>500</v>
      </c>
      <c r="B128" s="813" t="str">
        <f>IF($A128="","",VLOOKUP($A128,Listes!$A$3:$C$193,2,FALSE))</f>
        <v>Inland Hazardous Charge Precarriage</v>
      </c>
      <c r="C128" s="813"/>
      <c r="D128" s="813"/>
      <c r="E128" s="814" t="s">
        <v>51</v>
      </c>
      <c r="F128" s="814"/>
      <c r="G128" s="814"/>
      <c r="H128" s="657"/>
      <c r="I128" s="531"/>
      <c r="J128" s="531"/>
      <c r="K128" s="531"/>
      <c r="L128" s="531"/>
      <c r="M128" s="532"/>
      <c r="N128" s="160"/>
      <c r="O128" s="160"/>
      <c r="P128" s="160"/>
      <c r="Q128" s="160"/>
      <c r="R128" s="159"/>
    </row>
    <row r="129" spans="1:21" s="136" customFormat="1" ht="15.75" customHeight="1" x14ac:dyDescent="0.2">
      <c r="A129" s="182" t="s">
        <v>278</v>
      </c>
      <c r="B129" s="813" t="str">
        <f>IF($A129="","",VLOOKUP($A129,Listes!$A$3:$C$193,2,FALSE))</f>
        <v>Destination Terminal Security Charge</v>
      </c>
      <c r="C129" s="813"/>
      <c r="D129" s="813"/>
      <c r="E129" s="814" t="s">
        <v>51</v>
      </c>
      <c r="F129" s="814"/>
      <c r="G129" s="814"/>
      <c r="H129" s="657"/>
      <c r="I129" s="531"/>
      <c r="J129" s="531"/>
      <c r="K129" s="531"/>
      <c r="L129" s="531"/>
      <c r="M129" s="532"/>
      <c r="N129" s="160"/>
      <c r="O129" s="160"/>
      <c r="P129" s="160"/>
      <c r="Q129" s="160"/>
      <c r="R129" s="159"/>
    </row>
    <row r="130" spans="1:21" s="136" customFormat="1" ht="15.75" customHeight="1" x14ac:dyDescent="0.2">
      <c r="A130" s="182" t="s">
        <v>277</v>
      </c>
      <c r="B130" s="813" t="str">
        <f>IF($A130="","",VLOOKUP($A130,Listes!$A$3:$C$193,2,FALSE))</f>
        <v>Origin Terminal Security Charge</v>
      </c>
      <c r="C130" s="813"/>
      <c r="D130" s="813"/>
      <c r="E130" s="814" t="s">
        <v>51</v>
      </c>
      <c r="F130" s="814"/>
      <c r="G130" s="814"/>
      <c r="H130" s="657"/>
      <c r="I130" s="531"/>
      <c r="J130" s="531"/>
      <c r="K130" s="531"/>
      <c r="L130" s="531"/>
      <c r="M130" s="532"/>
      <c r="N130" s="160"/>
      <c r="O130" s="160"/>
      <c r="P130" s="160"/>
      <c r="Q130" s="160"/>
      <c r="R130" s="159"/>
    </row>
    <row r="131" spans="1:21" s="136" customFormat="1" ht="15.75" customHeight="1" x14ac:dyDescent="0.2">
      <c r="A131" s="182" t="s">
        <v>489</v>
      </c>
      <c r="B131" s="813" t="str">
        <f>IF($A131="","",VLOOKUP($A131,Listes!$A$3:$C$193,2,FALSE))</f>
        <v>Shipper Owned Container Surcharge</v>
      </c>
      <c r="C131" s="813"/>
      <c r="D131" s="813"/>
      <c r="E131" s="814" t="s">
        <v>51</v>
      </c>
      <c r="F131" s="814"/>
      <c r="G131" s="814"/>
      <c r="H131" s="657"/>
      <c r="I131" s="531"/>
      <c r="J131" s="531"/>
      <c r="K131" s="531"/>
      <c r="L131" s="531"/>
      <c r="M131" s="532"/>
      <c r="N131" s="160"/>
      <c r="O131" s="160"/>
      <c r="P131" s="160"/>
      <c r="Q131" s="160"/>
      <c r="R131" s="159"/>
    </row>
    <row r="132" spans="1:21" s="136" customFormat="1" ht="31.5" x14ac:dyDescent="0.2">
      <c r="A132" s="182" t="s">
        <v>368</v>
      </c>
      <c r="B132" s="813" t="str">
        <f>IF($A132="","",VLOOKUP($A132,Listes!$A$3:$C$193,2,FALSE))</f>
        <v>Tri-Axle / Super Chassis Precarriage Surcharge</v>
      </c>
      <c r="C132" s="813"/>
      <c r="D132" s="813"/>
      <c r="E132" s="814" t="s">
        <v>51</v>
      </c>
      <c r="F132" s="814"/>
      <c r="G132" s="814"/>
      <c r="H132" s="657"/>
      <c r="I132" s="531"/>
      <c r="J132" s="531"/>
      <c r="K132" s="531"/>
      <c r="L132" s="531"/>
      <c r="M132" s="532"/>
      <c r="N132" s="160"/>
      <c r="O132" s="160"/>
      <c r="P132" s="160"/>
      <c r="Q132" s="160"/>
      <c r="R132" s="159"/>
    </row>
    <row r="133" spans="1:21" s="136" customFormat="1" ht="15.75" customHeight="1" x14ac:dyDescent="0.2">
      <c r="A133" s="182" t="s">
        <v>742</v>
      </c>
      <c r="B133" s="813" t="str">
        <f>IF($A133="","",VLOOKUP($A133,Listes!$A$3:$C$193,2,FALSE))</f>
        <v>Wharfage (Destination)</v>
      </c>
      <c r="C133" s="813"/>
      <c r="D133" s="813"/>
      <c r="E133" s="814" t="s">
        <v>51</v>
      </c>
      <c r="F133" s="814"/>
      <c r="G133" s="814"/>
      <c r="H133" s="657"/>
      <c r="I133" s="531"/>
      <c r="J133" s="531"/>
      <c r="K133" s="531"/>
      <c r="L133" s="531"/>
      <c r="M133" s="532"/>
      <c r="N133" s="160"/>
      <c r="O133" s="160"/>
      <c r="P133" s="160"/>
      <c r="Q133" s="160"/>
      <c r="R133" s="159"/>
    </row>
    <row r="134" spans="1:21" s="136" customFormat="1" ht="156" customHeight="1" thickBot="1" x14ac:dyDescent="0.25">
      <c r="A134" s="185" t="s">
        <v>833</v>
      </c>
      <c r="B134" s="812" t="str">
        <f>IF($A134="","",VLOOKUP($A134,Listes!$A$3:$C$193,2,FALSE))</f>
        <v>Wharfage (Origin)</v>
      </c>
      <c r="C134" s="812"/>
      <c r="D134" s="812"/>
      <c r="E134" s="815" t="s">
        <v>51</v>
      </c>
      <c r="F134" s="815"/>
      <c r="G134" s="815"/>
      <c r="H134" s="659"/>
      <c r="I134" s="533"/>
      <c r="J134" s="533"/>
      <c r="K134" s="533"/>
      <c r="L134" s="533"/>
      <c r="M134" s="534"/>
      <c r="N134" s="160"/>
      <c r="O134" s="160"/>
      <c r="P134" s="160"/>
      <c r="Q134" s="160"/>
      <c r="R134" s="159"/>
    </row>
    <row r="135" spans="1:21" s="73" customFormat="1" ht="16.5" thickBot="1" x14ac:dyDescent="0.25">
      <c r="A135" s="850" t="s">
        <v>216</v>
      </c>
      <c r="B135" s="851"/>
      <c r="C135" s="851"/>
      <c r="D135" s="851"/>
      <c r="E135" s="852"/>
      <c r="F135" s="852"/>
      <c r="G135" s="852"/>
      <c r="H135" s="852"/>
      <c r="I135" s="853"/>
      <c r="J135" s="169"/>
      <c r="K135" s="118"/>
      <c r="L135" s="134"/>
      <c r="M135" s="134"/>
      <c r="N135" s="134"/>
      <c r="O135" s="134"/>
      <c r="P135" s="134"/>
      <c r="Q135" s="118"/>
    </row>
    <row r="136" spans="1:21" s="73" customFormat="1" ht="16.5" thickBot="1" x14ac:dyDescent="0.25">
      <c r="A136" s="849" t="s">
        <v>597</v>
      </c>
      <c r="B136" s="833"/>
      <c r="C136" s="833"/>
      <c r="D136" s="833"/>
      <c r="E136" s="833"/>
      <c r="F136" s="833"/>
      <c r="G136" s="833"/>
      <c r="H136" s="833"/>
      <c r="I136" s="834"/>
      <c r="J136" s="169"/>
      <c r="K136" s="134"/>
      <c r="L136" s="134"/>
      <c r="M136" s="134"/>
      <c r="N136" s="134"/>
      <c r="O136" s="118"/>
    </row>
    <row r="137" spans="1:21" s="73" customFormat="1" ht="16.5" thickBot="1" x14ac:dyDescent="0.25">
      <c r="A137" s="187"/>
      <c r="B137" s="187"/>
      <c r="C137" s="188"/>
      <c r="D137" s="189"/>
      <c r="E137" s="170"/>
      <c r="F137" s="170"/>
      <c r="G137" s="170"/>
      <c r="H137" s="170"/>
      <c r="I137" s="170"/>
      <c r="J137" s="189"/>
      <c r="K137" s="169"/>
      <c r="L137" s="118"/>
      <c r="M137" s="134"/>
      <c r="N137" s="134"/>
      <c r="O137" s="134"/>
      <c r="P137" s="134"/>
      <c r="Q137" s="134"/>
      <c r="R137" s="118"/>
    </row>
    <row r="138" spans="1:21" s="73" customFormat="1" ht="15.6" customHeight="1" x14ac:dyDescent="0.2">
      <c r="A138" s="830" t="s">
        <v>523</v>
      </c>
      <c r="B138" s="831"/>
      <c r="C138" s="831"/>
      <c r="D138" s="831"/>
      <c r="E138" s="842" t="s">
        <v>288</v>
      </c>
      <c r="F138" s="842">
        <v>20</v>
      </c>
      <c r="G138" s="842">
        <v>40</v>
      </c>
      <c r="H138" s="842" t="s">
        <v>19</v>
      </c>
      <c r="I138" s="842" t="s">
        <v>20</v>
      </c>
      <c r="J138" s="848" t="s">
        <v>297</v>
      </c>
      <c r="K138" s="848" t="s">
        <v>33</v>
      </c>
      <c r="L138" s="846" t="s">
        <v>217</v>
      </c>
      <c r="M138" s="189"/>
      <c r="N138" s="134"/>
      <c r="O138" s="134"/>
      <c r="P138" s="134"/>
      <c r="Q138" s="134"/>
      <c r="R138" s="134"/>
      <c r="S138" s="134"/>
      <c r="T138" s="134"/>
      <c r="U138" s="134"/>
    </row>
    <row r="139" spans="1:21" s="73" customFormat="1" x14ac:dyDescent="0.2">
      <c r="A139" s="537" t="s">
        <v>218</v>
      </c>
      <c r="B139" s="538" t="s">
        <v>11</v>
      </c>
      <c r="C139" s="538" t="s">
        <v>12</v>
      </c>
      <c r="D139" s="538" t="s">
        <v>219</v>
      </c>
      <c r="E139" s="843"/>
      <c r="F139" s="843"/>
      <c r="G139" s="843"/>
      <c r="H139" s="843"/>
      <c r="I139" s="843"/>
      <c r="J139" s="843"/>
      <c r="K139" s="843"/>
      <c r="L139" s="847"/>
      <c r="M139" s="189"/>
      <c r="N139" s="134"/>
      <c r="O139" s="134"/>
      <c r="P139" s="134"/>
      <c r="Q139" s="134"/>
      <c r="R139" s="134"/>
      <c r="S139" s="134"/>
      <c r="T139" s="134"/>
      <c r="U139" s="134"/>
    </row>
    <row r="140" spans="1:21" s="136" customFormat="1" x14ac:dyDescent="0.2">
      <c r="A140" s="539"/>
      <c r="B140" s="540"/>
      <c r="C140" s="540"/>
      <c r="D140" s="540"/>
      <c r="E140" s="540"/>
      <c r="F140" s="255"/>
      <c r="G140" s="255"/>
      <c r="H140" s="255"/>
      <c r="I140" s="255"/>
      <c r="J140" s="540"/>
      <c r="K140" s="21"/>
      <c r="L140" s="541"/>
      <c r="M140" s="190"/>
      <c r="N140" s="160"/>
      <c r="O140" s="160"/>
      <c r="P140" s="160"/>
      <c r="Q140" s="160"/>
      <c r="R140" s="160"/>
      <c r="S140" s="160"/>
      <c r="T140" s="160"/>
      <c r="U140" s="160"/>
    </row>
    <row r="141" spans="1:21" s="136" customFormat="1" x14ac:dyDescent="0.2">
      <c r="A141" s="542"/>
      <c r="B141" s="540"/>
      <c r="C141" s="540"/>
      <c r="D141" s="540"/>
      <c r="E141" s="540"/>
      <c r="F141" s="255"/>
      <c r="G141" s="255"/>
      <c r="H141" s="255"/>
      <c r="I141" s="255"/>
      <c r="J141" s="24"/>
      <c r="K141" s="21"/>
      <c r="L141" s="25"/>
      <c r="M141" s="191"/>
      <c r="N141" s="160"/>
      <c r="O141" s="160"/>
      <c r="P141" s="160"/>
      <c r="Q141" s="160"/>
      <c r="R141" s="160"/>
      <c r="S141" s="160"/>
      <c r="T141" s="160"/>
      <c r="U141" s="160"/>
    </row>
    <row r="142" spans="1:21" s="136" customFormat="1" x14ac:dyDescent="0.2">
      <c r="A142" s="542"/>
      <c r="B142" s="540"/>
      <c r="C142" s="540"/>
      <c r="D142" s="540"/>
      <c r="E142" s="540"/>
      <c r="F142" s="255"/>
      <c r="G142" s="255"/>
      <c r="H142" s="255"/>
      <c r="I142" s="255"/>
      <c r="J142" s="24"/>
      <c r="K142" s="21"/>
      <c r="L142" s="25"/>
      <c r="M142" s="191"/>
      <c r="N142" s="160"/>
      <c r="O142" s="160"/>
      <c r="P142" s="160"/>
      <c r="Q142" s="160"/>
      <c r="R142" s="160"/>
      <c r="S142" s="160"/>
      <c r="T142" s="160"/>
      <c r="U142" s="160"/>
    </row>
    <row r="143" spans="1:21" s="136" customFormat="1" ht="16.5" thickBot="1" x14ac:dyDescent="0.25">
      <c r="A143" s="543"/>
      <c r="B143" s="544"/>
      <c r="C143" s="544"/>
      <c r="D143" s="544"/>
      <c r="E143" s="544"/>
      <c r="F143" s="256"/>
      <c r="G143" s="256"/>
      <c r="H143" s="256"/>
      <c r="I143" s="256"/>
      <c r="J143" s="28"/>
      <c r="K143" s="29"/>
      <c r="L143" s="30"/>
      <c r="M143" s="191"/>
      <c r="N143" s="160"/>
      <c r="O143" s="160"/>
      <c r="P143" s="160"/>
      <c r="Q143" s="160"/>
      <c r="R143" s="160"/>
      <c r="S143" s="160"/>
      <c r="T143" s="160"/>
      <c r="U143" s="160"/>
    </row>
    <row r="144" spans="1:21" s="136" customFormat="1" x14ac:dyDescent="0.2">
      <c r="A144" s="173"/>
      <c r="B144" s="545"/>
      <c r="C144" s="545"/>
      <c r="D144" s="545"/>
      <c r="E144" s="545"/>
      <c r="F144" s="545"/>
      <c r="G144" s="545"/>
      <c r="H144" s="545"/>
      <c r="I144" s="545"/>
      <c r="J144" s="33"/>
      <c r="K144" s="33"/>
      <c r="L144" s="34"/>
      <c r="M144" s="191"/>
      <c r="N144" s="160"/>
      <c r="O144" s="160"/>
      <c r="P144" s="160"/>
      <c r="Q144" s="160"/>
      <c r="R144" s="160"/>
      <c r="S144" s="160"/>
      <c r="T144" s="160"/>
      <c r="U144" s="160"/>
    </row>
    <row r="145" spans="1:23" s="73" customFormat="1" ht="15.6" customHeight="1" x14ac:dyDescent="0.2">
      <c r="A145" s="841" t="s">
        <v>596</v>
      </c>
      <c r="B145" s="840"/>
      <c r="C145" s="840"/>
      <c r="D145" s="840"/>
      <c r="E145" s="840" t="s">
        <v>288</v>
      </c>
      <c r="F145" s="840">
        <v>20</v>
      </c>
      <c r="G145" s="840">
        <v>40</v>
      </c>
      <c r="H145" s="840" t="s">
        <v>19</v>
      </c>
      <c r="I145" s="840" t="s">
        <v>20</v>
      </c>
      <c r="J145" s="845" t="s">
        <v>297</v>
      </c>
      <c r="K145" s="845" t="s">
        <v>33</v>
      </c>
      <c r="L145" s="844" t="s">
        <v>217</v>
      </c>
      <c r="M145" s="844" t="s">
        <v>23</v>
      </c>
      <c r="N145" s="169"/>
      <c r="O145" s="118"/>
      <c r="P145" s="134"/>
      <c r="Q145" s="134"/>
      <c r="R145" s="134"/>
      <c r="S145" s="134"/>
      <c r="T145" s="134"/>
      <c r="U145" s="134"/>
      <c r="V145" s="134"/>
      <c r="W145" s="134"/>
    </row>
    <row r="146" spans="1:23" s="73" customFormat="1" x14ac:dyDescent="0.2">
      <c r="A146" s="546" t="s">
        <v>218</v>
      </c>
      <c r="B146" s="546" t="s">
        <v>11</v>
      </c>
      <c r="C146" s="546" t="s">
        <v>12</v>
      </c>
      <c r="D146" s="546" t="s">
        <v>219</v>
      </c>
      <c r="E146" s="840"/>
      <c r="F146" s="840"/>
      <c r="G146" s="840"/>
      <c r="H146" s="840"/>
      <c r="I146" s="840"/>
      <c r="J146" s="840"/>
      <c r="K146" s="840"/>
      <c r="L146" s="844"/>
      <c r="M146" s="844"/>
      <c r="N146" s="169"/>
      <c r="O146" s="118"/>
      <c r="P146" s="134"/>
      <c r="Q146" s="134"/>
      <c r="R146" s="134"/>
      <c r="S146" s="134"/>
      <c r="T146" s="134"/>
      <c r="U146" s="134"/>
      <c r="V146" s="134"/>
      <c r="W146" s="134"/>
    </row>
    <row r="147" spans="1:23" s="136" customFormat="1" x14ac:dyDescent="0.2">
      <c r="A147" s="372"/>
      <c r="B147" s="547"/>
      <c r="C147" s="547"/>
      <c r="D147" s="547"/>
      <c r="E147" s="547"/>
      <c r="F147" s="368"/>
      <c r="G147" s="368"/>
      <c r="H147" s="368"/>
      <c r="I147" s="368"/>
      <c r="J147" s="369"/>
      <c r="K147" s="370"/>
      <c r="L147" s="548"/>
      <c r="M147" s="548"/>
      <c r="N147" s="192"/>
      <c r="O147" s="159"/>
      <c r="P147" s="160"/>
      <c r="Q147" s="160"/>
      <c r="R147" s="160"/>
      <c r="S147" s="160"/>
      <c r="T147" s="160"/>
      <c r="U147" s="160"/>
      <c r="V147" s="160"/>
      <c r="W147" s="160"/>
    </row>
    <row r="148" spans="1:23" s="136" customFormat="1" x14ac:dyDescent="0.2">
      <c r="A148" s="372"/>
      <c r="B148" s="547"/>
      <c r="C148" s="547"/>
      <c r="D148" s="547"/>
      <c r="E148" s="547"/>
      <c r="F148" s="368"/>
      <c r="G148" s="368"/>
      <c r="H148" s="368"/>
      <c r="I148" s="368"/>
      <c r="J148" s="369"/>
      <c r="K148" s="370"/>
      <c r="L148" s="548"/>
      <c r="M148" s="548"/>
      <c r="N148" s="192"/>
      <c r="O148" s="159"/>
      <c r="P148" s="160"/>
      <c r="Q148" s="160"/>
      <c r="R148" s="160"/>
      <c r="S148" s="160"/>
      <c r="T148" s="160"/>
      <c r="U148" s="160"/>
      <c r="V148" s="160"/>
      <c r="W148" s="160"/>
    </row>
    <row r="149" spans="1:23" s="136" customFormat="1" x14ac:dyDescent="0.2">
      <c r="A149" s="372"/>
      <c r="B149" s="547"/>
      <c r="C149" s="547"/>
      <c r="D149" s="547"/>
      <c r="E149" s="547"/>
      <c r="F149" s="368"/>
      <c r="G149" s="368"/>
      <c r="H149" s="368"/>
      <c r="I149" s="368"/>
      <c r="J149" s="369"/>
      <c r="K149" s="370"/>
      <c r="L149" s="548"/>
      <c r="M149" s="548"/>
      <c r="N149" s="192"/>
      <c r="O149" s="159"/>
      <c r="P149" s="160"/>
      <c r="Q149" s="160"/>
      <c r="R149" s="160"/>
      <c r="S149" s="160"/>
      <c r="T149" s="160"/>
      <c r="U149" s="160"/>
      <c r="V149" s="160"/>
      <c r="W149" s="160"/>
    </row>
    <row r="150" spans="1:23" s="136" customFormat="1" x14ac:dyDescent="0.2">
      <c r="A150" s="372"/>
      <c r="B150" s="547"/>
      <c r="C150" s="547"/>
      <c r="D150" s="547"/>
      <c r="E150" s="547"/>
      <c r="F150" s="368"/>
      <c r="G150" s="368"/>
      <c r="H150" s="368"/>
      <c r="I150" s="368"/>
      <c r="J150" s="369"/>
      <c r="K150" s="370"/>
      <c r="L150" s="373"/>
      <c r="M150" s="373"/>
      <c r="N150" s="191"/>
      <c r="O150" s="159"/>
      <c r="P150" s="160"/>
      <c r="Q150" s="160"/>
      <c r="R150" s="160"/>
      <c r="S150" s="160"/>
      <c r="T150" s="160"/>
      <c r="U150" s="160"/>
      <c r="V150" s="160"/>
      <c r="W150" s="160"/>
    </row>
    <row r="151" spans="1:23" s="73" customFormat="1" x14ac:dyDescent="0.2">
      <c r="A151" s="456"/>
      <c r="B151" s="549"/>
      <c r="C151" s="549"/>
      <c r="D151" s="549"/>
      <c r="E151" s="549"/>
      <c r="F151" s="194"/>
      <c r="G151" s="522"/>
      <c r="H151" s="195"/>
      <c r="I151" s="195"/>
      <c r="J151" s="176"/>
      <c r="K151" s="118"/>
      <c r="L151" s="134"/>
      <c r="M151" s="134"/>
      <c r="N151" s="134"/>
      <c r="O151" s="134"/>
      <c r="P151" s="134"/>
      <c r="Q151" s="134"/>
    </row>
    <row r="152" spans="1:23" s="456" customFormat="1" ht="16.5" thickBot="1" x14ac:dyDescent="0.25">
      <c r="A152" s="196"/>
      <c r="B152" s="197"/>
      <c r="C152" s="198"/>
      <c r="D152" s="198"/>
      <c r="E152" s="169"/>
      <c r="F152" s="176"/>
      <c r="G152" s="176"/>
      <c r="H152" s="176"/>
      <c r="I152" s="176"/>
      <c r="J152" s="170"/>
      <c r="K152" s="118"/>
      <c r="L152" s="134"/>
      <c r="M152" s="134"/>
      <c r="N152" s="134"/>
      <c r="O152" s="134"/>
      <c r="P152" s="134"/>
      <c r="Q152" s="134"/>
      <c r="R152" s="134"/>
      <c r="S152" s="118"/>
      <c r="T152" s="118"/>
      <c r="U152" s="118"/>
    </row>
    <row r="153" spans="1:23" s="456" customFormat="1" ht="16.5" thickBot="1" x14ac:dyDescent="0.25">
      <c r="A153" s="822" t="s">
        <v>220</v>
      </c>
      <c r="B153" s="823"/>
      <c r="C153" s="823"/>
      <c r="D153" s="823"/>
      <c r="E153" s="824"/>
      <c r="F153" s="176"/>
      <c r="G153" s="176"/>
      <c r="H153" s="176"/>
      <c r="I153" s="176"/>
      <c r="J153" s="170"/>
      <c r="K153" s="118"/>
      <c r="L153" s="134"/>
      <c r="M153" s="134"/>
      <c r="N153" s="134"/>
      <c r="O153" s="134"/>
      <c r="P153" s="134"/>
      <c r="Q153" s="134"/>
      <c r="R153" s="134"/>
      <c r="S153" s="118"/>
      <c r="T153" s="118"/>
      <c r="U153" s="118"/>
    </row>
    <row r="154" spans="1:23" s="73" customFormat="1" ht="16.5" thickBot="1" x14ac:dyDescent="0.25">
      <c r="A154" s="550"/>
      <c r="B154" s="456"/>
      <c r="C154" s="456"/>
      <c r="D154" s="456"/>
      <c r="E154" s="456"/>
      <c r="F154" s="194"/>
      <c r="G154" s="456"/>
      <c r="H154" s="200"/>
      <c r="I154" s="194"/>
      <c r="J154" s="194"/>
      <c r="K154" s="118"/>
      <c r="L154" s="134"/>
      <c r="M154" s="134"/>
      <c r="N154" s="134"/>
      <c r="O154" s="134"/>
      <c r="P154" s="134"/>
      <c r="Q154" s="134"/>
      <c r="R154" s="134"/>
      <c r="S154" s="118"/>
      <c r="T154" s="118"/>
      <c r="U154" s="118"/>
    </row>
    <row r="155" spans="1:23" s="73" customFormat="1" ht="16.5" thickBot="1" x14ac:dyDescent="0.25">
      <c r="A155" s="825" t="s">
        <v>221</v>
      </c>
      <c r="B155" s="838"/>
      <c r="C155" s="838"/>
      <c r="D155" s="838"/>
      <c r="E155" s="838"/>
      <c r="F155" s="839"/>
      <c r="G155" s="456"/>
      <c r="H155" s="200"/>
      <c r="I155" s="194"/>
      <c r="J155" s="194"/>
      <c r="K155" s="118"/>
      <c r="L155" s="134"/>
      <c r="M155" s="134"/>
      <c r="N155" s="134"/>
      <c r="O155" s="134"/>
      <c r="P155" s="134"/>
      <c r="Q155" s="134"/>
      <c r="R155" s="134"/>
      <c r="S155" s="118"/>
      <c r="T155" s="118"/>
      <c r="U155" s="118"/>
    </row>
    <row r="156" spans="1:23" s="73" customFormat="1" ht="16.5" customHeight="1" x14ac:dyDescent="0.2">
      <c r="A156" s="835" t="s">
        <v>222</v>
      </c>
      <c r="B156" s="836"/>
      <c r="C156" s="836"/>
      <c r="D156" s="836"/>
      <c r="E156" s="836"/>
      <c r="F156" s="837"/>
      <c r="G156" s="456"/>
      <c r="H156" s="201"/>
      <c r="I156" s="170"/>
      <c r="J156" s="170"/>
      <c r="K156" s="118"/>
      <c r="L156" s="134"/>
      <c r="M156" s="134"/>
      <c r="N156" s="134"/>
      <c r="O156" s="134"/>
      <c r="P156" s="134"/>
      <c r="Q156" s="134"/>
      <c r="R156" s="134"/>
      <c r="S156" s="118"/>
      <c r="T156" s="118"/>
      <c r="U156" s="118"/>
    </row>
    <row r="157" spans="1:23" ht="16.5" thickBot="1" x14ac:dyDescent="0.25">
      <c r="A157" s="832" t="s">
        <v>223</v>
      </c>
      <c r="B157" s="833"/>
      <c r="C157" s="833"/>
      <c r="D157" s="833"/>
      <c r="E157" s="833"/>
      <c r="F157" s="834"/>
      <c r="G157" s="176"/>
      <c r="H157" s="176"/>
      <c r="I157" s="176"/>
      <c r="J157" s="169"/>
      <c r="K157" s="169"/>
      <c r="L157" s="169"/>
      <c r="M157" s="169"/>
      <c r="N157" s="169"/>
      <c r="O157" s="169"/>
      <c r="P157" s="169"/>
      <c r="Q157" s="169"/>
      <c r="R157" s="169"/>
      <c r="S157" s="169"/>
      <c r="T157" s="169"/>
      <c r="U157" s="169"/>
    </row>
    <row r="158" spans="1:23" x14ac:dyDescent="0.2">
      <c r="A158" s="551" t="s">
        <v>224</v>
      </c>
      <c r="B158" s="450" t="s">
        <v>225</v>
      </c>
      <c r="C158" s="552" t="s">
        <v>226</v>
      </c>
      <c r="D158" s="553" t="s">
        <v>227</v>
      </c>
      <c r="E158" s="176"/>
      <c r="F158" s="176"/>
      <c r="G158" s="176"/>
      <c r="H158" s="169"/>
      <c r="I158" s="169"/>
      <c r="J158" s="169"/>
      <c r="K158" s="169"/>
      <c r="L158" s="169"/>
      <c r="M158" s="169"/>
      <c r="N158" s="169"/>
      <c r="O158" s="169"/>
      <c r="P158" s="169"/>
      <c r="Q158" s="169"/>
      <c r="R158" s="169"/>
    </row>
    <row r="159" spans="1:23" s="192" customFormat="1" x14ac:dyDescent="0.2">
      <c r="A159" s="203"/>
      <c r="B159" s="204"/>
      <c r="C159" s="205"/>
      <c r="D159" s="206"/>
      <c r="E159" s="191"/>
      <c r="F159" s="191"/>
      <c r="G159" s="191"/>
    </row>
    <row r="160" spans="1:23" s="192" customFormat="1" x14ac:dyDescent="0.2">
      <c r="A160" s="203"/>
      <c r="B160" s="204"/>
      <c r="C160" s="205"/>
      <c r="D160" s="206"/>
      <c r="E160" s="191"/>
      <c r="F160" s="191"/>
      <c r="G160" s="191"/>
    </row>
    <row r="161" spans="1:21" s="192" customFormat="1" ht="16.5" thickBot="1" x14ac:dyDescent="0.25">
      <c r="A161" s="207"/>
      <c r="B161" s="208"/>
      <c r="C161" s="209"/>
      <c r="D161" s="210"/>
      <c r="E161" s="191"/>
      <c r="F161" s="191"/>
      <c r="G161" s="191"/>
    </row>
    <row r="162" spans="1:21" ht="16.5" thickBot="1" x14ac:dyDescent="0.25"/>
    <row r="163" spans="1:21" s="73" customFormat="1" ht="16.5" thickBot="1" x14ac:dyDescent="0.25">
      <c r="A163" s="822" t="s">
        <v>228</v>
      </c>
      <c r="B163" s="823"/>
      <c r="C163" s="823"/>
      <c r="D163" s="823"/>
      <c r="E163" s="823"/>
      <c r="F163" s="823"/>
      <c r="G163" s="823"/>
      <c r="H163" s="823"/>
      <c r="I163" s="824"/>
      <c r="J163" s="169"/>
      <c r="K163" s="118"/>
      <c r="L163" s="134"/>
      <c r="M163" s="134"/>
      <c r="N163" s="134"/>
      <c r="O163" s="134"/>
      <c r="P163" s="134"/>
      <c r="Q163" s="134"/>
      <c r="R163" s="134"/>
      <c r="S163" s="118"/>
      <c r="T163" s="118"/>
      <c r="U163" s="118"/>
    </row>
    <row r="164" spans="1:21" s="73" customFormat="1" ht="16.5" thickBot="1" x14ac:dyDescent="0.25">
      <c r="A164" s="554" t="s">
        <v>229</v>
      </c>
      <c r="B164" s="213"/>
      <c r="C164" s="214"/>
      <c r="D164" s="214"/>
      <c r="E164" s="214"/>
      <c r="F164" s="214"/>
      <c r="G164" s="215"/>
      <c r="H164" s="216"/>
      <c r="I164" s="217"/>
      <c r="J164" s="170"/>
      <c r="K164" s="118"/>
      <c r="L164" s="134"/>
      <c r="M164" s="134"/>
      <c r="N164" s="134"/>
      <c r="O164" s="134"/>
      <c r="P164" s="134"/>
      <c r="Q164" s="134"/>
      <c r="R164" s="134"/>
      <c r="S164" s="118"/>
      <c r="T164" s="118"/>
      <c r="U164" s="118"/>
    </row>
    <row r="165" spans="1:21" s="308" customFormat="1" ht="174" customHeight="1" x14ac:dyDescent="0.2">
      <c r="A165" s="228" t="s">
        <v>504</v>
      </c>
      <c r="B165" s="827" t="s">
        <v>1063</v>
      </c>
      <c r="C165" s="828"/>
      <c r="D165" s="828"/>
      <c r="E165" s="828"/>
      <c r="F165" s="828"/>
      <c r="G165" s="828"/>
      <c r="H165" s="828"/>
      <c r="I165" s="829"/>
      <c r="J165" s="171"/>
      <c r="K165" s="172"/>
      <c r="L165" s="173"/>
      <c r="M165" s="173"/>
      <c r="N165" s="173"/>
      <c r="O165" s="173"/>
      <c r="P165" s="173"/>
      <c r="Q165" s="173"/>
      <c r="R165" s="173"/>
      <c r="S165" s="172"/>
      <c r="T165" s="172"/>
      <c r="U165" s="172"/>
    </row>
    <row r="166" spans="1:21" s="218" customFormat="1" x14ac:dyDescent="0.2">
      <c r="A166" s="390"/>
      <c r="B166" s="1007"/>
      <c r="C166" s="1008"/>
      <c r="D166" s="1008"/>
      <c r="E166" s="1008"/>
      <c r="F166" s="1008"/>
      <c r="G166" s="1008"/>
      <c r="H166" s="1008"/>
      <c r="I166" s="1009"/>
    </row>
    <row r="167" spans="1:21" s="218" customFormat="1" x14ac:dyDescent="0.2">
      <c r="A167" s="281"/>
      <c r="B167" s="816"/>
      <c r="C167" s="817"/>
      <c r="D167" s="817"/>
      <c r="E167" s="817"/>
      <c r="F167" s="817"/>
      <c r="G167" s="817"/>
      <c r="H167" s="817"/>
      <c r="I167" s="818"/>
    </row>
    <row r="168" spans="1:21" s="218" customFormat="1" x14ac:dyDescent="0.2">
      <c r="A168" s="281"/>
      <c r="B168" s="816"/>
      <c r="C168" s="817"/>
      <c r="D168" s="817"/>
      <c r="E168" s="817"/>
      <c r="F168" s="817"/>
      <c r="G168" s="817"/>
      <c r="H168" s="817"/>
      <c r="I168" s="818"/>
    </row>
    <row r="169" spans="1:21" s="218" customFormat="1" x14ac:dyDescent="0.2">
      <c r="A169" s="281"/>
      <c r="B169" s="816"/>
      <c r="C169" s="817"/>
      <c r="D169" s="817"/>
      <c r="E169" s="817"/>
      <c r="F169" s="817"/>
      <c r="G169" s="817"/>
      <c r="H169" s="817"/>
      <c r="I169" s="818"/>
    </row>
    <row r="170" spans="1:21" s="218" customFormat="1" x14ac:dyDescent="0.2">
      <c r="A170" s="281"/>
      <c r="B170" s="816"/>
      <c r="C170" s="817"/>
      <c r="D170" s="817"/>
      <c r="E170" s="817"/>
      <c r="F170" s="817"/>
      <c r="G170" s="817"/>
      <c r="H170" s="817"/>
      <c r="I170" s="818"/>
    </row>
    <row r="171" spans="1:21" s="218" customFormat="1" x14ac:dyDescent="0.2">
      <c r="A171" s="281"/>
      <c r="B171" s="816"/>
      <c r="C171" s="817"/>
      <c r="D171" s="817"/>
      <c r="E171" s="817"/>
      <c r="F171" s="817"/>
      <c r="G171" s="817"/>
      <c r="H171" s="817"/>
      <c r="I171" s="818"/>
    </row>
    <row r="172" spans="1:21" s="218" customFormat="1" x14ac:dyDescent="0.2">
      <c r="A172" s="281"/>
      <c r="B172" s="816"/>
      <c r="C172" s="817"/>
      <c r="D172" s="817"/>
      <c r="E172" s="817"/>
      <c r="F172" s="817"/>
      <c r="G172" s="817"/>
      <c r="H172" s="817"/>
      <c r="I172" s="818"/>
    </row>
    <row r="173" spans="1:21" s="218" customFormat="1" x14ac:dyDescent="0.2">
      <c r="A173" s="281"/>
      <c r="B173" s="816"/>
      <c r="C173" s="817"/>
      <c r="D173" s="817"/>
      <c r="E173" s="817"/>
      <c r="F173" s="817"/>
      <c r="G173" s="817"/>
      <c r="H173" s="817"/>
      <c r="I173" s="818"/>
    </row>
    <row r="174" spans="1:21" s="218" customFormat="1" x14ac:dyDescent="0.2">
      <c r="A174" s="281"/>
      <c r="B174" s="816"/>
      <c r="C174" s="817"/>
      <c r="D174" s="817"/>
      <c r="E174" s="817"/>
      <c r="F174" s="817"/>
      <c r="G174" s="817"/>
      <c r="H174" s="817"/>
      <c r="I174" s="818"/>
    </row>
    <row r="175" spans="1:21" s="218" customFormat="1" x14ac:dyDescent="0.2">
      <c r="A175" s="281"/>
      <c r="B175" s="816"/>
      <c r="C175" s="817"/>
      <c r="D175" s="817"/>
      <c r="E175" s="817"/>
      <c r="F175" s="817"/>
      <c r="G175" s="817"/>
      <c r="H175" s="817"/>
      <c r="I175" s="818"/>
    </row>
    <row r="176" spans="1:21" s="218" customFormat="1" x14ac:dyDescent="0.2">
      <c r="A176" s="281"/>
      <c r="B176" s="816"/>
      <c r="C176" s="817"/>
      <c r="D176" s="817"/>
      <c r="E176" s="817"/>
      <c r="F176" s="817"/>
      <c r="G176" s="817"/>
      <c r="H176" s="817"/>
      <c r="I176" s="818"/>
    </row>
    <row r="177" spans="1:14" s="218" customFormat="1" x14ac:dyDescent="0.2">
      <c r="A177" s="281"/>
      <c r="B177" s="816"/>
      <c r="C177" s="817"/>
      <c r="D177" s="817"/>
      <c r="E177" s="817"/>
      <c r="F177" s="817"/>
      <c r="G177" s="817"/>
      <c r="H177" s="817"/>
      <c r="I177" s="818"/>
    </row>
    <row r="178" spans="1:14" s="218" customFormat="1" x14ac:dyDescent="0.2">
      <c r="A178" s="281"/>
      <c r="B178" s="816"/>
      <c r="C178" s="817"/>
      <c r="D178" s="817"/>
      <c r="E178" s="817"/>
      <c r="F178" s="817"/>
      <c r="G178" s="817"/>
      <c r="H178" s="817"/>
      <c r="I178" s="818"/>
    </row>
    <row r="179" spans="1:14" s="218" customFormat="1" ht="16.5" thickBot="1" x14ac:dyDescent="0.25">
      <c r="A179" s="282"/>
      <c r="B179" s="819"/>
      <c r="C179" s="820"/>
      <c r="D179" s="820"/>
      <c r="E179" s="820"/>
      <c r="F179" s="820"/>
      <c r="G179" s="820"/>
      <c r="H179" s="820"/>
      <c r="I179" s="821"/>
    </row>
    <row r="181" spans="1:14" s="218" customFormat="1" x14ac:dyDescent="0.2">
      <c r="F181" s="337"/>
      <c r="G181" s="337"/>
      <c r="H181" s="337"/>
      <c r="I181" s="337"/>
    </row>
    <row r="182" spans="1:14" s="218" customFormat="1" ht="16.5" thickBot="1" x14ac:dyDescent="0.25">
      <c r="F182" s="337"/>
      <c r="G182" s="337"/>
      <c r="H182" s="337"/>
      <c r="I182" s="337"/>
    </row>
    <row r="183" spans="1:14" s="218" customFormat="1" ht="16.5" thickBot="1" x14ac:dyDescent="0.25">
      <c r="A183" s="825" t="s">
        <v>3</v>
      </c>
      <c r="B183" s="826"/>
      <c r="F183" s="337"/>
      <c r="G183" s="337"/>
      <c r="H183" s="337"/>
      <c r="I183" s="337"/>
    </row>
    <row r="184" spans="1:14" s="347" customFormat="1" ht="16.5" thickBot="1" x14ac:dyDescent="0.25">
      <c r="A184" s="338"/>
      <c r="B184" s="338"/>
      <c r="F184" s="348"/>
      <c r="G184" s="348"/>
      <c r="H184" s="348"/>
      <c r="I184" s="348"/>
    </row>
    <row r="185" spans="1:14" s="218" customFormat="1" ht="15.75" customHeight="1" thickBot="1" x14ac:dyDescent="0.25">
      <c r="A185" s="800" t="s">
        <v>2</v>
      </c>
      <c r="B185" s="801"/>
      <c r="C185" s="801"/>
      <c r="D185" s="801"/>
      <c r="E185" s="801"/>
      <c r="F185" s="801"/>
      <c r="G185" s="802"/>
      <c r="H185" s="337"/>
      <c r="I185" s="337"/>
    </row>
    <row r="186" spans="1:14" s="347" customFormat="1" ht="15.75" customHeight="1" thickBot="1" x14ac:dyDescent="0.25">
      <c r="A186" s="338"/>
      <c r="B186" s="338"/>
      <c r="C186" s="338"/>
      <c r="D186" s="338"/>
      <c r="E186" s="338"/>
      <c r="F186" s="338"/>
      <c r="G186" s="338"/>
      <c r="H186" s="348"/>
      <c r="I186" s="348"/>
    </row>
    <row r="187" spans="1:14" s="218" customFormat="1" ht="15.75" customHeight="1" thickBot="1" x14ac:dyDescent="0.25">
      <c r="A187" s="807" t="s">
        <v>1</v>
      </c>
      <c r="B187" s="808"/>
      <c r="C187" s="808"/>
      <c r="D187" s="808"/>
      <c r="E187" s="809"/>
      <c r="F187" s="339"/>
      <c r="G187" s="339"/>
      <c r="H187" s="337"/>
      <c r="I187" s="337"/>
    </row>
    <row r="188" spans="1:14" s="218" customFormat="1" x14ac:dyDescent="0.2">
      <c r="A188" s="803" t="s">
        <v>627</v>
      </c>
      <c r="B188" s="805" t="s">
        <v>888</v>
      </c>
      <c r="C188" s="786" t="s">
        <v>0</v>
      </c>
      <c r="D188" s="786" t="s">
        <v>609</v>
      </c>
      <c r="E188" s="805" t="s">
        <v>889</v>
      </c>
      <c r="F188" s="786" t="s">
        <v>436</v>
      </c>
      <c r="G188" s="786" t="s">
        <v>421</v>
      </c>
      <c r="H188" s="786" t="s">
        <v>628</v>
      </c>
      <c r="I188" s="786" t="s">
        <v>11</v>
      </c>
      <c r="J188" s="786" t="s">
        <v>12</v>
      </c>
      <c r="K188" s="786" t="s">
        <v>13</v>
      </c>
      <c r="L188" s="786" t="s">
        <v>449</v>
      </c>
      <c r="M188" s="786" t="s">
        <v>610</v>
      </c>
      <c r="N188" s="788"/>
    </row>
    <row r="189" spans="1:14" s="218" customFormat="1" ht="32.25" customHeight="1" thickBot="1" x14ac:dyDescent="0.25">
      <c r="A189" s="804"/>
      <c r="B189" s="806"/>
      <c r="C189" s="787"/>
      <c r="D189" s="787"/>
      <c r="E189" s="806"/>
      <c r="F189" s="787"/>
      <c r="G189" s="787"/>
      <c r="H189" s="787"/>
      <c r="I189" s="787"/>
      <c r="J189" s="787"/>
      <c r="K189" s="787"/>
      <c r="L189" s="787"/>
      <c r="M189" s="787"/>
      <c r="N189" s="789"/>
    </row>
    <row r="190" spans="1:14" s="218" customFormat="1" x14ac:dyDescent="0.2">
      <c r="A190" s="344"/>
      <c r="B190" s="340"/>
      <c r="C190" s="394"/>
      <c r="D190" s="340"/>
      <c r="E190" s="340"/>
      <c r="F190" s="340"/>
      <c r="G190" s="340"/>
      <c r="H190" s="340"/>
      <c r="I190" s="340"/>
      <c r="J190" s="340"/>
      <c r="K190" s="340"/>
      <c r="L190" s="661"/>
      <c r="M190" s="810"/>
      <c r="N190" s="811"/>
    </row>
    <row r="191" spans="1:14" s="218" customFormat="1" x14ac:dyDescent="0.2">
      <c r="A191" s="345"/>
      <c r="B191" s="341"/>
      <c r="C191" s="392"/>
      <c r="D191" s="341"/>
      <c r="E191" s="341"/>
      <c r="F191" s="341"/>
      <c r="G191" s="341"/>
      <c r="H191" s="341"/>
      <c r="I191" s="341"/>
      <c r="J191" s="341"/>
      <c r="K191" s="341"/>
      <c r="L191" s="662"/>
      <c r="M191" s="790"/>
      <c r="N191" s="791"/>
    </row>
    <row r="192" spans="1:14" s="218" customFormat="1" x14ac:dyDescent="0.2">
      <c r="A192" s="345"/>
      <c r="B192" s="341"/>
      <c r="C192" s="392"/>
      <c r="D192" s="341"/>
      <c r="E192" s="341"/>
      <c r="F192" s="341"/>
      <c r="G192" s="341"/>
      <c r="H192" s="341"/>
      <c r="I192" s="341"/>
      <c r="J192" s="341"/>
      <c r="K192" s="341"/>
      <c r="L192" s="662"/>
      <c r="M192" s="790"/>
      <c r="N192" s="791"/>
    </row>
    <row r="193" spans="1:31" s="218" customFormat="1" x14ac:dyDescent="0.2">
      <c r="A193" s="345"/>
      <c r="B193" s="341"/>
      <c r="C193" s="392"/>
      <c r="D193" s="341"/>
      <c r="E193" s="341"/>
      <c r="F193" s="341"/>
      <c r="G193" s="341"/>
      <c r="H193" s="341"/>
      <c r="I193" s="341"/>
      <c r="J193" s="341"/>
      <c r="K193" s="341"/>
      <c r="L193" s="662"/>
      <c r="M193" s="790"/>
      <c r="N193" s="791"/>
    </row>
    <row r="194" spans="1:31" s="218" customFormat="1" x14ac:dyDescent="0.2">
      <c r="A194" s="345"/>
      <c r="B194" s="341"/>
      <c r="C194" s="392"/>
      <c r="D194" s="341"/>
      <c r="E194" s="341"/>
      <c r="F194" s="341"/>
      <c r="G194" s="341"/>
      <c r="H194" s="341"/>
      <c r="I194" s="341"/>
      <c r="J194" s="341"/>
      <c r="K194" s="341"/>
      <c r="L194" s="662"/>
      <c r="M194" s="790"/>
      <c r="N194" s="791"/>
    </row>
    <row r="195" spans="1:31" s="218" customFormat="1" ht="16.5" thickBot="1" x14ac:dyDescent="0.25">
      <c r="A195" s="346"/>
      <c r="B195" s="342"/>
      <c r="C195" s="336"/>
      <c r="D195" s="342"/>
      <c r="E195" s="342"/>
      <c r="F195" s="342"/>
      <c r="G195" s="342"/>
      <c r="H195" s="342"/>
      <c r="I195" s="342"/>
      <c r="J195" s="342"/>
      <c r="K195" s="342"/>
      <c r="L195" s="663"/>
      <c r="M195" s="794"/>
      <c r="N195" s="795"/>
    </row>
    <row r="196" spans="1:31" s="218" customFormat="1" x14ac:dyDescent="0.2">
      <c r="F196" s="337"/>
      <c r="G196" s="337"/>
      <c r="H196" s="337"/>
      <c r="I196" s="337"/>
    </row>
    <row r="197" spans="1:31" s="218" customFormat="1" ht="16.5" thickBot="1" x14ac:dyDescent="0.25">
      <c r="F197" s="337"/>
      <c r="G197" s="337"/>
      <c r="H197" s="337"/>
      <c r="I197" s="337"/>
    </row>
    <row r="198" spans="1:31" s="218" customFormat="1" ht="16.5" thickBot="1" x14ac:dyDescent="0.25">
      <c r="A198" s="800" t="s">
        <v>790</v>
      </c>
      <c r="B198" s="801"/>
      <c r="C198" s="801"/>
      <c r="D198" s="801"/>
      <c r="E198" s="801"/>
      <c r="F198" s="801"/>
      <c r="G198" s="802"/>
      <c r="H198" s="337"/>
      <c r="I198" s="337"/>
    </row>
    <row r="199" spans="1:31" s="192" customFormat="1" ht="16.5" thickBot="1" x14ac:dyDescent="0.25">
      <c r="F199" s="191"/>
      <c r="G199" s="191"/>
      <c r="H199" s="191"/>
      <c r="I199" s="191"/>
    </row>
    <row r="200" spans="1:31" s="218" customFormat="1" ht="16.5" thickBot="1" x14ac:dyDescent="0.25">
      <c r="A200" s="807" t="s">
        <v>1</v>
      </c>
      <c r="B200" s="808"/>
      <c r="C200" s="808"/>
      <c r="D200" s="808"/>
      <c r="E200" s="808"/>
      <c r="F200" s="808"/>
      <c r="G200" s="808"/>
      <c r="H200" s="809"/>
      <c r="I200" s="337"/>
    </row>
    <row r="201" spans="1:31" s="1169" customFormat="1" ht="36.75" customHeight="1" thickBot="1" x14ac:dyDescent="0.25">
      <c r="A201" s="803" t="s">
        <v>627</v>
      </c>
      <c r="B201" s="805" t="s">
        <v>888</v>
      </c>
      <c r="C201" s="786" t="s">
        <v>0</v>
      </c>
      <c r="D201" s="786" t="s">
        <v>609</v>
      </c>
      <c r="E201" s="805" t="s">
        <v>889</v>
      </c>
      <c r="F201" s="971" t="s">
        <v>42</v>
      </c>
      <c r="G201" s="1165" t="s">
        <v>789</v>
      </c>
      <c r="H201" s="1163"/>
      <c r="I201" s="1163"/>
      <c r="J201" s="1163"/>
      <c r="K201" s="1163"/>
      <c r="L201" s="1163"/>
      <c r="M201" s="1163"/>
      <c r="N201" s="1163"/>
      <c r="O201" s="1163"/>
      <c r="P201" s="1163"/>
      <c r="Q201" s="1163"/>
      <c r="R201" s="1163"/>
      <c r="S201" s="1163"/>
      <c r="T201" s="1163"/>
      <c r="U201" s="1163"/>
      <c r="V201" s="1164"/>
      <c r="W201" s="930" t="s">
        <v>436</v>
      </c>
      <c r="X201" s="786" t="s">
        <v>421</v>
      </c>
      <c r="Y201" s="786" t="s">
        <v>628</v>
      </c>
      <c r="Z201" s="786" t="s">
        <v>11</v>
      </c>
      <c r="AA201" s="786" t="s">
        <v>12</v>
      </c>
      <c r="AB201" s="786" t="s">
        <v>13</v>
      </c>
      <c r="AC201" s="786" t="s">
        <v>449</v>
      </c>
      <c r="AD201" s="971" t="s">
        <v>610</v>
      </c>
      <c r="AE201" s="1161"/>
    </row>
    <row r="202" spans="1:31" s="1169" customFormat="1" ht="45.75" customHeight="1" thickBot="1" x14ac:dyDescent="0.25">
      <c r="A202" s="804"/>
      <c r="B202" s="806"/>
      <c r="C202" s="787"/>
      <c r="D202" s="787"/>
      <c r="E202" s="806"/>
      <c r="F202" s="787"/>
      <c r="G202" s="1186" t="s">
        <v>432</v>
      </c>
      <c r="H202" s="1186" t="s">
        <v>1380</v>
      </c>
      <c r="I202" s="1186" t="s">
        <v>1381</v>
      </c>
      <c r="J202" s="1186" t="s">
        <v>1382</v>
      </c>
      <c r="K202" s="1186" t="s">
        <v>433</v>
      </c>
      <c r="L202" s="1186" t="s">
        <v>1383</v>
      </c>
      <c r="M202" s="1182" t="s">
        <v>1386</v>
      </c>
      <c r="N202" s="1182" t="s">
        <v>1387</v>
      </c>
      <c r="O202" s="1186" t="s">
        <v>434</v>
      </c>
      <c r="P202" s="1186" t="s">
        <v>1384</v>
      </c>
      <c r="Q202" s="1182" t="s">
        <v>1388</v>
      </c>
      <c r="R202" s="1182" t="s">
        <v>1389</v>
      </c>
      <c r="S202" s="1186" t="s">
        <v>435</v>
      </c>
      <c r="T202" s="1186" t="s">
        <v>1385</v>
      </c>
      <c r="U202" s="1182" t="s">
        <v>1390</v>
      </c>
      <c r="V202" s="1182" t="s">
        <v>1391</v>
      </c>
      <c r="W202" s="959"/>
      <c r="X202" s="787"/>
      <c r="Y202" s="787"/>
      <c r="Z202" s="787"/>
      <c r="AA202" s="787"/>
      <c r="AB202" s="787"/>
      <c r="AC202" s="787"/>
      <c r="AD202" s="972"/>
      <c r="AE202" s="1162"/>
    </row>
    <row r="203" spans="1:31" s="1169" customFormat="1" x14ac:dyDescent="0.2">
      <c r="A203" s="1176"/>
      <c r="B203" s="1173"/>
      <c r="C203" s="1171"/>
      <c r="D203" s="1173"/>
      <c r="E203" s="1173"/>
      <c r="F203" s="1179"/>
      <c r="G203" s="1173"/>
      <c r="H203" s="1173"/>
      <c r="I203" s="1173"/>
      <c r="J203" s="1173"/>
      <c r="K203" s="1173"/>
      <c r="L203" s="1173"/>
      <c r="M203" s="1173"/>
      <c r="N203" s="1173"/>
      <c r="O203" s="1173"/>
      <c r="P203" s="1173"/>
      <c r="Q203" s="1173"/>
      <c r="R203" s="1173"/>
      <c r="S203" s="1173"/>
      <c r="T203" s="1173"/>
      <c r="U203" s="1173"/>
      <c r="V203" s="1173"/>
      <c r="W203" s="1173"/>
      <c r="X203" s="1173"/>
      <c r="Y203" s="1173"/>
      <c r="Z203" s="1173"/>
      <c r="AA203" s="1173"/>
      <c r="AB203" s="1173"/>
      <c r="AC203" s="1183"/>
      <c r="AD203" s="796"/>
      <c r="AE203" s="797"/>
    </row>
    <row r="204" spans="1:31" s="1169" customFormat="1" x14ac:dyDescent="0.2">
      <c r="A204" s="1177"/>
      <c r="B204" s="1174"/>
      <c r="C204" s="1170"/>
      <c r="D204" s="1174"/>
      <c r="E204" s="1174"/>
      <c r="F204" s="1180"/>
      <c r="G204" s="1174"/>
      <c r="H204" s="1174"/>
      <c r="I204" s="1174"/>
      <c r="J204" s="1174"/>
      <c r="K204" s="1174"/>
      <c r="L204" s="1174"/>
      <c r="M204" s="1174"/>
      <c r="N204" s="1174"/>
      <c r="O204" s="1174"/>
      <c r="P204" s="1174"/>
      <c r="Q204" s="1174"/>
      <c r="R204" s="1174"/>
      <c r="S204" s="1174"/>
      <c r="T204" s="1174"/>
      <c r="U204" s="1174"/>
      <c r="V204" s="1174"/>
      <c r="W204" s="1174"/>
      <c r="X204" s="1174"/>
      <c r="Y204" s="1174"/>
      <c r="Z204" s="1174"/>
      <c r="AA204" s="1174"/>
      <c r="AB204" s="1174"/>
      <c r="AC204" s="1184"/>
      <c r="AD204" s="798"/>
      <c r="AE204" s="799"/>
    </row>
    <row r="205" spans="1:31" s="1169" customFormat="1" x14ac:dyDescent="0.2">
      <c r="A205" s="1177"/>
      <c r="B205" s="1174"/>
      <c r="C205" s="1170"/>
      <c r="D205" s="1174"/>
      <c r="E205" s="1174"/>
      <c r="F205" s="1180"/>
      <c r="G205" s="1174"/>
      <c r="H205" s="1174"/>
      <c r="I205" s="1174"/>
      <c r="J205" s="1174"/>
      <c r="K205" s="1174"/>
      <c r="L205" s="1174"/>
      <c r="M205" s="1174"/>
      <c r="N205" s="1174"/>
      <c r="O205" s="1174"/>
      <c r="P205" s="1174"/>
      <c r="Q205" s="1174"/>
      <c r="R205" s="1174"/>
      <c r="S205" s="1174"/>
      <c r="T205" s="1174"/>
      <c r="U205" s="1174"/>
      <c r="V205" s="1174"/>
      <c r="W205" s="1174"/>
      <c r="X205" s="1174"/>
      <c r="Y205" s="1174"/>
      <c r="Z205" s="1174"/>
      <c r="AA205" s="1174"/>
      <c r="AB205" s="1174"/>
      <c r="AC205" s="1184"/>
      <c r="AD205" s="798"/>
      <c r="AE205" s="799"/>
    </row>
    <row r="206" spans="1:31" s="1169" customFormat="1" x14ac:dyDescent="0.2">
      <c r="A206" s="1177"/>
      <c r="B206" s="1174"/>
      <c r="C206" s="1170"/>
      <c r="D206" s="1174"/>
      <c r="E206" s="1174"/>
      <c r="F206" s="1180"/>
      <c r="G206" s="1174"/>
      <c r="H206" s="1174"/>
      <c r="I206" s="1174"/>
      <c r="J206" s="1174"/>
      <c r="K206" s="1174"/>
      <c r="L206" s="1174"/>
      <c r="M206" s="1174"/>
      <c r="N206" s="1174"/>
      <c r="O206" s="1174"/>
      <c r="P206" s="1174"/>
      <c r="Q206" s="1174"/>
      <c r="R206" s="1174"/>
      <c r="S206" s="1174"/>
      <c r="T206" s="1174"/>
      <c r="U206" s="1174"/>
      <c r="V206" s="1174"/>
      <c r="W206" s="1174"/>
      <c r="X206" s="1174"/>
      <c r="Y206" s="1174"/>
      <c r="Z206" s="1174"/>
      <c r="AA206" s="1174"/>
      <c r="AB206" s="1174"/>
      <c r="AC206" s="1184"/>
      <c r="AD206" s="798"/>
      <c r="AE206" s="799"/>
    </row>
    <row r="207" spans="1:31" s="1169" customFormat="1" x14ac:dyDescent="0.2">
      <c r="A207" s="1177"/>
      <c r="B207" s="1174"/>
      <c r="C207" s="1170"/>
      <c r="D207" s="1174"/>
      <c r="E207" s="1174"/>
      <c r="F207" s="1180"/>
      <c r="G207" s="1174"/>
      <c r="H207" s="1174"/>
      <c r="I207" s="1174"/>
      <c r="J207" s="1174"/>
      <c r="K207" s="1174"/>
      <c r="L207" s="1174"/>
      <c r="M207" s="1174"/>
      <c r="N207" s="1174"/>
      <c r="O207" s="1174"/>
      <c r="P207" s="1174"/>
      <c r="Q207" s="1174"/>
      <c r="R207" s="1174"/>
      <c r="S207" s="1174"/>
      <c r="T207" s="1174"/>
      <c r="U207" s="1174"/>
      <c r="V207" s="1174"/>
      <c r="W207" s="1174"/>
      <c r="X207" s="1174"/>
      <c r="Y207" s="1174"/>
      <c r="Z207" s="1174"/>
      <c r="AA207" s="1174"/>
      <c r="AB207" s="1174"/>
      <c r="AC207" s="1184"/>
      <c r="AD207" s="798"/>
      <c r="AE207" s="799"/>
    </row>
    <row r="208" spans="1:31" s="1169" customFormat="1" ht="16.5" thickBot="1" x14ac:dyDescent="0.25">
      <c r="A208" s="1178"/>
      <c r="B208" s="1175"/>
      <c r="C208" s="1172"/>
      <c r="D208" s="1175"/>
      <c r="E208" s="1175"/>
      <c r="F208" s="1181"/>
      <c r="G208" s="1175"/>
      <c r="H208" s="1175"/>
      <c r="I208" s="1175"/>
      <c r="J208" s="1175"/>
      <c r="K208" s="1175"/>
      <c r="L208" s="1175"/>
      <c r="M208" s="1175"/>
      <c r="N208" s="1175"/>
      <c r="O208" s="1175"/>
      <c r="P208" s="1175"/>
      <c r="Q208" s="1175"/>
      <c r="R208" s="1175"/>
      <c r="S208" s="1175"/>
      <c r="T208" s="1175"/>
      <c r="U208" s="1175"/>
      <c r="V208" s="1175"/>
      <c r="W208" s="1175"/>
      <c r="X208" s="1175"/>
      <c r="Y208" s="1175"/>
      <c r="Z208" s="1175"/>
      <c r="AA208" s="1175"/>
      <c r="AB208" s="1175"/>
      <c r="AC208" s="1185"/>
      <c r="AD208" s="792"/>
      <c r="AE208" s="793"/>
    </row>
    <row r="209" spans="1:9" s="218" customFormat="1" x14ac:dyDescent="0.2">
      <c r="F209" s="337"/>
      <c r="G209" s="337"/>
      <c r="H209" s="337"/>
      <c r="I209" s="337"/>
    </row>
    <row r="210" spans="1:9" s="218" customFormat="1" x14ac:dyDescent="0.2">
      <c r="F210" s="337"/>
      <c r="G210" s="337"/>
      <c r="H210" s="337"/>
      <c r="I210" s="337"/>
    </row>
    <row r="211" spans="1:9" s="218" customFormat="1" ht="16.5" thickBot="1" x14ac:dyDescent="0.25">
      <c r="F211" s="337"/>
      <c r="G211" s="337"/>
      <c r="H211" s="337"/>
      <c r="I211" s="337"/>
    </row>
    <row r="212" spans="1:9" ht="16.5" thickBot="1" x14ac:dyDescent="0.25">
      <c r="A212" s="555" t="s">
        <v>454</v>
      </c>
      <c r="B212" s="556" t="s">
        <v>455</v>
      </c>
    </row>
    <row r="213" spans="1:9" x14ac:dyDescent="0.2">
      <c r="A213" s="450" t="s">
        <v>456</v>
      </c>
      <c r="B213" s="557" t="s">
        <v>51</v>
      </c>
    </row>
    <row r="214" spans="1:9" x14ac:dyDescent="0.2">
      <c r="A214" s="558" t="s">
        <v>65</v>
      </c>
      <c r="B214" s="559" t="s">
        <v>51</v>
      </c>
      <c r="F214" s="69"/>
      <c r="G214" s="69"/>
      <c r="H214" s="69"/>
      <c r="I214" s="69"/>
    </row>
    <row r="215" spans="1:9" x14ac:dyDescent="0.2">
      <c r="A215" s="558" t="s">
        <v>257</v>
      </c>
      <c r="B215" s="559" t="s">
        <v>51</v>
      </c>
      <c r="F215" s="69"/>
      <c r="G215" s="69"/>
      <c r="H215" s="69"/>
      <c r="I215" s="69"/>
    </row>
    <row r="216" spans="1:9" x14ac:dyDescent="0.2">
      <c r="A216" s="558" t="s">
        <v>258</v>
      </c>
      <c r="B216" s="559" t="s">
        <v>51</v>
      </c>
      <c r="F216" s="69"/>
      <c r="G216" s="69"/>
      <c r="H216" s="69"/>
      <c r="I216" s="69"/>
    </row>
    <row r="217" spans="1:9" x14ac:dyDescent="0.2">
      <c r="A217" s="558" t="s">
        <v>259</v>
      </c>
      <c r="B217" s="559" t="s">
        <v>53</v>
      </c>
      <c r="F217" s="69"/>
      <c r="G217" s="69"/>
      <c r="H217" s="69"/>
      <c r="I217" s="69"/>
    </row>
    <row r="218" spans="1:9" x14ac:dyDescent="0.2">
      <c r="A218" s="558" t="s">
        <v>281</v>
      </c>
      <c r="B218" s="559" t="s">
        <v>53</v>
      </c>
      <c r="F218" s="69"/>
      <c r="G218" s="69"/>
      <c r="H218" s="69"/>
      <c r="I218" s="69"/>
    </row>
    <row r="219" spans="1:9" x14ac:dyDescent="0.2">
      <c r="A219" s="560" t="s">
        <v>279</v>
      </c>
      <c r="B219" s="559" t="s">
        <v>53</v>
      </c>
      <c r="F219" s="69"/>
      <c r="G219" s="69"/>
      <c r="H219" s="69"/>
      <c r="I219" s="69"/>
    </row>
    <row r="220" spans="1:9" x14ac:dyDescent="0.2">
      <c r="A220" s="560" t="s">
        <v>457</v>
      </c>
      <c r="B220" s="559" t="s">
        <v>53</v>
      </c>
      <c r="F220" s="69"/>
      <c r="G220" s="69"/>
      <c r="H220" s="69"/>
      <c r="I220" s="69"/>
    </row>
    <row r="221" spans="1:9" ht="16.5" thickBot="1" x14ac:dyDescent="0.25">
      <c r="A221" s="561" t="s">
        <v>460</v>
      </c>
      <c r="B221" s="562" t="s">
        <v>51</v>
      </c>
      <c r="F221" s="69"/>
      <c r="G221" s="69"/>
      <c r="H221" s="69"/>
      <c r="I221" s="69"/>
    </row>
  </sheetData>
  <sheetProtection formatCells="0" formatColumns="0" formatRows="0" insertColumns="0" insertRows="0" deleteColumns="0" deleteRows="0" sort="0" autoFilter="0"/>
  <autoFilter ref="A34:AB34" xr:uid="{00000000-0009-0000-0000-000017000000}"/>
  <sortState xmlns:xlrd2="http://schemas.microsoft.com/office/spreadsheetml/2017/richdata2" ref="A97:A133">
    <sortCondition ref="A133"/>
  </sortState>
  <dataConsolidate>
    <dataRefs count="2">
      <dataRef ref="B9" sheet="APPENDIX B-1  (FE - USWC)"/>
      <dataRef ref="A14:A18" sheet="APPENDIX B-1  (FE - USWC)"/>
    </dataRefs>
  </dataConsolidate>
  <mergeCells count="278">
    <mergeCell ref="AD205:AE205"/>
    <mergeCell ref="AD206:AE206"/>
    <mergeCell ref="AD207:AE207"/>
    <mergeCell ref="AD208:AE208"/>
    <mergeCell ref="X201:X202"/>
    <mergeCell ref="Y201:Y202"/>
    <mergeCell ref="Z201:Z202"/>
    <mergeCell ref="AA201:AA202"/>
    <mergeCell ref="AB201:AB202"/>
    <mergeCell ref="AC201:AC202"/>
    <mergeCell ref="AD201:AE202"/>
    <mergeCell ref="AD203:AE203"/>
    <mergeCell ref="AD204:AE204"/>
    <mergeCell ref="A185:G185"/>
    <mergeCell ref="B170:I170"/>
    <mergeCell ref="A163:I163"/>
    <mergeCell ref="B166:I166"/>
    <mergeCell ref="A153:E153"/>
    <mergeCell ref="H145:H146"/>
    <mergeCell ref="F145:F146"/>
    <mergeCell ref="A136:I136"/>
    <mergeCell ref="A135:I135"/>
    <mergeCell ref="A145:D145"/>
    <mergeCell ref="A138:D138"/>
    <mergeCell ref="A188:A189"/>
    <mergeCell ref="B188:B189"/>
    <mergeCell ref="C188:C189"/>
    <mergeCell ref="D188:D189"/>
    <mergeCell ref="E188:E189"/>
    <mergeCell ref="H188:H189"/>
    <mergeCell ref="A155:F155"/>
    <mergeCell ref="B171:I171"/>
    <mergeCell ref="B178:I178"/>
    <mergeCell ref="B179:I179"/>
    <mergeCell ref="B168:I168"/>
    <mergeCell ref="B174:I174"/>
    <mergeCell ref="B175:I175"/>
    <mergeCell ref="B176:I176"/>
    <mergeCell ref="B172:I172"/>
    <mergeCell ref="A183:B183"/>
    <mergeCell ref="B173:I173"/>
    <mergeCell ref="B169:I169"/>
    <mergeCell ref="B165:I165"/>
    <mergeCell ref="A157:F157"/>
    <mergeCell ref="A156:F156"/>
    <mergeCell ref="I188:I189"/>
    <mergeCell ref="B177:I177"/>
    <mergeCell ref="B167:I167"/>
    <mergeCell ref="M188:N189"/>
    <mergeCell ref="J188:J189"/>
    <mergeCell ref="K188:K189"/>
    <mergeCell ref="F188:F189"/>
    <mergeCell ref="G188:G189"/>
    <mergeCell ref="A187:E187"/>
    <mergeCell ref="M195:N195"/>
    <mergeCell ref="M192:N192"/>
    <mergeCell ref="M193:N193"/>
    <mergeCell ref="M190:N190"/>
    <mergeCell ref="M191:N191"/>
    <mergeCell ref="B201:B202"/>
    <mergeCell ref="C201:C202"/>
    <mergeCell ref="D201:D202"/>
    <mergeCell ref="A198:G198"/>
    <mergeCell ref="E201:E202"/>
    <mergeCell ref="M194:N194"/>
    <mergeCell ref="A200:H200"/>
    <mergeCell ref="F201:F202"/>
    <mergeCell ref="A201:A202"/>
    <mergeCell ref="G201:V201"/>
    <mergeCell ref="W201:W202"/>
    <mergeCell ref="B125:D125"/>
    <mergeCell ref="E125:G125"/>
    <mergeCell ref="M145:M146"/>
    <mergeCell ref="K145:K146"/>
    <mergeCell ref="J145:J146"/>
    <mergeCell ref="F138:F139"/>
    <mergeCell ref="H138:H139"/>
    <mergeCell ref="I138:I139"/>
    <mergeCell ref="E138:E139"/>
    <mergeCell ref="G138:G139"/>
    <mergeCell ref="E145:E146"/>
    <mergeCell ref="L145:L146"/>
    <mergeCell ref="G145:G146"/>
    <mergeCell ref="J138:J139"/>
    <mergeCell ref="K138:K139"/>
    <mergeCell ref="I145:I146"/>
    <mergeCell ref="L138:L139"/>
    <mergeCell ref="B129:D129"/>
    <mergeCell ref="E129:G129"/>
    <mergeCell ref="B128:D128"/>
    <mergeCell ref="E128:G128"/>
    <mergeCell ref="E100:G100"/>
    <mergeCell ref="E110:G110"/>
    <mergeCell ref="B114:D114"/>
    <mergeCell ref="E114:G114"/>
    <mergeCell ref="E131:G131"/>
    <mergeCell ref="E132:G132"/>
    <mergeCell ref="B133:D133"/>
    <mergeCell ref="B132:D132"/>
    <mergeCell ref="E134:G134"/>
    <mergeCell ref="B134:D134"/>
    <mergeCell ref="B131:D131"/>
    <mergeCell ref="B122:D122"/>
    <mergeCell ref="E122:G122"/>
    <mergeCell ref="B123:D123"/>
    <mergeCell ref="E133:G133"/>
    <mergeCell ref="E130:G130"/>
    <mergeCell ref="B130:D130"/>
    <mergeCell ref="B127:D127"/>
    <mergeCell ref="E127:G127"/>
    <mergeCell ref="B126:D126"/>
    <mergeCell ref="E126:G126"/>
    <mergeCell ref="E123:G123"/>
    <mergeCell ref="B124:D124"/>
    <mergeCell ref="E124:G124"/>
    <mergeCell ref="E120:G120"/>
    <mergeCell ref="E118:G118"/>
    <mergeCell ref="B120:D120"/>
    <mergeCell ref="B113:D113"/>
    <mergeCell ref="B101:D101"/>
    <mergeCell ref="E101:G101"/>
    <mergeCell ref="E108:G108"/>
    <mergeCell ref="B109:D109"/>
    <mergeCell ref="E109:G109"/>
    <mergeCell ref="B107:D107"/>
    <mergeCell ref="E107:G107"/>
    <mergeCell ref="B104:D104"/>
    <mergeCell ref="E104:G104"/>
    <mergeCell ref="B105:D105"/>
    <mergeCell ref="E105:G105"/>
    <mergeCell ref="B115:D115"/>
    <mergeCell ref="E115:G115"/>
    <mergeCell ref="B110:D110"/>
    <mergeCell ref="B119:D119"/>
    <mergeCell ref="E119:G119"/>
    <mergeCell ref="B116:D116"/>
    <mergeCell ref="E116:G116"/>
    <mergeCell ref="B117:D117"/>
    <mergeCell ref="E117:G117"/>
    <mergeCell ref="H94:H96"/>
    <mergeCell ref="B99:D99"/>
    <mergeCell ref="B121:D121"/>
    <mergeCell ref="E121:G121"/>
    <mergeCell ref="E106:G106"/>
    <mergeCell ref="E113:G113"/>
    <mergeCell ref="B112:D112"/>
    <mergeCell ref="E112:G112"/>
    <mergeCell ref="B97:D97"/>
    <mergeCell ref="B103:D103"/>
    <mergeCell ref="E102:G102"/>
    <mergeCell ref="B102:D102"/>
    <mergeCell ref="E103:G103"/>
    <mergeCell ref="E111:G111"/>
    <mergeCell ref="B111:D111"/>
    <mergeCell ref="B100:D100"/>
    <mergeCell ref="B106:D106"/>
    <mergeCell ref="A96:G96"/>
    <mergeCell ref="B118:D118"/>
    <mergeCell ref="B98:D98"/>
    <mergeCell ref="E98:G98"/>
    <mergeCell ref="B108:D108"/>
    <mergeCell ref="E97:G97"/>
    <mergeCell ref="E99:G99"/>
    <mergeCell ref="A1:B1"/>
    <mergeCell ref="C1:F1"/>
    <mergeCell ref="A2:B2"/>
    <mergeCell ref="C2:F2"/>
    <mergeCell ref="B14:I14"/>
    <mergeCell ref="A3:B3"/>
    <mergeCell ref="C3:F3"/>
    <mergeCell ref="A4:B4"/>
    <mergeCell ref="A6:B6"/>
    <mergeCell ref="C5:F5"/>
    <mergeCell ref="C4:F4"/>
    <mergeCell ref="A5:B5"/>
    <mergeCell ref="A7:B7"/>
    <mergeCell ref="C7:F7"/>
    <mergeCell ref="A8:B8"/>
    <mergeCell ref="C8:F8"/>
    <mergeCell ref="B13:I13"/>
    <mergeCell ref="C6:F6"/>
    <mergeCell ref="A12:J12"/>
    <mergeCell ref="L13:M13"/>
    <mergeCell ref="B17:I17"/>
    <mergeCell ref="J16:K16"/>
    <mergeCell ref="J17:K17"/>
    <mergeCell ref="B16:I16"/>
    <mergeCell ref="E34:E35"/>
    <mergeCell ref="C34:C35"/>
    <mergeCell ref="B20:H20"/>
    <mergeCell ref="J13:K13"/>
    <mergeCell ref="K34:K35"/>
    <mergeCell ref="L16:M16"/>
    <mergeCell ref="L17:M17"/>
    <mergeCell ref="D34:D35"/>
    <mergeCell ref="B28:H28"/>
    <mergeCell ref="L14:M14"/>
    <mergeCell ref="B34:B35"/>
    <mergeCell ref="B15:I15"/>
    <mergeCell ref="J15:K15"/>
    <mergeCell ref="L15:M15"/>
    <mergeCell ref="B21:H21"/>
    <mergeCell ref="J14:K14"/>
    <mergeCell ref="B24:H24"/>
    <mergeCell ref="B23:H23"/>
    <mergeCell ref="B22:H22"/>
    <mergeCell ref="A34:A35"/>
    <mergeCell ref="B73:D73"/>
    <mergeCell ref="B72:D72"/>
    <mergeCell ref="B43:B44"/>
    <mergeCell ref="E43:E44"/>
    <mergeCell ref="E52:E53"/>
    <mergeCell ref="G52:G53"/>
    <mergeCell ref="H52:H53"/>
    <mergeCell ref="I52:I53"/>
    <mergeCell ref="H43:H44"/>
    <mergeCell ref="I43:I44"/>
    <mergeCell ref="D52:D53"/>
    <mergeCell ref="A51:D51"/>
    <mergeCell ref="A43:A44"/>
    <mergeCell ref="G34:G35"/>
    <mergeCell ref="F34:F35"/>
    <mergeCell ref="I34:I35"/>
    <mergeCell ref="H34:H35"/>
    <mergeCell ref="A90:I90"/>
    <mergeCell ref="C43:C44"/>
    <mergeCell ref="D43:D44"/>
    <mergeCell ref="A61:C61"/>
    <mergeCell ref="J52:J53"/>
    <mergeCell ref="B84:D84"/>
    <mergeCell ref="B69:D69"/>
    <mergeCell ref="A62:C62"/>
    <mergeCell ref="F43:F44"/>
    <mergeCell ref="G43:G44"/>
    <mergeCell ref="B52:B53"/>
    <mergeCell ref="C52:C53"/>
    <mergeCell ref="F52:F53"/>
    <mergeCell ref="A52:A53"/>
    <mergeCell ref="B87:D87"/>
    <mergeCell ref="AC52:AC53"/>
    <mergeCell ref="AA52:AA53"/>
    <mergeCell ref="AA34:AA35"/>
    <mergeCell ref="AB52:AB53"/>
    <mergeCell ref="J43:J44"/>
    <mergeCell ref="Z34:Z35"/>
    <mergeCell ref="L34:L35"/>
    <mergeCell ref="Z43:Z44"/>
    <mergeCell ref="X34:X35"/>
    <mergeCell ref="J34:J35"/>
    <mergeCell ref="AA43:AA44"/>
    <mergeCell ref="X43:X44"/>
    <mergeCell ref="Y43:Y44"/>
    <mergeCell ref="K43:K44"/>
    <mergeCell ref="K52:K53"/>
    <mergeCell ref="L52:L53"/>
    <mergeCell ref="B27:H27"/>
    <mergeCell ref="L188:L189"/>
    <mergeCell ref="A95:G95"/>
    <mergeCell ref="I94:I96"/>
    <mergeCell ref="B26:H26"/>
    <mergeCell ref="B25:H25"/>
    <mergeCell ref="Y34:Y35"/>
    <mergeCell ref="Z52:Z53"/>
    <mergeCell ref="M52:M53"/>
    <mergeCell ref="A94:G94"/>
    <mergeCell ref="B71:D71"/>
    <mergeCell ref="B70:D70"/>
    <mergeCell ref="M94:M96"/>
    <mergeCell ref="B88:D88"/>
    <mergeCell ref="A91:I91"/>
    <mergeCell ref="B85:D85"/>
    <mergeCell ref="A76:C76"/>
    <mergeCell ref="B86:D86"/>
    <mergeCell ref="A77:C77"/>
    <mergeCell ref="B92:I92"/>
    <mergeCell ref="J94:J96"/>
    <mergeCell ref="K94:K96"/>
    <mergeCell ref="L94:L96"/>
  </mergeCells>
  <phoneticPr fontId="11" type="noConversion"/>
  <dataValidations count="33">
    <dataValidation type="list" allowBlank="1" showInputMessage="1" showErrorMessage="1" sqref="B213:B221" xr:uid="{00000000-0002-0000-1700-000000000000}">
      <formula1>Autom</formula1>
    </dataValidation>
    <dataValidation type="list" showInputMessage="1" showErrorMessage="1" sqref="C190:C195 C203:C208" xr:uid="{00000000-0002-0000-1700-000001000000}">
      <formula1>IF($B190="I",DDTARIFF,DDTARIFFUSE)</formula1>
    </dataValidation>
    <dataValidation type="list" allowBlank="1" showInputMessage="1" showErrorMessage="1" sqref="B190:B195 B203:B208" xr:uid="{00000000-0002-0000-1700-000002000000}">
      <formula1>EXPIMP</formula1>
    </dataValidation>
    <dataValidation type="list" allowBlank="1" showInputMessage="1" showErrorMessage="1" sqref="F190:F195 W203:W208" xr:uid="{00000000-0002-0000-1700-000003000000}">
      <formula1>EQTYPE</formula1>
    </dataValidation>
    <dataValidation type="list" allowBlank="1" showInputMessage="1" showErrorMessage="1" sqref="G190:G195 X203:X208" xr:uid="{00000000-0002-0000-1700-000004000000}">
      <formula1>OPREEFER</formula1>
    </dataValidation>
    <dataValidation type="list" allowBlank="1" showInputMessage="1" showErrorMessage="1" sqref="F203:F208" xr:uid="{E81725B3-08B5-44FE-9A13-F601D4862849}">
      <formula1>CURRENCY</formula1>
    </dataValidation>
    <dataValidation type="whole" allowBlank="1" showInputMessage="1" showErrorMessage="1" error="Only whole numbers can be entered into this field" sqref="D190:D195 D203:D208" xr:uid="{00000000-0002-0000-1700-000006000000}">
      <formula1>1</formula1>
      <formula2>99</formula2>
    </dataValidation>
    <dataValidation type="list" showInputMessage="1" showErrorMessage="1" sqref="E190:E195 E203:E208" xr:uid="{00000000-0002-0000-1700-000007000000}">
      <formula1>DAYS</formula1>
    </dataValidation>
    <dataValidation type="whole" allowBlank="1" showInputMessage="1" showErrorMessage="1" error="Only whole numbers may be entered into this field_x000a_" sqref="G203:G208 S203:S208 O203:O208 K203:K208" xr:uid="{DAE6E46B-131B-4244-B2C9-ADACE64DFA01}">
      <formula1>1</formula1>
      <formula2>99</formula2>
    </dataValidation>
    <dataValidation type="decimal" allowBlank="1" showInputMessage="1" showErrorMessage="1" error="Only numbers may be entered into this field" sqref="H203:J208 L203:N208 P203:R208 T203:V208" xr:uid="{514113DE-1791-4369-B802-B88241560314}">
      <formula1>1</formula1>
      <formula2>1000000000</formula2>
    </dataValidation>
    <dataValidation type="list" showInputMessage="1" showErrorMessage="1" sqref="K140:K143 K147:K150 N70:N73 A45:A48 A54:A57 A36:A39 N85:N88" xr:uid="{00000000-0002-0000-1700-00000A000000}">
      <formula1>$A$14:$A$18</formula1>
    </dataValidation>
    <dataValidation type="list" allowBlank="1" showInputMessage="1" showErrorMessage="1" sqref="J140:J143 J147:J150" xr:uid="{00000000-0002-0000-1700-00000B000000}">
      <formula1>GRIPSS</formula1>
    </dataValidation>
    <dataValidation type="decimal" allowBlank="1" showInputMessage="1" showErrorMessage="1" sqref="F147:I150 F140:I143 I36:L39 I45:K48 J85:M88 I54:L57" xr:uid="{00000000-0002-0000-1700-00000C000000}">
      <formula1>0</formula1>
      <formula2>999999999999999</formula2>
    </dataValidation>
    <dataValidation type="list" allowBlank="1" showInputMessage="1" showErrorMessage="1" sqref="E140:E143 E147:E150" xr:uid="{00000000-0002-0000-1700-00000D000000}">
      <formula1>GRIPSS_EQ</formula1>
    </dataValidation>
    <dataValidation type="list" showInputMessage="1" showErrorMessage="1" sqref="A190:A195 A203:A208" xr:uid="{00000000-0002-0000-1700-00000E000000}">
      <formula1>BULLET</formula1>
    </dataValidation>
    <dataValidation type="date" allowBlank="1" showInputMessage="1" showErrorMessage="1" sqref="X36:Y39 J97:K134" xr:uid="{00000000-0002-0000-1700-00000F000000}">
      <formula1>10101</formula1>
      <formula2>311299</formula2>
    </dataValidation>
    <dataValidation type="list" showDropDown="1" showErrorMessage="1" sqref="O69:P69 O84:P84" xr:uid="{00000000-0002-0000-1700-000010000000}">
      <formula1>Charges</formula1>
    </dataValidation>
    <dataValidation type="list" allowBlank="1" showInputMessage="1" showErrorMessage="1" sqref="O70:P73 O85:P88" xr:uid="{00000000-0002-0000-1700-000011000000}">
      <formula1 xml:space="preserve"> droppull</formula1>
    </dataValidation>
    <dataValidation type="list" allowBlank="1" showInputMessage="1" showErrorMessage="1" sqref="L45:L48 G70:G73 P54:P57 N45:N48 G85:G88" xr:uid="{00000000-0002-0000-1700-000012000000}">
      <formula1>YesNo</formula1>
    </dataValidation>
    <dataValidation type="list" allowBlank="1" showInputMessage="1" showErrorMessage="1" sqref="M54:M57" xr:uid="{00000000-0002-0000-1700-000013000000}">
      <formula1>Equip</formula1>
    </dataValidation>
    <dataValidation type="list" allowBlank="1" showInputMessage="1" showErrorMessage="1" sqref="F70:F73 F85:F88" xr:uid="{00000000-0002-0000-1700-000014000000}">
      <formula1>ArbMode</formula1>
    </dataValidation>
    <dataValidation type="list" allowBlank="1" showInputMessage="1" showErrorMessage="1" sqref="G45:G48 G54:G57 G36:G39" xr:uid="{00000000-0002-0000-1700-000015000000}">
      <formula1>SDD</formula1>
    </dataValidation>
    <dataValidation type="list" allowBlank="1" showInputMessage="1" showErrorMessage="1" sqref="M35:W35 Q53:Y53" xr:uid="{00000000-0002-0000-1700-000016000000}">
      <formula1>Container</formula1>
    </dataValidation>
    <dataValidation type="list" allowBlank="1" showInputMessage="1" showErrorMessage="1" sqref="O44:W44" xr:uid="{00000000-0002-0000-1700-000017000000}">
      <formula1>Reefer</formula1>
    </dataValidation>
    <dataValidation type="list" allowBlank="1" showInputMessage="1" showErrorMessage="1" sqref="F36:F39 F54:F57 F45:F48" xr:uid="{00000000-0002-0000-1700-000018000000}">
      <formula1>Mode</formula1>
    </dataValidation>
    <dataValidation type="list" allowBlank="1" showInputMessage="1" showErrorMessage="1" sqref="M45:M48 O54:O57" xr:uid="{00000000-0002-0000-1700-000019000000}">
      <formula1>ShipperOwn</formula1>
    </dataValidation>
    <dataValidation type="list" allowBlank="1" showInputMessage="1" showErrorMessage="1" sqref="N54:N57" xr:uid="{00000000-0002-0000-1700-00001A000000}">
      <formula1>OOG</formula1>
    </dataValidation>
    <dataValidation type="list" allowBlank="1" showErrorMessage="1" sqref="M34:W34 Q52:Y52 O43:W43" xr:uid="{00000000-0002-0000-1700-00001B000000}">
      <formula1>Exceptions</formula1>
    </dataValidation>
    <dataValidation type="list" allowBlank="1" showInputMessage="1" showErrorMessage="1" sqref="AA36:AA39 AC54:AC57 AA45:AA48" xr:uid="{00000000-0002-0000-1700-00001C000000}">
      <formula1>CST</formula1>
    </dataValidation>
    <dataValidation type="list" allowBlank="1" showInputMessage="1" showErrorMessage="1" sqref="I97:I134" xr:uid="{00000000-0002-0000-1700-00001D000000}">
      <formula1>$A$14:$A$18</formula1>
    </dataValidation>
    <dataValidation type="list" allowBlank="1" showErrorMessage="1" sqref="A97:A134" xr:uid="{00000000-0002-0000-1700-00001E000000}">
      <formula1>Charges</formula1>
    </dataValidation>
    <dataValidation allowBlank="1" showInputMessage="1" showErrorMessage="1" promptTitle="Acceptable Values:" prompt="- Applicable _x000a_- Not applicable _x000a_- Included_x000a_- Amount and OSPF for cases of fixed per D40 OSPF_x000a_    (example-  &quot;375 OSPF&quot;)" sqref="E97:G134" xr:uid="{00000000-0002-0000-1700-00001F000000}"/>
    <dataValidation type="list" allowBlank="1" showInputMessage="1" showErrorMessage="1" errorTitle="Pick up the list" promptTitle="Blank = ALL" sqref="H97:H134" xr:uid="{00000000-0002-0000-1700-000020000000}">
      <formula1>Type_note2</formula1>
    </dataValidation>
  </dataValidations>
  <pageMargins left="0.25" right="0.25" top="0.25" bottom="0.25" header="0.5" footer="0"/>
  <pageSetup scale="28" fitToHeight="0" orientation="landscape" r:id="rId1"/>
  <headerFooter alignWithMargins="0"/>
  <rowBreaks count="1" manualBreakCount="1">
    <brk id="92" max="16383" man="1"/>
  </rowBreaks>
  <legacy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65">
    <tabColor indexed="46"/>
    <pageSetUpPr fitToPage="1"/>
  </sheetPr>
  <dimension ref="A1:BB214"/>
  <sheetViews>
    <sheetView showGridLines="0" topLeftCell="A178" zoomScale="75" zoomScaleNormal="75" zoomScaleSheetLayoutView="75" workbookViewId="0">
      <selection activeCell="G194" sqref="A194:XFD201"/>
    </sheetView>
  </sheetViews>
  <sheetFormatPr defaultColWidth="9.140625" defaultRowHeight="15.75" x14ac:dyDescent="0.2"/>
  <cols>
    <col min="1" max="1" width="25.140625" style="69" customWidth="1"/>
    <col min="2" max="2" width="18.5703125" style="69" customWidth="1"/>
    <col min="3" max="3" width="18.28515625" style="69" customWidth="1"/>
    <col min="4" max="4" width="17.42578125" style="69" customWidth="1"/>
    <col min="5" max="5" width="19.28515625" style="69" customWidth="1"/>
    <col min="6" max="6" width="12.140625" style="211" customWidth="1"/>
    <col min="7" max="8" width="17.42578125" style="211" customWidth="1"/>
    <col min="9" max="9" width="17.7109375" style="211" customWidth="1"/>
    <col min="10" max="10" width="17.85546875" style="69" customWidth="1"/>
    <col min="11" max="11" width="16.5703125" style="69" customWidth="1"/>
    <col min="12" max="12" width="18.5703125" style="69" customWidth="1"/>
    <col min="13" max="13" width="17.28515625" style="69" customWidth="1"/>
    <col min="14" max="14" width="17.7109375" style="69" customWidth="1"/>
    <col min="15" max="16" width="16.5703125" style="69" customWidth="1"/>
    <col min="17" max="17" width="17.5703125" style="69" customWidth="1"/>
    <col min="18" max="18" width="15.85546875" style="69" customWidth="1"/>
    <col min="19" max="19" width="16.7109375" style="69" customWidth="1"/>
    <col min="20" max="20" width="16.5703125" style="69" customWidth="1"/>
    <col min="21" max="21" width="16.7109375" style="69" customWidth="1"/>
    <col min="22" max="22" width="17.5703125" style="69" customWidth="1"/>
    <col min="23" max="23" width="18" style="69" customWidth="1"/>
    <col min="24" max="24" width="12.7109375" style="69" customWidth="1"/>
    <col min="25" max="25" width="16.85546875" style="69" customWidth="1"/>
    <col min="26" max="26" width="9.7109375" style="69" customWidth="1"/>
    <col min="27" max="27" width="14.140625" style="69" customWidth="1"/>
    <col min="28" max="28" width="9.7109375" style="69" customWidth="1"/>
    <col min="29" max="29" width="14.140625" style="69" customWidth="1"/>
    <col min="30" max="16384" width="9.140625" style="69"/>
  </cols>
  <sheetData>
    <row r="1" spans="1:54" x14ac:dyDescent="0.2">
      <c r="A1" s="835" t="s">
        <v>511</v>
      </c>
      <c r="B1" s="837"/>
      <c r="C1" s="902" t="str">
        <f>Cover!B1</f>
        <v>22-XXXX</v>
      </c>
      <c r="D1" s="903"/>
      <c r="E1" s="903"/>
      <c r="F1" s="904"/>
      <c r="G1" s="69"/>
      <c r="H1" s="69"/>
      <c r="I1" s="69"/>
    </row>
    <row r="2" spans="1:54" x14ac:dyDescent="0.2">
      <c r="A2" s="885" t="s">
        <v>1236</v>
      </c>
      <c r="B2" s="886"/>
      <c r="C2" s="887"/>
      <c r="D2" s="888"/>
      <c r="E2" s="888"/>
      <c r="F2" s="889"/>
      <c r="G2" s="69"/>
      <c r="H2" s="69"/>
      <c r="I2" s="69"/>
    </row>
    <row r="3" spans="1:54" x14ac:dyDescent="0.2">
      <c r="A3" s="885" t="s">
        <v>522</v>
      </c>
      <c r="B3" s="886"/>
      <c r="C3" s="905">
        <f>Cover!B2</f>
        <v>0</v>
      </c>
      <c r="D3" s="906"/>
      <c r="E3" s="906"/>
      <c r="F3" s="907"/>
      <c r="G3" s="69"/>
      <c r="H3" s="69"/>
      <c r="I3" s="69"/>
    </row>
    <row r="4" spans="1:54" x14ac:dyDescent="0.2">
      <c r="A4" s="885" t="s">
        <v>1229</v>
      </c>
      <c r="B4" s="886"/>
      <c r="C4" s="884">
        <f>Cover!B7</f>
        <v>0</v>
      </c>
      <c r="D4" s="817"/>
      <c r="E4" s="817"/>
      <c r="F4" s="818"/>
      <c r="G4" s="69"/>
      <c r="H4" s="69"/>
      <c r="I4" s="69"/>
    </row>
    <row r="5" spans="1:54" x14ac:dyDescent="0.2">
      <c r="A5" s="885" t="s">
        <v>528</v>
      </c>
      <c r="B5" s="886"/>
      <c r="C5" s="887" t="s">
        <v>562</v>
      </c>
      <c r="D5" s="888"/>
      <c r="E5" s="888"/>
      <c r="F5" s="889"/>
      <c r="G5" s="69"/>
      <c r="H5" s="69"/>
      <c r="I5" s="69"/>
    </row>
    <row r="6" spans="1:54" ht="33.75" customHeight="1" x14ac:dyDescent="0.2">
      <c r="A6" s="885" t="s">
        <v>512</v>
      </c>
      <c r="B6" s="886"/>
      <c r="C6" s="887" t="s">
        <v>572</v>
      </c>
      <c r="D6" s="888"/>
      <c r="E6" s="888"/>
      <c r="F6" s="889"/>
      <c r="G6" s="69"/>
      <c r="H6" s="69"/>
      <c r="I6" s="69"/>
    </row>
    <row r="7" spans="1:54" ht="15.75" customHeight="1" x14ac:dyDescent="0.2">
      <c r="A7" s="885" t="s">
        <v>612</v>
      </c>
      <c r="B7" s="886"/>
      <c r="C7" s="887" t="s">
        <v>190</v>
      </c>
      <c r="D7" s="888"/>
      <c r="E7" s="888"/>
      <c r="F7" s="889"/>
      <c r="G7" s="69"/>
      <c r="H7" s="69"/>
      <c r="I7" s="69"/>
    </row>
    <row r="8" spans="1:54" ht="2.25" customHeight="1" thickBot="1" x14ac:dyDescent="0.25">
      <c r="A8" s="900"/>
      <c r="B8" s="901"/>
      <c r="C8" s="894"/>
      <c r="D8" s="895"/>
      <c r="E8" s="895"/>
      <c r="F8" s="896"/>
      <c r="G8" s="69"/>
      <c r="H8" s="69"/>
      <c r="I8" s="69"/>
    </row>
    <row r="9" spans="1:54" s="73" customFormat="1" x14ac:dyDescent="0.2">
      <c r="A9" s="442">
        <v>39</v>
      </c>
      <c r="B9" s="443" t="s">
        <v>614</v>
      </c>
      <c r="D9" s="444"/>
      <c r="E9" s="444"/>
      <c r="F9" s="445"/>
    </row>
    <row r="10" spans="1:54" s="73" customFormat="1" ht="16.5" thickBot="1" x14ac:dyDescent="0.25">
      <c r="A10" s="446"/>
      <c r="D10" s="444"/>
      <c r="E10" s="444"/>
      <c r="F10" s="445"/>
      <c r="G10" s="447"/>
      <c r="H10" s="444"/>
      <c r="I10" s="444"/>
      <c r="J10" s="444"/>
    </row>
    <row r="11" spans="1:54" ht="19.5" thickBot="1" x14ac:dyDescent="0.25">
      <c r="A11" s="448" t="s">
        <v>613</v>
      </c>
      <c r="B11" s="449"/>
      <c r="C11" s="73"/>
      <c r="D11" s="444"/>
      <c r="E11" s="444"/>
      <c r="F11" s="445"/>
      <c r="G11" s="447"/>
      <c r="H11" s="444"/>
      <c r="I11" s="444"/>
      <c r="J11" s="444"/>
    </row>
    <row r="12" spans="1:54" s="78" customFormat="1" ht="16.5" thickBot="1" x14ac:dyDescent="0.25">
      <c r="A12" s="897" t="s">
        <v>616</v>
      </c>
      <c r="B12" s="898"/>
      <c r="C12" s="898"/>
      <c r="D12" s="898"/>
      <c r="E12" s="898"/>
      <c r="F12" s="898"/>
      <c r="G12" s="898"/>
      <c r="H12" s="898"/>
      <c r="I12" s="898"/>
      <c r="J12" s="899"/>
    </row>
    <row r="13" spans="1:54" ht="17.25" customHeight="1" x14ac:dyDescent="0.2">
      <c r="A13" s="450" t="s">
        <v>617</v>
      </c>
      <c r="B13" s="881" t="s">
        <v>618</v>
      </c>
      <c r="C13" s="881"/>
      <c r="D13" s="881"/>
      <c r="E13" s="881"/>
      <c r="F13" s="881"/>
      <c r="G13" s="881"/>
      <c r="H13" s="881"/>
      <c r="I13" s="881"/>
      <c r="J13" s="882" t="s">
        <v>622</v>
      </c>
      <c r="K13" s="883"/>
      <c r="L13" s="890" t="s">
        <v>623</v>
      </c>
      <c r="M13" s="891"/>
      <c r="N13" s="350" t="s">
        <v>4</v>
      </c>
    </row>
    <row r="14" spans="1:54" s="81" customFormat="1" x14ac:dyDescent="0.2">
      <c r="A14" s="451"/>
      <c r="B14" s="862"/>
      <c r="C14" s="892"/>
      <c r="D14" s="892"/>
      <c r="E14" s="892"/>
      <c r="F14" s="892"/>
      <c r="G14" s="892"/>
      <c r="H14" s="892"/>
      <c r="I14" s="892"/>
      <c r="J14" s="870"/>
      <c r="K14" s="855"/>
      <c r="L14" s="893"/>
      <c r="M14" s="871"/>
      <c r="N14" s="349" t="str">
        <f>IF($A14&gt;0,$A14,"")</f>
        <v/>
      </c>
    </row>
    <row r="15" spans="1:54" s="453" customFormat="1" x14ac:dyDescent="0.2">
      <c r="A15" s="452"/>
      <c r="B15" s="879"/>
      <c r="C15" s="880"/>
      <c r="D15" s="880"/>
      <c r="E15" s="880"/>
      <c r="F15" s="880"/>
      <c r="G15" s="880"/>
      <c r="H15" s="880"/>
      <c r="I15" s="880"/>
      <c r="J15" s="870"/>
      <c r="K15" s="855"/>
      <c r="L15" s="870"/>
      <c r="M15" s="871"/>
      <c r="N15" s="349" t="str">
        <f>IF($A15&gt;0,$A15,"")</f>
        <v/>
      </c>
      <c r="BB15" s="81"/>
    </row>
    <row r="16" spans="1:54" s="453" customFormat="1" x14ac:dyDescent="0.2">
      <c r="A16" s="452"/>
      <c r="B16" s="879"/>
      <c r="C16" s="880"/>
      <c r="D16" s="880"/>
      <c r="E16" s="880"/>
      <c r="F16" s="880"/>
      <c r="G16" s="880"/>
      <c r="H16" s="880"/>
      <c r="I16" s="880"/>
      <c r="J16" s="870"/>
      <c r="K16" s="855"/>
      <c r="L16" s="870"/>
      <c r="M16" s="871"/>
      <c r="N16" s="349" t="str">
        <f>IF($A16&gt;0,$A16,"")</f>
        <v/>
      </c>
      <c r="BB16" s="81"/>
    </row>
    <row r="17" spans="1:54" s="453" customFormat="1" ht="16.5" thickBot="1" x14ac:dyDescent="0.25">
      <c r="A17" s="454"/>
      <c r="B17" s="864"/>
      <c r="C17" s="865"/>
      <c r="D17" s="865"/>
      <c r="E17" s="865"/>
      <c r="F17" s="865"/>
      <c r="G17" s="865"/>
      <c r="H17" s="865"/>
      <c r="I17" s="865"/>
      <c r="J17" s="866"/>
      <c r="K17" s="867"/>
      <c r="L17" s="857"/>
      <c r="M17" s="858"/>
      <c r="N17" s="349" t="str">
        <f>IF($A17&gt;0,$A17,"")</f>
        <v/>
      </c>
      <c r="BB17" s="81"/>
    </row>
    <row r="18" spans="1:54" s="462" customFormat="1" ht="16.5" thickBot="1" x14ac:dyDescent="0.25">
      <c r="A18" s="455"/>
      <c r="B18" s="456"/>
      <c r="C18" s="457"/>
      <c r="D18" s="458"/>
      <c r="E18" s="458"/>
      <c r="F18" s="459"/>
      <c r="G18" s="459"/>
      <c r="H18" s="460"/>
      <c r="I18" s="461"/>
      <c r="J18" s="461"/>
      <c r="K18" s="457"/>
      <c r="L18" s="457"/>
      <c r="M18" s="457"/>
      <c r="N18" s="349" t="str">
        <f>IF($A18&gt;0,$A18,"")</f>
        <v/>
      </c>
      <c r="O18" s="457"/>
      <c r="P18" s="457"/>
      <c r="Q18" s="457"/>
      <c r="BB18" s="81"/>
    </row>
    <row r="19" spans="1:54" s="462" customFormat="1" ht="19.5" thickBot="1" x14ac:dyDescent="0.25">
      <c r="A19" s="448" t="s">
        <v>419</v>
      </c>
      <c r="B19" s="463"/>
      <c r="I19" s="461"/>
      <c r="J19" s="461"/>
      <c r="K19" s="457"/>
      <c r="L19" s="457"/>
      <c r="M19" s="457"/>
      <c r="N19" s="457"/>
      <c r="O19" s="457"/>
      <c r="P19" s="457"/>
      <c r="Q19" s="457"/>
    </row>
    <row r="20" spans="1:54" s="462" customFormat="1" x14ac:dyDescent="0.2">
      <c r="A20" s="464" t="s">
        <v>419</v>
      </c>
      <c r="B20" s="859" t="s">
        <v>618</v>
      </c>
      <c r="C20" s="860"/>
      <c r="D20" s="860"/>
      <c r="E20" s="860"/>
      <c r="F20" s="860"/>
      <c r="G20" s="860"/>
      <c r="H20" s="861"/>
      <c r="I20" s="461"/>
      <c r="J20" s="461"/>
      <c r="K20" s="457"/>
      <c r="L20" s="457"/>
      <c r="M20" s="457"/>
      <c r="N20" s="457"/>
      <c r="O20" s="457"/>
      <c r="P20" s="457"/>
      <c r="Q20" s="457"/>
    </row>
    <row r="21" spans="1:54" s="467" customFormat="1" ht="15.75" customHeight="1" x14ac:dyDescent="0.2">
      <c r="A21" s="451" t="s">
        <v>463</v>
      </c>
      <c r="B21" s="862" t="s">
        <v>479</v>
      </c>
      <c r="C21" s="862"/>
      <c r="D21" s="862"/>
      <c r="E21" s="862"/>
      <c r="F21" s="862"/>
      <c r="G21" s="862"/>
      <c r="H21" s="863"/>
      <c r="I21" s="220"/>
      <c r="J21" s="465"/>
      <c r="K21" s="466"/>
      <c r="L21" s="466"/>
      <c r="M21" s="466"/>
      <c r="N21" s="466"/>
      <c r="O21" s="466"/>
      <c r="P21" s="466"/>
      <c r="Q21" s="466"/>
    </row>
    <row r="22" spans="1:54" s="467" customFormat="1" x14ac:dyDescent="0.2">
      <c r="A22" s="468" t="s">
        <v>480</v>
      </c>
      <c r="B22" s="862" t="s">
        <v>481</v>
      </c>
      <c r="C22" s="862"/>
      <c r="D22" s="862"/>
      <c r="E22" s="862"/>
      <c r="F22" s="862"/>
      <c r="G22" s="862"/>
      <c r="H22" s="863"/>
      <c r="I22" s="465"/>
      <c r="J22" s="465"/>
      <c r="K22" s="466"/>
      <c r="L22" s="466"/>
      <c r="M22" s="466"/>
      <c r="N22" s="466"/>
      <c r="O22" s="466"/>
      <c r="P22" s="466"/>
      <c r="Q22" s="466"/>
    </row>
    <row r="23" spans="1:54" s="467" customFormat="1" x14ac:dyDescent="0.2">
      <c r="A23" s="468" t="s">
        <v>482</v>
      </c>
      <c r="B23" s="854" t="s">
        <v>483</v>
      </c>
      <c r="C23" s="855"/>
      <c r="D23" s="855"/>
      <c r="E23" s="855"/>
      <c r="F23" s="855"/>
      <c r="G23" s="855"/>
      <c r="H23" s="856"/>
      <c r="I23" s="465"/>
      <c r="J23" s="465"/>
      <c r="K23" s="466"/>
      <c r="L23" s="466"/>
      <c r="M23" s="466"/>
      <c r="N23" s="466"/>
      <c r="O23" s="466"/>
      <c r="P23" s="466"/>
      <c r="Q23" s="466"/>
    </row>
    <row r="24" spans="1:54" s="467" customFormat="1" x14ac:dyDescent="0.2">
      <c r="A24" s="468" t="s">
        <v>798</v>
      </c>
      <c r="B24" s="854" t="s">
        <v>799</v>
      </c>
      <c r="C24" s="855"/>
      <c r="D24" s="855"/>
      <c r="E24" s="855"/>
      <c r="F24" s="855"/>
      <c r="G24" s="855"/>
      <c r="H24" s="856"/>
      <c r="I24" s="465"/>
      <c r="J24" s="465"/>
      <c r="K24" s="466"/>
      <c r="L24" s="466"/>
      <c r="M24" s="466"/>
      <c r="N24" s="466"/>
      <c r="O24" s="466"/>
      <c r="P24" s="466"/>
      <c r="Q24" s="466"/>
    </row>
    <row r="25" spans="1:54" s="467" customFormat="1" ht="16.5" thickBot="1" x14ac:dyDescent="0.25">
      <c r="A25" s="469"/>
      <c r="B25" s="877"/>
      <c r="C25" s="867"/>
      <c r="D25" s="867"/>
      <c r="E25" s="867"/>
      <c r="F25" s="867"/>
      <c r="G25" s="867"/>
      <c r="H25" s="878"/>
      <c r="I25" s="465"/>
      <c r="J25" s="465"/>
      <c r="K25" s="466"/>
      <c r="L25" s="466"/>
      <c r="M25" s="466"/>
      <c r="N25" s="466"/>
      <c r="O25" s="466"/>
      <c r="P25" s="466"/>
      <c r="Q25" s="466"/>
    </row>
    <row r="26" spans="1:54" s="462" customFormat="1" ht="16.5" thickBot="1" x14ac:dyDescent="0.25">
      <c r="A26" s="456"/>
      <c r="B26" s="95"/>
      <c r="C26" s="95"/>
      <c r="D26" s="95"/>
      <c r="E26" s="95"/>
      <c r="F26" s="95"/>
      <c r="G26" s="95"/>
      <c r="H26" s="95"/>
      <c r="I26" s="461"/>
      <c r="J26" s="461"/>
      <c r="K26" s="457"/>
      <c r="L26" s="457"/>
      <c r="M26" s="457"/>
      <c r="N26" s="457"/>
      <c r="O26" s="457"/>
      <c r="P26" s="457"/>
      <c r="Q26" s="457"/>
      <c r="R26" s="457"/>
      <c r="S26" s="457"/>
      <c r="T26" s="457"/>
      <c r="U26" s="457"/>
    </row>
    <row r="27" spans="1:54" s="462" customFormat="1" ht="19.5" thickBot="1" x14ac:dyDescent="0.25">
      <c r="A27" s="448" t="s">
        <v>624</v>
      </c>
      <c r="B27" s="449"/>
      <c r="I27" s="461"/>
      <c r="J27" s="461"/>
      <c r="K27" s="457"/>
      <c r="L27" s="457"/>
      <c r="M27" s="457"/>
      <c r="N27" s="457"/>
      <c r="O27" s="457"/>
      <c r="P27" s="457"/>
      <c r="Q27" s="457"/>
      <c r="R27" s="457"/>
      <c r="S27" s="457"/>
      <c r="T27" s="457"/>
      <c r="U27" s="457"/>
    </row>
    <row r="28" spans="1:54" s="462" customFormat="1" x14ac:dyDescent="0.2">
      <c r="A28" s="223" t="s">
        <v>886</v>
      </c>
      <c r="B28" s="470"/>
      <c r="C28" s="471"/>
      <c r="D28" s="472"/>
      <c r="E28" s="472"/>
      <c r="F28" s="473"/>
      <c r="G28" s="473"/>
      <c r="H28" s="473"/>
      <c r="I28" s="474"/>
      <c r="J28" s="475"/>
      <c r="K28" s="476"/>
      <c r="L28" s="457"/>
      <c r="M28" s="457"/>
      <c r="N28" s="457"/>
      <c r="O28" s="457"/>
      <c r="P28" s="457"/>
      <c r="Q28" s="457"/>
      <c r="R28" s="457"/>
      <c r="S28" s="457"/>
      <c r="T28" s="457"/>
      <c r="U28" s="457"/>
      <c r="V28" s="457"/>
    </row>
    <row r="29" spans="1:54" s="462" customFormat="1" x14ac:dyDescent="0.2">
      <c r="A29" s="96" t="s">
        <v>626</v>
      </c>
      <c r="B29" s="214"/>
      <c r="C29" s="477"/>
      <c r="D29" s="478"/>
      <c r="E29" s="478"/>
      <c r="F29" s="479"/>
      <c r="G29" s="479"/>
      <c r="H29" s="479"/>
      <c r="I29" s="480"/>
      <c r="J29" s="481"/>
      <c r="K29" s="482"/>
      <c r="L29" s="457"/>
      <c r="M29" s="457"/>
      <c r="N29" s="457"/>
      <c r="O29" s="457"/>
      <c r="P29" s="457"/>
      <c r="Q29" s="457"/>
      <c r="R29" s="457"/>
    </row>
    <row r="30" spans="1:54" s="462" customFormat="1" ht="16.5" thickBot="1" x14ac:dyDescent="0.25">
      <c r="A30" s="110" t="s">
        <v>172</v>
      </c>
      <c r="B30" s="483"/>
      <c r="C30" s="484"/>
      <c r="D30" s="485"/>
      <c r="E30" s="485"/>
      <c r="F30" s="486"/>
      <c r="G30" s="486"/>
      <c r="H30" s="486"/>
      <c r="I30" s="487"/>
      <c r="J30" s="488"/>
      <c r="K30" s="489"/>
      <c r="L30" s="457"/>
      <c r="M30" s="457"/>
      <c r="N30" s="457"/>
      <c r="O30" s="457"/>
      <c r="P30" s="457"/>
      <c r="Q30" s="457"/>
      <c r="R30" s="457"/>
      <c r="S30" s="118"/>
      <c r="T30" s="118"/>
      <c r="U30" s="118"/>
      <c r="V30" s="457"/>
      <c r="W30" s="457"/>
      <c r="X30" s="457"/>
    </row>
    <row r="31" spans="1:54" s="491" customFormat="1" ht="32.25" customHeight="1" x14ac:dyDescent="0.2">
      <c r="A31" s="875" t="s">
        <v>627</v>
      </c>
      <c r="B31" s="868" t="s">
        <v>628</v>
      </c>
      <c r="C31" s="868" t="s">
        <v>11</v>
      </c>
      <c r="D31" s="868" t="s">
        <v>12</v>
      </c>
      <c r="E31" s="868" t="s">
        <v>13</v>
      </c>
      <c r="F31" s="868" t="s">
        <v>14</v>
      </c>
      <c r="G31" s="868" t="s">
        <v>15</v>
      </c>
      <c r="H31" s="868" t="s">
        <v>16</v>
      </c>
      <c r="I31" s="868" t="s">
        <v>17</v>
      </c>
      <c r="J31" s="868" t="s">
        <v>18</v>
      </c>
      <c r="K31" s="868" t="s">
        <v>19</v>
      </c>
      <c r="L31" s="868" t="s">
        <v>20</v>
      </c>
      <c r="M31" s="490"/>
      <c r="N31" s="490"/>
      <c r="O31" s="490"/>
      <c r="P31" s="490"/>
      <c r="Q31" s="490"/>
      <c r="R31" s="490"/>
      <c r="S31" s="490"/>
      <c r="T31" s="490"/>
      <c r="U31" s="490"/>
      <c r="V31" s="490"/>
      <c r="W31" s="490"/>
      <c r="X31" s="868" t="s">
        <v>22</v>
      </c>
      <c r="Y31" s="868" t="s">
        <v>23</v>
      </c>
      <c r="Z31" s="868" t="s">
        <v>24</v>
      </c>
      <c r="AA31" s="922" t="s">
        <v>352</v>
      </c>
    </row>
    <row r="32" spans="1:54" s="491" customFormat="1" ht="16.5" thickBot="1" x14ac:dyDescent="0.25">
      <c r="A32" s="876"/>
      <c r="B32" s="869"/>
      <c r="C32" s="869"/>
      <c r="D32" s="869"/>
      <c r="E32" s="869"/>
      <c r="F32" s="869"/>
      <c r="G32" s="872"/>
      <c r="H32" s="869"/>
      <c r="I32" s="869"/>
      <c r="J32" s="869"/>
      <c r="K32" s="869"/>
      <c r="L32" s="869"/>
      <c r="M32" s="492"/>
      <c r="N32" s="492"/>
      <c r="O32" s="492"/>
      <c r="P32" s="492"/>
      <c r="Q32" s="492"/>
      <c r="R32" s="492"/>
      <c r="S32" s="492"/>
      <c r="T32" s="492"/>
      <c r="U32" s="492"/>
      <c r="V32" s="492"/>
      <c r="W32" s="492"/>
      <c r="X32" s="869"/>
      <c r="Y32" s="869"/>
      <c r="Z32" s="869"/>
      <c r="AA32" s="923"/>
    </row>
    <row r="33" spans="1:27" s="136" customFormat="1" x14ac:dyDescent="0.2">
      <c r="A33" s="493"/>
      <c r="B33" s="49"/>
      <c r="C33" s="225"/>
      <c r="D33" s="225"/>
      <c r="E33" s="225"/>
      <c r="F33" s="225"/>
      <c r="G33" s="120"/>
      <c r="H33" s="225"/>
      <c r="I33" s="263"/>
      <c r="J33" s="263"/>
      <c r="K33" s="263"/>
      <c r="L33" s="263"/>
      <c r="M33" s="120"/>
      <c r="N33" s="120"/>
      <c r="O33" s="120"/>
      <c r="P33" s="226"/>
      <c r="Q33" s="226"/>
      <c r="R33" s="226"/>
      <c r="S33" s="120"/>
      <c r="T33" s="120"/>
      <c r="U33" s="120"/>
      <c r="V33" s="120"/>
      <c r="W33" s="120"/>
      <c r="X33" s="227"/>
      <c r="Y33" s="227"/>
      <c r="Z33" s="120"/>
      <c r="AA33" s="121"/>
    </row>
    <row r="34" spans="1:27" s="136" customFormat="1" x14ac:dyDescent="0.2">
      <c r="A34" s="494"/>
      <c r="B34" s="123"/>
      <c r="C34" s="123"/>
      <c r="D34" s="123"/>
      <c r="E34" s="123"/>
      <c r="F34" s="123"/>
      <c r="G34" s="124"/>
      <c r="H34" s="123"/>
      <c r="I34" s="255"/>
      <c r="J34" s="255"/>
      <c r="K34" s="255"/>
      <c r="L34" s="255"/>
      <c r="M34" s="125"/>
      <c r="N34" s="124"/>
      <c r="O34" s="124"/>
      <c r="P34" s="125"/>
      <c r="Q34" s="125"/>
      <c r="R34" s="125"/>
      <c r="S34" s="124"/>
      <c r="T34" s="124"/>
      <c r="U34" s="124"/>
      <c r="V34" s="124"/>
      <c r="W34" s="124"/>
      <c r="X34" s="126"/>
      <c r="Y34" s="126"/>
      <c r="Z34" s="124"/>
      <c r="AA34" s="127"/>
    </row>
    <row r="35" spans="1:27" s="136" customFormat="1" x14ac:dyDescent="0.2">
      <c r="A35" s="494"/>
      <c r="B35" s="123"/>
      <c r="C35" s="123"/>
      <c r="D35" s="123"/>
      <c r="E35" s="123"/>
      <c r="F35" s="123"/>
      <c r="G35" s="124"/>
      <c r="H35" s="123"/>
      <c r="I35" s="255"/>
      <c r="J35" s="255"/>
      <c r="K35" s="255"/>
      <c r="L35" s="255"/>
      <c r="M35" s="125"/>
      <c r="N35" s="124"/>
      <c r="O35" s="124"/>
      <c r="P35" s="125"/>
      <c r="Q35" s="125"/>
      <c r="R35" s="125"/>
      <c r="S35" s="124"/>
      <c r="T35" s="124"/>
      <c r="U35" s="124"/>
      <c r="V35" s="124"/>
      <c r="W35" s="124"/>
      <c r="X35" s="126"/>
      <c r="Y35" s="126"/>
      <c r="Z35" s="124"/>
      <c r="AA35" s="127"/>
    </row>
    <row r="36" spans="1:27" s="136" customFormat="1" ht="16.5" thickBot="1" x14ac:dyDescent="0.25">
      <c r="A36" s="495"/>
      <c r="B36" s="128"/>
      <c r="C36" s="128"/>
      <c r="D36" s="128"/>
      <c r="E36" s="128"/>
      <c r="F36" s="128"/>
      <c r="G36" s="129"/>
      <c r="H36" s="128"/>
      <c r="I36" s="256"/>
      <c r="J36" s="256"/>
      <c r="K36" s="256"/>
      <c r="L36" s="256"/>
      <c r="M36" s="129"/>
      <c r="N36" s="129"/>
      <c r="O36" s="129"/>
      <c r="P36" s="130"/>
      <c r="Q36" s="130"/>
      <c r="R36" s="130"/>
      <c r="S36" s="129"/>
      <c r="T36" s="129"/>
      <c r="U36" s="129"/>
      <c r="V36" s="129"/>
      <c r="W36" s="129"/>
      <c r="X36" s="131"/>
      <c r="Y36" s="131"/>
      <c r="Z36" s="129"/>
      <c r="AA36" s="132"/>
    </row>
    <row r="37" spans="1:27" s="73" customFormat="1" x14ac:dyDescent="0.2">
      <c r="A37" s="133"/>
      <c r="B37" s="133"/>
      <c r="C37" s="133"/>
      <c r="D37" s="133"/>
      <c r="E37" s="133"/>
      <c r="F37" s="133"/>
      <c r="G37" s="118"/>
      <c r="H37" s="118"/>
      <c r="I37" s="118"/>
      <c r="J37" s="118"/>
      <c r="K37" s="118"/>
      <c r="L37" s="118"/>
      <c r="M37" s="134"/>
      <c r="N37" s="118"/>
      <c r="O37" s="159"/>
      <c r="P37" s="159"/>
      <c r="Q37" s="159"/>
      <c r="R37" s="159"/>
      <c r="S37" s="159"/>
      <c r="T37" s="159"/>
      <c r="U37" s="159"/>
      <c r="V37" s="159"/>
      <c r="W37" s="466"/>
    </row>
    <row r="38" spans="1:27" s="73" customFormat="1" ht="16.5" thickBot="1" x14ac:dyDescent="0.25">
      <c r="A38" s="133"/>
      <c r="B38" s="133"/>
      <c r="C38" s="133"/>
      <c r="D38" s="133"/>
      <c r="E38" s="133"/>
      <c r="F38" s="133"/>
      <c r="G38" s="118"/>
      <c r="H38" s="118"/>
      <c r="I38" s="118"/>
      <c r="J38" s="118"/>
      <c r="K38" s="118"/>
      <c r="N38" s="118"/>
      <c r="O38" s="159"/>
      <c r="P38" s="159"/>
      <c r="Q38" s="159"/>
      <c r="R38" s="159"/>
      <c r="S38" s="159"/>
      <c r="T38" s="159"/>
      <c r="U38" s="159"/>
      <c r="V38" s="159"/>
      <c r="W38" s="467"/>
    </row>
    <row r="39" spans="1:27" s="73" customFormat="1" ht="16.5" thickBot="1" x14ac:dyDescent="0.25">
      <c r="A39" s="496" t="s">
        <v>25</v>
      </c>
      <c r="B39" s="133"/>
      <c r="C39" s="133"/>
      <c r="D39" s="133"/>
      <c r="E39" s="133"/>
      <c r="F39" s="133"/>
      <c r="G39" s="118"/>
      <c r="H39" s="118"/>
      <c r="I39" s="118"/>
      <c r="J39" s="118"/>
      <c r="K39" s="118"/>
      <c r="M39" s="118"/>
      <c r="N39" s="118"/>
      <c r="O39" s="159"/>
      <c r="P39" s="136"/>
      <c r="Q39" s="136"/>
      <c r="R39" s="136"/>
      <c r="S39" s="466"/>
      <c r="T39" s="466"/>
      <c r="U39" s="466"/>
      <c r="V39" s="466"/>
      <c r="W39" s="159"/>
    </row>
    <row r="40" spans="1:27" s="73" customFormat="1" ht="15.75" customHeight="1" x14ac:dyDescent="0.2">
      <c r="A40" s="875" t="s">
        <v>627</v>
      </c>
      <c r="B40" s="868" t="s">
        <v>628</v>
      </c>
      <c r="C40" s="868" t="s">
        <v>11</v>
      </c>
      <c r="D40" s="868" t="s">
        <v>12</v>
      </c>
      <c r="E40" s="868" t="s">
        <v>13</v>
      </c>
      <c r="F40" s="868" t="s">
        <v>14</v>
      </c>
      <c r="G40" s="868" t="s">
        <v>15</v>
      </c>
      <c r="H40" s="868" t="s">
        <v>16</v>
      </c>
      <c r="I40" s="868" t="s">
        <v>26</v>
      </c>
      <c r="J40" s="868" t="s">
        <v>27</v>
      </c>
      <c r="K40" s="945" t="s">
        <v>295</v>
      </c>
      <c r="L40" s="497" t="s">
        <v>63</v>
      </c>
      <c r="M40" s="498" t="s">
        <v>64</v>
      </c>
      <c r="N40" s="499" t="s">
        <v>65</v>
      </c>
      <c r="O40" s="490"/>
      <c r="P40" s="490"/>
      <c r="Q40" s="490"/>
      <c r="R40" s="490"/>
      <c r="S40" s="490"/>
      <c r="T40" s="490"/>
      <c r="U40" s="490"/>
      <c r="V40" s="490"/>
      <c r="W40" s="490"/>
      <c r="X40" s="868" t="s">
        <v>22</v>
      </c>
      <c r="Y40" s="868" t="s">
        <v>23</v>
      </c>
      <c r="Z40" s="868" t="s">
        <v>24</v>
      </c>
      <c r="AA40" s="922" t="s">
        <v>352</v>
      </c>
    </row>
    <row r="41" spans="1:27" s="73" customFormat="1" ht="31.7" customHeight="1" thickBot="1" x14ac:dyDescent="0.25">
      <c r="A41" s="876"/>
      <c r="B41" s="869"/>
      <c r="C41" s="869"/>
      <c r="D41" s="869"/>
      <c r="E41" s="869"/>
      <c r="F41" s="869"/>
      <c r="G41" s="872"/>
      <c r="H41" s="869"/>
      <c r="I41" s="869"/>
      <c r="J41" s="869"/>
      <c r="K41" s="946"/>
      <c r="L41" s="500" t="s">
        <v>66</v>
      </c>
      <c r="M41" s="501" t="s">
        <v>67</v>
      </c>
      <c r="N41" s="502" t="s">
        <v>68</v>
      </c>
      <c r="O41" s="503"/>
      <c r="P41" s="492"/>
      <c r="Q41" s="492"/>
      <c r="R41" s="492"/>
      <c r="S41" s="492"/>
      <c r="T41" s="492"/>
      <c r="U41" s="492"/>
      <c r="V41" s="492"/>
      <c r="W41" s="492"/>
      <c r="X41" s="869"/>
      <c r="Y41" s="869"/>
      <c r="Z41" s="869"/>
      <c r="AA41" s="923"/>
    </row>
    <row r="42" spans="1:27" s="136" customFormat="1" x14ac:dyDescent="0.2">
      <c r="A42" s="493"/>
      <c r="B42" s="225"/>
      <c r="C42" s="225"/>
      <c r="D42" s="225"/>
      <c r="E42" s="225"/>
      <c r="F42" s="225"/>
      <c r="G42" s="120"/>
      <c r="H42" s="225"/>
      <c r="I42" s="263"/>
      <c r="J42" s="263"/>
      <c r="K42" s="265"/>
      <c r="L42" s="268"/>
      <c r="M42" s="120"/>
      <c r="N42" s="121"/>
      <c r="O42" s="269"/>
      <c r="P42" s="226"/>
      <c r="Q42" s="226"/>
      <c r="R42" s="226"/>
      <c r="S42" s="120"/>
      <c r="T42" s="120"/>
      <c r="U42" s="120"/>
      <c r="V42" s="120"/>
      <c r="W42" s="120"/>
      <c r="X42" s="227"/>
      <c r="Y42" s="227"/>
      <c r="Z42" s="120"/>
      <c r="AA42" s="121"/>
    </row>
    <row r="43" spans="1:27" s="136" customFormat="1" x14ac:dyDescent="0.2">
      <c r="A43" s="494"/>
      <c r="B43" s="123"/>
      <c r="C43" s="123"/>
      <c r="D43" s="123"/>
      <c r="E43" s="123"/>
      <c r="F43" s="123"/>
      <c r="G43" s="124"/>
      <c r="H43" s="123"/>
      <c r="I43" s="255"/>
      <c r="J43" s="255"/>
      <c r="K43" s="266"/>
      <c r="L43" s="259"/>
      <c r="M43" s="124"/>
      <c r="N43" s="127"/>
      <c r="O43" s="248"/>
      <c r="P43" s="125"/>
      <c r="Q43" s="125"/>
      <c r="R43" s="125"/>
      <c r="S43" s="124"/>
      <c r="T43" s="124"/>
      <c r="U43" s="124"/>
      <c r="V43" s="124"/>
      <c r="W43" s="124"/>
      <c r="X43" s="126"/>
      <c r="Y43" s="126"/>
      <c r="Z43" s="124"/>
      <c r="AA43" s="127"/>
    </row>
    <row r="44" spans="1:27" s="136" customFormat="1" x14ac:dyDescent="0.2">
      <c r="A44" s="494"/>
      <c r="B44" s="123"/>
      <c r="C44" s="123"/>
      <c r="D44" s="123"/>
      <c r="E44" s="123"/>
      <c r="F44" s="123"/>
      <c r="G44" s="124"/>
      <c r="H44" s="123"/>
      <c r="I44" s="255"/>
      <c r="J44" s="255"/>
      <c r="K44" s="266"/>
      <c r="L44" s="259"/>
      <c r="M44" s="124"/>
      <c r="N44" s="127"/>
      <c r="O44" s="248"/>
      <c r="P44" s="125"/>
      <c r="Q44" s="125"/>
      <c r="R44" s="125"/>
      <c r="S44" s="124"/>
      <c r="T44" s="124"/>
      <c r="U44" s="124"/>
      <c r="V44" s="124"/>
      <c r="W44" s="124"/>
      <c r="X44" s="126"/>
      <c r="Y44" s="126"/>
      <c r="Z44" s="124"/>
      <c r="AA44" s="127"/>
    </row>
    <row r="45" spans="1:27" s="136" customFormat="1" ht="16.5" thickBot="1" x14ac:dyDescent="0.25">
      <c r="A45" s="495"/>
      <c r="B45" s="128"/>
      <c r="C45" s="128"/>
      <c r="D45" s="128"/>
      <c r="E45" s="128"/>
      <c r="F45" s="128"/>
      <c r="G45" s="129"/>
      <c r="H45" s="128"/>
      <c r="I45" s="256"/>
      <c r="J45" s="256"/>
      <c r="K45" s="267"/>
      <c r="L45" s="137"/>
      <c r="M45" s="129"/>
      <c r="N45" s="132"/>
      <c r="O45" s="137"/>
      <c r="P45" s="129"/>
      <c r="Q45" s="129"/>
      <c r="R45" s="129"/>
      <c r="S45" s="129"/>
      <c r="T45" s="129"/>
      <c r="U45" s="129"/>
      <c r="V45" s="129"/>
      <c r="W45" s="129"/>
      <c r="X45" s="131"/>
      <c r="Y45" s="131"/>
      <c r="Z45" s="129"/>
      <c r="AA45" s="132"/>
    </row>
    <row r="46" spans="1:27" s="73" customFormat="1" x14ac:dyDescent="0.2">
      <c r="A46" s="133"/>
      <c r="B46" s="133"/>
      <c r="C46" s="133"/>
      <c r="D46" s="133"/>
      <c r="E46" s="133"/>
      <c r="F46" s="133"/>
      <c r="G46" s="118"/>
      <c r="H46" s="118"/>
      <c r="I46" s="118"/>
      <c r="J46" s="118"/>
      <c r="K46" s="118"/>
      <c r="L46" s="118"/>
      <c r="M46" s="118"/>
      <c r="N46" s="118"/>
      <c r="O46" s="160"/>
      <c r="P46" s="159"/>
      <c r="Q46" s="159"/>
      <c r="R46" s="159"/>
      <c r="S46" s="136"/>
      <c r="T46" s="136"/>
      <c r="U46" s="136"/>
      <c r="V46" s="136"/>
      <c r="W46" s="136"/>
      <c r="X46" s="118"/>
    </row>
    <row r="47" spans="1:27" s="73" customFormat="1" ht="16.5" thickBot="1" x14ac:dyDescent="0.25">
      <c r="A47" s="133"/>
      <c r="B47" s="133"/>
      <c r="C47" s="133"/>
      <c r="D47" s="133"/>
      <c r="E47" s="133"/>
      <c r="F47" s="133"/>
      <c r="G47" s="118"/>
      <c r="H47" s="118"/>
      <c r="I47" s="118"/>
      <c r="J47" s="118"/>
      <c r="K47" s="118"/>
      <c r="L47" s="118"/>
      <c r="M47" s="118"/>
      <c r="N47" s="118"/>
      <c r="O47" s="160"/>
      <c r="P47" s="159"/>
      <c r="Q47" s="159"/>
      <c r="R47" s="159"/>
      <c r="S47" s="136"/>
      <c r="T47" s="136"/>
      <c r="U47" s="136"/>
      <c r="V47" s="136"/>
      <c r="W47" s="136"/>
      <c r="X47" s="118"/>
    </row>
    <row r="48" spans="1:27" s="73" customFormat="1" ht="16.5" thickBot="1" x14ac:dyDescent="0.25">
      <c r="A48" s="822" t="s">
        <v>307</v>
      </c>
      <c r="B48" s="873"/>
      <c r="C48" s="873"/>
      <c r="D48" s="874"/>
      <c r="E48" s="133"/>
      <c r="F48" s="133"/>
      <c r="G48" s="118"/>
      <c r="H48" s="118"/>
      <c r="I48" s="118"/>
      <c r="J48" s="118"/>
      <c r="K48" s="118"/>
      <c r="L48" s="118"/>
      <c r="M48" s="118"/>
      <c r="N48" s="118"/>
      <c r="O48" s="136"/>
      <c r="P48" s="159"/>
      <c r="Q48" s="159"/>
      <c r="R48" s="159"/>
      <c r="S48" s="466"/>
      <c r="T48" s="466"/>
      <c r="U48" s="466"/>
      <c r="V48" s="466"/>
      <c r="W48" s="159"/>
      <c r="X48" s="118"/>
      <c r="Y48" s="118"/>
    </row>
    <row r="49" spans="1:29" s="73" customFormat="1" ht="15.75" customHeight="1" x14ac:dyDescent="0.2">
      <c r="A49" s="875" t="s">
        <v>627</v>
      </c>
      <c r="B49" s="868" t="s">
        <v>628</v>
      </c>
      <c r="C49" s="868" t="s">
        <v>11</v>
      </c>
      <c r="D49" s="868" t="s">
        <v>12</v>
      </c>
      <c r="E49" s="868" t="s">
        <v>13</v>
      </c>
      <c r="F49" s="868" t="s">
        <v>14</v>
      </c>
      <c r="G49" s="868" t="s">
        <v>15</v>
      </c>
      <c r="H49" s="868" t="s">
        <v>16</v>
      </c>
      <c r="I49" s="868">
        <v>20</v>
      </c>
      <c r="J49" s="868">
        <v>40</v>
      </c>
      <c r="K49" s="868" t="s">
        <v>19</v>
      </c>
      <c r="L49" s="922" t="s">
        <v>20</v>
      </c>
      <c r="M49" s="943" t="s">
        <v>28</v>
      </c>
      <c r="N49" s="504" t="s">
        <v>69</v>
      </c>
      <c r="O49" s="498" t="s">
        <v>64</v>
      </c>
      <c r="P49" s="499" t="s">
        <v>65</v>
      </c>
      <c r="Q49" s="490" t="s">
        <v>147</v>
      </c>
      <c r="R49" s="490" t="s">
        <v>71</v>
      </c>
      <c r="S49" s="490"/>
      <c r="T49" s="490"/>
      <c r="U49" s="490"/>
      <c r="V49" s="490"/>
      <c r="W49" s="490"/>
      <c r="X49" s="490"/>
      <c r="Y49" s="490"/>
      <c r="Z49" s="868" t="s">
        <v>22</v>
      </c>
      <c r="AA49" s="868" t="s">
        <v>23</v>
      </c>
      <c r="AB49" s="868" t="s">
        <v>24</v>
      </c>
      <c r="AC49" s="922" t="s">
        <v>352</v>
      </c>
    </row>
    <row r="50" spans="1:29" s="73" customFormat="1" ht="48" thickBot="1" x14ac:dyDescent="0.25">
      <c r="A50" s="876"/>
      <c r="B50" s="869"/>
      <c r="C50" s="869"/>
      <c r="D50" s="869"/>
      <c r="E50" s="869"/>
      <c r="F50" s="869"/>
      <c r="G50" s="872"/>
      <c r="H50" s="869"/>
      <c r="I50" s="869"/>
      <c r="J50" s="869"/>
      <c r="K50" s="869"/>
      <c r="L50" s="923"/>
      <c r="M50" s="944"/>
      <c r="N50" s="505" t="s">
        <v>70</v>
      </c>
      <c r="O50" s="501" t="s">
        <v>67</v>
      </c>
      <c r="P50" s="502" t="s">
        <v>68</v>
      </c>
      <c r="Q50" s="503" t="s">
        <v>84</v>
      </c>
      <c r="R50" s="492" t="s">
        <v>84</v>
      </c>
      <c r="S50" s="492"/>
      <c r="T50" s="492"/>
      <c r="U50" s="492"/>
      <c r="V50" s="492"/>
      <c r="W50" s="492"/>
      <c r="X50" s="492"/>
      <c r="Y50" s="492"/>
      <c r="Z50" s="924"/>
      <c r="AA50" s="924"/>
      <c r="AB50" s="924"/>
      <c r="AC50" s="923"/>
    </row>
    <row r="51" spans="1:29" s="136" customFormat="1" x14ac:dyDescent="0.2">
      <c r="A51" s="493"/>
      <c r="B51" s="225"/>
      <c r="C51" s="225"/>
      <c r="D51" s="225"/>
      <c r="E51" s="225"/>
      <c r="F51" s="225"/>
      <c r="G51" s="120"/>
      <c r="H51" s="225"/>
      <c r="I51" s="263"/>
      <c r="J51" s="263"/>
      <c r="K51" s="263"/>
      <c r="L51" s="265"/>
      <c r="M51" s="270"/>
      <c r="N51" s="268"/>
      <c r="O51" s="120"/>
      <c r="P51" s="121"/>
      <c r="Q51" s="269"/>
      <c r="R51" s="226"/>
      <c r="S51" s="226"/>
      <c r="T51" s="226"/>
      <c r="U51" s="226"/>
      <c r="V51" s="226"/>
      <c r="W51" s="120"/>
      <c r="X51" s="120"/>
      <c r="Y51" s="120"/>
      <c r="Z51" s="227"/>
      <c r="AA51" s="227"/>
      <c r="AB51" s="120"/>
      <c r="AC51" s="121"/>
    </row>
    <row r="52" spans="1:29" s="136" customFormat="1" x14ac:dyDescent="0.2">
      <c r="A52" s="494"/>
      <c r="B52" s="123"/>
      <c r="C52" s="123"/>
      <c r="D52" s="123"/>
      <c r="E52" s="123"/>
      <c r="F52" s="123"/>
      <c r="G52" s="124"/>
      <c r="H52" s="123"/>
      <c r="I52" s="255"/>
      <c r="J52" s="255"/>
      <c r="K52" s="255"/>
      <c r="L52" s="266"/>
      <c r="M52" s="271"/>
      <c r="N52" s="259"/>
      <c r="O52" s="124"/>
      <c r="P52" s="127"/>
      <c r="Q52" s="248"/>
      <c r="R52" s="125"/>
      <c r="S52" s="125"/>
      <c r="T52" s="125"/>
      <c r="U52" s="125"/>
      <c r="V52" s="125"/>
      <c r="W52" s="124"/>
      <c r="X52" s="124"/>
      <c r="Y52" s="124"/>
      <c r="Z52" s="126"/>
      <c r="AA52" s="126"/>
      <c r="AB52" s="124"/>
      <c r="AC52" s="127"/>
    </row>
    <row r="53" spans="1:29" s="136" customFormat="1" x14ac:dyDescent="0.2">
      <c r="A53" s="494"/>
      <c r="B53" s="123"/>
      <c r="C53" s="123"/>
      <c r="D53" s="123"/>
      <c r="E53" s="123"/>
      <c r="F53" s="123"/>
      <c r="G53" s="124"/>
      <c r="H53" s="123"/>
      <c r="I53" s="255"/>
      <c r="J53" s="255"/>
      <c r="K53" s="255"/>
      <c r="L53" s="266"/>
      <c r="M53" s="271"/>
      <c r="N53" s="259"/>
      <c r="O53" s="124"/>
      <c r="P53" s="127"/>
      <c r="Q53" s="248"/>
      <c r="R53" s="125"/>
      <c r="S53" s="125"/>
      <c r="T53" s="125"/>
      <c r="U53" s="125"/>
      <c r="V53" s="125"/>
      <c r="W53" s="124"/>
      <c r="X53" s="124"/>
      <c r="Y53" s="124"/>
      <c r="Z53" s="126"/>
      <c r="AA53" s="126"/>
      <c r="AB53" s="124"/>
      <c r="AC53" s="127"/>
    </row>
    <row r="54" spans="1:29" s="136" customFormat="1" ht="16.5" thickBot="1" x14ac:dyDescent="0.25">
      <c r="A54" s="495"/>
      <c r="B54" s="128"/>
      <c r="C54" s="128"/>
      <c r="D54" s="128"/>
      <c r="E54" s="128"/>
      <c r="F54" s="128"/>
      <c r="G54" s="129"/>
      <c r="H54" s="128"/>
      <c r="I54" s="256"/>
      <c r="J54" s="256"/>
      <c r="K54" s="256"/>
      <c r="L54" s="267"/>
      <c r="M54" s="161"/>
      <c r="N54" s="137"/>
      <c r="O54" s="129"/>
      <c r="P54" s="132"/>
      <c r="Q54" s="137"/>
      <c r="R54" s="129"/>
      <c r="S54" s="129"/>
      <c r="T54" s="129"/>
      <c r="U54" s="129"/>
      <c r="V54" s="129"/>
      <c r="W54" s="129"/>
      <c r="X54" s="129"/>
      <c r="Y54" s="129"/>
      <c r="Z54" s="131"/>
      <c r="AA54" s="131"/>
      <c r="AB54" s="129"/>
      <c r="AC54" s="132"/>
    </row>
    <row r="55" spans="1:29" s="73" customFormat="1" x14ac:dyDescent="0.2">
      <c r="A55" s="133"/>
      <c r="B55" s="133"/>
      <c r="C55" s="133"/>
      <c r="D55" s="133"/>
      <c r="E55" s="133"/>
      <c r="F55" s="133"/>
      <c r="G55" s="118"/>
      <c r="H55" s="118"/>
      <c r="I55" s="118"/>
      <c r="J55" s="118"/>
      <c r="K55" s="118"/>
      <c r="M55" s="118"/>
      <c r="V55" s="118"/>
      <c r="W55" s="118"/>
    </row>
    <row r="56" spans="1:29" s="73" customFormat="1" x14ac:dyDescent="0.2">
      <c r="A56" s="133"/>
      <c r="B56" s="133"/>
      <c r="C56" s="133"/>
      <c r="D56" s="133"/>
      <c r="E56" s="133"/>
      <c r="F56" s="118"/>
      <c r="G56" s="118"/>
      <c r="H56" s="118"/>
      <c r="I56" s="118"/>
      <c r="J56" s="118"/>
      <c r="K56" s="134"/>
      <c r="L56" s="118"/>
      <c r="M56" s="118"/>
      <c r="N56" s="118"/>
      <c r="S56" s="118"/>
      <c r="T56" s="118"/>
      <c r="U56" s="118"/>
    </row>
    <row r="57" spans="1:29" s="456" customFormat="1" ht="16.5" thickBot="1" x14ac:dyDescent="0.25">
      <c r="A57" s="133"/>
      <c r="B57" s="133"/>
      <c r="C57" s="133"/>
      <c r="D57" s="133"/>
      <c r="E57" s="118"/>
      <c r="F57" s="118"/>
      <c r="G57" s="118"/>
      <c r="H57" s="118"/>
      <c r="I57" s="118"/>
      <c r="J57" s="134"/>
      <c r="K57" s="134"/>
      <c r="L57" s="134"/>
      <c r="M57" s="134"/>
      <c r="R57" s="134"/>
    </row>
    <row r="58" spans="1:29" s="456" customFormat="1" ht="19.5" thickBot="1" x14ac:dyDescent="0.25">
      <c r="A58" s="938" t="s">
        <v>29</v>
      </c>
      <c r="B58" s="939"/>
      <c r="C58" s="940"/>
      <c r="D58" s="133"/>
      <c r="E58" s="133"/>
      <c r="F58" s="118"/>
      <c r="G58" s="118"/>
      <c r="H58" s="118"/>
      <c r="I58" s="118"/>
      <c r="J58" s="118"/>
      <c r="K58" s="134"/>
      <c r="L58" s="134"/>
      <c r="M58" s="134"/>
      <c r="N58" s="134"/>
      <c r="S58" s="134"/>
      <c r="T58" s="134"/>
      <c r="U58" s="134"/>
    </row>
    <row r="59" spans="1:29" s="456" customFormat="1" ht="16.5" thickBot="1" x14ac:dyDescent="0.25">
      <c r="A59" s="800" t="s">
        <v>625</v>
      </c>
      <c r="B59" s="801"/>
      <c r="C59" s="802"/>
      <c r="D59" s="133"/>
      <c r="E59" s="133"/>
      <c r="F59" s="133"/>
      <c r="G59" s="118"/>
      <c r="H59" s="118"/>
      <c r="I59" s="118"/>
      <c r="J59" s="118"/>
      <c r="K59" s="118"/>
      <c r="L59" s="134"/>
      <c r="N59" s="134"/>
      <c r="O59" s="134"/>
      <c r="V59" s="134"/>
    </row>
    <row r="60" spans="1:29" s="456" customFormat="1" x14ac:dyDescent="0.2">
      <c r="A60" s="506" t="s">
        <v>30</v>
      </c>
      <c r="B60" s="507"/>
      <c r="C60" s="508" t="s">
        <v>155</v>
      </c>
      <c r="D60" s="509"/>
      <c r="E60" s="509"/>
      <c r="F60" s="510"/>
      <c r="G60" s="510"/>
      <c r="H60" s="509"/>
      <c r="I60" s="510"/>
      <c r="J60" s="509"/>
      <c r="K60" s="143"/>
      <c r="L60" s="144"/>
      <c r="N60" s="134"/>
      <c r="O60" s="134"/>
      <c r="P60" s="134"/>
    </row>
    <row r="61" spans="1:29" s="456" customFormat="1" x14ac:dyDescent="0.2">
      <c r="A61" s="96" t="s">
        <v>626</v>
      </c>
      <c r="B61" s="511"/>
      <c r="C61" s="511"/>
      <c r="D61" s="512"/>
      <c r="E61" s="512"/>
      <c r="F61" s="215"/>
      <c r="G61" s="215"/>
      <c r="H61" s="512"/>
      <c r="I61" s="215"/>
      <c r="J61" s="512"/>
      <c r="K61" s="149"/>
      <c r="L61" s="150"/>
      <c r="N61" s="134"/>
      <c r="O61" s="134"/>
      <c r="P61" s="134"/>
    </row>
    <row r="62" spans="1:29" s="456" customFormat="1" x14ac:dyDescent="0.2">
      <c r="A62" s="96" t="s">
        <v>173</v>
      </c>
      <c r="B62" s="511"/>
      <c r="C62" s="511"/>
      <c r="D62" s="512"/>
      <c r="E62" s="512"/>
      <c r="F62" s="215"/>
      <c r="G62" s="215"/>
      <c r="H62" s="512"/>
      <c r="I62" s="215"/>
      <c r="J62" s="512"/>
      <c r="K62" s="149"/>
      <c r="L62" s="150"/>
      <c r="N62" s="134"/>
      <c r="O62" s="134"/>
      <c r="P62" s="134"/>
    </row>
    <row r="63" spans="1:29" s="456" customFormat="1" x14ac:dyDescent="0.2">
      <c r="A63" s="96" t="s">
        <v>987</v>
      </c>
      <c r="B63" s="511"/>
      <c r="C63" s="511"/>
      <c r="D63" s="512"/>
      <c r="E63" s="512"/>
      <c r="F63" s="215"/>
      <c r="G63" s="215"/>
      <c r="H63" s="512"/>
      <c r="I63" s="215"/>
      <c r="J63" s="512"/>
      <c r="K63" s="149"/>
      <c r="L63" s="150"/>
      <c r="N63" s="134"/>
      <c r="O63" s="134"/>
      <c r="P63" s="134"/>
    </row>
    <row r="64" spans="1:29" s="456" customFormat="1" ht="16.5" thickBot="1" x14ac:dyDescent="0.25">
      <c r="A64" s="110" t="s">
        <v>988</v>
      </c>
      <c r="B64" s="513"/>
      <c r="C64" s="513"/>
      <c r="D64" s="514"/>
      <c r="E64" s="514"/>
      <c r="F64" s="515"/>
      <c r="G64" s="515"/>
      <c r="H64" s="514"/>
      <c r="I64" s="515"/>
      <c r="J64" s="514"/>
      <c r="K64" s="154"/>
      <c r="L64" s="155"/>
      <c r="N64" s="134"/>
      <c r="O64" s="134"/>
      <c r="P64" s="134"/>
    </row>
    <row r="65" spans="1:24" s="456" customFormat="1" ht="16.5" thickBot="1" x14ac:dyDescent="0.25">
      <c r="A65" s="516"/>
      <c r="B65" s="517"/>
      <c r="C65" s="134"/>
      <c r="D65" s="133"/>
      <c r="E65" s="133"/>
      <c r="F65" s="133"/>
      <c r="G65" s="133"/>
      <c r="H65" s="118"/>
      <c r="I65" s="118"/>
      <c r="J65" s="118"/>
      <c r="K65" s="118"/>
      <c r="L65" s="118"/>
      <c r="M65" s="134"/>
      <c r="O65" s="134"/>
      <c r="P65" s="134"/>
      <c r="Q65" s="118"/>
    </row>
    <row r="66" spans="1:24" s="14" customFormat="1" ht="48" thickBot="1" x14ac:dyDescent="0.25">
      <c r="A66" s="518" t="s">
        <v>31</v>
      </c>
      <c r="B66" s="932" t="s">
        <v>628</v>
      </c>
      <c r="C66" s="933"/>
      <c r="D66" s="934"/>
      <c r="E66" s="519" t="s">
        <v>11</v>
      </c>
      <c r="F66" s="519" t="s">
        <v>14</v>
      </c>
      <c r="G66" s="519" t="s">
        <v>287</v>
      </c>
      <c r="H66" s="519" t="s">
        <v>32</v>
      </c>
      <c r="I66" s="519" t="s">
        <v>16</v>
      </c>
      <c r="J66" s="519" t="s">
        <v>17</v>
      </c>
      <c r="K66" s="519" t="s">
        <v>18</v>
      </c>
      <c r="L66" s="519" t="s">
        <v>19</v>
      </c>
      <c r="M66" s="519" t="s">
        <v>20</v>
      </c>
      <c r="N66" s="520" t="s">
        <v>123</v>
      </c>
      <c r="O66" s="519" t="s">
        <v>96</v>
      </c>
      <c r="P66" s="521" t="s">
        <v>809</v>
      </c>
    </row>
    <row r="67" spans="1:24" s="303" customFormat="1" x14ac:dyDescent="0.2">
      <c r="A67" s="269"/>
      <c r="B67" s="925"/>
      <c r="C67" s="926"/>
      <c r="D67" s="926"/>
      <c r="E67" s="226"/>
      <c r="F67" s="226"/>
      <c r="G67" s="226"/>
      <c r="H67" s="226"/>
      <c r="I67" s="226"/>
      <c r="J67" s="273"/>
      <c r="K67" s="263"/>
      <c r="L67" s="263"/>
      <c r="M67" s="306"/>
      <c r="N67" s="49"/>
      <c r="O67" s="226"/>
      <c r="P67" s="274"/>
      <c r="Q67" s="159"/>
      <c r="R67" s="159"/>
      <c r="S67" s="159"/>
      <c r="T67" s="159"/>
      <c r="U67" s="159"/>
      <c r="V67" s="160"/>
      <c r="W67" s="160"/>
      <c r="X67" s="160"/>
    </row>
    <row r="68" spans="1:24" s="303" customFormat="1" x14ac:dyDescent="0.2">
      <c r="A68" s="248"/>
      <c r="B68" s="927"/>
      <c r="C68" s="928"/>
      <c r="D68" s="928"/>
      <c r="E68" s="125"/>
      <c r="F68" s="125"/>
      <c r="G68" s="125"/>
      <c r="H68" s="125"/>
      <c r="I68" s="125"/>
      <c r="J68" s="275"/>
      <c r="K68" s="255"/>
      <c r="L68" s="255"/>
      <c r="M68" s="307"/>
      <c r="N68" s="21"/>
      <c r="O68" s="125"/>
      <c r="P68" s="276"/>
      <c r="Q68" s="159"/>
      <c r="R68" s="159"/>
      <c r="S68" s="159"/>
      <c r="T68" s="159"/>
      <c r="U68" s="159"/>
      <c r="V68" s="160"/>
      <c r="W68" s="160"/>
      <c r="X68" s="160"/>
    </row>
    <row r="69" spans="1:24" s="303" customFormat="1" x14ac:dyDescent="0.2">
      <c r="A69" s="248"/>
      <c r="B69" s="927"/>
      <c r="C69" s="928"/>
      <c r="D69" s="928"/>
      <c r="E69" s="125"/>
      <c r="F69" s="125"/>
      <c r="G69" s="125"/>
      <c r="H69" s="125"/>
      <c r="I69" s="125"/>
      <c r="J69" s="275"/>
      <c r="K69" s="255"/>
      <c r="L69" s="255"/>
      <c r="M69" s="307"/>
      <c r="N69" s="21"/>
      <c r="O69" s="125"/>
      <c r="P69" s="276"/>
      <c r="Q69" s="159"/>
      <c r="R69" s="159"/>
      <c r="S69" s="159"/>
      <c r="T69" s="159"/>
      <c r="U69" s="159"/>
      <c r="V69" s="160"/>
      <c r="W69" s="160"/>
      <c r="X69" s="160"/>
    </row>
    <row r="70" spans="1:24" s="303" customFormat="1" ht="16.5" thickBot="1" x14ac:dyDescent="0.25">
      <c r="A70" s="304"/>
      <c r="B70" s="912"/>
      <c r="C70" s="913"/>
      <c r="D70" s="913"/>
      <c r="E70" s="130"/>
      <c r="F70" s="130"/>
      <c r="G70" s="130"/>
      <c r="H70" s="130"/>
      <c r="I70" s="130"/>
      <c r="J70" s="258"/>
      <c r="K70" s="256"/>
      <c r="L70" s="256"/>
      <c r="M70" s="305"/>
      <c r="N70" s="29"/>
      <c r="O70" s="129"/>
      <c r="P70" s="132"/>
      <c r="Q70" s="159"/>
      <c r="R70" s="159"/>
      <c r="S70" s="159"/>
      <c r="T70" s="159"/>
      <c r="U70" s="159"/>
      <c r="V70" s="160"/>
      <c r="W70" s="160"/>
      <c r="X70" s="160"/>
    </row>
    <row r="71" spans="1:24" s="456" customFormat="1" x14ac:dyDescent="0.2">
      <c r="A71" s="134"/>
      <c r="B71" s="134"/>
      <c r="C71" s="522"/>
      <c r="D71" s="522"/>
      <c r="E71" s="134"/>
      <c r="F71" s="134"/>
      <c r="G71" s="134"/>
      <c r="H71" s="134"/>
      <c r="I71" s="134"/>
      <c r="J71" s="134"/>
      <c r="K71" s="134"/>
      <c r="L71" s="134"/>
      <c r="M71" s="134"/>
      <c r="O71" s="118"/>
      <c r="P71" s="118"/>
      <c r="Q71" s="118"/>
      <c r="R71" s="118"/>
      <c r="S71" s="118"/>
      <c r="T71" s="118"/>
      <c r="U71" s="118"/>
      <c r="V71" s="134"/>
      <c r="W71" s="134"/>
      <c r="X71" s="134"/>
    </row>
    <row r="72" spans="1:24" s="456" customFormat="1" ht="16.5" thickBot="1" x14ac:dyDescent="0.25">
      <c r="A72" s="133"/>
      <c r="B72" s="133"/>
      <c r="C72" s="133"/>
      <c r="D72" s="133"/>
      <c r="E72" s="133"/>
      <c r="F72" s="133"/>
      <c r="G72" s="133"/>
      <c r="H72" s="133"/>
      <c r="I72" s="118"/>
      <c r="J72" s="118"/>
      <c r="K72" s="118"/>
      <c r="L72" s="118"/>
      <c r="M72" s="118"/>
      <c r="N72" s="134"/>
      <c r="O72" s="134"/>
      <c r="P72" s="134"/>
      <c r="Q72" s="134"/>
      <c r="R72" s="134"/>
      <c r="S72" s="134"/>
      <c r="T72" s="134"/>
      <c r="U72" s="134"/>
      <c r="V72" s="134"/>
      <c r="W72" s="118"/>
    </row>
    <row r="73" spans="1:24" s="456" customFormat="1" ht="19.5" thickBot="1" x14ac:dyDescent="0.25">
      <c r="A73" s="938" t="s">
        <v>34</v>
      </c>
      <c r="B73" s="939"/>
      <c r="C73" s="940"/>
      <c r="D73" s="523"/>
      <c r="E73" s="133"/>
      <c r="F73" s="133"/>
      <c r="G73" s="133"/>
      <c r="H73" s="133"/>
      <c r="I73" s="118"/>
      <c r="J73" s="118"/>
      <c r="K73" s="118"/>
      <c r="L73" s="118"/>
      <c r="M73" s="118"/>
      <c r="N73" s="134"/>
      <c r="O73" s="134"/>
      <c r="P73" s="134"/>
      <c r="Q73" s="134"/>
      <c r="R73" s="134"/>
      <c r="S73" s="134"/>
      <c r="T73" s="134"/>
      <c r="U73" s="134"/>
      <c r="V73" s="134"/>
      <c r="W73" s="118"/>
    </row>
    <row r="74" spans="1:24" s="456" customFormat="1" ht="16.5" thickBot="1" x14ac:dyDescent="0.25">
      <c r="A74" s="800" t="s">
        <v>625</v>
      </c>
      <c r="B74" s="801"/>
      <c r="C74" s="802"/>
      <c r="D74" s="200"/>
      <c r="E74" s="200"/>
      <c r="F74" s="200"/>
      <c r="G74" s="200"/>
      <c r="H74" s="194"/>
      <c r="I74" s="194"/>
      <c r="J74" s="200"/>
      <c r="K74" s="194"/>
      <c r="L74" s="200"/>
      <c r="M74" s="118"/>
      <c r="N74" s="134"/>
      <c r="O74" s="134"/>
      <c r="P74" s="134"/>
      <c r="Q74" s="134"/>
      <c r="R74" s="134"/>
      <c r="S74" s="134"/>
      <c r="T74" s="134"/>
      <c r="U74" s="134"/>
      <c r="V74" s="134"/>
      <c r="W74" s="118"/>
    </row>
    <row r="75" spans="1:24" s="456" customFormat="1" x14ac:dyDescent="0.2">
      <c r="A75" s="506" t="s">
        <v>30</v>
      </c>
      <c r="B75" s="470"/>
      <c r="C75" s="508" t="s">
        <v>155</v>
      </c>
      <c r="D75" s="508"/>
      <c r="E75" s="509"/>
      <c r="F75" s="509"/>
      <c r="G75" s="509"/>
      <c r="H75" s="510"/>
      <c r="I75" s="510"/>
      <c r="J75" s="509"/>
      <c r="K75" s="510"/>
      <c r="L75" s="524"/>
      <c r="M75" s="118"/>
      <c r="N75" s="134"/>
      <c r="O75" s="134"/>
      <c r="P75" s="134"/>
      <c r="Q75" s="134"/>
      <c r="R75" s="134"/>
      <c r="S75" s="134"/>
      <c r="T75" s="134"/>
      <c r="U75" s="134"/>
      <c r="V75" s="134"/>
      <c r="W75" s="118"/>
    </row>
    <row r="76" spans="1:24" s="456" customFormat="1" x14ac:dyDescent="0.2">
      <c r="A76" s="96" t="s">
        <v>35</v>
      </c>
      <c r="B76" s="512"/>
      <c r="C76" s="512"/>
      <c r="D76" s="512"/>
      <c r="E76" s="512"/>
      <c r="F76" s="512"/>
      <c r="G76" s="512"/>
      <c r="H76" s="215"/>
      <c r="I76" s="215"/>
      <c r="J76" s="512"/>
      <c r="K76" s="215"/>
      <c r="L76" s="525"/>
      <c r="M76" s="118"/>
      <c r="N76" s="134"/>
      <c r="O76" s="134"/>
      <c r="P76" s="134"/>
      <c r="Q76" s="134"/>
      <c r="R76" s="134"/>
      <c r="S76" s="134"/>
      <c r="T76" s="134"/>
      <c r="U76" s="134"/>
      <c r="V76" s="134"/>
      <c r="W76" s="118"/>
    </row>
    <row r="77" spans="1:24" s="456" customFormat="1" x14ac:dyDescent="0.2">
      <c r="A77" s="96" t="s">
        <v>174</v>
      </c>
      <c r="B77" s="512"/>
      <c r="C77" s="512"/>
      <c r="D77" s="512"/>
      <c r="E77" s="512"/>
      <c r="F77" s="512"/>
      <c r="G77" s="512"/>
      <c r="H77" s="215"/>
      <c r="I77" s="215"/>
      <c r="J77" s="512"/>
      <c r="K77" s="215"/>
      <c r="L77" s="525"/>
      <c r="M77" s="118"/>
      <c r="N77" s="134"/>
      <c r="O77" s="134"/>
      <c r="P77" s="134"/>
      <c r="Q77" s="134"/>
      <c r="R77" s="134"/>
      <c r="S77" s="134"/>
      <c r="T77" s="134"/>
      <c r="U77" s="134"/>
      <c r="V77" s="134"/>
      <c r="W77" s="118"/>
    </row>
    <row r="78" spans="1:24" s="456" customFormat="1" x14ac:dyDescent="0.2">
      <c r="A78" s="96" t="s">
        <v>987</v>
      </c>
      <c r="B78" s="512"/>
      <c r="C78" s="512"/>
      <c r="D78" s="512"/>
      <c r="E78" s="512"/>
      <c r="F78" s="512"/>
      <c r="G78" s="512"/>
      <c r="H78" s="215"/>
      <c r="I78" s="215"/>
      <c r="J78" s="512"/>
      <c r="K78" s="215"/>
      <c r="L78" s="525"/>
      <c r="M78" s="118"/>
      <c r="N78" s="134"/>
      <c r="O78" s="134"/>
      <c r="P78" s="134"/>
      <c r="Q78" s="134"/>
      <c r="R78" s="134"/>
      <c r="S78" s="134"/>
      <c r="T78" s="134"/>
      <c r="U78" s="134"/>
      <c r="V78" s="134"/>
      <c r="W78" s="118"/>
    </row>
    <row r="79" spans="1:24" s="456" customFormat="1" ht="16.5" thickBot="1" x14ac:dyDescent="0.25">
      <c r="A79" s="110" t="s">
        <v>988</v>
      </c>
      <c r="B79" s="514"/>
      <c r="C79" s="514"/>
      <c r="D79" s="514"/>
      <c r="E79" s="514"/>
      <c r="F79" s="514"/>
      <c r="G79" s="514"/>
      <c r="H79" s="515"/>
      <c r="I79" s="515"/>
      <c r="J79" s="514"/>
      <c r="K79" s="515"/>
      <c r="L79" s="526"/>
      <c r="M79" s="118"/>
      <c r="N79" s="134"/>
      <c r="O79" s="134"/>
      <c r="P79" s="134"/>
      <c r="Q79" s="134"/>
      <c r="R79" s="134"/>
      <c r="S79" s="134"/>
      <c r="T79" s="134"/>
      <c r="U79" s="134"/>
      <c r="V79" s="134"/>
      <c r="W79" s="118"/>
    </row>
    <row r="80" spans="1:24" s="456" customFormat="1" ht="16.5" thickBot="1" x14ac:dyDescent="0.25">
      <c r="A80" s="527"/>
      <c r="E80" s="200"/>
      <c r="F80" s="200"/>
      <c r="G80" s="200"/>
      <c r="H80" s="194"/>
      <c r="I80" s="517"/>
      <c r="J80" s="200"/>
      <c r="K80" s="194"/>
      <c r="L80" s="200"/>
      <c r="M80" s="118"/>
      <c r="N80" s="134"/>
      <c r="O80" s="134"/>
      <c r="P80" s="134"/>
      <c r="Q80" s="134"/>
      <c r="R80" s="118"/>
      <c r="V80" s="528"/>
      <c r="W80" s="528"/>
    </row>
    <row r="81" spans="1:23" s="14" customFormat="1" ht="32.25" thickBot="1" x14ac:dyDescent="0.25">
      <c r="A81" s="518" t="s">
        <v>31</v>
      </c>
      <c r="B81" s="932" t="s">
        <v>13</v>
      </c>
      <c r="C81" s="933"/>
      <c r="D81" s="934"/>
      <c r="E81" s="519" t="s">
        <v>12</v>
      </c>
      <c r="F81" s="519" t="s">
        <v>14</v>
      </c>
      <c r="G81" s="519" t="s">
        <v>276</v>
      </c>
      <c r="H81" s="519" t="s">
        <v>32</v>
      </c>
      <c r="I81" s="519" t="s">
        <v>16</v>
      </c>
      <c r="J81" s="519" t="s">
        <v>17</v>
      </c>
      <c r="K81" s="519" t="s">
        <v>18</v>
      </c>
      <c r="L81" s="519" t="s">
        <v>19</v>
      </c>
      <c r="M81" s="519" t="s">
        <v>20</v>
      </c>
      <c r="N81" s="520" t="s">
        <v>123</v>
      </c>
      <c r="O81" s="519" t="s">
        <v>94</v>
      </c>
      <c r="P81" s="521" t="s">
        <v>807</v>
      </c>
      <c r="W81" s="13"/>
    </row>
    <row r="82" spans="1:23" s="303" customFormat="1" x14ac:dyDescent="0.2">
      <c r="A82" s="269"/>
      <c r="B82" s="925"/>
      <c r="C82" s="926"/>
      <c r="D82" s="926"/>
      <c r="E82" s="226"/>
      <c r="F82" s="226"/>
      <c r="G82" s="226"/>
      <c r="H82" s="226"/>
      <c r="I82" s="226"/>
      <c r="J82" s="263"/>
      <c r="K82" s="263"/>
      <c r="L82" s="263"/>
      <c r="M82" s="263"/>
      <c r="N82" s="49"/>
      <c r="O82" s="226"/>
      <c r="P82" s="274"/>
      <c r="Q82" s="160"/>
      <c r="R82" s="160"/>
      <c r="S82" s="160"/>
      <c r="T82" s="160"/>
      <c r="U82" s="160"/>
      <c r="V82" s="160"/>
      <c r="W82" s="159"/>
    </row>
    <row r="83" spans="1:23" s="303" customFormat="1" x14ac:dyDescent="0.2">
      <c r="A83" s="248"/>
      <c r="B83" s="927"/>
      <c r="C83" s="928"/>
      <c r="D83" s="928"/>
      <c r="E83" s="125"/>
      <c r="F83" s="125"/>
      <c r="G83" s="125"/>
      <c r="H83" s="125"/>
      <c r="I83" s="125"/>
      <c r="J83" s="255"/>
      <c r="K83" s="255"/>
      <c r="L83" s="255"/>
      <c r="M83" s="255"/>
      <c r="N83" s="21"/>
      <c r="O83" s="125"/>
      <c r="P83" s="276"/>
      <c r="Q83" s="160"/>
      <c r="R83" s="160"/>
      <c r="S83" s="160"/>
      <c r="T83" s="160"/>
      <c r="U83" s="160"/>
      <c r="V83" s="160"/>
      <c r="W83" s="159"/>
    </row>
    <row r="84" spans="1:23" s="303" customFormat="1" x14ac:dyDescent="0.2">
      <c r="A84" s="248"/>
      <c r="B84" s="927"/>
      <c r="C84" s="928"/>
      <c r="D84" s="928"/>
      <c r="E84" s="125"/>
      <c r="F84" s="125"/>
      <c r="G84" s="125"/>
      <c r="H84" s="125"/>
      <c r="I84" s="125"/>
      <c r="J84" s="255"/>
      <c r="K84" s="255"/>
      <c r="L84" s="255"/>
      <c r="M84" s="255"/>
      <c r="N84" s="21"/>
      <c r="O84" s="125"/>
      <c r="P84" s="276"/>
      <c r="Q84" s="160"/>
      <c r="R84" s="160"/>
      <c r="S84" s="160"/>
      <c r="T84" s="160"/>
      <c r="U84" s="160"/>
      <c r="V84" s="160"/>
      <c r="W84" s="159"/>
    </row>
    <row r="85" spans="1:23" s="303" customFormat="1" ht="16.5" thickBot="1" x14ac:dyDescent="0.25">
      <c r="A85" s="304"/>
      <c r="B85" s="912"/>
      <c r="C85" s="913"/>
      <c r="D85" s="913"/>
      <c r="E85" s="130"/>
      <c r="F85" s="130"/>
      <c r="G85" s="130"/>
      <c r="H85" s="130"/>
      <c r="I85" s="130"/>
      <c r="J85" s="256"/>
      <c r="K85" s="256"/>
      <c r="L85" s="256"/>
      <c r="M85" s="256"/>
      <c r="N85" s="29"/>
      <c r="O85" s="129"/>
      <c r="P85" s="132"/>
      <c r="Q85" s="160"/>
      <c r="R85" s="160"/>
      <c r="S85" s="160"/>
      <c r="T85" s="160"/>
      <c r="U85" s="160"/>
      <c r="V85" s="160"/>
      <c r="W85" s="159"/>
    </row>
    <row r="86" spans="1:23" s="456" customFormat="1" ht="16.5" thickBot="1" x14ac:dyDescent="0.25">
      <c r="A86" s="133"/>
      <c r="B86" s="133"/>
      <c r="C86" s="133"/>
      <c r="D86" s="133"/>
      <c r="E86" s="133"/>
      <c r="F86" s="133"/>
      <c r="G86" s="133"/>
      <c r="H86" s="118"/>
      <c r="I86" s="118"/>
      <c r="J86" s="118"/>
      <c r="K86" s="118"/>
      <c r="L86" s="118"/>
      <c r="M86" s="134"/>
      <c r="N86" s="134"/>
      <c r="O86" s="134"/>
      <c r="P86" s="134"/>
      <c r="Q86" s="134"/>
      <c r="R86" s="134"/>
      <c r="S86" s="134"/>
      <c r="T86" s="134"/>
      <c r="U86" s="134"/>
      <c r="V86" s="118"/>
    </row>
    <row r="87" spans="1:23" s="73" customFormat="1" ht="16.5" thickBot="1" x14ac:dyDescent="0.25">
      <c r="A87" s="822" t="s">
        <v>36</v>
      </c>
      <c r="B87" s="823"/>
      <c r="C87" s="823"/>
      <c r="D87" s="823"/>
      <c r="E87" s="823"/>
      <c r="F87" s="823"/>
      <c r="G87" s="823"/>
      <c r="H87" s="823"/>
      <c r="I87" s="824"/>
      <c r="J87" s="169"/>
      <c r="K87" s="118"/>
      <c r="L87" s="134"/>
      <c r="M87" s="134"/>
      <c r="N87" s="134"/>
      <c r="O87" s="134"/>
      <c r="P87" s="134"/>
      <c r="Q87" s="134"/>
      <c r="R87" s="134"/>
      <c r="S87" s="118"/>
      <c r="T87" s="118"/>
      <c r="U87" s="118"/>
    </row>
    <row r="88" spans="1:23" s="73" customFormat="1" ht="16.5" thickBot="1" x14ac:dyDescent="0.25">
      <c r="A88" s="935" t="s">
        <v>37</v>
      </c>
      <c r="B88" s="936"/>
      <c r="C88" s="936"/>
      <c r="D88" s="936"/>
      <c r="E88" s="936"/>
      <c r="F88" s="936"/>
      <c r="G88" s="936"/>
      <c r="H88" s="936"/>
      <c r="I88" s="937"/>
      <c r="J88" s="170"/>
      <c r="K88" s="118"/>
      <c r="L88" s="134"/>
      <c r="M88" s="134"/>
      <c r="N88" s="134"/>
      <c r="O88" s="134"/>
      <c r="P88" s="134"/>
      <c r="Q88" s="134"/>
      <c r="R88" s="134"/>
      <c r="S88" s="118"/>
      <c r="T88" s="118"/>
      <c r="U88" s="118"/>
    </row>
    <row r="89" spans="1:23" s="308" customFormat="1" ht="15.75" customHeight="1" thickBot="1" x14ac:dyDescent="0.25">
      <c r="A89" s="665" t="s">
        <v>296</v>
      </c>
      <c r="B89" s="909" t="s">
        <v>1129</v>
      </c>
      <c r="C89" s="910"/>
      <c r="D89" s="910"/>
      <c r="E89" s="910"/>
      <c r="F89" s="910"/>
      <c r="G89" s="910"/>
      <c r="H89" s="910"/>
      <c r="I89" s="911"/>
      <c r="J89" s="171"/>
      <c r="K89" s="172"/>
      <c r="L89" s="173"/>
      <c r="M89" s="173"/>
      <c r="N89" s="173"/>
      <c r="O89" s="173"/>
      <c r="P89" s="173"/>
      <c r="Q89" s="173"/>
      <c r="R89" s="173"/>
      <c r="S89" s="172"/>
      <c r="T89" s="172"/>
      <c r="U89" s="172"/>
    </row>
    <row r="90" spans="1:23" s="73" customFormat="1" ht="16.5" thickBot="1" x14ac:dyDescent="0.25">
      <c r="A90" s="196"/>
      <c r="B90" s="169"/>
      <c r="C90" s="169"/>
      <c r="D90" s="169"/>
      <c r="E90" s="169"/>
      <c r="F90" s="176"/>
      <c r="G90" s="176"/>
      <c r="H90" s="176"/>
      <c r="I90" s="176"/>
      <c r="J90" s="176"/>
      <c r="K90" s="118"/>
      <c r="L90" s="134"/>
      <c r="M90" s="134"/>
      <c r="N90" s="134"/>
      <c r="O90" s="134"/>
      <c r="P90" s="134"/>
      <c r="Q90" s="118"/>
    </row>
    <row r="91" spans="1:23" s="73" customFormat="1" ht="16.5" customHeight="1" thickBot="1" x14ac:dyDescent="0.25">
      <c r="A91" s="917" t="s">
        <v>214</v>
      </c>
      <c r="B91" s="918"/>
      <c r="C91" s="918"/>
      <c r="D91" s="918"/>
      <c r="E91" s="918"/>
      <c r="F91" s="918"/>
      <c r="G91" s="918"/>
      <c r="H91" s="930" t="s">
        <v>226</v>
      </c>
      <c r="I91" s="786" t="s">
        <v>627</v>
      </c>
      <c r="J91" s="786" t="s">
        <v>215</v>
      </c>
      <c r="K91" s="786" t="s">
        <v>23</v>
      </c>
      <c r="L91" s="786" t="s">
        <v>302</v>
      </c>
      <c r="M91" s="788" t="s">
        <v>83</v>
      </c>
      <c r="N91" s="134"/>
      <c r="O91" s="118"/>
      <c r="P91" s="456"/>
      <c r="Q91" s="528"/>
      <c r="R91" s="528"/>
    </row>
    <row r="92" spans="1:23" s="446" customFormat="1" ht="16.5" thickBot="1" x14ac:dyDescent="0.25">
      <c r="A92" s="919" t="s">
        <v>887</v>
      </c>
      <c r="B92" s="920"/>
      <c r="C92" s="920"/>
      <c r="D92" s="920"/>
      <c r="E92" s="920"/>
      <c r="F92" s="920"/>
      <c r="G92" s="921"/>
      <c r="H92" s="931"/>
      <c r="I92" s="908"/>
      <c r="J92" s="908"/>
      <c r="K92" s="908"/>
      <c r="L92" s="908"/>
      <c r="M92" s="929"/>
      <c r="N92" s="177"/>
      <c r="O92" s="177"/>
      <c r="P92" s="177"/>
      <c r="Q92" s="177"/>
      <c r="R92" s="177"/>
    </row>
    <row r="93" spans="1:23" s="446" customFormat="1" ht="15.75" customHeight="1" thickBot="1" x14ac:dyDescent="0.25">
      <c r="A93" s="919" t="s">
        <v>353</v>
      </c>
      <c r="B93" s="920"/>
      <c r="C93" s="920"/>
      <c r="D93" s="920"/>
      <c r="E93" s="920"/>
      <c r="F93" s="920"/>
      <c r="G93" s="921"/>
      <c r="H93" s="959"/>
      <c r="I93" s="787"/>
      <c r="J93" s="787"/>
      <c r="K93" s="787"/>
      <c r="L93" s="787"/>
      <c r="M93" s="789"/>
      <c r="N93" s="177"/>
      <c r="O93" s="177"/>
      <c r="P93" s="177"/>
      <c r="Q93" s="177"/>
      <c r="R93" s="177"/>
    </row>
    <row r="94" spans="1:23" s="136" customFormat="1" x14ac:dyDescent="0.2">
      <c r="A94" s="178" t="s">
        <v>234</v>
      </c>
      <c r="B94" s="942" t="str">
        <f>IF($A94="","",VLOOKUP($A94,Listes!$A$3:$C$193,2,FALSE))</f>
        <v>Bunker Adjustment Factor</v>
      </c>
      <c r="C94" s="942"/>
      <c r="D94" s="942"/>
      <c r="E94" s="941" t="s">
        <v>51</v>
      </c>
      <c r="F94" s="941"/>
      <c r="G94" s="941"/>
      <c r="H94" s="614"/>
      <c r="I94" s="529"/>
      <c r="J94" s="529"/>
      <c r="K94" s="529"/>
      <c r="L94" s="529"/>
      <c r="M94" s="530"/>
      <c r="N94" s="160"/>
      <c r="O94" s="160"/>
      <c r="P94" s="160"/>
      <c r="Q94" s="160"/>
      <c r="R94" s="159"/>
    </row>
    <row r="95" spans="1:23" s="136" customFormat="1" ht="15.75" customHeight="1" x14ac:dyDescent="0.2">
      <c r="A95" s="182" t="s">
        <v>557</v>
      </c>
      <c r="B95" s="813" t="str">
        <f>IF($A95="","",VLOOKUP($A95,Listes!$A$3:$C$193,2,FALSE))</f>
        <v>Cargo Facility Charge</v>
      </c>
      <c r="C95" s="813"/>
      <c r="D95" s="813"/>
      <c r="E95" s="814" t="s">
        <v>51</v>
      </c>
      <c r="F95" s="814"/>
      <c r="G95" s="814"/>
      <c r="H95" s="612"/>
      <c r="I95" s="531"/>
      <c r="J95" s="531"/>
      <c r="K95" s="531"/>
      <c r="L95" s="531"/>
      <c r="M95" s="532"/>
      <c r="N95" s="160"/>
      <c r="O95" s="160"/>
      <c r="P95" s="160"/>
      <c r="Q95" s="160"/>
      <c r="R95" s="159"/>
    </row>
    <row r="96" spans="1:23" s="136" customFormat="1" ht="15.75" customHeight="1" x14ac:dyDescent="0.2">
      <c r="A96" s="182" t="s">
        <v>1105</v>
      </c>
      <c r="B96" s="813" t="str">
        <f>IF($A96="","",VLOOKUP($A96,Listes!$A$3:$C$193,2,FALSE))</f>
        <v>Chassis Administration Fee On-Carriage</v>
      </c>
      <c r="C96" s="813"/>
      <c r="D96" s="813"/>
      <c r="E96" s="814" t="s">
        <v>51</v>
      </c>
      <c r="F96" s="814"/>
      <c r="G96" s="814"/>
      <c r="H96" s="647"/>
      <c r="I96" s="531"/>
      <c r="J96" s="531"/>
      <c r="K96" s="531"/>
      <c r="L96" s="531"/>
      <c r="M96" s="532"/>
      <c r="N96" s="160"/>
      <c r="O96" s="160"/>
      <c r="P96" s="160"/>
      <c r="Q96" s="160"/>
      <c r="R96" s="159"/>
    </row>
    <row r="97" spans="1:18" s="136" customFormat="1" ht="15.75" customHeight="1" x14ac:dyDescent="0.2">
      <c r="A97" s="182" t="s">
        <v>551</v>
      </c>
      <c r="B97" s="813" t="str">
        <f>IF($A97="","",VLOOKUP($A97,Listes!$A$3:$C$193,2,FALSE))</f>
        <v>Chassis Provision Charge</v>
      </c>
      <c r="C97" s="813"/>
      <c r="D97" s="813"/>
      <c r="E97" s="814" t="s">
        <v>51</v>
      </c>
      <c r="F97" s="814"/>
      <c r="G97" s="814"/>
      <c r="H97" s="612"/>
      <c r="I97" s="531"/>
      <c r="J97" s="531"/>
      <c r="K97" s="531"/>
      <c r="L97" s="531"/>
      <c r="M97" s="532"/>
      <c r="N97" s="160"/>
      <c r="O97" s="160"/>
      <c r="P97" s="160"/>
      <c r="Q97" s="160"/>
      <c r="R97" s="159"/>
    </row>
    <row r="98" spans="1:18" s="136" customFormat="1" ht="15.75" customHeight="1" x14ac:dyDescent="0.2">
      <c r="A98" s="182" t="s">
        <v>263</v>
      </c>
      <c r="B98" s="960" t="str">
        <f>IF($A98="","",VLOOKUP($A98,Listes!$A$3:$C$193,2,FALSE))</f>
        <v>Carrier Security Charge</v>
      </c>
      <c r="C98" s="961"/>
      <c r="D98" s="962"/>
      <c r="E98" s="963" t="s">
        <v>51</v>
      </c>
      <c r="F98" s="964"/>
      <c r="G98" s="965"/>
      <c r="H98" s="612"/>
      <c r="I98" s="531"/>
      <c r="J98" s="531"/>
      <c r="K98" s="531"/>
      <c r="L98" s="531"/>
      <c r="M98" s="532"/>
      <c r="N98" s="160"/>
      <c r="O98" s="160"/>
      <c r="P98" s="160"/>
      <c r="Q98" s="160"/>
      <c r="R98" s="159"/>
    </row>
    <row r="99" spans="1:18" s="136" customFormat="1" ht="15.75" customHeight="1" x14ac:dyDescent="0.2">
      <c r="A99" s="182" t="s">
        <v>1262</v>
      </c>
      <c r="B99" s="960" t="str">
        <f>IF($A99="","",VLOOKUP($A99,Listes!$A$3:$C$193,2,FALSE))</f>
        <v>Container Maintenance Charge Destination</v>
      </c>
      <c r="C99" s="961"/>
      <c r="D99" s="962"/>
      <c r="E99" s="963" t="s">
        <v>51</v>
      </c>
      <c r="F99" s="964"/>
      <c r="G99" s="965"/>
      <c r="H99" s="647"/>
      <c r="I99" s="531"/>
      <c r="J99" s="531"/>
      <c r="K99" s="531"/>
      <c r="L99" s="531"/>
      <c r="M99" s="532"/>
      <c r="N99" s="160"/>
      <c r="O99" s="160"/>
      <c r="P99" s="160"/>
      <c r="Q99" s="160"/>
      <c r="R99" s="159"/>
    </row>
    <row r="100" spans="1:18" s="136" customFormat="1" ht="15.75" customHeight="1" x14ac:dyDescent="0.2">
      <c r="A100" s="182" t="s">
        <v>230</v>
      </c>
      <c r="B100" s="927" t="str">
        <f>IF($A100="","",VLOOKUP($A100,Listes!$A$3:$C$193,2,FALSE))</f>
        <v>Destination THC / Destination Receiving Charge</v>
      </c>
      <c r="C100" s="927"/>
      <c r="D100" s="927"/>
      <c r="E100" s="976" t="s">
        <v>51</v>
      </c>
      <c r="F100" s="976"/>
      <c r="G100" s="976"/>
      <c r="H100" s="612"/>
      <c r="I100" s="531"/>
      <c r="J100" s="531"/>
      <c r="K100" s="531"/>
      <c r="L100" s="531"/>
      <c r="M100" s="532"/>
      <c r="N100" s="160"/>
      <c r="O100" s="160"/>
      <c r="P100" s="160"/>
      <c r="Q100" s="160"/>
      <c r="R100" s="159"/>
    </row>
    <row r="101" spans="1:18" s="136" customFormat="1" ht="15.75" customHeight="1" x14ac:dyDescent="0.2">
      <c r="A101" s="182" t="s">
        <v>874</v>
      </c>
      <c r="B101" s="927" t="str">
        <f>IF($A101="","",VLOOKUP($A101,Listes!$A$3:$C$193,2,FALSE))</f>
        <v>Export Documentation Fees - Carrier</v>
      </c>
      <c r="C101" s="927"/>
      <c r="D101" s="927"/>
      <c r="E101" s="976" t="s">
        <v>51</v>
      </c>
      <c r="F101" s="976"/>
      <c r="G101" s="976"/>
      <c r="H101" s="612"/>
      <c r="I101" s="531"/>
      <c r="J101" s="531"/>
      <c r="K101" s="531"/>
      <c r="L101" s="531"/>
      <c r="M101" s="532"/>
      <c r="N101" s="160"/>
      <c r="O101" s="160"/>
      <c r="P101" s="160"/>
      <c r="Q101" s="160"/>
      <c r="R101" s="159"/>
    </row>
    <row r="102" spans="1:18" s="136" customFormat="1" ht="15.75" customHeight="1" x14ac:dyDescent="0.2">
      <c r="A102" s="182" t="s">
        <v>854</v>
      </c>
      <c r="B102" s="813" t="str">
        <f>IF($A102="","",VLOOKUP($A102,Listes!$A$3:$C$193,2,FALSE))</f>
        <v>Export Declaration Surcharge</v>
      </c>
      <c r="C102" s="813"/>
      <c r="D102" s="813"/>
      <c r="E102" s="814" t="s">
        <v>51</v>
      </c>
      <c r="F102" s="814"/>
      <c r="G102" s="814"/>
      <c r="H102" s="612"/>
      <c r="I102" s="531"/>
      <c r="J102" s="531"/>
      <c r="K102" s="531"/>
      <c r="L102" s="531"/>
      <c r="M102" s="532"/>
      <c r="N102" s="160"/>
      <c r="O102" s="160"/>
      <c r="P102" s="160"/>
      <c r="Q102" s="160"/>
      <c r="R102" s="159"/>
    </row>
    <row r="103" spans="1:18" s="136" customFormat="1" ht="15.75" customHeight="1" x14ac:dyDescent="0.2">
      <c r="A103" s="182" t="s">
        <v>581</v>
      </c>
      <c r="B103" s="813" t="str">
        <f>IF($A103="","",VLOOKUP($A103,Listes!$A$3:$C$193,2,FALSE))</f>
        <v>Genset Surcharge</v>
      </c>
      <c r="C103" s="813"/>
      <c r="D103" s="813"/>
      <c r="E103" s="814" t="s">
        <v>51</v>
      </c>
      <c r="F103" s="814"/>
      <c r="G103" s="814"/>
      <c r="H103" s="612"/>
      <c r="I103" s="531"/>
      <c r="J103" s="531"/>
      <c r="K103" s="531"/>
      <c r="L103" s="531"/>
      <c r="M103" s="532"/>
      <c r="N103" s="160"/>
      <c r="O103" s="160"/>
      <c r="P103" s="160"/>
      <c r="Q103" s="160"/>
      <c r="R103" s="159"/>
    </row>
    <row r="104" spans="1:18" s="136" customFormat="1" ht="15.75" customHeight="1" x14ac:dyDescent="0.2">
      <c r="A104" s="182" t="s">
        <v>82</v>
      </c>
      <c r="B104" s="813" t="str">
        <f>IF($A104="","",VLOOKUP($A104,Listes!$A$3:$C$193,2,FALSE))</f>
        <v>General Rate Increase</v>
      </c>
      <c r="C104" s="813"/>
      <c r="D104" s="813"/>
      <c r="E104" s="814" t="s">
        <v>51</v>
      </c>
      <c r="F104" s="814"/>
      <c r="G104" s="814"/>
      <c r="H104" s="612"/>
      <c r="I104" s="531"/>
      <c r="J104" s="531"/>
      <c r="K104" s="531"/>
      <c r="L104" s="531"/>
      <c r="M104" s="532"/>
      <c r="N104" s="160"/>
      <c r="O104" s="160"/>
      <c r="P104" s="160"/>
      <c r="Q104" s="160"/>
      <c r="R104" s="159"/>
    </row>
    <row r="105" spans="1:18" s="136" customFormat="1" ht="15.75" customHeight="1" x14ac:dyDescent="0.2">
      <c r="A105" s="182" t="s">
        <v>260</v>
      </c>
      <c r="B105" s="813" t="str">
        <f>IF($A105="","",VLOOKUP($A105,Listes!$A$3:$C$193,2,FALSE))</f>
        <v>Hazardous Fees (Ocean)</v>
      </c>
      <c r="C105" s="813"/>
      <c r="D105" s="813"/>
      <c r="E105" s="814" t="s">
        <v>51</v>
      </c>
      <c r="F105" s="814"/>
      <c r="G105" s="814"/>
      <c r="H105" s="612"/>
      <c r="I105" s="531"/>
      <c r="J105" s="531"/>
      <c r="K105" s="531"/>
      <c r="L105" s="531"/>
      <c r="M105" s="532"/>
      <c r="N105" s="160"/>
      <c r="O105" s="160"/>
      <c r="P105" s="160"/>
      <c r="Q105" s="160"/>
      <c r="R105" s="159"/>
    </row>
    <row r="106" spans="1:18" s="136" customFormat="1" ht="15.75" customHeight="1" x14ac:dyDescent="0.2">
      <c r="A106" s="182" t="s">
        <v>898</v>
      </c>
      <c r="B106" s="813" t="str">
        <f>IF($A106="","",VLOOKUP($A106,Listes!$A$3:$C$193,2,FALSE))</f>
        <v>Oncarriage Additional Intermodal Door Delivery Surcharge</v>
      </c>
      <c r="C106" s="813"/>
      <c r="D106" s="813"/>
      <c r="E106" s="814" t="s">
        <v>51</v>
      </c>
      <c r="F106" s="814"/>
      <c r="G106" s="814"/>
      <c r="H106" s="612"/>
      <c r="I106" s="531"/>
      <c r="J106" s="531"/>
      <c r="K106" s="531"/>
      <c r="L106" s="531"/>
      <c r="M106" s="532"/>
      <c r="N106" s="160"/>
      <c r="O106" s="160"/>
      <c r="P106" s="160"/>
      <c r="Q106" s="160"/>
      <c r="R106" s="159"/>
    </row>
    <row r="107" spans="1:18" s="136" customFormat="1" ht="15.75" customHeight="1" x14ac:dyDescent="0.2">
      <c r="A107" s="182" t="s">
        <v>94</v>
      </c>
      <c r="B107" s="813" t="str">
        <f>IF($A107="","",VLOOKUP($A107,Listes!$A$3:$C$193,2,FALSE))</f>
        <v>Oncarriage Inland Fuel Charge</v>
      </c>
      <c r="C107" s="813"/>
      <c r="D107" s="813"/>
      <c r="E107" s="814" t="s">
        <v>51</v>
      </c>
      <c r="F107" s="814"/>
      <c r="G107" s="814"/>
      <c r="H107" s="612"/>
      <c r="I107" s="531"/>
      <c r="J107" s="531"/>
      <c r="K107" s="531"/>
      <c r="L107" s="531"/>
      <c r="M107" s="532"/>
      <c r="N107" s="160"/>
      <c r="O107" s="160"/>
      <c r="P107" s="160"/>
      <c r="Q107" s="160"/>
      <c r="R107" s="159"/>
    </row>
    <row r="108" spans="1:18" s="136" customFormat="1" ht="15.75" customHeight="1" x14ac:dyDescent="0.2">
      <c r="A108" s="376" t="s">
        <v>107</v>
      </c>
      <c r="B108" s="813" t="str">
        <f>IF($A108="","",VLOOKUP($A108,Listes!$A$3:$C$193,2,FALSE))</f>
        <v>Lift-On Lift-Off Charges Origin</v>
      </c>
      <c r="C108" s="813"/>
      <c r="D108" s="813"/>
      <c r="E108" s="814" t="s">
        <v>51</v>
      </c>
      <c r="F108" s="814"/>
      <c r="G108" s="814"/>
      <c r="H108" s="612"/>
      <c r="I108" s="531"/>
      <c r="J108" s="531"/>
      <c r="K108" s="531"/>
      <c r="L108" s="531"/>
      <c r="M108" s="532"/>
      <c r="N108" s="160"/>
      <c r="O108" s="160"/>
      <c r="P108" s="160"/>
      <c r="Q108" s="160"/>
      <c r="R108" s="159"/>
    </row>
    <row r="109" spans="1:18" s="136" customFormat="1" ht="15.75" customHeight="1" x14ac:dyDescent="0.2">
      <c r="A109" s="182" t="s">
        <v>1290</v>
      </c>
      <c r="B109" s="813" t="str">
        <f>IF($A109="","",VLOOKUP($A109,Listes!$A$3:$C$193,2,FALSE))</f>
        <v>Local Port Charge Destination Sanitary Fee</v>
      </c>
      <c r="C109" s="813"/>
      <c r="D109" s="813"/>
      <c r="E109" s="814" t="s">
        <v>51</v>
      </c>
      <c r="F109" s="814"/>
      <c r="G109" s="814"/>
      <c r="H109" s="675"/>
      <c r="I109" s="531"/>
      <c r="J109" s="531"/>
      <c r="K109" s="531"/>
      <c r="L109" s="531"/>
      <c r="M109" s="532"/>
      <c r="N109" s="160"/>
      <c r="O109" s="160"/>
      <c r="P109" s="160"/>
      <c r="Q109" s="160"/>
      <c r="R109" s="159"/>
    </row>
    <row r="110" spans="1:18" s="136" customFormat="1" ht="15.75" customHeight="1" x14ac:dyDescent="0.2">
      <c r="A110" s="182" t="s">
        <v>1292</v>
      </c>
      <c r="B110" s="813" t="str">
        <f>IF($A110="","",VLOOKUP($A110,Listes!$A$3:$C$193,2,FALSE))</f>
        <v>Local Port Charge Origin Sanitary Fee</v>
      </c>
      <c r="C110" s="813"/>
      <c r="D110" s="813"/>
      <c r="E110" s="814" t="s">
        <v>51</v>
      </c>
      <c r="F110" s="814"/>
      <c r="G110" s="814"/>
      <c r="H110" s="675"/>
      <c r="I110" s="531"/>
      <c r="J110" s="531"/>
      <c r="K110" s="531"/>
      <c r="L110" s="531"/>
      <c r="M110" s="532"/>
      <c r="N110" s="160"/>
      <c r="O110" s="160"/>
      <c r="P110" s="160"/>
      <c r="Q110" s="160"/>
      <c r="R110" s="159"/>
    </row>
    <row r="111" spans="1:18" s="136" customFormat="1" ht="15.75" customHeight="1" x14ac:dyDescent="0.2">
      <c r="A111" s="182" t="s">
        <v>199</v>
      </c>
      <c r="B111" s="813" t="str">
        <f>IF($A111="","",VLOOKUP($A111,Listes!$A$3:$C$193,2,FALSE))</f>
        <v>Low Sulfur Surcharge</v>
      </c>
      <c r="C111" s="813"/>
      <c r="D111" s="813"/>
      <c r="E111" s="814" t="s">
        <v>53</v>
      </c>
      <c r="F111" s="814"/>
      <c r="G111" s="814"/>
      <c r="H111" s="612"/>
      <c r="I111" s="531"/>
      <c r="J111" s="531"/>
      <c r="K111" s="531"/>
      <c r="L111" s="531"/>
      <c r="M111" s="532"/>
      <c r="N111" s="160"/>
      <c r="O111" s="160"/>
      <c r="P111" s="160"/>
      <c r="Q111" s="160"/>
      <c r="R111" s="159"/>
    </row>
    <row r="112" spans="1:18" s="136" customFormat="1" ht="15.75" customHeight="1" x14ac:dyDescent="0.2">
      <c r="A112" s="182" t="s">
        <v>1124</v>
      </c>
      <c r="B112" s="813" t="str">
        <f>IF($A112="","",VLOOKUP($A112,Listes!$A$3:$C$193,2,FALSE))</f>
        <v>Low Sulfur Surcharge IMO2020</v>
      </c>
      <c r="C112" s="813"/>
      <c r="D112" s="813"/>
      <c r="E112" s="814" t="s">
        <v>53</v>
      </c>
      <c r="F112" s="814"/>
      <c r="G112" s="814"/>
      <c r="H112" s="666"/>
      <c r="I112" s="531"/>
      <c r="J112" s="531"/>
      <c r="K112" s="531"/>
      <c r="L112" s="531"/>
      <c r="M112" s="532"/>
      <c r="N112" s="160"/>
      <c r="O112" s="160"/>
      <c r="P112" s="160"/>
      <c r="Q112" s="160"/>
      <c r="R112" s="159"/>
    </row>
    <row r="113" spans="1:18" s="136" customFormat="1" x14ac:dyDescent="0.2">
      <c r="A113" s="182" t="s">
        <v>1059</v>
      </c>
      <c r="B113" s="813" t="str">
        <f>IF($A113="","",VLOOKUP($A113,Listes!$A$3:$C$193,2,FALSE))</f>
        <v>On-Carriage Emergency Inland Fuel Surcharge</v>
      </c>
      <c r="C113" s="813"/>
      <c r="D113" s="813"/>
      <c r="E113" s="814" t="s">
        <v>51</v>
      </c>
      <c r="F113" s="814"/>
      <c r="G113" s="814"/>
      <c r="H113" s="645"/>
      <c r="I113" s="531"/>
      <c r="J113" s="531"/>
      <c r="K113" s="531"/>
      <c r="L113" s="531"/>
      <c r="M113" s="532"/>
      <c r="N113" s="160"/>
      <c r="O113" s="160"/>
      <c r="P113" s="160"/>
      <c r="Q113" s="160"/>
      <c r="R113" s="159"/>
    </row>
    <row r="114" spans="1:18" s="136" customFormat="1" ht="31.5" x14ac:dyDescent="0.2">
      <c r="A114" s="182" t="s">
        <v>1088</v>
      </c>
      <c r="B114" s="813" t="str">
        <f>IF($A114="","",VLOOKUP($A114,Listes!$A$3:$C$193,2,FALSE))</f>
        <v>On-Carriage Emergency Intermodal Surcharge</v>
      </c>
      <c r="C114" s="813"/>
      <c r="D114" s="813"/>
      <c r="E114" s="814" t="s">
        <v>51</v>
      </c>
      <c r="F114" s="814"/>
      <c r="G114" s="814"/>
      <c r="H114" s="647"/>
      <c r="I114" s="531"/>
      <c r="J114" s="531"/>
      <c r="K114" s="531"/>
      <c r="L114" s="531"/>
      <c r="M114" s="532"/>
      <c r="N114" s="160"/>
      <c r="O114" s="160"/>
      <c r="P114" s="160"/>
      <c r="Q114" s="160"/>
      <c r="R114" s="159"/>
    </row>
    <row r="115" spans="1:18" s="136" customFormat="1" ht="15.75" customHeight="1" x14ac:dyDescent="0.2">
      <c r="A115" s="182" t="s">
        <v>497</v>
      </c>
      <c r="B115" s="813" t="str">
        <f>IF($A115="","",VLOOKUP($A115,Listes!$A$3:$C$193,2,FALSE))</f>
        <v>Inland Hazardous Charge Oncarriage</v>
      </c>
      <c r="C115" s="813"/>
      <c r="D115" s="813"/>
      <c r="E115" s="814" t="s">
        <v>51</v>
      </c>
      <c r="F115" s="814"/>
      <c r="G115" s="814"/>
      <c r="H115" s="612"/>
      <c r="I115" s="531"/>
      <c r="J115" s="531"/>
      <c r="K115" s="531"/>
      <c r="L115" s="531"/>
      <c r="M115" s="532"/>
      <c r="N115" s="160"/>
      <c r="O115" s="160"/>
      <c r="P115" s="160"/>
      <c r="Q115" s="160"/>
      <c r="R115" s="159"/>
    </row>
    <row r="116" spans="1:18" s="136" customFormat="1" ht="15.75" customHeight="1" x14ac:dyDescent="0.2">
      <c r="A116" s="182" t="s">
        <v>89</v>
      </c>
      <c r="B116" s="813" t="str">
        <f>IF($A116="","",VLOOKUP($A116,Listes!$A$3:$C$193,2,FALSE))</f>
        <v>Origin THC / Origin Receiving Charge</v>
      </c>
      <c r="C116" s="813"/>
      <c r="D116" s="813"/>
      <c r="E116" s="814" t="s">
        <v>51</v>
      </c>
      <c r="F116" s="814"/>
      <c r="G116" s="814"/>
      <c r="H116" s="612"/>
      <c r="I116" s="531"/>
      <c r="J116" s="531"/>
      <c r="K116" s="531"/>
      <c r="L116" s="531"/>
      <c r="M116" s="532"/>
      <c r="N116" s="160"/>
      <c r="O116" s="160"/>
      <c r="P116" s="160"/>
      <c r="Q116" s="160"/>
      <c r="R116" s="159"/>
    </row>
    <row r="117" spans="1:18" s="136" customFormat="1" ht="15.75" customHeight="1" x14ac:dyDescent="0.2">
      <c r="A117" s="182" t="s">
        <v>97</v>
      </c>
      <c r="B117" s="813" t="str">
        <f>IF($A117="","",VLOOKUP($A117,Listes!$A$3:$C$193,2,FALSE))</f>
        <v>Panama Canal Surcharge</v>
      </c>
      <c r="C117" s="813"/>
      <c r="D117" s="813"/>
      <c r="E117" s="814" t="s">
        <v>51</v>
      </c>
      <c r="F117" s="814"/>
      <c r="G117" s="814"/>
      <c r="H117" s="612"/>
      <c r="I117" s="531"/>
      <c r="J117" s="531"/>
      <c r="K117" s="531"/>
      <c r="L117" s="531"/>
      <c r="M117" s="532"/>
      <c r="N117" s="160"/>
      <c r="O117" s="160"/>
      <c r="P117" s="160"/>
      <c r="Q117" s="160"/>
      <c r="R117" s="159"/>
    </row>
    <row r="118" spans="1:18" s="136" customFormat="1" ht="15.75" customHeight="1" x14ac:dyDescent="0.2">
      <c r="A118" s="182" t="s">
        <v>1257</v>
      </c>
      <c r="B118" s="813" t="str">
        <f>IF($A118="","",VLOOKUP($A118,Listes!$A$3:$C$193,2,FALSE))</f>
        <v>Panama Canal Adj Factor</v>
      </c>
      <c r="C118" s="813"/>
      <c r="D118" s="813"/>
      <c r="E118" s="814" t="s">
        <v>51</v>
      </c>
      <c r="F118" s="814"/>
      <c r="G118" s="814"/>
      <c r="H118" s="670"/>
      <c r="I118" s="531"/>
      <c r="J118" s="531"/>
      <c r="K118" s="531"/>
      <c r="L118" s="531"/>
      <c r="M118" s="532"/>
      <c r="N118" s="160"/>
      <c r="O118" s="160"/>
      <c r="P118" s="160"/>
      <c r="Q118" s="160"/>
      <c r="R118" s="159"/>
    </row>
    <row r="119" spans="1:18" s="136" customFormat="1" ht="15.75" customHeight="1" x14ac:dyDescent="0.2">
      <c r="A119" s="182" t="s">
        <v>829</v>
      </c>
      <c r="B119" s="813" t="str">
        <f>IF($A119="","",VLOOKUP($A119,Listes!$A$3:$C$193,2,FALSE))</f>
        <v>Port Congestion Surcharge Origin</v>
      </c>
      <c r="C119" s="813"/>
      <c r="D119" s="813"/>
      <c r="E119" s="814" t="s">
        <v>51</v>
      </c>
      <c r="F119" s="814"/>
      <c r="G119" s="814"/>
      <c r="H119" s="612"/>
      <c r="I119" s="531"/>
      <c r="J119" s="531"/>
      <c r="K119" s="531"/>
      <c r="L119" s="531"/>
      <c r="M119" s="532"/>
      <c r="N119" s="160"/>
      <c r="O119" s="160"/>
      <c r="P119" s="160"/>
      <c r="Q119" s="160"/>
      <c r="R119" s="159"/>
    </row>
    <row r="120" spans="1:18" s="136" customFormat="1" ht="15.75" customHeight="1" x14ac:dyDescent="0.2">
      <c r="A120" s="182" t="s">
        <v>813</v>
      </c>
      <c r="B120" s="813" t="str">
        <f>IF($A120="","",VLOOKUP($A120,Listes!$A$3:$C$193,2,FALSE))</f>
        <v>Port License Fee / Port Taxes NOS</v>
      </c>
      <c r="C120" s="813"/>
      <c r="D120" s="813"/>
      <c r="E120" s="814" t="s">
        <v>51</v>
      </c>
      <c r="F120" s="814"/>
      <c r="G120" s="814"/>
      <c r="H120" s="612"/>
      <c r="I120" s="531"/>
      <c r="J120" s="531"/>
      <c r="K120" s="531"/>
      <c r="L120" s="531"/>
      <c r="M120" s="532"/>
      <c r="N120" s="160"/>
      <c r="O120" s="160"/>
      <c r="P120" s="160"/>
      <c r="Q120" s="160"/>
      <c r="R120" s="159"/>
    </row>
    <row r="121" spans="1:18" s="136" customFormat="1" ht="15.75" customHeight="1" x14ac:dyDescent="0.2">
      <c r="A121" s="182" t="s">
        <v>1374</v>
      </c>
      <c r="B121" s="813" t="str">
        <f>IF($A121="","",VLOOKUP($A121,Listes!$A$3:$C$193,2,FALSE))</f>
        <v>Port Access Fee Origin</v>
      </c>
      <c r="C121" s="813"/>
      <c r="D121" s="813"/>
      <c r="E121" s="814" t="s">
        <v>51</v>
      </c>
      <c r="F121" s="814"/>
      <c r="G121" s="814"/>
      <c r="H121" s="612"/>
      <c r="I121" s="531"/>
      <c r="J121" s="531"/>
      <c r="K121" s="531"/>
      <c r="L121" s="531"/>
      <c r="M121" s="532"/>
      <c r="N121" s="160"/>
      <c r="O121" s="160"/>
      <c r="P121" s="160"/>
      <c r="Q121" s="160"/>
      <c r="R121" s="159"/>
    </row>
    <row r="122" spans="1:18" s="136" customFormat="1" ht="15.75" customHeight="1" x14ac:dyDescent="0.2">
      <c r="A122" s="182" t="s">
        <v>500</v>
      </c>
      <c r="B122" s="813" t="str">
        <f>IF($A122="","",VLOOKUP($A122,Listes!$A$3:$C$193,2,FALSE))</f>
        <v>Inland Hazardous Charge Precarriage</v>
      </c>
      <c r="C122" s="813"/>
      <c r="D122" s="813"/>
      <c r="E122" s="814" t="s">
        <v>51</v>
      </c>
      <c r="F122" s="814"/>
      <c r="G122" s="814"/>
      <c r="H122" s="612"/>
      <c r="I122" s="531"/>
      <c r="J122" s="531"/>
      <c r="K122" s="531"/>
      <c r="L122" s="531"/>
      <c r="M122" s="532"/>
      <c r="N122" s="160"/>
      <c r="O122" s="160"/>
      <c r="P122" s="160"/>
      <c r="Q122" s="160"/>
      <c r="R122" s="159"/>
    </row>
    <row r="123" spans="1:18" s="136" customFormat="1" ht="15.75" customHeight="1" x14ac:dyDescent="0.2">
      <c r="A123" s="376" t="s">
        <v>834</v>
      </c>
      <c r="B123" s="813" t="str">
        <f>IF($A123="","",VLOOKUP($A123,Listes!$A$3:$C$193,2,FALSE))</f>
        <v>Port Service Charge / Port Additional Surcharge Origin</v>
      </c>
      <c r="C123" s="813"/>
      <c r="D123" s="813"/>
      <c r="E123" s="814" t="s">
        <v>51</v>
      </c>
      <c r="F123" s="814"/>
      <c r="G123" s="814"/>
      <c r="H123" s="612"/>
      <c r="I123" s="531"/>
      <c r="J123" s="531"/>
      <c r="K123" s="531"/>
      <c r="L123" s="531"/>
      <c r="M123" s="532"/>
      <c r="N123" s="160"/>
      <c r="O123" s="160"/>
      <c r="P123" s="160"/>
      <c r="Q123" s="160"/>
      <c r="R123" s="159"/>
    </row>
    <row r="124" spans="1:18" s="136" customFormat="1" ht="15.75" customHeight="1" x14ac:dyDescent="0.2">
      <c r="A124" s="182" t="s">
        <v>278</v>
      </c>
      <c r="B124" s="813" t="str">
        <f>IF($A124="","",VLOOKUP($A124,Listes!$A$3:$C$193,2,FALSE))</f>
        <v>Destination Terminal Security Charge</v>
      </c>
      <c r="C124" s="813"/>
      <c r="D124" s="813"/>
      <c r="E124" s="814" t="s">
        <v>51</v>
      </c>
      <c r="F124" s="814"/>
      <c r="G124" s="814"/>
      <c r="H124" s="612"/>
      <c r="I124" s="531"/>
      <c r="J124" s="531"/>
      <c r="K124" s="531"/>
      <c r="L124" s="531"/>
      <c r="M124" s="532"/>
      <c r="N124" s="160"/>
      <c r="O124" s="160"/>
      <c r="P124" s="160"/>
      <c r="Q124" s="160"/>
      <c r="R124" s="159"/>
    </row>
    <row r="125" spans="1:18" s="136" customFormat="1" ht="15.75" customHeight="1" x14ac:dyDescent="0.2">
      <c r="A125" s="182" t="s">
        <v>277</v>
      </c>
      <c r="B125" s="813" t="str">
        <f>IF($A125="","",VLOOKUP($A125,Listes!$A$3:$C$193,2,FALSE))</f>
        <v>Origin Terminal Security Charge</v>
      </c>
      <c r="C125" s="813"/>
      <c r="D125" s="813"/>
      <c r="E125" s="814" t="s">
        <v>51</v>
      </c>
      <c r="F125" s="814"/>
      <c r="G125" s="814"/>
      <c r="H125" s="612"/>
      <c r="I125" s="531"/>
      <c r="J125" s="531"/>
      <c r="K125" s="531"/>
      <c r="L125" s="531"/>
      <c r="M125" s="532"/>
      <c r="N125" s="160"/>
      <c r="O125" s="160"/>
      <c r="P125" s="160"/>
      <c r="Q125" s="160"/>
      <c r="R125" s="159"/>
    </row>
    <row r="126" spans="1:18" s="136" customFormat="1" ht="31.5" x14ac:dyDescent="0.2">
      <c r="A126" s="182" t="s">
        <v>367</v>
      </c>
      <c r="B126" s="813" t="str">
        <f>IF($A126="","",VLOOKUP($A126,Listes!$A$3:$C$193,2,FALSE))</f>
        <v>Tri-Axle / Super Chassis Oncarriage Surcharge</v>
      </c>
      <c r="C126" s="813"/>
      <c r="D126" s="813"/>
      <c r="E126" s="814" t="s">
        <v>51</v>
      </c>
      <c r="F126" s="814"/>
      <c r="G126" s="814"/>
      <c r="H126" s="612"/>
      <c r="I126" s="531"/>
      <c r="J126" s="531"/>
      <c r="K126" s="531"/>
      <c r="L126" s="531"/>
      <c r="M126" s="532"/>
      <c r="N126" s="160"/>
      <c r="O126" s="160"/>
      <c r="P126" s="160"/>
      <c r="Q126" s="160"/>
      <c r="R126" s="159"/>
    </row>
    <row r="127" spans="1:18" s="136" customFormat="1" ht="16.5" thickBot="1" x14ac:dyDescent="0.25">
      <c r="A127" s="185" t="s">
        <v>742</v>
      </c>
      <c r="B127" s="998" t="str">
        <f>IF($A127="","",VLOOKUP($A127,Listes!$A$3:$C$193,2,FALSE))</f>
        <v>Wharfage (Destination)</v>
      </c>
      <c r="C127" s="999"/>
      <c r="D127" s="1000"/>
      <c r="E127" s="815" t="s">
        <v>51</v>
      </c>
      <c r="F127" s="815"/>
      <c r="G127" s="815"/>
      <c r="H127" s="613"/>
      <c r="I127" s="533"/>
      <c r="J127" s="533"/>
      <c r="K127" s="533"/>
      <c r="L127" s="533"/>
      <c r="M127" s="534"/>
      <c r="N127" s="160"/>
      <c r="O127" s="160"/>
      <c r="P127" s="160"/>
      <c r="Q127" s="160"/>
      <c r="R127" s="159"/>
    </row>
    <row r="128" spans="1:18" s="73" customFormat="1" ht="16.5" thickBot="1" x14ac:dyDescent="0.25">
      <c r="A128" s="995" t="s">
        <v>216</v>
      </c>
      <c r="B128" s="996"/>
      <c r="C128" s="996"/>
      <c r="D128" s="996"/>
      <c r="E128" s="997"/>
      <c r="F128" s="997"/>
      <c r="G128" s="997"/>
      <c r="H128" s="997"/>
      <c r="I128" s="853"/>
      <c r="J128" s="169"/>
      <c r="K128" s="118"/>
      <c r="L128" s="134"/>
      <c r="M128" s="134"/>
      <c r="N128" s="134"/>
      <c r="O128" s="134"/>
      <c r="P128" s="134"/>
      <c r="Q128" s="118"/>
    </row>
    <row r="129" spans="1:23" s="73" customFormat="1" ht="16.5" thickBot="1" x14ac:dyDescent="0.25">
      <c r="A129" s="849" t="s">
        <v>597</v>
      </c>
      <c r="B129" s="833"/>
      <c r="C129" s="833"/>
      <c r="D129" s="833"/>
      <c r="E129" s="833"/>
      <c r="F129" s="833"/>
      <c r="G129" s="833"/>
      <c r="H129" s="833"/>
      <c r="I129" s="834"/>
      <c r="J129" s="169"/>
      <c r="K129" s="134"/>
      <c r="L129" s="134"/>
      <c r="M129" s="134"/>
      <c r="N129" s="134"/>
      <c r="O129" s="118"/>
    </row>
    <row r="130" spans="1:23" s="73" customFormat="1" ht="16.5" thickBot="1" x14ac:dyDescent="0.25">
      <c r="A130" s="187"/>
      <c r="B130" s="187"/>
      <c r="C130" s="188"/>
      <c r="D130" s="189"/>
      <c r="E130" s="170"/>
      <c r="F130" s="170"/>
      <c r="G130" s="170"/>
      <c r="H130" s="170"/>
      <c r="I130" s="170"/>
      <c r="J130" s="189"/>
      <c r="K130" s="169"/>
      <c r="L130" s="118"/>
      <c r="M130" s="134"/>
      <c r="N130" s="134"/>
      <c r="O130" s="134"/>
      <c r="P130" s="134"/>
      <c r="Q130" s="134"/>
      <c r="R130" s="118"/>
    </row>
    <row r="131" spans="1:23" s="73" customFormat="1" ht="15.6" customHeight="1" x14ac:dyDescent="0.2">
      <c r="A131" s="830" t="s">
        <v>523</v>
      </c>
      <c r="B131" s="831"/>
      <c r="C131" s="831"/>
      <c r="D131" s="831"/>
      <c r="E131" s="842" t="s">
        <v>288</v>
      </c>
      <c r="F131" s="842">
        <v>20</v>
      </c>
      <c r="G131" s="842">
        <v>40</v>
      </c>
      <c r="H131" s="842" t="s">
        <v>19</v>
      </c>
      <c r="I131" s="842" t="s">
        <v>20</v>
      </c>
      <c r="J131" s="848" t="s">
        <v>297</v>
      </c>
      <c r="K131" s="848" t="s">
        <v>33</v>
      </c>
      <c r="L131" s="846" t="s">
        <v>217</v>
      </c>
      <c r="M131" s="189"/>
      <c r="N131" s="134"/>
      <c r="O131" s="134"/>
      <c r="P131" s="134"/>
      <c r="Q131" s="134"/>
      <c r="R131" s="134"/>
      <c r="S131" s="134"/>
      <c r="T131" s="134"/>
      <c r="U131" s="134"/>
    </row>
    <row r="132" spans="1:23" s="73" customFormat="1" x14ac:dyDescent="0.2">
      <c r="A132" s="537" t="s">
        <v>218</v>
      </c>
      <c r="B132" s="538" t="s">
        <v>11</v>
      </c>
      <c r="C132" s="538" t="s">
        <v>12</v>
      </c>
      <c r="D132" s="538" t="s">
        <v>219</v>
      </c>
      <c r="E132" s="843"/>
      <c r="F132" s="843"/>
      <c r="G132" s="843"/>
      <c r="H132" s="843"/>
      <c r="I132" s="843"/>
      <c r="J132" s="843"/>
      <c r="K132" s="843"/>
      <c r="L132" s="847"/>
      <c r="M132" s="189"/>
      <c r="N132" s="134"/>
      <c r="O132" s="134"/>
      <c r="P132" s="134"/>
      <c r="Q132" s="134"/>
      <c r="R132" s="134"/>
      <c r="S132" s="134"/>
      <c r="T132" s="134"/>
      <c r="U132" s="134"/>
    </row>
    <row r="133" spans="1:23" s="136" customFormat="1" x14ac:dyDescent="0.2">
      <c r="A133" s="539"/>
      <c r="B133" s="540"/>
      <c r="C133" s="540"/>
      <c r="D133" s="540"/>
      <c r="E133" s="540"/>
      <c r="F133" s="255"/>
      <c r="G133" s="255"/>
      <c r="H133" s="255"/>
      <c r="I133" s="255"/>
      <c r="J133" s="540"/>
      <c r="K133" s="21"/>
      <c r="L133" s="541"/>
      <c r="M133" s="190"/>
      <c r="N133" s="160"/>
      <c r="O133" s="160"/>
      <c r="P133" s="160"/>
      <c r="Q133" s="160"/>
      <c r="R133" s="160"/>
      <c r="S133" s="160"/>
      <c r="T133" s="160"/>
      <c r="U133" s="160"/>
    </row>
    <row r="134" spans="1:23" s="136" customFormat="1" x14ac:dyDescent="0.2">
      <c r="A134" s="542"/>
      <c r="B134" s="540"/>
      <c r="C134" s="540"/>
      <c r="D134" s="540"/>
      <c r="E134" s="540"/>
      <c r="F134" s="255"/>
      <c r="G134" s="255"/>
      <c r="H134" s="255"/>
      <c r="I134" s="255"/>
      <c r="J134" s="24"/>
      <c r="K134" s="21"/>
      <c r="L134" s="25"/>
      <c r="M134" s="191"/>
      <c r="N134" s="160"/>
      <c r="O134" s="160"/>
      <c r="P134" s="160"/>
      <c r="Q134" s="160"/>
      <c r="R134" s="160"/>
      <c r="S134" s="160"/>
      <c r="T134" s="160"/>
      <c r="U134" s="160"/>
    </row>
    <row r="135" spans="1:23" s="136" customFormat="1" x14ac:dyDescent="0.2">
      <c r="A135" s="542"/>
      <c r="B135" s="540"/>
      <c r="C135" s="540"/>
      <c r="D135" s="540"/>
      <c r="E135" s="540"/>
      <c r="F135" s="255"/>
      <c r="G135" s="255"/>
      <c r="H135" s="255"/>
      <c r="I135" s="255"/>
      <c r="J135" s="24"/>
      <c r="K135" s="21"/>
      <c r="L135" s="25"/>
      <c r="M135" s="191"/>
      <c r="N135" s="160"/>
      <c r="O135" s="160"/>
      <c r="P135" s="160"/>
      <c r="Q135" s="160"/>
      <c r="R135" s="160"/>
      <c r="S135" s="160"/>
      <c r="T135" s="160"/>
      <c r="U135" s="160"/>
    </row>
    <row r="136" spans="1:23" s="136" customFormat="1" ht="16.5" thickBot="1" x14ac:dyDescent="0.25">
      <c r="A136" s="543"/>
      <c r="B136" s="544"/>
      <c r="C136" s="544"/>
      <c r="D136" s="544"/>
      <c r="E136" s="544"/>
      <c r="F136" s="256"/>
      <c r="G136" s="256"/>
      <c r="H136" s="256"/>
      <c r="I136" s="256"/>
      <c r="J136" s="28"/>
      <c r="K136" s="29"/>
      <c r="L136" s="30"/>
      <c r="M136" s="191"/>
      <c r="N136" s="160"/>
      <c r="O136" s="160"/>
      <c r="P136" s="160"/>
      <c r="Q136" s="160"/>
      <c r="R136" s="160"/>
      <c r="S136" s="160"/>
      <c r="T136" s="160"/>
      <c r="U136" s="160"/>
    </row>
    <row r="137" spans="1:23" s="136" customFormat="1" x14ac:dyDescent="0.2">
      <c r="A137" s="173"/>
      <c r="B137" s="545"/>
      <c r="C137" s="545"/>
      <c r="D137" s="545"/>
      <c r="E137" s="545"/>
      <c r="F137" s="545"/>
      <c r="G137" s="545"/>
      <c r="H137" s="545"/>
      <c r="I137" s="545"/>
      <c r="J137" s="33"/>
      <c r="K137" s="33"/>
      <c r="L137" s="34"/>
      <c r="M137" s="191"/>
      <c r="N137" s="160"/>
      <c r="O137" s="160"/>
      <c r="P137" s="160"/>
      <c r="Q137" s="160"/>
      <c r="R137" s="160"/>
      <c r="S137" s="160"/>
      <c r="T137" s="160"/>
      <c r="U137" s="160"/>
    </row>
    <row r="138" spans="1:23" s="73" customFormat="1" ht="15.6" customHeight="1" x14ac:dyDescent="0.2">
      <c r="A138" s="841" t="s">
        <v>596</v>
      </c>
      <c r="B138" s="840"/>
      <c r="C138" s="840"/>
      <c r="D138" s="840"/>
      <c r="E138" s="840" t="s">
        <v>288</v>
      </c>
      <c r="F138" s="840">
        <v>20</v>
      </c>
      <c r="G138" s="840">
        <v>40</v>
      </c>
      <c r="H138" s="840" t="s">
        <v>19</v>
      </c>
      <c r="I138" s="840" t="s">
        <v>20</v>
      </c>
      <c r="J138" s="845" t="s">
        <v>297</v>
      </c>
      <c r="K138" s="845" t="s">
        <v>33</v>
      </c>
      <c r="L138" s="844" t="s">
        <v>217</v>
      </c>
      <c r="M138" s="844" t="s">
        <v>23</v>
      </c>
      <c r="N138" s="169"/>
      <c r="O138" s="118"/>
      <c r="P138" s="134"/>
      <c r="Q138" s="134"/>
      <c r="R138" s="134"/>
      <c r="S138" s="134"/>
      <c r="T138" s="134"/>
      <c r="U138" s="134"/>
      <c r="V138" s="134"/>
      <c r="W138" s="134"/>
    </row>
    <row r="139" spans="1:23" s="73" customFormat="1" x14ac:dyDescent="0.2">
      <c r="A139" s="546" t="s">
        <v>218</v>
      </c>
      <c r="B139" s="546" t="s">
        <v>11</v>
      </c>
      <c r="C139" s="546" t="s">
        <v>12</v>
      </c>
      <c r="D139" s="546" t="s">
        <v>219</v>
      </c>
      <c r="E139" s="840"/>
      <c r="F139" s="840"/>
      <c r="G139" s="840"/>
      <c r="H139" s="840"/>
      <c r="I139" s="840"/>
      <c r="J139" s="840"/>
      <c r="K139" s="840"/>
      <c r="L139" s="844"/>
      <c r="M139" s="844"/>
      <c r="N139" s="169"/>
      <c r="O139" s="118"/>
      <c r="P139" s="134"/>
      <c r="Q139" s="134"/>
      <c r="R139" s="134"/>
      <c r="S139" s="134"/>
      <c r="T139" s="134"/>
      <c r="U139" s="134"/>
      <c r="V139" s="134"/>
      <c r="W139" s="134"/>
    </row>
    <row r="140" spans="1:23" s="136" customFormat="1" x14ac:dyDescent="0.2">
      <c r="A140" s="372"/>
      <c r="B140" s="547"/>
      <c r="C140" s="547"/>
      <c r="D140" s="547"/>
      <c r="E140" s="547"/>
      <c r="F140" s="368"/>
      <c r="G140" s="368"/>
      <c r="H140" s="368"/>
      <c r="I140" s="368"/>
      <c r="J140" s="369"/>
      <c r="K140" s="370"/>
      <c r="L140" s="548"/>
      <c r="M140" s="548"/>
      <c r="N140" s="192"/>
      <c r="O140" s="159"/>
      <c r="P140" s="160"/>
      <c r="Q140" s="160"/>
      <c r="R140" s="160"/>
      <c r="S140" s="160"/>
      <c r="T140" s="160"/>
      <c r="U140" s="160"/>
      <c r="V140" s="160"/>
      <c r="W140" s="160"/>
    </row>
    <row r="141" spans="1:23" s="136" customFormat="1" x14ac:dyDescent="0.2">
      <c r="A141" s="372"/>
      <c r="B141" s="547"/>
      <c r="C141" s="547"/>
      <c r="D141" s="547"/>
      <c r="E141" s="547"/>
      <c r="F141" s="368"/>
      <c r="G141" s="368"/>
      <c r="H141" s="368"/>
      <c r="I141" s="368"/>
      <c r="J141" s="369"/>
      <c r="K141" s="370"/>
      <c r="L141" s="548"/>
      <c r="M141" s="548"/>
      <c r="N141" s="192"/>
      <c r="O141" s="159"/>
      <c r="P141" s="160"/>
      <c r="Q141" s="160"/>
      <c r="R141" s="160"/>
      <c r="S141" s="160"/>
      <c r="T141" s="160"/>
      <c r="U141" s="160"/>
      <c r="V141" s="160"/>
      <c r="W141" s="160"/>
    </row>
    <row r="142" spans="1:23" s="136" customFormat="1" x14ac:dyDescent="0.2">
      <c r="A142" s="372"/>
      <c r="B142" s="547"/>
      <c r="C142" s="547"/>
      <c r="D142" s="547"/>
      <c r="E142" s="547"/>
      <c r="F142" s="368"/>
      <c r="G142" s="368"/>
      <c r="H142" s="368"/>
      <c r="I142" s="368"/>
      <c r="J142" s="369"/>
      <c r="K142" s="370"/>
      <c r="L142" s="548"/>
      <c r="M142" s="548"/>
      <c r="N142" s="192"/>
      <c r="O142" s="159"/>
      <c r="P142" s="160"/>
      <c r="Q142" s="160"/>
      <c r="R142" s="160"/>
      <c r="S142" s="160"/>
      <c r="T142" s="160"/>
      <c r="U142" s="160"/>
      <c r="V142" s="160"/>
      <c r="W142" s="160"/>
    </row>
    <row r="143" spans="1:23" s="136" customFormat="1" x14ac:dyDescent="0.2">
      <c r="A143" s="372"/>
      <c r="B143" s="547"/>
      <c r="C143" s="547"/>
      <c r="D143" s="547"/>
      <c r="E143" s="547"/>
      <c r="F143" s="368"/>
      <c r="G143" s="368"/>
      <c r="H143" s="368"/>
      <c r="I143" s="368"/>
      <c r="J143" s="369"/>
      <c r="K143" s="370"/>
      <c r="L143" s="373"/>
      <c r="M143" s="373"/>
      <c r="N143" s="191"/>
      <c r="O143" s="159"/>
      <c r="P143" s="160"/>
      <c r="Q143" s="160"/>
      <c r="R143" s="160"/>
      <c r="S143" s="160"/>
      <c r="T143" s="160"/>
      <c r="U143" s="160"/>
      <c r="V143" s="160"/>
      <c r="W143" s="160"/>
    </row>
    <row r="144" spans="1:23" s="73" customFormat="1" x14ac:dyDescent="0.2">
      <c r="A144" s="456"/>
      <c r="B144" s="549"/>
      <c r="C144" s="549"/>
      <c r="D144" s="549"/>
      <c r="E144" s="549"/>
      <c r="F144" s="194"/>
      <c r="G144" s="522"/>
      <c r="H144" s="195"/>
      <c r="I144" s="195"/>
      <c r="J144" s="176"/>
      <c r="K144" s="118"/>
      <c r="L144" s="134"/>
      <c r="M144" s="134"/>
      <c r="N144" s="134"/>
      <c r="O144" s="134"/>
      <c r="P144" s="134"/>
      <c r="Q144" s="134"/>
    </row>
    <row r="145" spans="1:21" s="456" customFormat="1" ht="16.5" thickBot="1" x14ac:dyDescent="0.25">
      <c r="A145" s="196"/>
      <c r="B145" s="197"/>
      <c r="C145" s="198"/>
      <c r="D145" s="198"/>
      <c r="E145" s="169"/>
      <c r="F145" s="176"/>
      <c r="G145" s="176"/>
      <c r="H145" s="176"/>
      <c r="I145" s="176"/>
      <c r="J145" s="170"/>
      <c r="K145" s="118"/>
      <c r="L145" s="134"/>
      <c r="M145" s="134"/>
      <c r="N145" s="134"/>
      <c r="O145" s="134"/>
      <c r="P145" s="134"/>
      <c r="Q145" s="134"/>
      <c r="R145" s="134"/>
      <c r="S145" s="118"/>
      <c r="T145" s="118"/>
      <c r="U145" s="118"/>
    </row>
    <row r="146" spans="1:21" s="456" customFormat="1" ht="16.5" thickBot="1" x14ac:dyDescent="0.25">
      <c r="A146" s="822" t="s">
        <v>220</v>
      </c>
      <c r="B146" s="823"/>
      <c r="C146" s="823"/>
      <c r="D146" s="823"/>
      <c r="E146" s="824"/>
      <c r="F146" s="176"/>
      <c r="G146" s="176"/>
      <c r="H146" s="176"/>
      <c r="I146" s="176"/>
      <c r="J146" s="170"/>
      <c r="K146" s="118"/>
      <c r="L146" s="134"/>
      <c r="M146" s="134"/>
      <c r="N146" s="134"/>
      <c r="O146" s="134"/>
      <c r="P146" s="134"/>
      <c r="Q146" s="134"/>
      <c r="R146" s="134"/>
      <c r="S146" s="118"/>
      <c r="T146" s="118"/>
      <c r="U146" s="118"/>
    </row>
    <row r="147" spans="1:21" s="73" customFormat="1" ht="16.5" thickBot="1" x14ac:dyDescent="0.25">
      <c r="A147" s="550"/>
      <c r="B147" s="456"/>
      <c r="C147" s="456"/>
      <c r="D147" s="456"/>
      <c r="E147" s="456"/>
      <c r="F147" s="194"/>
      <c r="G147" s="456"/>
      <c r="H147" s="200"/>
      <c r="I147" s="194"/>
      <c r="J147" s="194"/>
      <c r="K147" s="118"/>
      <c r="L147" s="134"/>
      <c r="M147" s="134"/>
      <c r="N147" s="134"/>
      <c r="O147" s="134"/>
      <c r="P147" s="134"/>
      <c r="Q147" s="134"/>
      <c r="R147" s="134"/>
      <c r="S147" s="118"/>
      <c r="T147" s="118"/>
      <c r="U147" s="118"/>
    </row>
    <row r="148" spans="1:21" s="73" customFormat="1" ht="16.5" thickBot="1" x14ac:dyDescent="0.25">
      <c r="A148" s="825" t="s">
        <v>221</v>
      </c>
      <c r="B148" s="838"/>
      <c r="C148" s="838"/>
      <c r="D148" s="838"/>
      <c r="E148" s="838"/>
      <c r="F148" s="839"/>
      <c r="G148" s="456"/>
      <c r="H148" s="200"/>
      <c r="I148" s="194"/>
      <c r="J148" s="194"/>
      <c r="K148" s="118"/>
      <c r="L148" s="134"/>
      <c r="M148" s="134"/>
      <c r="N148" s="134"/>
      <c r="O148" s="134"/>
      <c r="P148" s="134"/>
      <c r="Q148" s="134"/>
      <c r="R148" s="134"/>
      <c r="S148" s="118"/>
      <c r="T148" s="118"/>
      <c r="U148" s="118"/>
    </row>
    <row r="149" spans="1:21" s="73" customFormat="1" ht="16.5" customHeight="1" x14ac:dyDescent="0.2">
      <c r="A149" s="835" t="s">
        <v>222</v>
      </c>
      <c r="B149" s="836"/>
      <c r="C149" s="836"/>
      <c r="D149" s="836"/>
      <c r="E149" s="836"/>
      <c r="F149" s="837"/>
      <c r="G149" s="456"/>
      <c r="H149" s="201"/>
      <c r="I149" s="170"/>
      <c r="J149" s="170"/>
      <c r="K149" s="118"/>
      <c r="L149" s="134"/>
      <c r="M149" s="134"/>
      <c r="N149" s="134"/>
      <c r="O149" s="134"/>
      <c r="P149" s="134"/>
      <c r="Q149" s="134"/>
      <c r="R149" s="134"/>
      <c r="S149" s="118"/>
      <c r="T149" s="118"/>
      <c r="U149" s="118"/>
    </row>
    <row r="150" spans="1:21" ht="16.5" thickBot="1" x14ac:dyDescent="0.25">
      <c r="A150" s="832" t="s">
        <v>223</v>
      </c>
      <c r="B150" s="833"/>
      <c r="C150" s="833"/>
      <c r="D150" s="833"/>
      <c r="E150" s="833"/>
      <c r="F150" s="834"/>
      <c r="G150" s="176"/>
      <c r="H150" s="176"/>
      <c r="I150" s="176"/>
      <c r="J150" s="169"/>
      <c r="K150" s="169"/>
      <c r="L150" s="169"/>
      <c r="M150" s="169"/>
      <c r="N150" s="169"/>
      <c r="O150" s="169"/>
      <c r="P150" s="169"/>
      <c r="Q150" s="169"/>
      <c r="R150" s="169"/>
      <c r="S150" s="169"/>
      <c r="T150" s="169"/>
      <c r="U150" s="169"/>
    </row>
    <row r="151" spans="1:21" x14ac:dyDescent="0.2">
      <c r="A151" s="551" t="s">
        <v>224</v>
      </c>
      <c r="B151" s="450" t="s">
        <v>225</v>
      </c>
      <c r="C151" s="552" t="s">
        <v>226</v>
      </c>
      <c r="D151" s="553" t="s">
        <v>227</v>
      </c>
      <c r="E151" s="176"/>
      <c r="F151" s="176"/>
      <c r="G151" s="176"/>
      <c r="H151" s="169"/>
      <c r="I151" s="169"/>
      <c r="J151" s="169"/>
      <c r="K151" s="169"/>
      <c r="L151" s="169"/>
      <c r="M151" s="169"/>
      <c r="N151" s="169"/>
      <c r="O151" s="169"/>
      <c r="P151" s="169"/>
      <c r="Q151" s="169"/>
      <c r="R151" s="169"/>
    </row>
    <row r="152" spans="1:21" s="192" customFormat="1" x14ac:dyDescent="0.2">
      <c r="A152" s="203"/>
      <c r="B152" s="204"/>
      <c r="C152" s="205"/>
      <c r="D152" s="206"/>
      <c r="E152" s="191"/>
      <c r="F152" s="191"/>
      <c r="G152" s="191"/>
    </row>
    <row r="153" spans="1:21" s="192" customFormat="1" x14ac:dyDescent="0.2">
      <c r="A153" s="203"/>
      <c r="B153" s="204"/>
      <c r="C153" s="205"/>
      <c r="D153" s="206"/>
      <c r="E153" s="191"/>
      <c r="F153" s="191"/>
      <c r="G153" s="191"/>
    </row>
    <row r="154" spans="1:21" s="192" customFormat="1" ht="16.5" thickBot="1" x14ac:dyDescent="0.25">
      <c r="A154" s="207"/>
      <c r="B154" s="208"/>
      <c r="C154" s="209"/>
      <c r="D154" s="210"/>
      <c r="E154" s="191"/>
      <c r="F154" s="191"/>
      <c r="G154" s="191"/>
    </row>
    <row r="155" spans="1:21" ht="16.5" thickBot="1" x14ac:dyDescent="0.25"/>
    <row r="156" spans="1:21" s="73" customFormat="1" ht="16.5" thickBot="1" x14ac:dyDescent="0.25">
      <c r="A156" s="822" t="s">
        <v>228</v>
      </c>
      <c r="B156" s="823"/>
      <c r="C156" s="823"/>
      <c r="D156" s="823"/>
      <c r="E156" s="823"/>
      <c r="F156" s="823"/>
      <c r="G156" s="823"/>
      <c r="H156" s="823"/>
      <c r="I156" s="824"/>
      <c r="J156" s="169"/>
      <c r="K156" s="118"/>
      <c r="L156" s="134"/>
      <c r="M156" s="134"/>
      <c r="N156" s="134"/>
      <c r="O156" s="134"/>
      <c r="P156" s="134"/>
      <c r="Q156" s="134"/>
      <c r="R156" s="134"/>
      <c r="S156" s="118"/>
      <c r="T156" s="118"/>
      <c r="U156" s="118"/>
    </row>
    <row r="157" spans="1:21" s="73" customFormat="1" ht="16.5" thickBot="1" x14ac:dyDescent="0.25">
      <c r="A157" s="554" t="s">
        <v>229</v>
      </c>
      <c r="B157" s="213"/>
      <c r="C157" s="214"/>
      <c r="D157" s="214"/>
      <c r="E157" s="214"/>
      <c r="F157" s="214"/>
      <c r="G157" s="215"/>
      <c r="H157" s="216"/>
      <c r="I157" s="217"/>
      <c r="J157" s="170"/>
      <c r="K157" s="118"/>
      <c r="L157" s="134"/>
      <c r="M157" s="134"/>
      <c r="N157" s="134"/>
      <c r="O157" s="134"/>
      <c r="P157" s="134"/>
      <c r="Q157" s="134"/>
      <c r="R157" s="134"/>
      <c r="S157" s="118"/>
      <c r="T157" s="118"/>
      <c r="U157" s="118"/>
    </row>
    <row r="158" spans="1:21" s="308" customFormat="1" x14ac:dyDescent="0.2">
      <c r="A158" s="228"/>
      <c r="B158" s="949"/>
      <c r="C158" s="950"/>
      <c r="D158" s="950"/>
      <c r="E158" s="950"/>
      <c r="F158" s="950"/>
      <c r="G158" s="950"/>
      <c r="H158" s="950"/>
      <c r="I158" s="951"/>
      <c r="J158" s="171"/>
      <c r="K158" s="172"/>
      <c r="L158" s="173"/>
      <c r="M158" s="173"/>
      <c r="N158" s="173"/>
      <c r="O158" s="173"/>
      <c r="P158" s="173"/>
      <c r="Q158" s="173"/>
      <c r="R158" s="173"/>
      <c r="S158" s="172"/>
      <c r="T158" s="172"/>
      <c r="U158" s="172"/>
    </row>
    <row r="159" spans="1:21" s="218" customFormat="1" x14ac:dyDescent="0.2">
      <c r="A159" s="281"/>
      <c r="B159" s="816"/>
      <c r="C159" s="817"/>
      <c r="D159" s="817"/>
      <c r="E159" s="817"/>
      <c r="F159" s="817"/>
      <c r="G159" s="817"/>
      <c r="H159" s="817"/>
      <c r="I159" s="818"/>
    </row>
    <row r="160" spans="1:21" s="218" customFormat="1" x14ac:dyDescent="0.2">
      <c r="A160" s="281"/>
      <c r="B160" s="816"/>
      <c r="C160" s="817"/>
      <c r="D160" s="817"/>
      <c r="E160" s="817"/>
      <c r="F160" s="817"/>
      <c r="G160" s="817"/>
      <c r="H160" s="817"/>
      <c r="I160" s="818"/>
    </row>
    <row r="161" spans="1:9" s="218" customFormat="1" x14ac:dyDescent="0.2">
      <c r="A161" s="281"/>
      <c r="B161" s="816"/>
      <c r="C161" s="817"/>
      <c r="D161" s="817"/>
      <c r="E161" s="817"/>
      <c r="F161" s="817"/>
      <c r="G161" s="817"/>
      <c r="H161" s="817"/>
      <c r="I161" s="818"/>
    </row>
    <row r="162" spans="1:9" s="218" customFormat="1" x14ac:dyDescent="0.2">
      <c r="A162" s="281"/>
      <c r="B162" s="816"/>
      <c r="C162" s="817"/>
      <c r="D162" s="817"/>
      <c r="E162" s="817"/>
      <c r="F162" s="817"/>
      <c r="G162" s="817"/>
      <c r="H162" s="817"/>
      <c r="I162" s="818"/>
    </row>
    <row r="163" spans="1:9" s="218" customFormat="1" x14ac:dyDescent="0.2">
      <c r="A163" s="281"/>
      <c r="B163" s="816"/>
      <c r="C163" s="817"/>
      <c r="D163" s="817"/>
      <c r="E163" s="817"/>
      <c r="F163" s="817"/>
      <c r="G163" s="817"/>
      <c r="H163" s="817"/>
      <c r="I163" s="818"/>
    </row>
    <row r="164" spans="1:9" s="218" customFormat="1" x14ac:dyDescent="0.2">
      <c r="A164" s="281"/>
      <c r="B164" s="816"/>
      <c r="C164" s="817"/>
      <c r="D164" s="817"/>
      <c r="E164" s="817"/>
      <c r="F164" s="817"/>
      <c r="G164" s="817"/>
      <c r="H164" s="817"/>
      <c r="I164" s="818"/>
    </row>
    <row r="165" spans="1:9" s="218" customFormat="1" x14ac:dyDescent="0.2">
      <c r="A165" s="281"/>
      <c r="B165" s="816"/>
      <c r="C165" s="817"/>
      <c r="D165" s="817"/>
      <c r="E165" s="817"/>
      <c r="F165" s="817"/>
      <c r="G165" s="817"/>
      <c r="H165" s="817"/>
      <c r="I165" s="818"/>
    </row>
    <row r="166" spans="1:9" s="218" customFormat="1" x14ac:dyDescent="0.2">
      <c r="A166" s="281"/>
      <c r="B166" s="816"/>
      <c r="C166" s="817"/>
      <c r="D166" s="817"/>
      <c r="E166" s="817"/>
      <c r="F166" s="817"/>
      <c r="G166" s="817"/>
      <c r="H166" s="817"/>
      <c r="I166" s="818"/>
    </row>
    <row r="167" spans="1:9" s="218" customFormat="1" x14ac:dyDescent="0.2">
      <c r="A167" s="281"/>
      <c r="B167" s="816"/>
      <c r="C167" s="817"/>
      <c r="D167" s="817"/>
      <c r="E167" s="817"/>
      <c r="F167" s="817"/>
      <c r="G167" s="817"/>
      <c r="H167" s="817"/>
      <c r="I167" s="818"/>
    </row>
    <row r="168" spans="1:9" s="218" customFormat="1" x14ac:dyDescent="0.2">
      <c r="A168" s="281"/>
      <c r="B168" s="816"/>
      <c r="C168" s="817"/>
      <c r="D168" s="817"/>
      <c r="E168" s="817"/>
      <c r="F168" s="817"/>
      <c r="G168" s="817"/>
      <c r="H168" s="817"/>
      <c r="I168" s="818"/>
    </row>
    <row r="169" spans="1:9" s="218" customFormat="1" x14ac:dyDescent="0.2">
      <c r="A169" s="281"/>
      <c r="B169" s="816"/>
      <c r="C169" s="817"/>
      <c r="D169" s="817"/>
      <c r="E169" s="817"/>
      <c r="F169" s="817"/>
      <c r="G169" s="817"/>
      <c r="H169" s="817"/>
      <c r="I169" s="818"/>
    </row>
    <row r="170" spans="1:9" s="218" customFormat="1" x14ac:dyDescent="0.2">
      <c r="A170" s="281"/>
      <c r="B170" s="816"/>
      <c r="C170" s="817"/>
      <c r="D170" s="817"/>
      <c r="E170" s="817"/>
      <c r="F170" s="817"/>
      <c r="G170" s="817"/>
      <c r="H170" s="817"/>
      <c r="I170" s="818"/>
    </row>
    <row r="171" spans="1:9" s="218" customFormat="1" x14ac:dyDescent="0.2">
      <c r="A171" s="281"/>
      <c r="B171" s="816"/>
      <c r="C171" s="817"/>
      <c r="D171" s="817"/>
      <c r="E171" s="817"/>
      <c r="F171" s="817"/>
      <c r="G171" s="817"/>
      <c r="H171" s="817"/>
      <c r="I171" s="818"/>
    </row>
    <row r="172" spans="1:9" s="218" customFormat="1" ht="16.5" thickBot="1" x14ac:dyDescent="0.25">
      <c r="A172" s="282"/>
      <c r="B172" s="819"/>
      <c r="C172" s="820"/>
      <c r="D172" s="820"/>
      <c r="E172" s="820"/>
      <c r="F172" s="820"/>
      <c r="G172" s="820"/>
      <c r="H172" s="820"/>
      <c r="I172" s="821"/>
    </row>
    <row r="174" spans="1:9" s="218" customFormat="1" x14ac:dyDescent="0.2">
      <c r="F174" s="337"/>
      <c r="G174" s="337"/>
      <c r="H174" s="337"/>
      <c r="I174" s="337"/>
    </row>
    <row r="175" spans="1:9" s="218" customFormat="1" ht="16.5" thickBot="1" x14ac:dyDescent="0.25">
      <c r="F175" s="337"/>
      <c r="G175" s="337"/>
      <c r="H175" s="337"/>
      <c r="I175" s="337"/>
    </row>
    <row r="176" spans="1:9" s="218" customFormat="1" ht="16.5" thickBot="1" x14ac:dyDescent="0.25">
      <c r="A176" s="825" t="s">
        <v>3</v>
      </c>
      <c r="B176" s="826"/>
      <c r="F176" s="337"/>
      <c r="G176" s="337"/>
      <c r="H176" s="337"/>
      <c r="I176" s="337"/>
    </row>
    <row r="177" spans="1:14" s="347" customFormat="1" ht="16.5" thickBot="1" x14ac:dyDescent="0.25">
      <c r="A177" s="338"/>
      <c r="B177" s="338"/>
      <c r="F177" s="348"/>
      <c r="G177" s="348"/>
      <c r="H177" s="348"/>
      <c r="I177" s="348"/>
    </row>
    <row r="178" spans="1:14" s="218" customFormat="1" ht="15.75" customHeight="1" thickBot="1" x14ac:dyDescent="0.25">
      <c r="A178" s="800" t="s">
        <v>2</v>
      </c>
      <c r="B178" s="801"/>
      <c r="C178" s="801"/>
      <c r="D178" s="801"/>
      <c r="E178" s="801"/>
      <c r="F178" s="801"/>
      <c r="G178" s="802"/>
      <c r="H178" s="337"/>
      <c r="I178" s="337"/>
    </row>
    <row r="179" spans="1:14" s="347" customFormat="1" ht="15.75" customHeight="1" thickBot="1" x14ac:dyDescent="0.25">
      <c r="A179" s="338"/>
      <c r="B179" s="338"/>
      <c r="C179" s="338"/>
      <c r="D179" s="338"/>
      <c r="E179" s="338"/>
      <c r="F179" s="338"/>
      <c r="G179" s="338"/>
      <c r="H179" s="348"/>
      <c r="I179" s="348"/>
    </row>
    <row r="180" spans="1:14" s="218" customFormat="1" ht="15.75" customHeight="1" thickBot="1" x14ac:dyDescent="0.25">
      <c r="A180" s="807" t="s">
        <v>1</v>
      </c>
      <c r="B180" s="808"/>
      <c r="C180" s="808"/>
      <c r="D180" s="808"/>
      <c r="E180" s="809"/>
      <c r="F180" s="339"/>
      <c r="G180" s="339"/>
      <c r="H180" s="337"/>
      <c r="I180" s="337"/>
    </row>
    <row r="181" spans="1:14" s="218" customFormat="1" x14ac:dyDescent="0.2">
      <c r="A181" s="803" t="s">
        <v>627</v>
      </c>
      <c r="B181" s="805" t="s">
        <v>888</v>
      </c>
      <c r="C181" s="786" t="s">
        <v>0</v>
      </c>
      <c r="D181" s="786" t="s">
        <v>609</v>
      </c>
      <c r="E181" s="805" t="s">
        <v>889</v>
      </c>
      <c r="F181" s="786" t="s">
        <v>436</v>
      </c>
      <c r="G181" s="786" t="s">
        <v>421</v>
      </c>
      <c r="H181" s="786" t="s">
        <v>628</v>
      </c>
      <c r="I181" s="786" t="s">
        <v>11</v>
      </c>
      <c r="J181" s="786" t="s">
        <v>12</v>
      </c>
      <c r="K181" s="786" t="s">
        <v>13</v>
      </c>
      <c r="L181" s="786" t="s">
        <v>449</v>
      </c>
      <c r="M181" s="786" t="s">
        <v>610</v>
      </c>
      <c r="N181" s="788"/>
    </row>
    <row r="182" spans="1:14" s="218" customFormat="1" ht="32.25" customHeight="1" thickBot="1" x14ac:dyDescent="0.25">
      <c r="A182" s="804"/>
      <c r="B182" s="806"/>
      <c r="C182" s="787"/>
      <c r="D182" s="787"/>
      <c r="E182" s="806"/>
      <c r="F182" s="787"/>
      <c r="G182" s="787"/>
      <c r="H182" s="787"/>
      <c r="I182" s="787"/>
      <c r="J182" s="787"/>
      <c r="K182" s="787"/>
      <c r="L182" s="787"/>
      <c r="M182" s="787"/>
      <c r="N182" s="789"/>
    </row>
    <row r="183" spans="1:14" s="218" customFormat="1" x14ac:dyDescent="0.2">
      <c r="A183" s="344"/>
      <c r="B183" s="340"/>
      <c r="C183" s="394"/>
      <c r="D183" s="340"/>
      <c r="E183" s="340"/>
      <c r="F183" s="340"/>
      <c r="G183" s="340"/>
      <c r="H183" s="340"/>
      <c r="I183" s="340"/>
      <c r="J183" s="340"/>
      <c r="K183" s="340"/>
      <c r="L183" s="661"/>
      <c r="M183" s="810"/>
      <c r="N183" s="811"/>
    </row>
    <row r="184" spans="1:14" s="218" customFormat="1" x14ac:dyDescent="0.2">
      <c r="A184" s="345"/>
      <c r="B184" s="341"/>
      <c r="C184" s="392"/>
      <c r="D184" s="341"/>
      <c r="E184" s="341"/>
      <c r="F184" s="341"/>
      <c r="G184" s="341"/>
      <c r="H184" s="341"/>
      <c r="I184" s="341"/>
      <c r="J184" s="341"/>
      <c r="K184" s="341"/>
      <c r="L184" s="662"/>
      <c r="M184" s="790"/>
      <c r="N184" s="791"/>
    </row>
    <row r="185" spans="1:14" s="218" customFormat="1" x14ac:dyDescent="0.2">
      <c r="A185" s="345"/>
      <c r="B185" s="341"/>
      <c r="C185" s="392"/>
      <c r="D185" s="341"/>
      <c r="E185" s="341"/>
      <c r="F185" s="341"/>
      <c r="G185" s="341"/>
      <c r="H185" s="341"/>
      <c r="I185" s="341"/>
      <c r="J185" s="341"/>
      <c r="K185" s="341"/>
      <c r="L185" s="662"/>
      <c r="M185" s="790"/>
      <c r="N185" s="791"/>
    </row>
    <row r="186" spans="1:14" s="218" customFormat="1" x14ac:dyDescent="0.2">
      <c r="A186" s="345"/>
      <c r="B186" s="341"/>
      <c r="C186" s="392"/>
      <c r="D186" s="341"/>
      <c r="E186" s="341"/>
      <c r="F186" s="341"/>
      <c r="G186" s="341"/>
      <c r="H186" s="341"/>
      <c r="I186" s="341"/>
      <c r="J186" s="341"/>
      <c r="K186" s="341"/>
      <c r="L186" s="662"/>
      <c r="M186" s="790"/>
      <c r="N186" s="791"/>
    </row>
    <row r="187" spans="1:14" s="218" customFormat="1" x14ac:dyDescent="0.2">
      <c r="A187" s="345"/>
      <c r="B187" s="341"/>
      <c r="C187" s="392"/>
      <c r="D187" s="341"/>
      <c r="E187" s="341"/>
      <c r="F187" s="341"/>
      <c r="G187" s="341"/>
      <c r="H187" s="341"/>
      <c r="I187" s="341"/>
      <c r="J187" s="341"/>
      <c r="K187" s="341"/>
      <c r="L187" s="662"/>
      <c r="M187" s="790"/>
      <c r="N187" s="791"/>
    </row>
    <row r="188" spans="1:14" s="218" customFormat="1" ht="16.5" thickBot="1" x14ac:dyDescent="0.25">
      <c r="A188" s="346"/>
      <c r="B188" s="342"/>
      <c r="C188" s="336"/>
      <c r="D188" s="342"/>
      <c r="E188" s="342"/>
      <c r="F188" s="342"/>
      <c r="G188" s="342"/>
      <c r="H188" s="342"/>
      <c r="I188" s="342"/>
      <c r="J188" s="342"/>
      <c r="K188" s="342"/>
      <c r="L188" s="663"/>
      <c r="M188" s="794"/>
      <c r="N188" s="795"/>
    </row>
    <row r="189" spans="1:14" s="218" customFormat="1" x14ac:dyDescent="0.2">
      <c r="F189" s="337"/>
      <c r="G189" s="337"/>
      <c r="H189" s="337"/>
      <c r="I189" s="337"/>
    </row>
    <row r="190" spans="1:14" s="218" customFormat="1" ht="16.5" thickBot="1" x14ac:dyDescent="0.25">
      <c r="F190" s="337"/>
      <c r="G190" s="337"/>
      <c r="H190" s="337"/>
      <c r="I190" s="337"/>
    </row>
    <row r="191" spans="1:14" s="218" customFormat="1" ht="16.5" thickBot="1" x14ac:dyDescent="0.25">
      <c r="A191" s="800" t="s">
        <v>790</v>
      </c>
      <c r="B191" s="801"/>
      <c r="C191" s="801"/>
      <c r="D191" s="801"/>
      <c r="E191" s="801"/>
      <c r="F191" s="801"/>
      <c r="G191" s="802"/>
      <c r="H191" s="337"/>
      <c r="I191" s="337"/>
    </row>
    <row r="192" spans="1:14" s="192" customFormat="1" ht="16.5" thickBot="1" x14ac:dyDescent="0.25">
      <c r="F192" s="191"/>
      <c r="G192" s="191"/>
      <c r="H192" s="191"/>
      <c r="I192" s="191"/>
    </row>
    <row r="193" spans="1:31" s="218" customFormat="1" ht="16.5" thickBot="1" x14ac:dyDescent="0.25">
      <c r="A193" s="807" t="s">
        <v>1</v>
      </c>
      <c r="B193" s="808"/>
      <c r="C193" s="808"/>
      <c r="D193" s="808"/>
      <c r="E193" s="808"/>
      <c r="F193" s="808"/>
      <c r="G193" s="808"/>
      <c r="H193" s="809"/>
      <c r="I193" s="337"/>
    </row>
    <row r="194" spans="1:31" s="1187" customFormat="1" ht="16.5" customHeight="1" thickBot="1" x14ac:dyDescent="0.25">
      <c r="A194" s="803" t="s">
        <v>627</v>
      </c>
      <c r="B194" s="805" t="s">
        <v>888</v>
      </c>
      <c r="C194" s="786" t="s">
        <v>0</v>
      </c>
      <c r="D194" s="786" t="s">
        <v>609</v>
      </c>
      <c r="E194" s="805" t="s">
        <v>889</v>
      </c>
      <c r="F194" s="971" t="s">
        <v>42</v>
      </c>
      <c r="G194" s="1165" t="s">
        <v>789</v>
      </c>
      <c r="H194" s="1163"/>
      <c r="I194" s="1163"/>
      <c r="J194" s="1163"/>
      <c r="K194" s="1163"/>
      <c r="L194" s="1163"/>
      <c r="M194" s="1163"/>
      <c r="N194" s="1163"/>
      <c r="O194" s="1163"/>
      <c r="P194" s="1163"/>
      <c r="Q194" s="1163"/>
      <c r="R194" s="1163"/>
      <c r="S194" s="1163"/>
      <c r="T194" s="1163"/>
      <c r="U194" s="1163"/>
      <c r="V194" s="1164"/>
      <c r="W194" s="930" t="s">
        <v>436</v>
      </c>
      <c r="X194" s="786" t="s">
        <v>421</v>
      </c>
      <c r="Y194" s="786" t="s">
        <v>628</v>
      </c>
      <c r="Z194" s="786" t="s">
        <v>11</v>
      </c>
      <c r="AA194" s="786" t="s">
        <v>12</v>
      </c>
      <c r="AB194" s="786" t="s">
        <v>13</v>
      </c>
      <c r="AC194" s="786" t="s">
        <v>449</v>
      </c>
      <c r="AD194" s="971" t="s">
        <v>610</v>
      </c>
      <c r="AE194" s="1161"/>
    </row>
    <row r="195" spans="1:31" s="1187" customFormat="1" ht="47.25" customHeight="1" thickBot="1" x14ac:dyDescent="0.25">
      <c r="A195" s="804"/>
      <c r="B195" s="806"/>
      <c r="C195" s="787"/>
      <c r="D195" s="787"/>
      <c r="E195" s="806"/>
      <c r="F195" s="787"/>
      <c r="G195" s="1204" t="s">
        <v>432</v>
      </c>
      <c r="H195" s="1204" t="s">
        <v>1380</v>
      </c>
      <c r="I195" s="1200" t="s">
        <v>1381</v>
      </c>
      <c r="J195" s="1200" t="s">
        <v>1382</v>
      </c>
      <c r="K195" s="1200" t="s">
        <v>433</v>
      </c>
      <c r="L195" s="1200" t="s">
        <v>1383</v>
      </c>
      <c r="M195" s="1200" t="s">
        <v>1386</v>
      </c>
      <c r="N195" s="1200" t="s">
        <v>1387</v>
      </c>
      <c r="O195" s="1200" t="s">
        <v>434</v>
      </c>
      <c r="P195" s="1200" t="s">
        <v>1384</v>
      </c>
      <c r="Q195" s="1200" t="s">
        <v>1388</v>
      </c>
      <c r="R195" s="1200" t="s">
        <v>1389</v>
      </c>
      <c r="S195" s="1200" t="s">
        <v>435</v>
      </c>
      <c r="T195" s="1200" t="s">
        <v>1385</v>
      </c>
      <c r="U195" s="1200" t="s">
        <v>1390</v>
      </c>
      <c r="V195" s="1200" t="s">
        <v>1391</v>
      </c>
      <c r="W195" s="787"/>
      <c r="X195" s="787"/>
      <c r="Y195" s="787"/>
      <c r="Z195" s="787"/>
      <c r="AA195" s="787"/>
      <c r="AB195" s="787"/>
      <c r="AC195" s="787"/>
      <c r="AD195" s="972"/>
      <c r="AE195" s="1162"/>
    </row>
    <row r="196" spans="1:31" s="1187" customFormat="1" x14ac:dyDescent="0.2">
      <c r="A196" s="1194"/>
      <c r="B196" s="1191"/>
      <c r="C196" s="1189"/>
      <c r="D196" s="1191"/>
      <c r="E196" s="1191"/>
      <c r="F196" s="1197"/>
      <c r="G196" s="1191"/>
      <c r="H196" s="1191"/>
      <c r="I196" s="1191"/>
      <c r="J196" s="1191"/>
      <c r="K196" s="1191"/>
      <c r="L196" s="1191"/>
      <c r="M196" s="1191"/>
      <c r="N196" s="1191"/>
      <c r="O196" s="1191"/>
      <c r="P196" s="1191"/>
      <c r="Q196" s="1191"/>
      <c r="R196" s="1191"/>
      <c r="S196" s="1191"/>
      <c r="T196" s="1191"/>
      <c r="U196" s="1191"/>
      <c r="V196" s="1191"/>
      <c r="W196" s="1191"/>
      <c r="X196" s="1191"/>
      <c r="Y196" s="1191"/>
      <c r="Z196" s="1191"/>
      <c r="AA196" s="1191"/>
      <c r="AB196" s="1191"/>
      <c r="AC196" s="1201"/>
      <c r="AD196" s="796"/>
      <c r="AE196" s="797"/>
    </row>
    <row r="197" spans="1:31" s="1187" customFormat="1" x14ac:dyDescent="0.2">
      <c r="A197" s="1195"/>
      <c r="B197" s="1192"/>
      <c r="C197" s="1188"/>
      <c r="D197" s="1192"/>
      <c r="E197" s="1192"/>
      <c r="F197" s="1198"/>
      <c r="G197" s="1192"/>
      <c r="H197" s="1192"/>
      <c r="I197" s="1192"/>
      <c r="J197" s="1192"/>
      <c r="K197" s="1192"/>
      <c r="L197" s="1192"/>
      <c r="M197" s="1192"/>
      <c r="N197" s="1192"/>
      <c r="O197" s="1192"/>
      <c r="P197" s="1192"/>
      <c r="Q197" s="1192"/>
      <c r="R197" s="1192"/>
      <c r="S197" s="1192"/>
      <c r="T197" s="1192"/>
      <c r="U197" s="1192"/>
      <c r="V197" s="1192"/>
      <c r="W197" s="1192"/>
      <c r="X197" s="1192"/>
      <c r="Y197" s="1192"/>
      <c r="Z197" s="1192"/>
      <c r="AA197" s="1192"/>
      <c r="AB197" s="1192"/>
      <c r="AC197" s="1202"/>
      <c r="AD197" s="798"/>
      <c r="AE197" s="799"/>
    </row>
    <row r="198" spans="1:31" s="1187" customFormat="1" x14ac:dyDescent="0.2">
      <c r="A198" s="1195"/>
      <c r="B198" s="1192"/>
      <c r="C198" s="1188"/>
      <c r="D198" s="1192"/>
      <c r="E198" s="1192"/>
      <c r="F198" s="1198"/>
      <c r="G198" s="1192"/>
      <c r="H198" s="1192"/>
      <c r="I198" s="1192"/>
      <c r="J198" s="1192"/>
      <c r="K198" s="1192"/>
      <c r="L198" s="1192"/>
      <c r="M198" s="1192"/>
      <c r="N198" s="1192"/>
      <c r="O198" s="1192"/>
      <c r="P198" s="1192"/>
      <c r="Q198" s="1192"/>
      <c r="R198" s="1192"/>
      <c r="S198" s="1192"/>
      <c r="T198" s="1192"/>
      <c r="U198" s="1192"/>
      <c r="V198" s="1192"/>
      <c r="W198" s="1192"/>
      <c r="X198" s="1192"/>
      <c r="Y198" s="1192"/>
      <c r="Z198" s="1192"/>
      <c r="AA198" s="1192"/>
      <c r="AB198" s="1192"/>
      <c r="AC198" s="1202"/>
      <c r="AD198" s="798"/>
      <c r="AE198" s="799"/>
    </row>
    <row r="199" spans="1:31" s="1187" customFormat="1" x14ac:dyDescent="0.2">
      <c r="A199" s="1195"/>
      <c r="B199" s="1192"/>
      <c r="C199" s="1188"/>
      <c r="D199" s="1192"/>
      <c r="E199" s="1192"/>
      <c r="F199" s="1198"/>
      <c r="G199" s="1192"/>
      <c r="H199" s="1192"/>
      <c r="I199" s="1192"/>
      <c r="J199" s="1192"/>
      <c r="K199" s="1192"/>
      <c r="L199" s="1192"/>
      <c r="M199" s="1192"/>
      <c r="N199" s="1192"/>
      <c r="O199" s="1192"/>
      <c r="P199" s="1192"/>
      <c r="Q199" s="1192"/>
      <c r="R199" s="1192"/>
      <c r="S199" s="1192"/>
      <c r="T199" s="1192"/>
      <c r="U199" s="1192"/>
      <c r="V199" s="1192"/>
      <c r="W199" s="1192"/>
      <c r="X199" s="1192"/>
      <c r="Y199" s="1192"/>
      <c r="Z199" s="1192"/>
      <c r="AA199" s="1192"/>
      <c r="AB199" s="1192"/>
      <c r="AC199" s="1202"/>
      <c r="AD199" s="798"/>
      <c r="AE199" s="799"/>
    </row>
    <row r="200" spans="1:31" s="1187" customFormat="1" x14ac:dyDescent="0.2">
      <c r="A200" s="1195"/>
      <c r="B200" s="1192"/>
      <c r="C200" s="1188"/>
      <c r="D200" s="1192"/>
      <c r="E200" s="1192"/>
      <c r="F200" s="1198"/>
      <c r="G200" s="1192"/>
      <c r="H200" s="1192"/>
      <c r="I200" s="1192"/>
      <c r="J200" s="1192"/>
      <c r="K200" s="1192"/>
      <c r="L200" s="1192"/>
      <c r="M200" s="1192"/>
      <c r="N200" s="1192"/>
      <c r="O200" s="1192"/>
      <c r="P200" s="1192"/>
      <c r="Q200" s="1192"/>
      <c r="R200" s="1192"/>
      <c r="S200" s="1192"/>
      <c r="T200" s="1192"/>
      <c r="U200" s="1192"/>
      <c r="V200" s="1192"/>
      <c r="W200" s="1192"/>
      <c r="X200" s="1192"/>
      <c r="Y200" s="1192"/>
      <c r="Z200" s="1192"/>
      <c r="AA200" s="1192"/>
      <c r="AB200" s="1192"/>
      <c r="AC200" s="1202"/>
      <c r="AD200" s="798"/>
      <c r="AE200" s="799"/>
    </row>
    <row r="201" spans="1:31" s="1187" customFormat="1" ht="16.5" thickBot="1" x14ac:dyDescent="0.25">
      <c r="A201" s="1196"/>
      <c r="B201" s="1193"/>
      <c r="C201" s="1190"/>
      <c r="D201" s="1193"/>
      <c r="E201" s="1193"/>
      <c r="F201" s="1199"/>
      <c r="G201" s="1193"/>
      <c r="H201" s="1193"/>
      <c r="I201" s="1193"/>
      <c r="J201" s="1193"/>
      <c r="K201" s="1193"/>
      <c r="L201" s="1193"/>
      <c r="M201" s="1193"/>
      <c r="N201" s="1193"/>
      <c r="O201" s="1193"/>
      <c r="P201" s="1193"/>
      <c r="Q201" s="1193"/>
      <c r="R201" s="1193"/>
      <c r="S201" s="1193"/>
      <c r="T201" s="1193"/>
      <c r="U201" s="1193"/>
      <c r="V201" s="1193"/>
      <c r="W201" s="1193"/>
      <c r="X201" s="1193"/>
      <c r="Y201" s="1193"/>
      <c r="Z201" s="1193"/>
      <c r="AA201" s="1193"/>
      <c r="AB201" s="1193"/>
      <c r="AC201" s="1203"/>
      <c r="AD201" s="792"/>
      <c r="AE201" s="793"/>
    </row>
    <row r="202" spans="1:31" s="218" customFormat="1" x14ac:dyDescent="0.2">
      <c r="F202" s="337"/>
      <c r="G202" s="337"/>
      <c r="H202" s="337"/>
      <c r="I202" s="337"/>
    </row>
    <row r="203" spans="1:31" s="218" customFormat="1" x14ac:dyDescent="0.2">
      <c r="F203" s="337"/>
      <c r="G203" s="337"/>
      <c r="H203" s="337"/>
      <c r="I203" s="337"/>
    </row>
    <row r="204" spans="1:31" s="218" customFormat="1" ht="16.5" thickBot="1" x14ac:dyDescent="0.25">
      <c r="F204" s="337"/>
      <c r="G204" s="337"/>
      <c r="H204" s="337"/>
      <c r="I204" s="337"/>
    </row>
    <row r="205" spans="1:31" ht="16.5" thickBot="1" x14ac:dyDescent="0.25">
      <c r="A205" s="555" t="s">
        <v>454</v>
      </c>
      <c r="B205" s="556" t="s">
        <v>455</v>
      </c>
    </row>
    <row r="206" spans="1:31" x14ac:dyDescent="0.2">
      <c r="A206" s="450" t="s">
        <v>456</v>
      </c>
      <c r="B206" s="557" t="s">
        <v>51</v>
      </c>
    </row>
    <row r="207" spans="1:31" x14ac:dyDescent="0.2">
      <c r="A207" s="558" t="s">
        <v>65</v>
      </c>
      <c r="B207" s="559" t="s">
        <v>51</v>
      </c>
    </row>
    <row r="208" spans="1:31" x14ac:dyDescent="0.2">
      <c r="A208" s="558" t="s">
        <v>257</v>
      </c>
      <c r="B208" s="559" t="s">
        <v>51</v>
      </c>
    </row>
    <row r="209" spans="1:9" x14ac:dyDescent="0.2">
      <c r="A209" s="558" t="s">
        <v>258</v>
      </c>
      <c r="B209" s="559" t="s">
        <v>51</v>
      </c>
      <c r="F209" s="69"/>
      <c r="G209" s="69"/>
      <c r="H209" s="69"/>
      <c r="I209" s="69"/>
    </row>
    <row r="210" spans="1:9" x14ac:dyDescent="0.2">
      <c r="A210" s="558" t="s">
        <v>259</v>
      </c>
      <c r="B210" s="559" t="s">
        <v>53</v>
      </c>
      <c r="F210" s="69"/>
      <c r="G210" s="69"/>
      <c r="H210" s="69"/>
      <c r="I210" s="69"/>
    </row>
    <row r="211" spans="1:9" x14ac:dyDescent="0.2">
      <c r="A211" s="558" t="s">
        <v>281</v>
      </c>
      <c r="B211" s="559" t="s">
        <v>53</v>
      </c>
      <c r="F211" s="69"/>
      <c r="G211" s="69"/>
      <c r="H211" s="69"/>
      <c r="I211" s="69"/>
    </row>
    <row r="212" spans="1:9" x14ac:dyDescent="0.2">
      <c r="A212" s="560" t="s">
        <v>279</v>
      </c>
      <c r="B212" s="559" t="s">
        <v>53</v>
      </c>
      <c r="F212" s="69"/>
      <c r="G212" s="69"/>
      <c r="H212" s="69"/>
      <c r="I212" s="69"/>
    </row>
    <row r="213" spans="1:9" x14ac:dyDescent="0.2">
      <c r="A213" s="560" t="s">
        <v>457</v>
      </c>
      <c r="B213" s="559" t="s">
        <v>53</v>
      </c>
      <c r="F213" s="69"/>
      <c r="G213" s="69"/>
      <c r="H213" s="69"/>
      <c r="I213" s="69"/>
    </row>
    <row r="214" spans="1:9" ht="16.5" thickBot="1" x14ac:dyDescent="0.25">
      <c r="A214" s="561" t="s">
        <v>460</v>
      </c>
      <c r="B214" s="562" t="s">
        <v>51</v>
      </c>
      <c r="F214" s="69"/>
      <c r="G214" s="69"/>
      <c r="H214" s="69"/>
      <c r="I214" s="69"/>
    </row>
  </sheetData>
  <sheetProtection formatCells="0" formatColumns="0" formatRows="0" insertColumns="0" insertRows="0" deleteColumns="0" deleteRows="0" sort="0" autoFilter="0"/>
  <autoFilter ref="A31:AB31" xr:uid="{00000000-0009-0000-0000-000018000000}"/>
  <dataConsolidate>
    <dataRefs count="2">
      <dataRef ref="B9" sheet="APPENDIX B-1  (FE - USWC)"/>
      <dataRef ref="A14:A18" sheet="APPENDIX B-1  (FE - USWC)"/>
    </dataRefs>
  </dataConsolidate>
  <mergeCells count="267">
    <mergeCell ref="AD197:AE197"/>
    <mergeCell ref="AD198:AE198"/>
    <mergeCell ref="AD199:AE199"/>
    <mergeCell ref="AD200:AE200"/>
    <mergeCell ref="AD201:AE201"/>
    <mergeCell ref="W194:W195"/>
    <mergeCell ref="X194:X195"/>
    <mergeCell ref="Y194:Y195"/>
    <mergeCell ref="Z194:Z195"/>
    <mergeCell ref="AA194:AA195"/>
    <mergeCell ref="AB194:AB195"/>
    <mergeCell ref="AC194:AC195"/>
    <mergeCell ref="AD194:AE195"/>
    <mergeCell ref="AD196:AE196"/>
    <mergeCell ref="M91:M93"/>
    <mergeCell ref="B84:D84"/>
    <mergeCell ref="H91:H93"/>
    <mergeCell ref="A92:G92"/>
    <mergeCell ref="I91:I93"/>
    <mergeCell ref="A91:G91"/>
    <mergeCell ref="A87:I87"/>
    <mergeCell ref="K91:K93"/>
    <mergeCell ref="L91:L93"/>
    <mergeCell ref="J91:J93"/>
    <mergeCell ref="B89:I89"/>
    <mergeCell ref="B94:D94"/>
    <mergeCell ref="A93:G93"/>
    <mergeCell ref="B96:D96"/>
    <mergeCell ref="E96:G96"/>
    <mergeCell ref="B99:D99"/>
    <mergeCell ref="E99:G99"/>
    <mergeCell ref="B109:D109"/>
    <mergeCell ref="E109:G109"/>
    <mergeCell ref="B110:D110"/>
    <mergeCell ref="E110:G110"/>
    <mergeCell ref="B97:D97"/>
    <mergeCell ref="B106:D106"/>
    <mergeCell ref="E106:G106"/>
    <mergeCell ref="E101:G101"/>
    <mergeCell ref="E97:G97"/>
    <mergeCell ref="B105:D105"/>
    <mergeCell ref="E95:G95"/>
    <mergeCell ref="B103:D103"/>
    <mergeCell ref="E103:G103"/>
    <mergeCell ref="B104:D104"/>
    <mergeCell ref="E104:G104"/>
    <mergeCell ref="K49:K50"/>
    <mergeCell ref="AC49:AC50"/>
    <mergeCell ref="AA49:AA50"/>
    <mergeCell ref="B69:D69"/>
    <mergeCell ref="AB49:AB50"/>
    <mergeCell ref="A58:C58"/>
    <mergeCell ref="B68:D68"/>
    <mergeCell ref="E49:E50"/>
    <mergeCell ref="M49:M50"/>
    <mergeCell ref="C49:C50"/>
    <mergeCell ref="Z49:Z50"/>
    <mergeCell ref="L49:L50"/>
    <mergeCell ref="J49:J50"/>
    <mergeCell ref="H49:H50"/>
    <mergeCell ref="A49:A50"/>
    <mergeCell ref="B67:D67"/>
    <mergeCell ref="I49:I50"/>
    <mergeCell ref="B49:B50"/>
    <mergeCell ref="A59:C59"/>
    <mergeCell ref="AA40:AA41"/>
    <mergeCell ref="X40:X41"/>
    <mergeCell ref="K40:K41"/>
    <mergeCell ref="L15:M15"/>
    <mergeCell ref="J17:K17"/>
    <mergeCell ref="B20:H20"/>
    <mergeCell ref="I31:I32"/>
    <mergeCell ref="F31:F32"/>
    <mergeCell ref="G31:G32"/>
    <mergeCell ref="D31:D32"/>
    <mergeCell ref="AA31:AA32"/>
    <mergeCell ref="Z31:Z32"/>
    <mergeCell ref="L17:M17"/>
    <mergeCell ref="B16:I16"/>
    <mergeCell ref="J16:K16"/>
    <mergeCell ref="B15:I15"/>
    <mergeCell ref="B17:I17"/>
    <mergeCell ref="Y31:Y32"/>
    <mergeCell ref="X31:X32"/>
    <mergeCell ref="J31:J32"/>
    <mergeCell ref="Z40:Z41"/>
    <mergeCell ref="J40:J41"/>
    <mergeCell ref="Y40:Y41"/>
    <mergeCell ref="E40:E41"/>
    <mergeCell ref="L31:L32"/>
    <mergeCell ref="L13:M13"/>
    <mergeCell ref="L14:M14"/>
    <mergeCell ref="L16:M16"/>
    <mergeCell ref="A1:B1"/>
    <mergeCell ref="C1:F1"/>
    <mergeCell ref="A2:B2"/>
    <mergeCell ref="C2:F2"/>
    <mergeCell ref="A3:B3"/>
    <mergeCell ref="C3:F3"/>
    <mergeCell ref="A4:B4"/>
    <mergeCell ref="C4:F4"/>
    <mergeCell ref="A5:B5"/>
    <mergeCell ref="C5:F5"/>
    <mergeCell ref="A6:B6"/>
    <mergeCell ref="A12:J12"/>
    <mergeCell ref="C6:F6"/>
    <mergeCell ref="A8:B8"/>
    <mergeCell ref="C8:F8"/>
    <mergeCell ref="C7:F7"/>
    <mergeCell ref="A7:B7"/>
    <mergeCell ref="B13:I13"/>
    <mergeCell ref="K31:K32"/>
    <mergeCell ref="B22:H22"/>
    <mergeCell ref="J13:K13"/>
    <mergeCell ref="B14:I14"/>
    <mergeCell ref="B21:H21"/>
    <mergeCell ref="H31:H32"/>
    <mergeCell ref="B23:H23"/>
    <mergeCell ref="B25:H25"/>
    <mergeCell ref="B85:D85"/>
    <mergeCell ref="G49:G50"/>
    <mergeCell ref="B81:D81"/>
    <mergeCell ref="B66:D66"/>
    <mergeCell ref="J15:K15"/>
    <mergeCell ref="A73:C73"/>
    <mergeCell ref="A74:C74"/>
    <mergeCell ref="B82:D82"/>
    <mergeCell ref="B83:D83"/>
    <mergeCell ref="B24:H24"/>
    <mergeCell ref="J14:K14"/>
    <mergeCell ref="A31:A32"/>
    <mergeCell ref="F49:F50"/>
    <mergeCell ref="D49:D50"/>
    <mergeCell ref="B70:D70"/>
    <mergeCell ref="H40:H41"/>
    <mergeCell ref="C31:C32"/>
    <mergeCell ref="E31:E32"/>
    <mergeCell ref="B31:B32"/>
    <mergeCell ref="A88:I88"/>
    <mergeCell ref="E108:G108"/>
    <mergeCell ref="B102:D102"/>
    <mergeCell ref="B100:D100"/>
    <mergeCell ref="E102:G102"/>
    <mergeCell ref="B101:D101"/>
    <mergeCell ref="E100:G100"/>
    <mergeCell ref="B98:D98"/>
    <mergeCell ref="E98:G98"/>
    <mergeCell ref="E94:G94"/>
    <mergeCell ref="B95:D95"/>
    <mergeCell ref="B108:D108"/>
    <mergeCell ref="E107:G107"/>
    <mergeCell ref="B107:D107"/>
    <mergeCell ref="E105:G105"/>
    <mergeCell ref="D40:D41"/>
    <mergeCell ref="F40:F41"/>
    <mergeCell ref="I40:I41"/>
    <mergeCell ref="G40:G41"/>
    <mergeCell ref="B40:B41"/>
    <mergeCell ref="A40:A41"/>
    <mergeCell ref="C40:C41"/>
    <mergeCell ref="A48:D48"/>
    <mergeCell ref="E115:G115"/>
    <mergeCell ref="B111:D111"/>
    <mergeCell ref="B115:D115"/>
    <mergeCell ref="E111:G111"/>
    <mergeCell ref="E117:G117"/>
    <mergeCell ref="E120:G120"/>
    <mergeCell ref="B117:D117"/>
    <mergeCell ref="B120:D120"/>
    <mergeCell ref="E116:G116"/>
    <mergeCell ref="B116:D116"/>
    <mergeCell ref="B113:D113"/>
    <mergeCell ref="E113:G113"/>
    <mergeCell ref="B114:D114"/>
    <mergeCell ref="E114:G114"/>
    <mergeCell ref="B112:D112"/>
    <mergeCell ref="E112:G112"/>
    <mergeCell ref="B118:D118"/>
    <mergeCell ref="E118:G118"/>
    <mergeCell ref="E181:E182"/>
    <mergeCell ref="F181:F182"/>
    <mergeCell ref="M184:N184"/>
    <mergeCell ref="K181:K182"/>
    <mergeCell ref="L131:L132"/>
    <mergeCell ref="I131:I132"/>
    <mergeCell ref="G131:G132"/>
    <mergeCell ref="L138:L139"/>
    <mergeCell ref="J131:J132"/>
    <mergeCell ref="K131:K132"/>
    <mergeCell ref="I138:I139"/>
    <mergeCell ref="G138:G139"/>
    <mergeCell ref="K138:K139"/>
    <mergeCell ref="J138:J139"/>
    <mergeCell ref="E131:E132"/>
    <mergeCell ref="F131:F132"/>
    <mergeCell ref="A148:F148"/>
    <mergeCell ref="E138:E139"/>
    <mergeCell ref="H131:H132"/>
    <mergeCell ref="A131:D131"/>
    <mergeCell ref="M138:M139"/>
    <mergeCell ref="A150:F150"/>
    <mergeCell ref="M188:N188"/>
    <mergeCell ref="D181:D182"/>
    <mergeCell ref="B172:I172"/>
    <mergeCell ref="A180:E180"/>
    <mergeCell ref="A176:B176"/>
    <mergeCell ref="I181:I182"/>
    <mergeCell ref="H181:H182"/>
    <mergeCell ref="B181:B182"/>
    <mergeCell ref="D194:D195"/>
    <mergeCell ref="F194:F195"/>
    <mergeCell ref="A191:G191"/>
    <mergeCell ref="A181:A182"/>
    <mergeCell ref="B194:B195"/>
    <mergeCell ref="C194:C195"/>
    <mergeCell ref="B158:I158"/>
    <mergeCell ref="B171:I171"/>
    <mergeCell ref="B170:I170"/>
    <mergeCell ref="A146:E146"/>
    <mergeCell ref="F138:F139"/>
    <mergeCell ref="A138:D138"/>
    <mergeCell ref="H138:H139"/>
    <mergeCell ref="A149:F149"/>
    <mergeCell ref="B168:I168"/>
    <mergeCell ref="B161:I161"/>
    <mergeCell ref="B167:I167"/>
    <mergeCell ref="B162:I162"/>
    <mergeCell ref="B166:I166"/>
    <mergeCell ref="B160:I160"/>
    <mergeCell ref="B164:I164"/>
    <mergeCell ref="B165:I165"/>
    <mergeCell ref="B163:I163"/>
    <mergeCell ref="B159:I159"/>
    <mergeCell ref="A156:I156"/>
    <mergeCell ref="E125:G125"/>
    <mergeCell ref="E124:G124"/>
    <mergeCell ref="B121:D121"/>
    <mergeCell ref="E119:G119"/>
    <mergeCell ref="B122:D122"/>
    <mergeCell ref="E121:G121"/>
    <mergeCell ref="E122:G122"/>
    <mergeCell ref="A129:I129"/>
    <mergeCell ref="B119:D119"/>
    <mergeCell ref="E127:G127"/>
    <mergeCell ref="B123:D123"/>
    <mergeCell ref="A128:I128"/>
    <mergeCell ref="B124:D124"/>
    <mergeCell ref="E126:G126"/>
    <mergeCell ref="B126:D126"/>
    <mergeCell ref="B125:D125"/>
    <mergeCell ref="B127:D127"/>
    <mergeCell ref="E123:G123"/>
    <mergeCell ref="B169:I169"/>
    <mergeCell ref="M181:N182"/>
    <mergeCell ref="M187:N187"/>
    <mergeCell ref="M183:N183"/>
    <mergeCell ref="M185:N185"/>
    <mergeCell ref="E194:E195"/>
    <mergeCell ref="C181:C182"/>
    <mergeCell ref="A178:G178"/>
    <mergeCell ref="A193:H193"/>
    <mergeCell ref="A194:A195"/>
    <mergeCell ref="M186:N186"/>
    <mergeCell ref="J181:J182"/>
    <mergeCell ref="G181:G182"/>
    <mergeCell ref="L181:L182"/>
    <mergeCell ref="G194:V194"/>
  </mergeCells>
  <phoneticPr fontId="11" type="noConversion"/>
  <dataValidations xWindow="797" yWindow="484" count="33">
    <dataValidation type="list" allowBlank="1" showInputMessage="1" showErrorMessage="1" sqref="B206:B214" xr:uid="{00000000-0002-0000-1800-000000000000}">
      <formula1>Autom</formula1>
    </dataValidation>
    <dataValidation type="list" showInputMessage="1" showErrorMessage="1" sqref="C183:C188 C196:C201" xr:uid="{00000000-0002-0000-1800-000001000000}">
      <formula1>IF($B183="I",DDTARIFFUS,DDTARIFF)</formula1>
    </dataValidation>
    <dataValidation type="list" allowBlank="1" showInputMessage="1" showErrorMessage="1" sqref="B183:B188 B196:B201" xr:uid="{00000000-0002-0000-1800-000002000000}">
      <formula1>EXPIMP</formula1>
    </dataValidation>
    <dataValidation type="list" allowBlank="1" showInputMessage="1" showErrorMessage="1" sqref="F183:F188 W196:W201" xr:uid="{00000000-0002-0000-1800-000003000000}">
      <formula1>EQTYPE</formula1>
    </dataValidation>
    <dataValidation type="list" allowBlank="1" showInputMessage="1" showErrorMessage="1" sqref="G183:G188 X196:X201" xr:uid="{00000000-0002-0000-1800-000004000000}">
      <formula1>OPREEFER</formula1>
    </dataValidation>
    <dataValidation type="list" allowBlank="1" showInputMessage="1" showErrorMessage="1" sqref="F196:F201" xr:uid="{0F61215A-D7E1-4798-9303-521EE961C009}">
      <formula1>CURRENCY</formula1>
    </dataValidation>
    <dataValidation type="whole" allowBlank="1" showInputMessage="1" showErrorMessage="1" error="Only whole numbers can be entered into this field" sqref="D183:D188 D196:D201" xr:uid="{00000000-0002-0000-1800-000006000000}">
      <formula1>1</formula1>
      <formula2>99</formula2>
    </dataValidation>
    <dataValidation type="list" showInputMessage="1" showErrorMessage="1" sqref="E183:E188 E196:E201" xr:uid="{00000000-0002-0000-1800-000007000000}">
      <formula1>DAYS</formula1>
    </dataValidation>
    <dataValidation type="whole" allowBlank="1" showInputMessage="1" showErrorMessage="1" error="Only whole numbers may be entered into this field_x000a_" sqref="G196:G201 S196:S201 O196:O201 K196:K201" xr:uid="{45DA0B52-2CCC-4CAD-9B86-0F2347E0DC96}">
      <formula1>1</formula1>
      <formula2>99</formula2>
    </dataValidation>
    <dataValidation type="decimal" allowBlank="1" showInputMessage="1" showErrorMessage="1" error="Only numbers may be entered into this field" sqref="H196:J201 L196:N201 P196:R201 T196:V201" xr:uid="{BFD95B0B-C7E2-4D91-A3E1-E80F13DEA193}">
      <formula1>1</formula1>
      <formula2>1000000000</formula2>
    </dataValidation>
    <dataValidation type="list" showInputMessage="1" showErrorMessage="1" sqref="K133:K136 K140:K143 N82:N85 A33:A36 A51:A54 A42:A45 N67:N70" xr:uid="{00000000-0002-0000-1800-00000A000000}">
      <formula1>$A$14:$A$18</formula1>
    </dataValidation>
    <dataValidation type="list" allowBlank="1" showInputMessage="1" showErrorMessage="1" sqref="J133:J136 J140:J143" xr:uid="{00000000-0002-0000-1800-00000B000000}">
      <formula1>GRIPSS</formula1>
    </dataValidation>
    <dataValidation type="decimal" allowBlank="1" showInputMessage="1" showErrorMessage="1" sqref="F140:I143 F133:I136 I51:L54 J82:M85 I42:K45 I33:L36" xr:uid="{00000000-0002-0000-1800-00000C000000}">
      <formula1>0</formula1>
      <formula2>999999999999999</formula2>
    </dataValidation>
    <dataValidation type="list" allowBlank="1" showInputMessage="1" showErrorMessage="1" sqref="E133:E136 E140:E143" xr:uid="{00000000-0002-0000-1800-00000D000000}">
      <formula1>GRIPSS_EQ</formula1>
    </dataValidation>
    <dataValidation type="list" showInputMessage="1" showErrorMessage="1" sqref="A183:A188 A196:A201" xr:uid="{00000000-0002-0000-1800-00000E000000}">
      <formula1>BULLET</formula1>
    </dataValidation>
    <dataValidation type="date" allowBlank="1" showInputMessage="1" showErrorMessage="1" sqref="X33:Y36 J94:K127" xr:uid="{00000000-0002-0000-1800-00000F000000}">
      <formula1>10101</formula1>
      <formula2>311299</formula2>
    </dataValidation>
    <dataValidation type="list" showDropDown="1" showErrorMessage="1" sqref="O66:P66 O81:P81" xr:uid="{00000000-0002-0000-1800-000010000000}">
      <formula1>Charges</formula1>
    </dataValidation>
    <dataValidation type="list" allowBlank="1" showInputMessage="1" showErrorMessage="1" sqref="O67:P70 O82:P85" xr:uid="{00000000-0002-0000-1800-000011000000}">
      <formula1 xml:space="preserve"> droppull</formula1>
    </dataValidation>
    <dataValidation type="list" allowBlank="1" showInputMessage="1" showErrorMessage="1" sqref="L42:L45 G82:G85 N42:N45 P51:P54 G67:G70" xr:uid="{00000000-0002-0000-1800-000012000000}">
      <formula1>YesNo</formula1>
    </dataValidation>
    <dataValidation type="list" allowBlank="1" showInputMessage="1" showErrorMessage="1" sqref="M51:M54" xr:uid="{00000000-0002-0000-1800-000013000000}">
      <formula1>Equip</formula1>
    </dataValidation>
    <dataValidation type="list" allowBlank="1" showInputMessage="1" showErrorMessage="1" sqref="F67:F70 F82:F85" xr:uid="{00000000-0002-0000-1800-000014000000}">
      <formula1>ArbMode</formula1>
    </dataValidation>
    <dataValidation type="list" allowBlank="1" showInputMessage="1" showErrorMessage="1" sqref="G42:G45 G33:G36 G51:G54" xr:uid="{00000000-0002-0000-1800-000015000000}">
      <formula1>SDD</formula1>
    </dataValidation>
    <dataValidation type="list" allowBlank="1" showInputMessage="1" showErrorMessage="1" sqref="M32:W32 Q50:Y50" xr:uid="{00000000-0002-0000-1800-000016000000}">
      <formula1>Container</formula1>
    </dataValidation>
    <dataValidation type="list" allowBlank="1" showInputMessage="1" showErrorMessage="1" sqref="O41:W41" xr:uid="{00000000-0002-0000-1800-000017000000}">
      <formula1>Reefer</formula1>
    </dataValidation>
    <dataValidation type="list" allowBlank="1" showInputMessage="1" showErrorMessage="1" sqref="F33:F36 F42:F45 F51:F54" xr:uid="{00000000-0002-0000-1800-000018000000}">
      <formula1>Mode</formula1>
    </dataValidation>
    <dataValidation type="list" allowBlank="1" showInputMessage="1" showErrorMessage="1" sqref="M42:M45 O51:O54" xr:uid="{00000000-0002-0000-1800-000019000000}">
      <formula1>ShipperOwn</formula1>
    </dataValidation>
    <dataValidation type="list" allowBlank="1" showInputMessage="1" showErrorMessage="1" sqref="N51:N54" xr:uid="{00000000-0002-0000-1800-00001A000000}">
      <formula1>OOG</formula1>
    </dataValidation>
    <dataValidation type="list" allowBlank="1" showErrorMessage="1" sqref="M31:W31 O40:W40 Q49:Y49" xr:uid="{00000000-0002-0000-1800-00001B000000}">
      <formula1>Exceptions</formula1>
    </dataValidation>
    <dataValidation type="list" allowBlank="1" showInputMessage="1" showErrorMessage="1" sqref="AA33:AA36 AA42:AA45 AC51:AC54" xr:uid="{00000000-0002-0000-1800-00001C000000}">
      <formula1>CST</formula1>
    </dataValidation>
    <dataValidation type="list" allowBlank="1" showInputMessage="1" showErrorMessage="1" sqref="I94:I127" xr:uid="{00000000-0002-0000-1800-00001D000000}">
      <formula1>$A$14:$A$18</formula1>
    </dataValidation>
    <dataValidation type="list" allowBlank="1" showErrorMessage="1" sqref="A94:A127" xr:uid="{00000000-0002-0000-1800-00001E000000}">
      <formula1>Charges</formula1>
    </dataValidation>
    <dataValidation allowBlank="1" showInputMessage="1" showErrorMessage="1" promptTitle="Acceptable Values:" prompt="- Applicable _x000a_- Not applicable _x000a_- Included_x000a_- Amount and OSPF for cases of fixed per D40 OSPF_x000a_    (example-  &quot;375 OSPF&quot;)" sqref="E94:G127" xr:uid="{00000000-0002-0000-1800-00001F000000}"/>
    <dataValidation type="list" allowBlank="1" showInputMessage="1" showErrorMessage="1" errorTitle="Pick up the list" promptTitle="Blank = ALL" sqref="H94:H127" xr:uid="{00000000-0002-0000-1800-000020000000}">
      <formula1>Type_note2</formula1>
    </dataValidation>
  </dataValidations>
  <pageMargins left="0.25" right="0.25" top="0.25" bottom="0.25" header="0.5" footer="0"/>
  <pageSetup scale="28" fitToHeight="0" orientation="landscape" r:id="rId1"/>
  <headerFooter alignWithMargins="0"/>
  <rowBreaks count="1" manualBreakCount="1">
    <brk id="89" max="16383" man="1"/>
  </rowBreaks>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74">
    <tabColor indexed="46"/>
    <pageSetUpPr fitToPage="1"/>
  </sheetPr>
  <dimension ref="A1:BB211"/>
  <sheetViews>
    <sheetView showGridLines="0" topLeftCell="A166" zoomScale="75" zoomScaleNormal="75" zoomScaleSheetLayoutView="75" workbookViewId="0">
      <selection activeCell="G191" sqref="A191:XFD198"/>
    </sheetView>
  </sheetViews>
  <sheetFormatPr defaultColWidth="9.140625" defaultRowHeight="15.75" x14ac:dyDescent="0.2"/>
  <cols>
    <col min="1" max="1" width="25.140625" style="69" customWidth="1"/>
    <col min="2" max="2" width="18.5703125" style="69" customWidth="1"/>
    <col min="3" max="3" width="18.28515625" style="69" customWidth="1"/>
    <col min="4" max="4" width="17.42578125" style="69" customWidth="1"/>
    <col min="5" max="5" width="19.28515625" style="69" customWidth="1"/>
    <col min="6" max="6" width="12.140625" style="211" customWidth="1"/>
    <col min="7" max="8" width="17.42578125" style="211" customWidth="1"/>
    <col min="9" max="9" width="17.7109375" style="211" customWidth="1"/>
    <col min="10" max="10" width="17.85546875" style="69" customWidth="1"/>
    <col min="11" max="11" width="16.5703125" style="69" customWidth="1"/>
    <col min="12" max="12" width="18.5703125" style="69" customWidth="1"/>
    <col min="13" max="13" width="17.28515625" style="69" customWidth="1"/>
    <col min="14" max="14" width="17.7109375" style="69" customWidth="1"/>
    <col min="15" max="16" width="16.5703125" style="69" customWidth="1"/>
    <col min="17" max="17" width="17.5703125" style="69" customWidth="1"/>
    <col min="18" max="18" width="15.85546875" style="69" customWidth="1"/>
    <col min="19" max="19" width="16.7109375" style="69" customWidth="1"/>
    <col min="20" max="20" width="16.5703125" style="69" customWidth="1"/>
    <col min="21" max="21" width="16.7109375" style="69" customWidth="1"/>
    <col min="22" max="22" width="17.5703125" style="69" customWidth="1"/>
    <col min="23" max="23" width="18" style="69" customWidth="1"/>
    <col min="24" max="24" width="12.7109375" style="69" customWidth="1"/>
    <col min="25" max="25" width="16.85546875" style="69" customWidth="1"/>
    <col min="26" max="26" width="9.7109375" style="69" customWidth="1"/>
    <col min="27" max="27" width="14.140625" style="69" customWidth="1"/>
    <col min="28" max="28" width="9.7109375" style="69" customWidth="1"/>
    <col min="29" max="29" width="14.140625" style="69" customWidth="1"/>
    <col min="30" max="16384" width="9.140625" style="69"/>
  </cols>
  <sheetData>
    <row r="1" spans="1:54" x14ac:dyDescent="0.2">
      <c r="A1" s="835" t="s">
        <v>511</v>
      </c>
      <c r="B1" s="837"/>
      <c r="C1" s="902" t="str">
        <f>Cover!B1</f>
        <v>22-XXXX</v>
      </c>
      <c r="D1" s="903"/>
      <c r="E1" s="903"/>
      <c r="F1" s="904"/>
      <c r="G1" s="69"/>
      <c r="H1" s="69"/>
      <c r="I1" s="69"/>
    </row>
    <row r="2" spans="1:54" x14ac:dyDescent="0.2">
      <c r="A2" s="885" t="s">
        <v>1236</v>
      </c>
      <c r="B2" s="886"/>
      <c r="C2" s="887"/>
      <c r="D2" s="888"/>
      <c r="E2" s="888"/>
      <c r="F2" s="889"/>
      <c r="G2" s="69"/>
      <c r="H2" s="69"/>
      <c r="I2" s="69"/>
    </row>
    <row r="3" spans="1:54" x14ac:dyDescent="0.2">
      <c r="A3" s="885" t="s">
        <v>522</v>
      </c>
      <c r="B3" s="886"/>
      <c r="C3" s="905">
        <f>Cover!B2</f>
        <v>0</v>
      </c>
      <c r="D3" s="906"/>
      <c r="E3" s="906"/>
      <c r="F3" s="907"/>
      <c r="G3" s="69"/>
      <c r="H3" s="69"/>
      <c r="I3" s="69"/>
    </row>
    <row r="4" spans="1:54" x14ac:dyDescent="0.2">
      <c r="A4" s="885" t="s">
        <v>1229</v>
      </c>
      <c r="B4" s="886"/>
      <c r="C4" s="884">
        <f>Cover!B7</f>
        <v>0</v>
      </c>
      <c r="D4" s="817"/>
      <c r="E4" s="817"/>
      <c r="F4" s="818"/>
      <c r="G4" s="69"/>
      <c r="H4" s="69"/>
      <c r="I4" s="69"/>
    </row>
    <row r="5" spans="1:54" x14ac:dyDescent="0.2">
      <c r="A5" s="885" t="s">
        <v>528</v>
      </c>
      <c r="B5" s="886"/>
      <c r="C5" s="887" t="s">
        <v>592</v>
      </c>
      <c r="D5" s="888"/>
      <c r="E5" s="888"/>
      <c r="F5" s="889"/>
      <c r="G5" s="69"/>
      <c r="H5" s="69"/>
      <c r="I5" s="69"/>
    </row>
    <row r="6" spans="1:54" ht="15.75" customHeight="1" x14ac:dyDescent="0.2">
      <c r="A6" s="885" t="s">
        <v>512</v>
      </c>
      <c r="B6" s="886"/>
      <c r="C6" s="887" t="s">
        <v>157</v>
      </c>
      <c r="D6" s="888"/>
      <c r="E6" s="888"/>
      <c r="F6" s="889"/>
      <c r="G6" s="69"/>
      <c r="H6" s="69"/>
      <c r="I6" s="69"/>
    </row>
    <row r="7" spans="1:54" ht="15.75" customHeight="1" x14ac:dyDescent="0.2">
      <c r="A7" s="885" t="s">
        <v>612</v>
      </c>
      <c r="B7" s="886"/>
      <c r="C7" s="887" t="s">
        <v>191</v>
      </c>
      <c r="D7" s="888"/>
      <c r="E7" s="888"/>
      <c r="F7" s="889"/>
      <c r="G7" s="69"/>
      <c r="H7" s="69"/>
      <c r="I7" s="69"/>
    </row>
    <row r="8" spans="1:54" ht="2.25" customHeight="1" thickBot="1" x14ac:dyDescent="0.25">
      <c r="A8" s="900"/>
      <c r="B8" s="901"/>
      <c r="C8" s="894"/>
      <c r="D8" s="895"/>
      <c r="E8" s="895"/>
      <c r="F8" s="896"/>
      <c r="G8" s="69"/>
      <c r="H8" s="69"/>
      <c r="I8" s="69"/>
    </row>
    <row r="9" spans="1:54" s="73" customFormat="1" x14ac:dyDescent="0.2">
      <c r="A9" s="442">
        <v>39</v>
      </c>
      <c r="B9" s="443" t="s">
        <v>614</v>
      </c>
      <c r="D9" s="444"/>
      <c r="E9" s="444"/>
      <c r="F9" s="445"/>
    </row>
    <row r="10" spans="1:54" s="73" customFormat="1" ht="16.5" thickBot="1" x14ac:dyDescent="0.25">
      <c r="A10" s="446"/>
      <c r="D10" s="444"/>
      <c r="E10" s="444"/>
      <c r="F10" s="445"/>
      <c r="G10" s="447"/>
      <c r="H10" s="444"/>
      <c r="I10" s="444"/>
      <c r="J10" s="444"/>
    </row>
    <row r="11" spans="1:54" ht="19.5" thickBot="1" x14ac:dyDescent="0.25">
      <c r="A11" s="448" t="s">
        <v>613</v>
      </c>
      <c r="B11" s="449"/>
      <c r="C11" s="73"/>
      <c r="D11" s="444"/>
      <c r="E11" s="444"/>
      <c r="F11" s="445"/>
      <c r="G11" s="447"/>
      <c r="H11" s="444"/>
      <c r="I11" s="444"/>
      <c r="J11" s="444"/>
    </row>
    <row r="12" spans="1:54" s="78" customFormat="1" ht="16.5" thickBot="1" x14ac:dyDescent="0.25">
      <c r="A12" s="897" t="s">
        <v>616</v>
      </c>
      <c r="B12" s="898"/>
      <c r="C12" s="898"/>
      <c r="D12" s="898"/>
      <c r="E12" s="898"/>
      <c r="F12" s="898"/>
      <c r="G12" s="898"/>
      <c r="H12" s="898"/>
      <c r="I12" s="898"/>
      <c r="J12" s="899"/>
    </row>
    <row r="13" spans="1:54" ht="17.25" customHeight="1" x14ac:dyDescent="0.2">
      <c r="A13" s="450" t="s">
        <v>617</v>
      </c>
      <c r="B13" s="881" t="s">
        <v>618</v>
      </c>
      <c r="C13" s="881"/>
      <c r="D13" s="881"/>
      <c r="E13" s="881"/>
      <c r="F13" s="881"/>
      <c r="G13" s="881"/>
      <c r="H13" s="881"/>
      <c r="I13" s="881"/>
      <c r="J13" s="882" t="s">
        <v>622</v>
      </c>
      <c r="K13" s="883"/>
      <c r="L13" s="890" t="s">
        <v>623</v>
      </c>
      <c r="M13" s="891"/>
      <c r="N13" s="350" t="s">
        <v>4</v>
      </c>
    </row>
    <row r="14" spans="1:54" s="81" customFormat="1" x14ac:dyDescent="0.2">
      <c r="A14" s="451"/>
      <c r="B14" s="862"/>
      <c r="C14" s="892"/>
      <c r="D14" s="892"/>
      <c r="E14" s="892"/>
      <c r="F14" s="892"/>
      <c r="G14" s="892"/>
      <c r="H14" s="892"/>
      <c r="I14" s="892"/>
      <c r="J14" s="870"/>
      <c r="K14" s="855"/>
      <c r="L14" s="893"/>
      <c r="M14" s="871"/>
      <c r="N14" s="349" t="str">
        <f>IF($A14&gt;0,$A14,"")</f>
        <v/>
      </c>
    </row>
    <row r="15" spans="1:54" s="453" customFormat="1" x14ac:dyDescent="0.2">
      <c r="A15" s="452"/>
      <c r="B15" s="879"/>
      <c r="C15" s="880"/>
      <c r="D15" s="880"/>
      <c r="E15" s="880"/>
      <c r="F15" s="880"/>
      <c r="G15" s="880"/>
      <c r="H15" s="880"/>
      <c r="I15" s="880"/>
      <c r="J15" s="870"/>
      <c r="K15" s="855"/>
      <c r="L15" s="870"/>
      <c r="M15" s="871"/>
      <c r="N15" s="349" t="str">
        <f>IF($A15&gt;0,$A15,"")</f>
        <v/>
      </c>
      <c r="BB15" s="81"/>
    </row>
    <row r="16" spans="1:54" s="453" customFormat="1" x14ac:dyDescent="0.2">
      <c r="A16" s="452"/>
      <c r="B16" s="879"/>
      <c r="C16" s="880"/>
      <c r="D16" s="880"/>
      <c r="E16" s="880"/>
      <c r="F16" s="880"/>
      <c r="G16" s="880"/>
      <c r="H16" s="880"/>
      <c r="I16" s="880"/>
      <c r="J16" s="870"/>
      <c r="K16" s="855"/>
      <c r="L16" s="870"/>
      <c r="M16" s="871"/>
      <c r="N16" s="349" t="str">
        <f>IF($A16&gt;0,$A16,"")</f>
        <v/>
      </c>
      <c r="BB16" s="81"/>
    </row>
    <row r="17" spans="1:54" s="453" customFormat="1" ht="16.5" thickBot="1" x14ac:dyDescent="0.25">
      <c r="A17" s="454"/>
      <c r="B17" s="864"/>
      <c r="C17" s="865"/>
      <c r="D17" s="865"/>
      <c r="E17" s="865"/>
      <c r="F17" s="865"/>
      <c r="G17" s="865"/>
      <c r="H17" s="865"/>
      <c r="I17" s="865"/>
      <c r="J17" s="866"/>
      <c r="K17" s="867"/>
      <c r="L17" s="857"/>
      <c r="M17" s="858"/>
      <c r="N17" s="349" t="str">
        <f>IF($A17&gt;0,$A17,"")</f>
        <v/>
      </c>
      <c r="BB17" s="81"/>
    </row>
    <row r="18" spans="1:54" s="462" customFormat="1" ht="16.5" thickBot="1" x14ac:dyDescent="0.25">
      <c r="A18" s="455"/>
      <c r="B18" s="456"/>
      <c r="C18" s="457"/>
      <c r="D18" s="458"/>
      <c r="E18" s="458"/>
      <c r="F18" s="459"/>
      <c r="G18" s="459"/>
      <c r="H18" s="460"/>
      <c r="I18" s="461"/>
      <c r="J18" s="461"/>
      <c r="K18" s="457"/>
      <c r="L18" s="457"/>
      <c r="M18" s="457"/>
      <c r="N18" s="349" t="str">
        <f>IF($A18&gt;0,$A18,"")</f>
        <v/>
      </c>
      <c r="O18" s="457"/>
      <c r="P18" s="457"/>
      <c r="Q18" s="457"/>
      <c r="BB18" s="81"/>
    </row>
    <row r="19" spans="1:54" s="462" customFormat="1" ht="19.5" thickBot="1" x14ac:dyDescent="0.25">
      <c r="A19" s="448" t="s">
        <v>419</v>
      </c>
      <c r="B19" s="463"/>
      <c r="I19" s="461"/>
      <c r="J19" s="461"/>
      <c r="K19" s="457"/>
      <c r="L19" s="457"/>
      <c r="M19" s="457"/>
      <c r="N19" s="457"/>
      <c r="O19" s="457"/>
      <c r="P19" s="457"/>
      <c r="Q19" s="457"/>
    </row>
    <row r="20" spans="1:54" s="462" customFormat="1" x14ac:dyDescent="0.2">
      <c r="A20" s="464" t="s">
        <v>419</v>
      </c>
      <c r="B20" s="859" t="s">
        <v>618</v>
      </c>
      <c r="C20" s="860"/>
      <c r="D20" s="860"/>
      <c r="E20" s="860"/>
      <c r="F20" s="860"/>
      <c r="G20" s="860"/>
      <c r="H20" s="861"/>
      <c r="I20" s="461"/>
      <c r="J20" s="461"/>
      <c r="K20" s="457"/>
      <c r="L20" s="457"/>
      <c r="M20" s="457"/>
      <c r="N20" s="457"/>
      <c r="O20" s="457"/>
      <c r="P20" s="457"/>
      <c r="Q20" s="457"/>
    </row>
    <row r="21" spans="1:54" s="467" customFormat="1" x14ac:dyDescent="0.2">
      <c r="A21" s="451"/>
      <c r="B21" s="862"/>
      <c r="C21" s="862"/>
      <c r="D21" s="862"/>
      <c r="E21" s="862"/>
      <c r="F21" s="862"/>
      <c r="G21" s="862"/>
      <c r="H21" s="863"/>
      <c r="I21" s="220"/>
      <c r="J21" s="465"/>
      <c r="K21" s="466"/>
      <c r="L21" s="466"/>
      <c r="M21" s="466"/>
      <c r="N21" s="466"/>
      <c r="O21" s="466"/>
      <c r="P21" s="466"/>
      <c r="Q21" s="466"/>
    </row>
    <row r="22" spans="1:54" s="467" customFormat="1" x14ac:dyDescent="0.2">
      <c r="A22" s="468"/>
      <c r="B22" s="862"/>
      <c r="C22" s="862"/>
      <c r="D22" s="862"/>
      <c r="E22" s="862"/>
      <c r="F22" s="862"/>
      <c r="G22" s="862"/>
      <c r="H22" s="863"/>
      <c r="I22" s="465"/>
      <c r="J22" s="465"/>
      <c r="K22" s="466"/>
      <c r="L22" s="466"/>
      <c r="M22" s="466"/>
      <c r="N22" s="466"/>
      <c r="O22" s="466"/>
      <c r="P22" s="466"/>
      <c r="Q22" s="466"/>
    </row>
    <row r="23" spans="1:54" s="467" customFormat="1" x14ac:dyDescent="0.2">
      <c r="A23" s="468"/>
      <c r="B23" s="854"/>
      <c r="C23" s="855"/>
      <c r="D23" s="855"/>
      <c r="E23" s="855"/>
      <c r="F23" s="855"/>
      <c r="G23" s="855"/>
      <c r="H23" s="856"/>
      <c r="I23" s="465"/>
      <c r="J23" s="465"/>
      <c r="K23" s="466"/>
      <c r="L23" s="466"/>
      <c r="M23" s="466"/>
      <c r="N23" s="466"/>
      <c r="O23" s="466"/>
      <c r="P23" s="466"/>
      <c r="Q23" s="466"/>
    </row>
    <row r="24" spans="1:54" s="467" customFormat="1" ht="16.5" thickBot="1" x14ac:dyDescent="0.25">
      <c r="A24" s="469"/>
      <c r="B24" s="877"/>
      <c r="C24" s="867"/>
      <c r="D24" s="867"/>
      <c r="E24" s="867"/>
      <c r="F24" s="867"/>
      <c r="G24" s="867"/>
      <c r="H24" s="878"/>
      <c r="I24" s="465"/>
      <c r="J24" s="465"/>
      <c r="K24" s="466"/>
      <c r="L24" s="466"/>
      <c r="M24" s="466"/>
      <c r="N24" s="466"/>
      <c r="O24" s="466"/>
      <c r="P24" s="466"/>
      <c r="Q24" s="466"/>
    </row>
    <row r="25" spans="1:54" s="462" customFormat="1" ht="16.5" thickBot="1" x14ac:dyDescent="0.25">
      <c r="A25" s="456"/>
      <c r="B25" s="95"/>
      <c r="C25" s="95"/>
      <c r="D25" s="95"/>
      <c r="E25" s="95"/>
      <c r="F25" s="95"/>
      <c r="G25" s="95"/>
      <c r="H25" s="95"/>
      <c r="I25" s="461"/>
      <c r="J25" s="461"/>
      <c r="K25" s="457"/>
      <c r="L25" s="457"/>
      <c r="M25" s="457"/>
      <c r="N25" s="457"/>
      <c r="O25" s="457"/>
      <c r="P25" s="457"/>
      <c r="Q25" s="457"/>
      <c r="R25" s="457"/>
      <c r="S25" s="457"/>
      <c r="T25" s="457"/>
      <c r="U25" s="457"/>
    </row>
    <row r="26" spans="1:54" s="462" customFormat="1" ht="19.5" thickBot="1" x14ac:dyDescent="0.25">
      <c r="A26" s="448" t="s">
        <v>624</v>
      </c>
      <c r="B26" s="449"/>
      <c r="I26" s="461"/>
      <c r="J26" s="461"/>
      <c r="K26" s="457"/>
      <c r="L26" s="457"/>
      <c r="M26" s="457"/>
      <c r="N26" s="457"/>
      <c r="O26" s="457"/>
      <c r="P26" s="457"/>
      <c r="Q26" s="457"/>
      <c r="R26" s="457"/>
      <c r="S26" s="457"/>
      <c r="T26" s="457"/>
      <c r="U26" s="457"/>
    </row>
    <row r="27" spans="1:54" s="462" customFormat="1" x14ac:dyDescent="0.2">
      <c r="A27" s="223" t="s">
        <v>886</v>
      </c>
      <c r="B27" s="470"/>
      <c r="C27" s="471"/>
      <c r="D27" s="472"/>
      <c r="E27" s="472"/>
      <c r="F27" s="473"/>
      <c r="G27" s="473"/>
      <c r="H27" s="473"/>
      <c r="I27" s="474"/>
      <c r="J27" s="475"/>
      <c r="K27" s="476"/>
      <c r="L27" s="457"/>
      <c r="M27" s="457"/>
      <c r="N27" s="457"/>
      <c r="O27" s="457"/>
      <c r="P27" s="457"/>
      <c r="Q27" s="457"/>
      <c r="R27" s="457"/>
      <c r="S27" s="457"/>
      <c r="T27" s="457"/>
      <c r="U27" s="457"/>
      <c r="V27" s="457"/>
    </row>
    <row r="28" spans="1:54" s="462" customFormat="1" x14ac:dyDescent="0.2">
      <c r="A28" s="96" t="s">
        <v>626</v>
      </c>
      <c r="B28" s="214"/>
      <c r="C28" s="477"/>
      <c r="D28" s="478"/>
      <c r="E28" s="478"/>
      <c r="F28" s="479"/>
      <c r="G28" s="479"/>
      <c r="H28" s="479"/>
      <c r="I28" s="480"/>
      <c r="J28" s="481"/>
      <c r="K28" s="482"/>
      <c r="L28" s="457"/>
      <c r="M28" s="457"/>
      <c r="N28" s="457"/>
      <c r="O28" s="457"/>
      <c r="P28" s="457"/>
      <c r="Q28" s="457"/>
      <c r="R28" s="457"/>
    </row>
    <row r="29" spans="1:54" s="462" customFormat="1" ht="16.5" thickBot="1" x14ac:dyDescent="0.25">
      <c r="A29" s="110" t="s">
        <v>172</v>
      </c>
      <c r="B29" s="483"/>
      <c r="C29" s="484"/>
      <c r="D29" s="485"/>
      <c r="E29" s="485"/>
      <c r="F29" s="486"/>
      <c r="G29" s="486"/>
      <c r="H29" s="486"/>
      <c r="I29" s="487"/>
      <c r="J29" s="488"/>
      <c r="K29" s="489"/>
      <c r="L29" s="457"/>
      <c r="M29" s="457"/>
      <c r="N29" s="457"/>
      <c r="O29" s="457"/>
      <c r="P29" s="457"/>
      <c r="Q29" s="457"/>
      <c r="R29" s="457"/>
      <c r="S29" s="118"/>
      <c r="T29" s="118"/>
      <c r="U29" s="118"/>
      <c r="V29" s="457"/>
      <c r="W29" s="457"/>
      <c r="X29" s="457"/>
    </row>
    <row r="30" spans="1:54" s="491" customFormat="1" ht="32.25" customHeight="1" x14ac:dyDescent="0.2">
      <c r="A30" s="875" t="s">
        <v>627</v>
      </c>
      <c r="B30" s="868" t="s">
        <v>628</v>
      </c>
      <c r="C30" s="868" t="s">
        <v>11</v>
      </c>
      <c r="D30" s="868" t="s">
        <v>12</v>
      </c>
      <c r="E30" s="868" t="s">
        <v>13</v>
      </c>
      <c r="F30" s="868" t="s">
        <v>14</v>
      </c>
      <c r="G30" s="868" t="s">
        <v>15</v>
      </c>
      <c r="H30" s="868" t="s">
        <v>16</v>
      </c>
      <c r="I30" s="868" t="s">
        <v>17</v>
      </c>
      <c r="J30" s="868" t="s">
        <v>18</v>
      </c>
      <c r="K30" s="868" t="s">
        <v>19</v>
      </c>
      <c r="L30" s="868" t="s">
        <v>20</v>
      </c>
      <c r="M30" s="490"/>
      <c r="N30" s="490"/>
      <c r="O30" s="490"/>
      <c r="P30" s="490"/>
      <c r="Q30" s="490"/>
      <c r="R30" s="490"/>
      <c r="S30" s="490"/>
      <c r="T30" s="490"/>
      <c r="U30" s="490"/>
      <c r="V30" s="490"/>
      <c r="W30" s="490"/>
      <c r="X30" s="868" t="s">
        <v>22</v>
      </c>
      <c r="Y30" s="868" t="s">
        <v>23</v>
      </c>
      <c r="Z30" s="868" t="s">
        <v>24</v>
      </c>
      <c r="AA30" s="922" t="s">
        <v>352</v>
      </c>
    </row>
    <row r="31" spans="1:54" s="491" customFormat="1" ht="16.5" thickBot="1" x14ac:dyDescent="0.25">
      <c r="A31" s="876"/>
      <c r="B31" s="869"/>
      <c r="C31" s="869"/>
      <c r="D31" s="869"/>
      <c r="E31" s="869"/>
      <c r="F31" s="869"/>
      <c r="G31" s="872"/>
      <c r="H31" s="869"/>
      <c r="I31" s="869"/>
      <c r="J31" s="869"/>
      <c r="K31" s="869"/>
      <c r="L31" s="869"/>
      <c r="M31" s="492"/>
      <c r="N31" s="492"/>
      <c r="O31" s="492"/>
      <c r="P31" s="492"/>
      <c r="Q31" s="492"/>
      <c r="R31" s="492"/>
      <c r="S31" s="492"/>
      <c r="T31" s="492"/>
      <c r="U31" s="492"/>
      <c r="V31" s="492"/>
      <c r="W31" s="492"/>
      <c r="X31" s="869"/>
      <c r="Y31" s="869"/>
      <c r="Z31" s="869"/>
      <c r="AA31" s="923"/>
    </row>
    <row r="32" spans="1:54" s="136" customFormat="1" x14ac:dyDescent="0.2">
      <c r="A32" s="493"/>
      <c r="B32" s="49"/>
      <c r="C32" s="225"/>
      <c r="D32" s="225"/>
      <c r="E32" s="225"/>
      <c r="F32" s="225"/>
      <c r="G32" s="120"/>
      <c r="H32" s="225"/>
      <c r="I32" s="263"/>
      <c r="J32" s="263"/>
      <c r="K32" s="263"/>
      <c r="L32" s="263"/>
      <c r="M32" s="120"/>
      <c r="N32" s="120"/>
      <c r="O32" s="120"/>
      <c r="P32" s="226"/>
      <c r="Q32" s="226"/>
      <c r="R32" s="226"/>
      <c r="S32" s="120"/>
      <c r="T32" s="120"/>
      <c r="U32" s="120"/>
      <c r="V32" s="120"/>
      <c r="W32" s="120"/>
      <c r="X32" s="227"/>
      <c r="Y32" s="227"/>
      <c r="Z32" s="120"/>
      <c r="AA32" s="121"/>
    </row>
    <row r="33" spans="1:29" s="136" customFormat="1" x14ac:dyDescent="0.2">
      <c r="A33" s="494"/>
      <c r="B33" s="123"/>
      <c r="C33" s="123"/>
      <c r="D33" s="123"/>
      <c r="E33" s="123"/>
      <c r="F33" s="123"/>
      <c r="G33" s="124"/>
      <c r="H33" s="123"/>
      <c r="I33" s="255"/>
      <c r="J33" s="255"/>
      <c r="K33" s="255"/>
      <c r="L33" s="255"/>
      <c r="M33" s="125"/>
      <c r="N33" s="124"/>
      <c r="O33" s="124"/>
      <c r="P33" s="125"/>
      <c r="Q33" s="125"/>
      <c r="R33" s="125"/>
      <c r="S33" s="124"/>
      <c r="T33" s="124"/>
      <c r="U33" s="124"/>
      <c r="V33" s="124"/>
      <c r="W33" s="124"/>
      <c r="X33" s="126"/>
      <c r="Y33" s="126"/>
      <c r="Z33" s="124"/>
      <c r="AA33" s="127"/>
    </row>
    <row r="34" spans="1:29" s="136" customFormat="1" x14ac:dyDescent="0.2">
      <c r="A34" s="494"/>
      <c r="B34" s="123"/>
      <c r="C34" s="123"/>
      <c r="D34" s="123"/>
      <c r="E34" s="123"/>
      <c r="F34" s="123"/>
      <c r="G34" s="124"/>
      <c r="H34" s="123"/>
      <c r="I34" s="255"/>
      <c r="J34" s="255"/>
      <c r="K34" s="255"/>
      <c r="L34" s="255"/>
      <c r="M34" s="125"/>
      <c r="N34" s="124"/>
      <c r="O34" s="124"/>
      <c r="P34" s="125"/>
      <c r="Q34" s="125"/>
      <c r="R34" s="125"/>
      <c r="S34" s="124"/>
      <c r="T34" s="124"/>
      <c r="U34" s="124"/>
      <c r="V34" s="124"/>
      <c r="W34" s="124"/>
      <c r="X34" s="126"/>
      <c r="Y34" s="126"/>
      <c r="Z34" s="124"/>
      <c r="AA34" s="127"/>
    </row>
    <row r="35" spans="1:29" s="136" customFormat="1" ht="16.5" thickBot="1" x14ac:dyDescent="0.25">
      <c r="A35" s="495"/>
      <c r="B35" s="128"/>
      <c r="C35" s="128"/>
      <c r="D35" s="128"/>
      <c r="E35" s="128"/>
      <c r="F35" s="128"/>
      <c r="G35" s="129"/>
      <c r="H35" s="128"/>
      <c r="I35" s="256"/>
      <c r="J35" s="256"/>
      <c r="K35" s="256"/>
      <c r="L35" s="256"/>
      <c r="M35" s="129"/>
      <c r="N35" s="129"/>
      <c r="O35" s="129"/>
      <c r="P35" s="130"/>
      <c r="Q35" s="130"/>
      <c r="R35" s="130"/>
      <c r="S35" s="129"/>
      <c r="T35" s="129"/>
      <c r="U35" s="129"/>
      <c r="V35" s="129"/>
      <c r="W35" s="129"/>
      <c r="X35" s="131"/>
      <c r="Y35" s="131"/>
      <c r="Z35" s="129"/>
      <c r="AA35" s="132"/>
    </row>
    <row r="36" spans="1:29" s="73" customFormat="1" x14ac:dyDescent="0.2">
      <c r="A36" s="133"/>
      <c r="B36" s="133"/>
      <c r="C36" s="133"/>
      <c r="D36" s="133"/>
      <c r="E36" s="133"/>
      <c r="F36" s="133"/>
      <c r="G36" s="118"/>
      <c r="H36" s="118"/>
      <c r="I36" s="118"/>
      <c r="J36" s="118"/>
      <c r="K36" s="118"/>
      <c r="L36" s="118"/>
      <c r="M36" s="134"/>
      <c r="N36" s="118"/>
      <c r="O36" s="159"/>
      <c r="P36" s="159"/>
      <c r="Q36" s="159"/>
      <c r="R36" s="159"/>
      <c r="S36" s="159"/>
      <c r="T36" s="159"/>
      <c r="U36" s="159"/>
      <c r="V36" s="159"/>
      <c r="W36" s="466"/>
    </row>
    <row r="37" spans="1:29" s="73" customFormat="1" ht="16.5" thickBot="1" x14ac:dyDescent="0.25">
      <c r="A37" s="133"/>
      <c r="B37" s="133"/>
      <c r="C37" s="133"/>
      <c r="D37" s="133"/>
      <c r="E37" s="133"/>
      <c r="F37" s="133"/>
      <c r="G37" s="118"/>
      <c r="H37" s="118"/>
      <c r="I37" s="118"/>
      <c r="J37" s="118"/>
      <c r="K37" s="118"/>
      <c r="N37" s="118"/>
      <c r="O37" s="159"/>
      <c r="P37" s="159"/>
      <c r="Q37" s="159"/>
      <c r="R37" s="159"/>
      <c r="S37" s="159"/>
      <c r="T37" s="159"/>
      <c r="U37" s="159"/>
      <c r="V37" s="159"/>
      <c r="W37" s="467"/>
    </row>
    <row r="38" spans="1:29" s="73" customFormat="1" ht="16.5" thickBot="1" x14ac:dyDescent="0.25">
      <c r="A38" s="496" t="s">
        <v>25</v>
      </c>
      <c r="B38" s="133"/>
      <c r="C38" s="133"/>
      <c r="D38" s="133"/>
      <c r="E38" s="133"/>
      <c r="F38" s="133"/>
      <c r="G38" s="118"/>
      <c r="H38" s="118"/>
      <c r="I38" s="118"/>
      <c r="J38" s="118"/>
      <c r="K38" s="118"/>
      <c r="M38" s="118"/>
      <c r="N38" s="118"/>
      <c r="O38" s="159"/>
      <c r="P38" s="136"/>
      <c r="Q38" s="136"/>
      <c r="R38" s="136"/>
      <c r="S38" s="466"/>
      <c r="T38" s="466"/>
      <c r="U38" s="466"/>
      <c r="V38" s="466"/>
      <c r="W38" s="159"/>
    </row>
    <row r="39" spans="1:29" s="73" customFormat="1" ht="15.75" customHeight="1" x14ac:dyDescent="0.2">
      <c r="A39" s="875" t="s">
        <v>627</v>
      </c>
      <c r="B39" s="868" t="s">
        <v>628</v>
      </c>
      <c r="C39" s="868" t="s">
        <v>11</v>
      </c>
      <c r="D39" s="868" t="s">
        <v>12</v>
      </c>
      <c r="E39" s="868" t="s">
        <v>13</v>
      </c>
      <c r="F39" s="868" t="s">
        <v>14</v>
      </c>
      <c r="G39" s="868" t="s">
        <v>15</v>
      </c>
      <c r="H39" s="868" t="s">
        <v>16</v>
      </c>
      <c r="I39" s="868" t="s">
        <v>26</v>
      </c>
      <c r="J39" s="868" t="s">
        <v>27</v>
      </c>
      <c r="K39" s="945" t="s">
        <v>295</v>
      </c>
      <c r="L39" s="497" t="s">
        <v>63</v>
      </c>
      <c r="M39" s="498" t="s">
        <v>64</v>
      </c>
      <c r="N39" s="499" t="s">
        <v>65</v>
      </c>
      <c r="O39" s="490"/>
      <c r="P39" s="490"/>
      <c r="Q39" s="490"/>
      <c r="R39" s="490"/>
      <c r="S39" s="490"/>
      <c r="T39" s="490"/>
      <c r="U39" s="490"/>
      <c r="V39" s="490"/>
      <c r="W39" s="490"/>
      <c r="X39" s="868" t="s">
        <v>22</v>
      </c>
      <c r="Y39" s="868" t="s">
        <v>23</v>
      </c>
      <c r="Z39" s="868" t="s">
        <v>24</v>
      </c>
      <c r="AA39" s="922" t="s">
        <v>352</v>
      </c>
    </row>
    <row r="40" spans="1:29" s="73" customFormat="1" ht="31.7" customHeight="1" thickBot="1" x14ac:dyDescent="0.25">
      <c r="A40" s="876"/>
      <c r="B40" s="869"/>
      <c r="C40" s="869"/>
      <c r="D40" s="869"/>
      <c r="E40" s="869"/>
      <c r="F40" s="869"/>
      <c r="G40" s="872"/>
      <c r="H40" s="869"/>
      <c r="I40" s="869"/>
      <c r="J40" s="869"/>
      <c r="K40" s="946"/>
      <c r="L40" s="500" t="s">
        <v>66</v>
      </c>
      <c r="M40" s="501" t="s">
        <v>67</v>
      </c>
      <c r="N40" s="502" t="s">
        <v>68</v>
      </c>
      <c r="O40" s="503"/>
      <c r="P40" s="492"/>
      <c r="Q40" s="492"/>
      <c r="R40" s="492"/>
      <c r="S40" s="492"/>
      <c r="T40" s="492"/>
      <c r="U40" s="492"/>
      <c r="V40" s="492"/>
      <c r="W40" s="492"/>
      <c r="X40" s="869"/>
      <c r="Y40" s="869"/>
      <c r="Z40" s="869"/>
      <c r="AA40" s="923"/>
    </row>
    <row r="41" spans="1:29" s="136" customFormat="1" x14ac:dyDescent="0.2">
      <c r="A41" s="493"/>
      <c r="B41" s="225"/>
      <c r="C41" s="225"/>
      <c r="D41" s="225"/>
      <c r="E41" s="225"/>
      <c r="F41" s="225"/>
      <c r="G41" s="120"/>
      <c r="H41" s="225"/>
      <c r="I41" s="263"/>
      <c r="J41" s="263"/>
      <c r="K41" s="265"/>
      <c r="L41" s="268"/>
      <c r="M41" s="120"/>
      <c r="N41" s="121"/>
      <c r="O41" s="269"/>
      <c r="P41" s="226"/>
      <c r="Q41" s="226"/>
      <c r="R41" s="226"/>
      <c r="S41" s="120"/>
      <c r="T41" s="120"/>
      <c r="U41" s="120"/>
      <c r="V41" s="120"/>
      <c r="W41" s="120"/>
      <c r="X41" s="227"/>
      <c r="Y41" s="227"/>
      <c r="Z41" s="120"/>
      <c r="AA41" s="121"/>
    </row>
    <row r="42" spans="1:29" s="136" customFormat="1" x14ac:dyDescent="0.2">
      <c r="A42" s="494"/>
      <c r="B42" s="123"/>
      <c r="C42" s="123"/>
      <c r="D42" s="123"/>
      <c r="E42" s="123"/>
      <c r="F42" s="123"/>
      <c r="G42" s="124"/>
      <c r="H42" s="123"/>
      <c r="I42" s="255"/>
      <c r="J42" s="255"/>
      <c r="K42" s="266"/>
      <c r="L42" s="259"/>
      <c r="M42" s="124"/>
      <c r="N42" s="127"/>
      <c r="O42" s="248"/>
      <c r="P42" s="125"/>
      <c r="Q42" s="125"/>
      <c r="R42" s="125"/>
      <c r="S42" s="124"/>
      <c r="T42" s="124"/>
      <c r="U42" s="124"/>
      <c r="V42" s="124"/>
      <c r="W42" s="124"/>
      <c r="X42" s="126"/>
      <c r="Y42" s="126"/>
      <c r="Z42" s="124"/>
      <c r="AA42" s="127"/>
    </row>
    <row r="43" spans="1:29" s="136" customFormat="1" x14ac:dyDescent="0.2">
      <c r="A43" s="494"/>
      <c r="B43" s="123"/>
      <c r="C43" s="123"/>
      <c r="D43" s="123"/>
      <c r="E43" s="123"/>
      <c r="F43" s="123"/>
      <c r="G43" s="124"/>
      <c r="H43" s="123"/>
      <c r="I43" s="255"/>
      <c r="J43" s="255"/>
      <c r="K43" s="266"/>
      <c r="L43" s="259"/>
      <c r="M43" s="124"/>
      <c r="N43" s="127"/>
      <c r="O43" s="248"/>
      <c r="P43" s="125"/>
      <c r="Q43" s="125"/>
      <c r="R43" s="125"/>
      <c r="S43" s="124"/>
      <c r="T43" s="124"/>
      <c r="U43" s="124"/>
      <c r="V43" s="124"/>
      <c r="W43" s="124"/>
      <c r="X43" s="126"/>
      <c r="Y43" s="126"/>
      <c r="Z43" s="124"/>
      <c r="AA43" s="127"/>
    </row>
    <row r="44" spans="1:29" s="136" customFormat="1" ht="16.5" thickBot="1" x14ac:dyDescent="0.25">
      <c r="A44" s="495"/>
      <c r="B44" s="128"/>
      <c r="C44" s="128"/>
      <c r="D44" s="128"/>
      <c r="E44" s="128"/>
      <c r="F44" s="128"/>
      <c r="G44" s="129"/>
      <c r="H44" s="128"/>
      <c r="I44" s="256"/>
      <c r="J44" s="256"/>
      <c r="K44" s="267"/>
      <c r="L44" s="137"/>
      <c r="M44" s="129"/>
      <c r="N44" s="132"/>
      <c r="O44" s="137"/>
      <c r="P44" s="129"/>
      <c r="Q44" s="129"/>
      <c r="R44" s="129"/>
      <c r="S44" s="129"/>
      <c r="T44" s="129"/>
      <c r="U44" s="129"/>
      <c r="V44" s="129"/>
      <c r="W44" s="129"/>
      <c r="X44" s="131"/>
      <c r="Y44" s="131"/>
      <c r="Z44" s="129"/>
      <c r="AA44" s="132"/>
    </row>
    <row r="45" spans="1:29" s="73" customFormat="1" x14ac:dyDescent="0.2">
      <c r="A45" s="133"/>
      <c r="B45" s="133"/>
      <c r="C45" s="133"/>
      <c r="D45" s="133"/>
      <c r="E45" s="133"/>
      <c r="F45" s="133"/>
      <c r="G45" s="118"/>
      <c r="H45" s="118"/>
      <c r="I45" s="118"/>
      <c r="J45" s="118"/>
      <c r="K45" s="118"/>
      <c r="L45" s="118"/>
      <c r="M45" s="118"/>
      <c r="N45" s="118"/>
      <c r="O45" s="160"/>
      <c r="P45" s="159"/>
      <c r="Q45" s="159"/>
      <c r="R45" s="159"/>
      <c r="S45" s="136"/>
      <c r="T45" s="136"/>
      <c r="U45" s="136"/>
      <c r="V45" s="136"/>
      <c r="W45" s="136"/>
      <c r="X45" s="118"/>
    </row>
    <row r="46" spans="1:29" s="73" customFormat="1" ht="16.5" thickBot="1" x14ac:dyDescent="0.25">
      <c r="A46" s="133"/>
      <c r="B46" s="133"/>
      <c r="C46" s="133"/>
      <c r="D46" s="133"/>
      <c r="E46" s="133"/>
      <c r="F46" s="133"/>
      <c r="G46" s="118"/>
      <c r="H46" s="118"/>
      <c r="I46" s="118"/>
      <c r="J46" s="118"/>
      <c r="K46" s="118"/>
      <c r="L46" s="118"/>
      <c r="M46" s="118"/>
      <c r="N46" s="118"/>
      <c r="O46" s="160"/>
      <c r="P46" s="159"/>
      <c r="Q46" s="159"/>
      <c r="R46" s="159"/>
      <c r="S46" s="136"/>
      <c r="T46" s="136"/>
      <c r="U46" s="136"/>
      <c r="V46" s="136"/>
      <c r="W46" s="136"/>
      <c r="X46" s="118"/>
    </row>
    <row r="47" spans="1:29" s="73" customFormat="1" ht="16.5" thickBot="1" x14ac:dyDescent="0.25">
      <c r="A47" s="822" t="s">
        <v>307</v>
      </c>
      <c r="B47" s="873"/>
      <c r="C47" s="873"/>
      <c r="D47" s="874"/>
      <c r="E47" s="133"/>
      <c r="F47" s="133"/>
      <c r="G47" s="118"/>
      <c r="H47" s="118"/>
      <c r="I47" s="118"/>
      <c r="J47" s="118"/>
      <c r="K47" s="118"/>
      <c r="L47" s="118"/>
      <c r="M47" s="118"/>
      <c r="N47" s="118"/>
      <c r="O47" s="136"/>
      <c r="P47" s="159"/>
      <c r="Q47" s="159"/>
      <c r="R47" s="159"/>
      <c r="S47" s="466"/>
      <c r="T47" s="466"/>
      <c r="U47" s="466"/>
      <c r="V47" s="466"/>
      <c r="W47" s="159"/>
      <c r="X47" s="118"/>
      <c r="Y47" s="118"/>
    </row>
    <row r="48" spans="1:29" s="73" customFormat="1" ht="15.75" customHeight="1" x14ac:dyDescent="0.2">
      <c r="A48" s="875" t="s">
        <v>627</v>
      </c>
      <c r="B48" s="868" t="s">
        <v>628</v>
      </c>
      <c r="C48" s="868" t="s">
        <v>11</v>
      </c>
      <c r="D48" s="868" t="s">
        <v>12</v>
      </c>
      <c r="E48" s="868" t="s">
        <v>13</v>
      </c>
      <c r="F48" s="868" t="s">
        <v>14</v>
      </c>
      <c r="G48" s="868" t="s">
        <v>15</v>
      </c>
      <c r="H48" s="868" t="s">
        <v>16</v>
      </c>
      <c r="I48" s="868">
        <v>20</v>
      </c>
      <c r="J48" s="868">
        <v>40</v>
      </c>
      <c r="K48" s="868" t="s">
        <v>19</v>
      </c>
      <c r="L48" s="922" t="s">
        <v>20</v>
      </c>
      <c r="M48" s="943" t="s">
        <v>28</v>
      </c>
      <c r="N48" s="504" t="s">
        <v>69</v>
      </c>
      <c r="O48" s="498" t="s">
        <v>64</v>
      </c>
      <c r="P48" s="499" t="s">
        <v>65</v>
      </c>
      <c r="Q48" s="490" t="s">
        <v>147</v>
      </c>
      <c r="R48" s="490" t="s">
        <v>71</v>
      </c>
      <c r="S48" s="490"/>
      <c r="T48" s="490"/>
      <c r="U48" s="490"/>
      <c r="V48" s="490"/>
      <c r="W48" s="490"/>
      <c r="X48" s="490"/>
      <c r="Y48" s="490"/>
      <c r="Z48" s="868" t="s">
        <v>22</v>
      </c>
      <c r="AA48" s="868" t="s">
        <v>23</v>
      </c>
      <c r="AB48" s="868" t="s">
        <v>24</v>
      </c>
      <c r="AC48" s="922" t="s">
        <v>352</v>
      </c>
    </row>
    <row r="49" spans="1:29" s="73" customFormat="1" ht="48" thickBot="1" x14ac:dyDescent="0.25">
      <c r="A49" s="876"/>
      <c r="B49" s="869"/>
      <c r="C49" s="869"/>
      <c r="D49" s="869"/>
      <c r="E49" s="869"/>
      <c r="F49" s="869"/>
      <c r="G49" s="872"/>
      <c r="H49" s="869"/>
      <c r="I49" s="869"/>
      <c r="J49" s="869"/>
      <c r="K49" s="869"/>
      <c r="L49" s="923"/>
      <c r="M49" s="944"/>
      <c r="N49" s="505" t="s">
        <v>70</v>
      </c>
      <c r="O49" s="501" t="s">
        <v>67</v>
      </c>
      <c r="P49" s="502" t="s">
        <v>68</v>
      </c>
      <c r="Q49" s="503" t="s">
        <v>84</v>
      </c>
      <c r="R49" s="492" t="s">
        <v>84</v>
      </c>
      <c r="S49" s="492"/>
      <c r="T49" s="492"/>
      <c r="U49" s="492"/>
      <c r="V49" s="492"/>
      <c r="W49" s="492"/>
      <c r="X49" s="492"/>
      <c r="Y49" s="492"/>
      <c r="Z49" s="924"/>
      <c r="AA49" s="924"/>
      <c r="AB49" s="924"/>
      <c r="AC49" s="923"/>
    </row>
    <row r="50" spans="1:29" s="136" customFormat="1" x14ac:dyDescent="0.2">
      <c r="A50" s="493"/>
      <c r="B50" s="225"/>
      <c r="C50" s="225"/>
      <c r="D50" s="225"/>
      <c r="E50" s="225"/>
      <c r="F50" s="225"/>
      <c r="G50" s="120"/>
      <c r="H50" s="225"/>
      <c r="I50" s="263"/>
      <c r="J50" s="263"/>
      <c r="K50" s="263"/>
      <c r="L50" s="265"/>
      <c r="M50" s="270"/>
      <c r="N50" s="268"/>
      <c r="O50" s="120"/>
      <c r="P50" s="121"/>
      <c r="Q50" s="269"/>
      <c r="R50" s="226"/>
      <c r="S50" s="226"/>
      <c r="T50" s="226"/>
      <c r="U50" s="226"/>
      <c r="V50" s="226"/>
      <c r="W50" s="120"/>
      <c r="X50" s="120"/>
      <c r="Y50" s="120"/>
      <c r="Z50" s="227"/>
      <c r="AA50" s="227"/>
      <c r="AB50" s="120"/>
      <c r="AC50" s="121"/>
    </row>
    <row r="51" spans="1:29" s="136" customFormat="1" x14ac:dyDescent="0.2">
      <c r="A51" s="494"/>
      <c r="B51" s="123"/>
      <c r="C51" s="123"/>
      <c r="D51" s="123"/>
      <c r="E51" s="123"/>
      <c r="F51" s="123"/>
      <c r="G51" s="124"/>
      <c r="H51" s="123"/>
      <c r="I51" s="255"/>
      <c r="J51" s="255"/>
      <c r="K51" s="255"/>
      <c r="L51" s="266"/>
      <c r="M51" s="271"/>
      <c r="N51" s="259"/>
      <c r="O51" s="124"/>
      <c r="P51" s="127"/>
      <c r="Q51" s="248"/>
      <c r="R51" s="125"/>
      <c r="S51" s="125"/>
      <c r="T51" s="125"/>
      <c r="U51" s="125"/>
      <c r="V51" s="125"/>
      <c r="W51" s="124"/>
      <c r="X51" s="124"/>
      <c r="Y51" s="124"/>
      <c r="Z51" s="126"/>
      <c r="AA51" s="126"/>
      <c r="AB51" s="124"/>
      <c r="AC51" s="127"/>
    </row>
    <row r="52" spans="1:29" s="136" customFormat="1" x14ac:dyDescent="0.2">
      <c r="A52" s="494"/>
      <c r="B52" s="123"/>
      <c r="C52" s="123"/>
      <c r="D52" s="123"/>
      <c r="E52" s="123"/>
      <c r="F52" s="123"/>
      <c r="G52" s="124"/>
      <c r="H52" s="123"/>
      <c r="I52" s="255"/>
      <c r="J52" s="255"/>
      <c r="K52" s="255"/>
      <c r="L52" s="266"/>
      <c r="M52" s="271"/>
      <c r="N52" s="259"/>
      <c r="O52" s="124"/>
      <c r="P52" s="127"/>
      <c r="Q52" s="248"/>
      <c r="R52" s="125"/>
      <c r="S52" s="125"/>
      <c r="T52" s="125"/>
      <c r="U52" s="125"/>
      <c r="V52" s="125"/>
      <c r="W52" s="124"/>
      <c r="X52" s="124"/>
      <c r="Y52" s="124"/>
      <c r="Z52" s="126"/>
      <c r="AA52" s="126"/>
      <c r="AB52" s="124"/>
      <c r="AC52" s="127"/>
    </row>
    <row r="53" spans="1:29" s="136" customFormat="1" ht="16.5" thickBot="1" x14ac:dyDescent="0.25">
      <c r="A53" s="495"/>
      <c r="B53" s="128"/>
      <c r="C53" s="128"/>
      <c r="D53" s="128"/>
      <c r="E53" s="128"/>
      <c r="F53" s="128"/>
      <c r="G53" s="129"/>
      <c r="H53" s="128"/>
      <c r="I53" s="256"/>
      <c r="J53" s="256"/>
      <c r="K53" s="256"/>
      <c r="L53" s="267"/>
      <c r="M53" s="161"/>
      <c r="N53" s="137"/>
      <c r="O53" s="129"/>
      <c r="P53" s="132"/>
      <c r="Q53" s="137"/>
      <c r="R53" s="129"/>
      <c r="S53" s="129"/>
      <c r="T53" s="129"/>
      <c r="U53" s="129"/>
      <c r="V53" s="129"/>
      <c r="W53" s="129"/>
      <c r="X53" s="129"/>
      <c r="Y53" s="129"/>
      <c r="Z53" s="131"/>
      <c r="AA53" s="131"/>
      <c r="AB53" s="129"/>
      <c r="AC53" s="132"/>
    </row>
    <row r="54" spans="1:29" s="73" customFormat="1" x14ac:dyDescent="0.2">
      <c r="A54" s="133"/>
      <c r="B54" s="133"/>
      <c r="C54" s="133"/>
      <c r="D54" s="133"/>
      <c r="E54" s="133"/>
      <c r="F54" s="133"/>
      <c r="G54" s="118"/>
      <c r="H54" s="118"/>
      <c r="I54" s="118"/>
      <c r="J54" s="118"/>
      <c r="K54" s="118"/>
      <c r="M54" s="118"/>
      <c r="V54" s="118"/>
      <c r="W54" s="118"/>
    </row>
    <row r="55" spans="1:29" s="73" customFormat="1" x14ac:dyDescent="0.2">
      <c r="A55" s="133"/>
      <c r="B55" s="133"/>
      <c r="C55" s="133"/>
      <c r="D55" s="133"/>
      <c r="E55" s="133"/>
      <c r="F55" s="118"/>
      <c r="G55" s="118"/>
      <c r="H55" s="118"/>
      <c r="I55" s="118"/>
      <c r="J55" s="118"/>
      <c r="K55" s="134"/>
      <c r="L55" s="118"/>
      <c r="M55" s="118"/>
      <c r="N55" s="118"/>
      <c r="S55" s="118"/>
      <c r="T55" s="118"/>
      <c r="U55" s="118"/>
    </row>
    <row r="56" spans="1:29" s="456" customFormat="1" ht="16.5" thickBot="1" x14ac:dyDescent="0.25">
      <c r="A56" s="133"/>
      <c r="B56" s="133"/>
      <c r="C56" s="133"/>
      <c r="D56" s="133"/>
      <c r="E56" s="118"/>
      <c r="F56" s="118"/>
      <c r="G56" s="118"/>
      <c r="H56" s="118"/>
      <c r="I56" s="118"/>
      <c r="J56" s="134"/>
      <c r="K56" s="134"/>
      <c r="L56" s="134"/>
      <c r="M56" s="134"/>
      <c r="R56" s="134"/>
    </row>
    <row r="57" spans="1:29" s="456" customFormat="1" ht="19.5" thickBot="1" x14ac:dyDescent="0.25">
      <c r="A57" s="938" t="s">
        <v>29</v>
      </c>
      <c r="B57" s="939"/>
      <c r="C57" s="940"/>
      <c r="D57" s="133"/>
      <c r="E57" s="133"/>
      <c r="F57" s="118"/>
      <c r="G57" s="118"/>
      <c r="H57" s="118"/>
      <c r="I57" s="118"/>
      <c r="J57" s="118"/>
      <c r="K57" s="134"/>
      <c r="L57" s="134"/>
      <c r="M57" s="134"/>
      <c r="N57" s="134"/>
      <c r="S57" s="134"/>
      <c r="T57" s="134"/>
      <c r="U57" s="134"/>
    </row>
    <row r="58" spans="1:29" s="456" customFormat="1" ht="16.5" thickBot="1" x14ac:dyDescent="0.25">
      <c r="A58" s="800" t="s">
        <v>625</v>
      </c>
      <c r="B58" s="801"/>
      <c r="C58" s="802"/>
      <c r="D58" s="133"/>
      <c r="E58" s="133"/>
      <c r="F58" s="133"/>
      <c r="G58" s="118"/>
      <c r="H58" s="118"/>
      <c r="I58" s="118"/>
      <c r="J58" s="118"/>
      <c r="K58" s="118"/>
      <c r="L58" s="134"/>
      <c r="N58" s="134"/>
      <c r="O58" s="134"/>
      <c r="V58" s="134"/>
    </row>
    <row r="59" spans="1:29" s="456" customFormat="1" x14ac:dyDescent="0.2">
      <c r="A59" s="506" t="s">
        <v>30</v>
      </c>
      <c r="B59" s="507"/>
      <c r="C59" s="508" t="s">
        <v>155</v>
      </c>
      <c r="D59" s="509"/>
      <c r="E59" s="509"/>
      <c r="F59" s="510"/>
      <c r="G59" s="510"/>
      <c r="H59" s="509"/>
      <c r="I59" s="510"/>
      <c r="J59" s="509"/>
      <c r="K59" s="143"/>
      <c r="L59" s="144"/>
      <c r="N59" s="134"/>
      <c r="O59" s="134"/>
      <c r="P59" s="134"/>
    </row>
    <row r="60" spans="1:29" s="456" customFormat="1" x14ac:dyDescent="0.2">
      <c r="A60" s="96" t="s">
        <v>626</v>
      </c>
      <c r="B60" s="511"/>
      <c r="C60" s="511"/>
      <c r="D60" s="512"/>
      <c r="E60" s="512"/>
      <c r="F60" s="215"/>
      <c r="G60" s="215"/>
      <c r="H60" s="512"/>
      <c r="I60" s="215"/>
      <c r="J60" s="512"/>
      <c r="K60" s="149"/>
      <c r="L60" s="150"/>
      <c r="N60" s="134"/>
      <c r="O60" s="134"/>
      <c r="P60" s="134"/>
    </row>
    <row r="61" spans="1:29" s="456" customFormat="1" x14ac:dyDescent="0.2">
      <c r="A61" s="96" t="s">
        <v>173</v>
      </c>
      <c r="B61" s="511"/>
      <c r="C61" s="511"/>
      <c r="D61" s="512"/>
      <c r="E61" s="512"/>
      <c r="F61" s="215"/>
      <c r="G61" s="215"/>
      <c r="H61" s="512"/>
      <c r="I61" s="215"/>
      <c r="J61" s="512"/>
      <c r="K61" s="149"/>
      <c r="L61" s="150"/>
      <c r="N61" s="134"/>
      <c r="O61" s="134"/>
      <c r="P61" s="134"/>
    </row>
    <row r="62" spans="1:29" s="456" customFormat="1" x14ac:dyDescent="0.2">
      <c r="A62" s="96" t="s">
        <v>987</v>
      </c>
      <c r="B62" s="511"/>
      <c r="C62" s="511"/>
      <c r="D62" s="512"/>
      <c r="E62" s="512"/>
      <c r="F62" s="215"/>
      <c r="G62" s="215"/>
      <c r="H62" s="512"/>
      <c r="I62" s="215"/>
      <c r="J62" s="512"/>
      <c r="K62" s="149"/>
      <c r="L62" s="150"/>
      <c r="N62" s="134"/>
      <c r="O62" s="134"/>
      <c r="P62" s="134"/>
    </row>
    <row r="63" spans="1:29" s="456" customFormat="1" ht="16.5" thickBot="1" x14ac:dyDescent="0.25">
      <c r="A63" s="110" t="s">
        <v>988</v>
      </c>
      <c r="B63" s="513"/>
      <c r="C63" s="513"/>
      <c r="D63" s="514"/>
      <c r="E63" s="514"/>
      <c r="F63" s="515"/>
      <c r="G63" s="515"/>
      <c r="H63" s="514"/>
      <c r="I63" s="515"/>
      <c r="J63" s="514"/>
      <c r="K63" s="154"/>
      <c r="L63" s="155"/>
      <c r="N63" s="134"/>
      <c r="O63" s="134"/>
      <c r="P63" s="134"/>
    </row>
    <row r="64" spans="1:29" s="456" customFormat="1" ht="16.5" thickBot="1" x14ac:dyDescent="0.25">
      <c r="A64" s="516"/>
      <c r="B64" s="517"/>
      <c r="C64" s="134"/>
      <c r="D64" s="133"/>
      <c r="E64" s="133"/>
      <c r="F64" s="133"/>
      <c r="G64" s="133"/>
      <c r="H64" s="118"/>
      <c r="I64" s="118"/>
      <c r="J64" s="118"/>
      <c r="K64" s="118"/>
      <c r="L64" s="118"/>
      <c r="M64" s="134"/>
      <c r="O64" s="134"/>
      <c r="P64" s="134"/>
      <c r="Q64" s="118"/>
    </row>
    <row r="65" spans="1:24" s="14" customFormat="1" ht="48" thickBot="1" x14ac:dyDescent="0.25">
      <c r="A65" s="518" t="s">
        <v>31</v>
      </c>
      <c r="B65" s="932" t="s">
        <v>628</v>
      </c>
      <c r="C65" s="933"/>
      <c r="D65" s="934"/>
      <c r="E65" s="519" t="s">
        <v>11</v>
      </c>
      <c r="F65" s="519" t="s">
        <v>14</v>
      </c>
      <c r="G65" s="519" t="s">
        <v>287</v>
      </c>
      <c r="H65" s="519" t="s">
        <v>32</v>
      </c>
      <c r="I65" s="519" t="s">
        <v>16</v>
      </c>
      <c r="J65" s="519" t="s">
        <v>17</v>
      </c>
      <c r="K65" s="519" t="s">
        <v>18</v>
      </c>
      <c r="L65" s="519" t="s">
        <v>19</v>
      </c>
      <c r="M65" s="519" t="s">
        <v>20</v>
      </c>
      <c r="N65" s="520" t="s">
        <v>123</v>
      </c>
      <c r="O65" s="519" t="s">
        <v>96</v>
      </c>
      <c r="P65" s="521" t="s">
        <v>809</v>
      </c>
    </row>
    <row r="66" spans="1:24" s="303" customFormat="1" x14ac:dyDescent="0.2">
      <c r="A66" s="269"/>
      <c r="B66" s="925"/>
      <c r="C66" s="926"/>
      <c r="D66" s="926"/>
      <c r="E66" s="226"/>
      <c r="F66" s="226"/>
      <c r="G66" s="226"/>
      <c r="H66" s="226"/>
      <c r="I66" s="226"/>
      <c r="J66" s="273"/>
      <c r="K66" s="263"/>
      <c r="L66" s="263"/>
      <c r="M66" s="306"/>
      <c r="N66" s="49"/>
      <c r="O66" s="226"/>
      <c r="P66" s="274"/>
      <c r="Q66" s="159"/>
      <c r="R66" s="159"/>
      <c r="S66" s="159"/>
      <c r="T66" s="159"/>
      <c r="U66" s="159"/>
      <c r="V66" s="160"/>
      <c r="W66" s="160"/>
      <c r="X66" s="160"/>
    </row>
    <row r="67" spans="1:24" s="303" customFormat="1" x14ac:dyDescent="0.2">
      <c r="A67" s="248"/>
      <c r="B67" s="927"/>
      <c r="C67" s="928"/>
      <c r="D67" s="928"/>
      <c r="E67" s="125"/>
      <c r="F67" s="125"/>
      <c r="G67" s="125"/>
      <c r="H67" s="125"/>
      <c r="I67" s="125"/>
      <c r="J67" s="275"/>
      <c r="K67" s="255"/>
      <c r="L67" s="255"/>
      <c r="M67" s="307"/>
      <c r="N67" s="21"/>
      <c r="O67" s="125"/>
      <c r="P67" s="276"/>
      <c r="Q67" s="159"/>
      <c r="R67" s="159"/>
      <c r="S67" s="159"/>
      <c r="T67" s="159"/>
      <c r="U67" s="159"/>
      <c r="V67" s="160"/>
      <c r="W67" s="160"/>
      <c r="X67" s="160"/>
    </row>
    <row r="68" spans="1:24" s="303" customFormat="1" x14ac:dyDescent="0.2">
      <c r="A68" s="248"/>
      <c r="B68" s="927"/>
      <c r="C68" s="928"/>
      <c r="D68" s="928"/>
      <c r="E68" s="125"/>
      <c r="F68" s="125"/>
      <c r="G68" s="125"/>
      <c r="H68" s="125"/>
      <c r="I68" s="125"/>
      <c r="J68" s="275"/>
      <c r="K68" s="255"/>
      <c r="L68" s="255"/>
      <c r="M68" s="307"/>
      <c r="N68" s="21"/>
      <c r="O68" s="125"/>
      <c r="P68" s="276"/>
      <c r="Q68" s="159"/>
      <c r="R68" s="159"/>
      <c r="S68" s="159"/>
      <c r="T68" s="159"/>
      <c r="U68" s="159"/>
      <c r="V68" s="160"/>
      <c r="W68" s="160"/>
      <c r="X68" s="160"/>
    </row>
    <row r="69" spans="1:24" s="303" customFormat="1" ht="16.5" thickBot="1" x14ac:dyDescent="0.25">
      <c r="A69" s="304"/>
      <c r="B69" s="912"/>
      <c r="C69" s="913"/>
      <c r="D69" s="913"/>
      <c r="E69" s="130"/>
      <c r="F69" s="130"/>
      <c r="G69" s="130"/>
      <c r="H69" s="130"/>
      <c r="I69" s="130"/>
      <c r="J69" s="258"/>
      <c r="K69" s="256"/>
      <c r="L69" s="256"/>
      <c r="M69" s="305"/>
      <c r="N69" s="29"/>
      <c r="O69" s="129"/>
      <c r="P69" s="132"/>
      <c r="Q69" s="159"/>
      <c r="R69" s="159"/>
      <c r="S69" s="159"/>
      <c r="T69" s="159"/>
      <c r="U69" s="159"/>
      <c r="V69" s="160"/>
      <c r="W69" s="160"/>
      <c r="X69" s="160"/>
    </row>
    <row r="70" spans="1:24" s="456" customFormat="1" x14ac:dyDescent="0.2">
      <c r="A70" s="134"/>
      <c r="B70" s="134"/>
      <c r="C70" s="522"/>
      <c r="D70" s="522"/>
      <c r="E70" s="134"/>
      <c r="F70" s="134"/>
      <c r="G70" s="134"/>
      <c r="H70" s="134"/>
      <c r="I70" s="134"/>
      <c r="J70" s="134"/>
      <c r="K70" s="134"/>
      <c r="L70" s="134"/>
      <c r="M70" s="134"/>
      <c r="O70" s="118"/>
      <c r="P70" s="118"/>
      <c r="Q70" s="118"/>
      <c r="R70" s="118"/>
      <c r="S70" s="118"/>
      <c r="T70" s="118"/>
      <c r="U70" s="118"/>
      <c r="V70" s="134"/>
      <c r="W70" s="134"/>
      <c r="X70" s="134"/>
    </row>
    <row r="71" spans="1:24" s="456" customFormat="1" ht="16.5" thickBot="1" x14ac:dyDescent="0.25">
      <c r="A71" s="133"/>
      <c r="B71" s="133"/>
      <c r="C71" s="133"/>
      <c r="D71" s="133"/>
      <c r="E71" s="133"/>
      <c r="F71" s="133"/>
      <c r="G71" s="133"/>
      <c r="H71" s="133"/>
      <c r="I71" s="118"/>
      <c r="J71" s="118"/>
      <c r="K71" s="118"/>
      <c r="L71" s="118"/>
      <c r="M71" s="118"/>
      <c r="N71" s="134"/>
      <c r="O71" s="134"/>
      <c r="P71" s="134"/>
      <c r="Q71" s="134"/>
      <c r="R71" s="134"/>
      <c r="S71" s="134"/>
      <c r="T71" s="134"/>
      <c r="U71" s="134"/>
      <c r="V71" s="134"/>
      <c r="W71" s="118"/>
    </row>
    <row r="72" spans="1:24" s="456" customFormat="1" ht="19.5" thickBot="1" x14ac:dyDescent="0.25">
      <c r="A72" s="938" t="s">
        <v>34</v>
      </c>
      <c r="B72" s="939"/>
      <c r="C72" s="940"/>
      <c r="D72" s="523"/>
      <c r="E72" s="133"/>
      <c r="F72" s="133"/>
      <c r="G72" s="133"/>
      <c r="H72" s="133"/>
      <c r="I72" s="118"/>
      <c r="J72" s="118"/>
      <c r="K72" s="118"/>
      <c r="L72" s="118"/>
      <c r="M72" s="118"/>
      <c r="N72" s="134"/>
      <c r="O72" s="134"/>
      <c r="P72" s="134"/>
      <c r="Q72" s="134"/>
      <c r="R72" s="134"/>
      <c r="S72" s="134"/>
      <c r="T72" s="134"/>
      <c r="U72" s="134"/>
      <c r="V72" s="134"/>
      <c r="W72" s="118"/>
    </row>
    <row r="73" spans="1:24" s="456" customFormat="1" ht="16.5" thickBot="1" x14ac:dyDescent="0.25">
      <c r="A73" s="800" t="s">
        <v>625</v>
      </c>
      <c r="B73" s="801"/>
      <c r="C73" s="802"/>
      <c r="D73" s="200"/>
      <c r="E73" s="200"/>
      <c r="F73" s="200"/>
      <c r="G73" s="200"/>
      <c r="H73" s="194"/>
      <c r="I73" s="194"/>
      <c r="J73" s="200"/>
      <c r="K73" s="194"/>
      <c r="L73" s="200"/>
      <c r="M73" s="118"/>
      <c r="N73" s="134"/>
      <c r="O73" s="134"/>
      <c r="P73" s="134"/>
      <c r="Q73" s="134"/>
      <c r="R73" s="134"/>
      <c r="S73" s="134"/>
      <c r="T73" s="134"/>
      <c r="U73" s="134"/>
      <c r="V73" s="134"/>
      <c r="W73" s="118"/>
    </row>
    <row r="74" spans="1:24" s="456" customFormat="1" x14ac:dyDescent="0.2">
      <c r="A74" s="506" t="s">
        <v>30</v>
      </c>
      <c r="B74" s="470"/>
      <c r="C74" s="508" t="s">
        <v>155</v>
      </c>
      <c r="D74" s="508"/>
      <c r="E74" s="509"/>
      <c r="F74" s="509"/>
      <c r="G74" s="509"/>
      <c r="H74" s="510"/>
      <c r="I74" s="510"/>
      <c r="J74" s="509"/>
      <c r="K74" s="510"/>
      <c r="L74" s="524"/>
      <c r="M74" s="118"/>
      <c r="N74" s="134"/>
      <c r="O74" s="134"/>
      <c r="P74" s="134"/>
      <c r="Q74" s="134"/>
      <c r="R74" s="134"/>
      <c r="S74" s="134"/>
      <c r="T74" s="134"/>
      <c r="U74" s="134"/>
      <c r="V74" s="134"/>
      <c r="W74" s="118"/>
    </row>
    <row r="75" spans="1:24" s="456" customFormat="1" x14ac:dyDescent="0.2">
      <c r="A75" s="96" t="s">
        <v>35</v>
      </c>
      <c r="B75" s="512"/>
      <c r="C75" s="512"/>
      <c r="D75" s="512"/>
      <c r="E75" s="512"/>
      <c r="F75" s="512"/>
      <c r="G75" s="512"/>
      <c r="H75" s="215"/>
      <c r="I75" s="215"/>
      <c r="J75" s="512"/>
      <c r="K75" s="215"/>
      <c r="L75" s="525"/>
      <c r="M75" s="118"/>
      <c r="N75" s="134"/>
      <c r="O75" s="134"/>
      <c r="P75" s="134"/>
      <c r="Q75" s="134"/>
      <c r="R75" s="134"/>
      <c r="S75" s="134"/>
      <c r="T75" s="134"/>
      <c r="U75" s="134"/>
      <c r="V75" s="134"/>
      <c r="W75" s="118"/>
    </row>
    <row r="76" spans="1:24" s="456" customFormat="1" x14ac:dyDescent="0.2">
      <c r="A76" s="96" t="s">
        <v>174</v>
      </c>
      <c r="B76" s="512"/>
      <c r="C76" s="512"/>
      <c r="D76" s="512"/>
      <c r="E76" s="512"/>
      <c r="F76" s="512"/>
      <c r="G76" s="512"/>
      <c r="H76" s="215"/>
      <c r="I76" s="215"/>
      <c r="J76" s="512"/>
      <c r="K76" s="215"/>
      <c r="L76" s="525"/>
      <c r="M76" s="118"/>
      <c r="N76" s="134"/>
      <c r="O76" s="134"/>
      <c r="P76" s="134"/>
      <c r="Q76" s="134"/>
      <c r="R76" s="134"/>
      <c r="S76" s="134"/>
      <c r="T76" s="134"/>
      <c r="U76" s="134"/>
      <c r="V76" s="134"/>
      <c r="W76" s="118"/>
    </row>
    <row r="77" spans="1:24" s="456" customFormat="1" x14ac:dyDescent="0.2">
      <c r="A77" s="96" t="s">
        <v>987</v>
      </c>
      <c r="B77" s="512"/>
      <c r="C77" s="512"/>
      <c r="D77" s="512"/>
      <c r="E77" s="512"/>
      <c r="F77" s="512"/>
      <c r="G77" s="512"/>
      <c r="H77" s="215"/>
      <c r="I77" s="215"/>
      <c r="J77" s="512"/>
      <c r="K77" s="215"/>
      <c r="L77" s="525"/>
      <c r="M77" s="118"/>
      <c r="N77" s="134"/>
      <c r="O77" s="134"/>
      <c r="P77" s="134"/>
      <c r="Q77" s="134"/>
      <c r="R77" s="134"/>
      <c r="S77" s="134"/>
      <c r="T77" s="134"/>
      <c r="U77" s="134"/>
      <c r="V77" s="134"/>
      <c r="W77" s="118"/>
    </row>
    <row r="78" spans="1:24" s="456" customFormat="1" ht="16.5" thickBot="1" x14ac:dyDescent="0.25">
      <c r="A78" s="110" t="s">
        <v>988</v>
      </c>
      <c r="B78" s="514"/>
      <c r="C78" s="514"/>
      <c r="D78" s="514"/>
      <c r="E78" s="514"/>
      <c r="F78" s="514"/>
      <c r="G78" s="514"/>
      <c r="H78" s="515"/>
      <c r="I78" s="515"/>
      <c r="J78" s="514"/>
      <c r="K78" s="515"/>
      <c r="L78" s="526"/>
      <c r="M78" s="118"/>
      <c r="N78" s="134"/>
      <c r="O78" s="134"/>
      <c r="P78" s="134"/>
      <c r="Q78" s="134"/>
      <c r="R78" s="134"/>
      <c r="S78" s="134"/>
      <c r="T78" s="134"/>
      <c r="U78" s="134"/>
      <c r="V78" s="134"/>
      <c r="W78" s="118"/>
    </row>
    <row r="79" spans="1:24" s="456" customFormat="1" ht="16.5" thickBot="1" x14ac:dyDescent="0.25">
      <c r="A79" s="527"/>
      <c r="E79" s="200"/>
      <c r="F79" s="200"/>
      <c r="G79" s="200"/>
      <c r="H79" s="194"/>
      <c r="I79" s="517"/>
      <c r="J79" s="200"/>
      <c r="K79" s="194"/>
      <c r="L79" s="200"/>
      <c r="M79" s="118"/>
      <c r="N79" s="134"/>
      <c r="O79" s="134"/>
      <c r="P79" s="134"/>
      <c r="Q79" s="134"/>
      <c r="R79" s="118"/>
      <c r="V79" s="528"/>
      <c r="W79" s="528"/>
    </row>
    <row r="80" spans="1:24" s="14" customFormat="1" ht="32.25" thickBot="1" x14ac:dyDescent="0.25">
      <c r="A80" s="518" t="s">
        <v>31</v>
      </c>
      <c r="B80" s="932" t="s">
        <v>13</v>
      </c>
      <c r="C80" s="933"/>
      <c r="D80" s="934"/>
      <c r="E80" s="519" t="s">
        <v>12</v>
      </c>
      <c r="F80" s="519" t="s">
        <v>14</v>
      </c>
      <c r="G80" s="519" t="s">
        <v>276</v>
      </c>
      <c r="H80" s="519" t="s">
        <v>32</v>
      </c>
      <c r="I80" s="519" t="s">
        <v>16</v>
      </c>
      <c r="J80" s="519" t="s">
        <v>17</v>
      </c>
      <c r="K80" s="519" t="s">
        <v>18</v>
      </c>
      <c r="L80" s="519" t="s">
        <v>19</v>
      </c>
      <c r="M80" s="519" t="s">
        <v>20</v>
      </c>
      <c r="N80" s="520" t="s">
        <v>123</v>
      </c>
      <c r="O80" s="519" t="s">
        <v>94</v>
      </c>
      <c r="P80" s="521" t="s">
        <v>807</v>
      </c>
      <c r="W80" s="13"/>
    </row>
    <row r="81" spans="1:23" s="303" customFormat="1" x14ac:dyDescent="0.2">
      <c r="A81" s="269"/>
      <c r="B81" s="925"/>
      <c r="C81" s="926"/>
      <c r="D81" s="926"/>
      <c r="E81" s="226"/>
      <c r="F81" s="226"/>
      <c r="G81" s="226"/>
      <c r="H81" s="226"/>
      <c r="I81" s="226"/>
      <c r="J81" s="263"/>
      <c r="K81" s="263"/>
      <c r="L81" s="263"/>
      <c r="M81" s="263"/>
      <c r="N81" s="49"/>
      <c r="O81" s="226"/>
      <c r="P81" s="274"/>
      <c r="Q81" s="160"/>
      <c r="R81" s="160"/>
      <c r="S81" s="160"/>
      <c r="T81" s="160"/>
      <c r="U81" s="160"/>
      <c r="V81" s="160"/>
      <c r="W81" s="159"/>
    </row>
    <row r="82" spans="1:23" s="303" customFormat="1" x14ac:dyDescent="0.2">
      <c r="A82" s="248"/>
      <c r="B82" s="927"/>
      <c r="C82" s="928"/>
      <c r="D82" s="928"/>
      <c r="E82" s="125"/>
      <c r="F82" s="125"/>
      <c r="G82" s="125"/>
      <c r="H82" s="125"/>
      <c r="I82" s="125"/>
      <c r="J82" s="255"/>
      <c r="K82" s="255"/>
      <c r="L82" s="255"/>
      <c r="M82" s="255"/>
      <c r="N82" s="21"/>
      <c r="O82" s="125"/>
      <c r="P82" s="276"/>
      <c r="Q82" s="160"/>
      <c r="R82" s="160"/>
      <c r="S82" s="160"/>
      <c r="T82" s="160"/>
      <c r="U82" s="160"/>
      <c r="V82" s="160"/>
      <c r="W82" s="159"/>
    </row>
    <row r="83" spans="1:23" s="303" customFormat="1" x14ac:dyDescent="0.2">
      <c r="A83" s="248"/>
      <c r="B83" s="927"/>
      <c r="C83" s="928"/>
      <c r="D83" s="928"/>
      <c r="E83" s="125"/>
      <c r="F83" s="125"/>
      <c r="G83" s="125"/>
      <c r="H83" s="125"/>
      <c r="I83" s="125"/>
      <c r="J83" s="255"/>
      <c r="K83" s="255"/>
      <c r="L83" s="255"/>
      <c r="M83" s="255"/>
      <c r="N83" s="21"/>
      <c r="O83" s="125"/>
      <c r="P83" s="276"/>
      <c r="Q83" s="160"/>
      <c r="R83" s="160"/>
      <c r="S83" s="160"/>
      <c r="T83" s="160"/>
      <c r="U83" s="160"/>
      <c r="V83" s="160"/>
      <c r="W83" s="159"/>
    </row>
    <row r="84" spans="1:23" s="303" customFormat="1" ht="16.5" thickBot="1" x14ac:dyDescent="0.25">
      <c r="A84" s="304"/>
      <c r="B84" s="912"/>
      <c r="C84" s="913"/>
      <c r="D84" s="913"/>
      <c r="E84" s="130"/>
      <c r="F84" s="130"/>
      <c r="G84" s="130"/>
      <c r="H84" s="130"/>
      <c r="I84" s="130"/>
      <c r="J84" s="256"/>
      <c r="K84" s="256"/>
      <c r="L84" s="256"/>
      <c r="M84" s="256"/>
      <c r="N84" s="29"/>
      <c r="O84" s="129"/>
      <c r="P84" s="132"/>
      <c r="Q84" s="160"/>
      <c r="R84" s="160"/>
      <c r="S84" s="160"/>
      <c r="T84" s="160"/>
      <c r="U84" s="160"/>
      <c r="V84" s="160"/>
      <c r="W84" s="159"/>
    </row>
    <row r="85" spans="1:23" s="456" customFormat="1" ht="16.5" thickBot="1" x14ac:dyDescent="0.25">
      <c r="A85" s="133"/>
      <c r="B85" s="133"/>
      <c r="C85" s="133"/>
      <c r="D85" s="133"/>
      <c r="E85" s="133"/>
      <c r="F85" s="133"/>
      <c r="G85" s="133"/>
      <c r="H85" s="118"/>
      <c r="I85" s="118"/>
      <c r="J85" s="118"/>
      <c r="K85" s="118"/>
      <c r="L85" s="118"/>
      <c r="M85" s="134"/>
      <c r="N85" s="134"/>
      <c r="O85" s="134"/>
      <c r="P85" s="134"/>
      <c r="Q85" s="134"/>
      <c r="R85" s="134"/>
      <c r="S85" s="134"/>
      <c r="T85" s="134"/>
      <c r="U85" s="134"/>
      <c r="V85" s="118"/>
    </row>
    <row r="86" spans="1:23" s="73" customFormat="1" ht="16.5" thickBot="1" x14ac:dyDescent="0.25">
      <c r="A86" s="822" t="s">
        <v>36</v>
      </c>
      <c r="B86" s="823"/>
      <c r="C86" s="823"/>
      <c r="D86" s="823"/>
      <c r="E86" s="823"/>
      <c r="F86" s="823"/>
      <c r="G86" s="823"/>
      <c r="H86" s="823"/>
      <c r="I86" s="824"/>
      <c r="J86" s="169"/>
      <c r="K86" s="118"/>
      <c r="L86" s="134"/>
      <c r="M86" s="134"/>
      <c r="N86" s="134"/>
      <c r="O86" s="134"/>
      <c r="P86" s="134"/>
      <c r="Q86" s="134"/>
      <c r="R86" s="134"/>
      <c r="S86" s="118"/>
      <c r="T86" s="118"/>
      <c r="U86" s="118"/>
    </row>
    <row r="87" spans="1:23" s="73" customFormat="1" ht="16.5" thickBot="1" x14ac:dyDescent="0.25">
      <c r="A87" s="935" t="s">
        <v>37</v>
      </c>
      <c r="B87" s="936"/>
      <c r="C87" s="936"/>
      <c r="D87" s="936"/>
      <c r="E87" s="936"/>
      <c r="F87" s="936"/>
      <c r="G87" s="936"/>
      <c r="H87" s="936"/>
      <c r="I87" s="937"/>
      <c r="J87" s="170"/>
      <c r="K87" s="118"/>
      <c r="L87" s="134"/>
      <c r="M87" s="134"/>
      <c r="N87" s="134"/>
      <c r="O87" s="134"/>
      <c r="P87" s="134"/>
      <c r="Q87" s="134"/>
      <c r="R87" s="134"/>
      <c r="S87" s="118"/>
      <c r="T87" s="118"/>
      <c r="U87" s="118"/>
    </row>
    <row r="88" spans="1:23" s="308" customFormat="1" ht="15.75" customHeight="1" thickBot="1" x14ac:dyDescent="0.25">
      <c r="A88" s="665" t="s">
        <v>296</v>
      </c>
      <c r="B88" s="909" t="s">
        <v>1129</v>
      </c>
      <c r="C88" s="910"/>
      <c r="D88" s="910"/>
      <c r="E88" s="910"/>
      <c r="F88" s="910"/>
      <c r="G88" s="910"/>
      <c r="H88" s="910"/>
      <c r="I88" s="911"/>
      <c r="J88" s="171"/>
      <c r="K88" s="172"/>
      <c r="L88" s="173"/>
      <c r="M88" s="173"/>
      <c r="N88" s="173"/>
      <c r="O88" s="173"/>
      <c r="P88" s="173"/>
      <c r="Q88" s="173"/>
      <c r="R88" s="173"/>
      <c r="S88" s="172"/>
      <c r="T88" s="172"/>
      <c r="U88" s="172"/>
    </row>
    <row r="89" spans="1:23" s="73" customFormat="1" ht="16.5" thickBot="1" x14ac:dyDescent="0.25">
      <c r="A89" s="196"/>
      <c r="B89" s="169"/>
      <c r="C89" s="169"/>
      <c r="D89" s="169"/>
      <c r="E89" s="169"/>
      <c r="F89" s="176"/>
      <c r="G89" s="176"/>
      <c r="H89" s="176"/>
      <c r="I89" s="176"/>
      <c r="J89" s="176"/>
      <c r="K89" s="118"/>
      <c r="L89" s="134"/>
      <c r="M89" s="134"/>
      <c r="N89" s="134"/>
      <c r="O89" s="134"/>
      <c r="P89" s="134"/>
      <c r="Q89" s="118"/>
    </row>
    <row r="90" spans="1:23" s="73" customFormat="1" ht="16.5" customHeight="1" thickBot="1" x14ac:dyDescent="0.25">
      <c r="A90" s="917" t="s">
        <v>214</v>
      </c>
      <c r="B90" s="918"/>
      <c r="C90" s="918"/>
      <c r="D90" s="918"/>
      <c r="E90" s="918"/>
      <c r="F90" s="918"/>
      <c r="G90" s="918"/>
      <c r="H90" s="930" t="s">
        <v>226</v>
      </c>
      <c r="I90" s="786" t="s">
        <v>627</v>
      </c>
      <c r="J90" s="786" t="s">
        <v>215</v>
      </c>
      <c r="K90" s="786" t="s">
        <v>23</v>
      </c>
      <c r="L90" s="786" t="s">
        <v>302</v>
      </c>
      <c r="M90" s="788" t="s">
        <v>83</v>
      </c>
      <c r="N90" s="134"/>
      <c r="O90" s="118"/>
      <c r="P90" s="456"/>
      <c r="Q90" s="528"/>
      <c r="R90" s="528"/>
    </row>
    <row r="91" spans="1:23" s="446" customFormat="1" ht="16.5" thickBot="1" x14ac:dyDescent="0.25">
      <c r="A91" s="919" t="s">
        <v>887</v>
      </c>
      <c r="B91" s="920"/>
      <c r="C91" s="920"/>
      <c r="D91" s="920"/>
      <c r="E91" s="920"/>
      <c r="F91" s="920"/>
      <c r="G91" s="921"/>
      <c r="H91" s="931"/>
      <c r="I91" s="908"/>
      <c r="J91" s="908"/>
      <c r="K91" s="908"/>
      <c r="L91" s="908"/>
      <c r="M91" s="929"/>
      <c r="N91" s="177"/>
      <c r="O91" s="177"/>
      <c r="P91" s="177"/>
      <c r="Q91" s="177"/>
      <c r="R91" s="177"/>
    </row>
    <row r="92" spans="1:23" s="446" customFormat="1" ht="15.75" customHeight="1" thickBot="1" x14ac:dyDescent="0.25">
      <c r="A92" s="914" t="s">
        <v>353</v>
      </c>
      <c r="B92" s="915"/>
      <c r="C92" s="915"/>
      <c r="D92" s="915"/>
      <c r="E92" s="915"/>
      <c r="F92" s="915"/>
      <c r="G92" s="916"/>
      <c r="H92" s="931"/>
      <c r="I92" s="908"/>
      <c r="J92" s="908"/>
      <c r="K92" s="908"/>
      <c r="L92" s="908"/>
      <c r="M92" s="929"/>
      <c r="N92" s="177"/>
      <c r="O92" s="177"/>
      <c r="P92" s="177"/>
      <c r="Q92" s="177"/>
      <c r="R92" s="177"/>
    </row>
    <row r="93" spans="1:23" s="136" customFormat="1" ht="15.75" customHeight="1" x14ac:dyDescent="0.2">
      <c r="A93" s="178" t="s">
        <v>234</v>
      </c>
      <c r="B93" s="942" t="str">
        <f>IF($A93="","",VLOOKUP($A93,Listes!$A$3:$C$193,2,FALSE))</f>
        <v>Bunker Adjustment Factor</v>
      </c>
      <c r="C93" s="942"/>
      <c r="D93" s="942"/>
      <c r="E93" s="941" t="s">
        <v>51</v>
      </c>
      <c r="F93" s="941"/>
      <c r="G93" s="941"/>
      <c r="H93" s="614"/>
      <c r="I93" s="529"/>
      <c r="J93" s="529"/>
      <c r="K93" s="529"/>
      <c r="L93" s="529"/>
      <c r="M93" s="530"/>
      <c r="N93" s="160"/>
      <c r="O93" s="160"/>
      <c r="P93" s="160"/>
      <c r="Q93" s="160"/>
      <c r="R93" s="159"/>
    </row>
    <row r="94" spans="1:23" s="136" customFormat="1" ht="15.75" customHeight="1" x14ac:dyDescent="0.2">
      <c r="A94" s="182" t="s">
        <v>1325</v>
      </c>
      <c r="B94" s="813" t="str">
        <f>IF($A94="","",VLOOKUP($A94,Listes!$A$3:$C$193,2,FALSE))</f>
        <v>Import BL Documentation Fee - Brazil only</v>
      </c>
      <c r="C94" s="813"/>
      <c r="D94" s="813"/>
      <c r="E94" s="814" t="s">
        <v>51</v>
      </c>
      <c r="F94" s="814"/>
      <c r="G94" s="814"/>
      <c r="H94" s="687"/>
      <c r="I94" s="531"/>
      <c r="J94" s="531"/>
      <c r="K94" s="531"/>
      <c r="L94" s="531"/>
      <c r="M94" s="532"/>
      <c r="N94" s="160"/>
      <c r="O94" s="160"/>
      <c r="P94" s="160"/>
      <c r="Q94" s="160"/>
      <c r="R94" s="159"/>
    </row>
    <row r="95" spans="1:23" s="136" customFormat="1" ht="15.75" customHeight="1" x14ac:dyDescent="0.2">
      <c r="A95" s="182" t="s">
        <v>1105</v>
      </c>
      <c r="B95" s="813" t="str">
        <f>IF($A95="","",VLOOKUP($A95,Listes!$A$3:$C$193,2,FALSE))</f>
        <v>Chassis Administration Fee On-Carriage</v>
      </c>
      <c r="C95" s="813"/>
      <c r="D95" s="813"/>
      <c r="E95" s="814" t="s">
        <v>51</v>
      </c>
      <c r="F95" s="814"/>
      <c r="G95" s="814"/>
      <c r="H95" s="647"/>
      <c r="I95" s="531"/>
      <c r="J95" s="531"/>
      <c r="K95" s="531"/>
      <c r="L95" s="531"/>
      <c r="M95" s="532"/>
      <c r="N95" s="160"/>
      <c r="O95" s="160"/>
      <c r="P95" s="160"/>
      <c r="Q95" s="160"/>
      <c r="R95" s="159"/>
    </row>
    <row r="96" spans="1:23" s="136" customFormat="1" ht="15.75" customHeight="1" x14ac:dyDescent="0.2">
      <c r="A96" s="182" t="s">
        <v>551</v>
      </c>
      <c r="B96" s="813" t="str">
        <f>IF($A96="","",VLOOKUP($A96,Listes!$A$3:$C$193,2,FALSE))</f>
        <v>Chassis Provision Charge</v>
      </c>
      <c r="C96" s="813"/>
      <c r="D96" s="813"/>
      <c r="E96" s="814" t="s">
        <v>51</v>
      </c>
      <c r="F96" s="814"/>
      <c r="G96" s="814"/>
      <c r="H96" s="612"/>
      <c r="I96" s="531"/>
      <c r="J96" s="531"/>
      <c r="K96" s="531"/>
      <c r="L96" s="531"/>
      <c r="M96" s="532"/>
      <c r="N96" s="160"/>
      <c r="O96" s="160"/>
      <c r="P96" s="160"/>
      <c r="Q96" s="160"/>
      <c r="R96" s="159"/>
    </row>
    <row r="97" spans="1:18" s="136" customFormat="1" ht="15.75" customHeight="1" x14ac:dyDescent="0.2">
      <c r="A97" s="182" t="s">
        <v>263</v>
      </c>
      <c r="B97" s="813" t="str">
        <f>IF($A97="","",VLOOKUP($A97,Listes!$A$3:$C$193,2,FALSE))</f>
        <v>Carrier Security Charge</v>
      </c>
      <c r="C97" s="813"/>
      <c r="D97" s="813"/>
      <c r="E97" s="814" t="s">
        <v>51</v>
      </c>
      <c r="F97" s="814"/>
      <c r="G97" s="814"/>
      <c r="H97" s="612"/>
      <c r="I97" s="531"/>
      <c r="J97" s="531"/>
      <c r="K97" s="531"/>
      <c r="L97" s="531"/>
      <c r="M97" s="532"/>
      <c r="N97" s="160"/>
      <c r="O97" s="160"/>
      <c r="P97" s="160"/>
      <c r="Q97" s="160"/>
      <c r="R97" s="159"/>
    </row>
    <row r="98" spans="1:18" s="136" customFormat="1" ht="15.75" customHeight="1" x14ac:dyDescent="0.2">
      <c r="A98" s="182" t="s">
        <v>1262</v>
      </c>
      <c r="B98" s="813" t="str">
        <f>IF($A98="","",VLOOKUP($A98,Listes!$A$3:$C$193,2,FALSE))</f>
        <v>Container Maintenance Charge Destination</v>
      </c>
      <c r="C98" s="813"/>
      <c r="D98" s="813"/>
      <c r="E98" s="814" t="s">
        <v>51</v>
      </c>
      <c r="F98" s="814"/>
      <c r="G98" s="814"/>
      <c r="H98" s="647"/>
      <c r="I98" s="531"/>
      <c r="J98" s="531"/>
      <c r="K98" s="531"/>
      <c r="L98" s="531"/>
      <c r="M98" s="532"/>
      <c r="N98" s="160"/>
      <c r="O98" s="160"/>
      <c r="P98" s="160"/>
      <c r="Q98" s="160"/>
      <c r="R98" s="159"/>
    </row>
    <row r="99" spans="1:18" s="136" customFormat="1" ht="15.75" customHeight="1" x14ac:dyDescent="0.2">
      <c r="A99" s="182" t="s">
        <v>230</v>
      </c>
      <c r="B99" s="813" t="str">
        <f>IF($A99="","",VLOOKUP($A99,Listes!$A$3:$C$193,2,FALSE))</f>
        <v>Destination THC / Destination Receiving Charge</v>
      </c>
      <c r="C99" s="813"/>
      <c r="D99" s="813"/>
      <c r="E99" s="814" t="s">
        <v>51</v>
      </c>
      <c r="F99" s="814"/>
      <c r="G99" s="814"/>
      <c r="H99" s="612"/>
      <c r="I99" s="531"/>
      <c r="J99" s="531"/>
      <c r="K99" s="531"/>
      <c r="L99" s="531"/>
      <c r="M99" s="532"/>
      <c r="N99" s="160"/>
      <c r="O99" s="160"/>
      <c r="P99" s="160"/>
      <c r="Q99" s="160"/>
      <c r="R99" s="159"/>
    </row>
    <row r="100" spans="1:18" s="136" customFormat="1" ht="15.75" customHeight="1" x14ac:dyDescent="0.2">
      <c r="A100" s="182" t="s">
        <v>874</v>
      </c>
      <c r="B100" s="813" t="str">
        <f>IF($A100="","",VLOOKUP($A100,Listes!$A$3:$C$193,2,FALSE))</f>
        <v>Export Documentation Fees - Carrier</v>
      </c>
      <c r="C100" s="813"/>
      <c r="D100" s="813"/>
      <c r="E100" s="814" t="s">
        <v>51</v>
      </c>
      <c r="F100" s="814"/>
      <c r="G100" s="814"/>
      <c r="H100" s="612"/>
      <c r="I100" s="531"/>
      <c r="J100" s="531"/>
      <c r="K100" s="531"/>
      <c r="L100" s="531"/>
      <c r="M100" s="532"/>
      <c r="N100" s="160"/>
      <c r="O100" s="160"/>
      <c r="P100" s="160"/>
      <c r="Q100" s="160"/>
      <c r="R100" s="159"/>
    </row>
    <row r="101" spans="1:18" s="136" customFormat="1" ht="15.75" customHeight="1" x14ac:dyDescent="0.2">
      <c r="A101" s="182" t="s">
        <v>854</v>
      </c>
      <c r="B101" s="813" t="str">
        <f>IF($A101="","",VLOOKUP($A101,Listes!$A$3:$C$193,2,FALSE))</f>
        <v>Export Declaration Surcharge</v>
      </c>
      <c r="C101" s="813"/>
      <c r="D101" s="813"/>
      <c r="E101" s="814" t="s">
        <v>51</v>
      </c>
      <c r="F101" s="814"/>
      <c r="G101" s="814"/>
      <c r="H101" s="612"/>
      <c r="I101" s="531"/>
      <c r="J101" s="531"/>
      <c r="K101" s="531"/>
      <c r="L101" s="531"/>
      <c r="M101" s="532"/>
      <c r="N101" s="160"/>
      <c r="O101" s="160"/>
      <c r="P101" s="160"/>
      <c r="Q101" s="160"/>
      <c r="R101" s="159"/>
    </row>
    <row r="102" spans="1:18" s="136" customFormat="1" ht="15.75" customHeight="1" x14ac:dyDescent="0.2">
      <c r="A102" s="182" t="s">
        <v>1320</v>
      </c>
      <c r="B102" s="813" t="str">
        <f>IF($A102="","",VLOOKUP($A102,Listes!$A$3:$C$193,2,FALSE))</f>
        <v>Export Seal Fee</v>
      </c>
      <c r="C102" s="813"/>
      <c r="D102" s="813"/>
      <c r="E102" s="814" t="s">
        <v>51</v>
      </c>
      <c r="F102" s="814"/>
      <c r="G102" s="814"/>
      <c r="H102" s="686"/>
      <c r="I102" s="531"/>
      <c r="J102" s="531"/>
      <c r="K102" s="531"/>
      <c r="L102" s="531"/>
      <c r="M102" s="532"/>
      <c r="N102" s="160"/>
      <c r="O102" s="160"/>
      <c r="P102" s="160"/>
      <c r="Q102" s="160"/>
      <c r="R102" s="159"/>
    </row>
    <row r="103" spans="1:18" s="136" customFormat="1" ht="15.75" customHeight="1" x14ac:dyDescent="0.2">
      <c r="A103" s="182" t="s">
        <v>82</v>
      </c>
      <c r="B103" s="813" t="str">
        <f>IF($A103="","",VLOOKUP($A103,Listes!$A$3:$C$193,2,FALSE))</f>
        <v>General Rate Increase</v>
      </c>
      <c r="C103" s="813"/>
      <c r="D103" s="813"/>
      <c r="E103" s="814" t="s">
        <v>51</v>
      </c>
      <c r="F103" s="814"/>
      <c r="G103" s="814"/>
      <c r="H103" s="612"/>
      <c r="I103" s="531"/>
      <c r="J103" s="531"/>
      <c r="K103" s="531"/>
      <c r="L103" s="531"/>
      <c r="M103" s="532"/>
      <c r="N103" s="160"/>
      <c r="O103" s="160"/>
      <c r="P103" s="160"/>
      <c r="Q103" s="160"/>
      <c r="R103" s="159"/>
    </row>
    <row r="104" spans="1:18" s="136" customFormat="1" ht="15.75" customHeight="1" x14ac:dyDescent="0.2">
      <c r="A104" s="182" t="s">
        <v>260</v>
      </c>
      <c r="B104" s="813" t="str">
        <f>IF($A104="","",VLOOKUP($A104,Listes!$A$3:$C$193,2,FALSE))</f>
        <v>Hazardous Fees (Ocean)</v>
      </c>
      <c r="C104" s="813"/>
      <c r="D104" s="813"/>
      <c r="E104" s="814" t="s">
        <v>51</v>
      </c>
      <c r="F104" s="814"/>
      <c r="G104" s="814"/>
      <c r="H104" s="612"/>
      <c r="I104" s="531"/>
      <c r="J104" s="531"/>
      <c r="K104" s="531"/>
      <c r="L104" s="531"/>
      <c r="M104" s="532"/>
      <c r="N104" s="160"/>
      <c r="O104" s="160"/>
      <c r="P104" s="160"/>
      <c r="Q104" s="160"/>
      <c r="R104" s="159"/>
    </row>
    <row r="105" spans="1:18" s="136" customFormat="1" ht="15.75" customHeight="1" x14ac:dyDescent="0.2">
      <c r="A105" s="182" t="s">
        <v>877</v>
      </c>
      <c r="B105" s="813" t="str">
        <f>IF($A105="","",VLOOKUP($A105,Listes!$A$3:$C$193,2,FALSE))</f>
        <v>Import Documentation / BL fee - Carrier</v>
      </c>
      <c r="C105" s="813"/>
      <c r="D105" s="813"/>
      <c r="E105" s="814" t="s">
        <v>51</v>
      </c>
      <c r="F105" s="814"/>
      <c r="G105" s="814"/>
      <c r="H105" s="687"/>
      <c r="I105" s="531"/>
      <c r="J105" s="531"/>
      <c r="K105" s="531"/>
      <c r="L105" s="531"/>
      <c r="M105" s="532"/>
      <c r="N105" s="160"/>
      <c r="O105" s="160"/>
      <c r="P105" s="160"/>
      <c r="Q105" s="160"/>
      <c r="R105" s="159"/>
    </row>
    <row r="106" spans="1:18" s="136" customFormat="1" ht="15.75" customHeight="1" x14ac:dyDescent="0.2">
      <c r="A106" s="182" t="s">
        <v>94</v>
      </c>
      <c r="B106" s="813" t="str">
        <f>IF($A106="","",VLOOKUP($A106,Listes!$A$3:$C$193,2,FALSE))</f>
        <v>Oncarriage Inland Fuel Charge</v>
      </c>
      <c r="C106" s="813"/>
      <c r="D106" s="813"/>
      <c r="E106" s="814" t="s">
        <v>51</v>
      </c>
      <c r="F106" s="814"/>
      <c r="G106" s="814"/>
      <c r="H106" s="612"/>
      <c r="I106" s="531"/>
      <c r="J106" s="531"/>
      <c r="K106" s="531"/>
      <c r="L106" s="531"/>
      <c r="M106" s="532"/>
      <c r="N106" s="160"/>
      <c r="O106" s="160"/>
      <c r="P106" s="160"/>
      <c r="Q106" s="160"/>
      <c r="R106" s="159"/>
    </row>
    <row r="107" spans="1:18" s="136" customFormat="1" ht="15.75" customHeight="1" x14ac:dyDescent="0.2">
      <c r="A107" s="182" t="s">
        <v>1290</v>
      </c>
      <c r="B107" s="813" t="str">
        <f>IF($A107="","",VLOOKUP($A107,Listes!$A$3:$C$193,2,FALSE))</f>
        <v>Local Port Charge Destination Sanitary Fee</v>
      </c>
      <c r="C107" s="813"/>
      <c r="D107" s="813"/>
      <c r="E107" s="814" t="s">
        <v>51</v>
      </c>
      <c r="F107" s="814"/>
      <c r="G107" s="814"/>
      <c r="H107" s="675"/>
      <c r="I107" s="531"/>
      <c r="J107" s="531"/>
      <c r="K107" s="531"/>
      <c r="L107" s="531"/>
      <c r="M107" s="532"/>
      <c r="N107" s="160"/>
      <c r="O107" s="160"/>
      <c r="P107" s="160"/>
      <c r="Q107" s="160"/>
      <c r="R107" s="159"/>
    </row>
    <row r="108" spans="1:18" s="136" customFormat="1" ht="15.75" customHeight="1" x14ac:dyDescent="0.2">
      <c r="A108" s="182" t="s">
        <v>1292</v>
      </c>
      <c r="B108" s="813" t="str">
        <f>IF($A108="","",VLOOKUP($A108,Listes!$A$3:$C$193,2,FALSE))</f>
        <v>Local Port Charge Origin Sanitary Fee</v>
      </c>
      <c r="C108" s="813"/>
      <c r="D108" s="813"/>
      <c r="E108" s="814" t="s">
        <v>51</v>
      </c>
      <c r="F108" s="814"/>
      <c r="G108" s="814"/>
      <c r="H108" s="675"/>
      <c r="I108" s="531"/>
      <c r="J108" s="531"/>
      <c r="K108" s="531"/>
      <c r="L108" s="531"/>
      <c r="M108" s="532"/>
      <c r="N108" s="160"/>
      <c r="O108" s="160"/>
      <c r="P108" s="160"/>
      <c r="Q108" s="160"/>
      <c r="R108" s="159"/>
    </row>
    <row r="109" spans="1:18" s="136" customFormat="1" ht="15.75" customHeight="1" x14ac:dyDescent="0.2">
      <c r="A109" s="182" t="s">
        <v>199</v>
      </c>
      <c r="B109" s="813" t="str">
        <f>IF($A109="","",VLOOKUP($A109,Listes!$A$3:$C$193,2,FALSE))</f>
        <v>Low Sulfur Surcharge</v>
      </c>
      <c r="C109" s="813"/>
      <c r="D109" s="813"/>
      <c r="E109" s="814" t="s">
        <v>53</v>
      </c>
      <c r="F109" s="814"/>
      <c r="G109" s="814"/>
      <c r="H109" s="612"/>
      <c r="I109" s="531"/>
      <c r="J109" s="531"/>
      <c r="K109" s="531"/>
      <c r="L109" s="531"/>
      <c r="M109" s="532"/>
      <c r="N109" s="160"/>
      <c r="O109" s="160"/>
      <c r="P109" s="160"/>
      <c r="Q109" s="160"/>
      <c r="R109" s="159"/>
    </row>
    <row r="110" spans="1:18" s="136" customFormat="1" ht="15.75" customHeight="1" x14ac:dyDescent="0.2">
      <c r="A110" s="182" t="s">
        <v>1124</v>
      </c>
      <c r="B110" s="813" t="str">
        <f>IF($A110="","",VLOOKUP($A110,Listes!$A$3:$C$193,2,FALSE))</f>
        <v>Low Sulfur Surcharge IMO2020</v>
      </c>
      <c r="C110" s="813"/>
      <c r="D110" s="813"/>
      <c r="E110" s="814" t="s">
        <v>53</v>
      </c>
      <c r="F110" s="814"/>
      <c r="G110" s="814"/>
      <c r="H110" s="666"/>
      <c r="I110" s="531"/>
      <c r="J110" s="531"/>
      <c r="K110" s="531"/>
      <c r="L110" s="531"/>
      <c r="M110" s="532"/>
      <c r="N110" s="160"/>
      <c r="O110" s="160"/>
      <c r="P110" s="160"/>
      <c r="Q110" s="160"/>
      <c r="R110" s="159"/>
    </row>
    <row r="111" spans="1:18" s="136" customFormat="1" x14ac:dyDescent="0.2">
      <c r="A111" s="182" t="s">
        <v>1059</v>
      </c>
      <c r="B111" s="813" t="str">
        <f>IF($A111="","",VLOOKUP($A111,Listes!$A$3:$C$193,2,FALSE))</f>
        <v>On-Carriage Emergency Inland Fuel Surcharge</v>
      </c>
      <c r="C111" s="813"/>
      <c r="D111" s="813"/>
      <c r="E111" s="814" t="s">
        <v>51</v>
      </c>
      <c r="F111" s="814"/>
      <c r="G111" s="814"/>
      <c r="H111" s="645"/>
      <c r="I111" s="531"/>
      <c r="J111" s="531"/>
      <c r="K111" s="531"/>
      <c r="L111" s="531"/>
      <c r="M111" s="532"/>
      <c r="N111" s="160"/>
      <c r="O111" s="160"/>
      <c r="P111" s="160"/>
      <c r="Q111" s="160"/>
      <c r="R111" s="159"/>
    </row>
    <row r="112" spans="1:18" s="136" customFormat="1" ht="31.5" x14ac:dyDescent="0.2">
      <c r="A112" s="182" t="s">
        <v>1088</v>
      </c>
      <c r="B112" s="813" t="str">
        <f>IF($A112="","",VLOOKUP($A112,Listes!$A$3:$C$193,2,FALSE))</f>
        <v>On-Carriage Emergency Intermodal Surcharge</v>
      </c>
      <c r="C112" s="813"/>
      <c r="D112" s="813"/>
      <c r="E112" s="814" t="s">
        <v>51</v>
      </c>
      <c r="F112" s="814"/>
      <c r="G112" s="814"/>
      <c r="H112" s="647"/>
      <c r="I112" s="531"/>
      <c r="J112" s="531"/>
      <c r="K112" s="531"/>
      <c r="L112" s="531"/>
      <c r="M112" s="532"/>
      <c r="N112" s="160"/>
      <c r="O112" s="160"/>
      <c r="P112" s="160"/>
      <c r="Q112" s="160"/>
      <c r="R112" s="159"/>
    </row>
    <row r="113" spans="1:21" s="136" customFormat="1" ht="15.75" customHeight="1" x14ac:dyDescent="0.2">
      <c r="A113" s="182" t="s">
        <v>497</v>
      </c>
      <c r="B113" s="927" t="str">
        <f>IF($A113="","",VLOOKUP($A113,Listes!$A$3:$C$193,2,FALSE))</f>
        <v>Inland Hazardous Charge Oncarriage</v>
      </c>
      <c r="C113" s="927"/>
      <c r="D113" s="927"/>
      <c r="E113" s="814" t="s">
        <v>51</v>
      </c>
      <c r="F113" s="814"/>
      <c r="G113" s="814"/>
      <c r="H113" s="612"/>
      <c r="I113" s="531"/>
      <c r="J113" s="531"/>
      <c r="K113" s="531"/>
      <c r="L113" s="531"/>
      <c r="M113" s="532"/>
      <c r="N113" s="160"/>
      <c r="O113" s="160"/>
      <c r="P113" s="160"/>
      <c r="Q113" s="160"/>
      <c r="R113" s="159"/>
    </row>
    <row r="114" spans="1:21" s="136" customFormat="1" x14ac:dyDescent="0.2">
      <c r="A114" s="182" t="s">
        <v>89</v>
      </c>
      <c r="B114" s="813" t="str">
        <f>IF($A114="","",VLOOKUP($A114,Listes!$A$3:$C$193,2,FALSE))</f>
        <v>Origin THC / Origin Receiving Charge</v>
      </c>
      <c r="C114" s="813"/>
      <c r="D114" s="813"/>
      <c r="E114" s="814" t="s">
        <v>51</v>
      </c>
      <c r="F114" s="814"/>
      <c r="G114" s="814"/>
      <c r="H114" s="612"/>
      <c r="I114" s="531"/>
      <c r="J114" s="531"/>
      <c r="K114" s="531"/>
      <c r="L114" s="531"/>
      <c r="M114" s="532"/>
      <c r="N114" s="160"/>
      <c r="O114" s="160"/>
      <c r="P114" s="160"/>
      <c r="Q114" s="160"/>
      <c r="R114" s="159"/>
    </row>
    <row r="115" spans="1:21" s="136" customFormat="1" ht="15.75" customHeight="1" x14ac:dyDescent="0.2">
      <c r="A115" s="182" t="s">
        <v>894</v>
      </c>
      <c r="B115" s="813" t="str">
        <f>IF($A115="","",VLOOKUP($A115,Listes!$A$3:$C$193,2,FALSE))</f>
        <v>Overweight Freight Additional Surcharge</v>
      </c>
      <c r="C115" s="813"/>
      <c r="D115" s="813"/>
      <c r="E115" s="814" t="s">
        <v>51</v>
      </c>
      <c r="F115" s="814"/>
      <c r="G115" s="814"/>
      <c r="H115" s="612"/>
      <c r="I115" s="531"/>
      <c r="J115" s="531"/>
      <c r="K115" s="531"/>
      <c r="L115" s="531"/>
      <c r="M115" s="532"/>
      <c r="N115" s="160"/>
      <c r="O115" s="160"/>
      <c r="P115" s="160"/>
      <c r="Q115" s="160"/>
      <c r="R115" s="159"/>
    </row>
    <row r="116" spans="1:21" s="136" customFormat="1" ht="15.75" customHeight="1" x14ac:dyDescent="0.2">
      <c r="A116" s="182" t="s">
        <v>97</v>
      </c>
      <c r="B116" s="813" t="str">
        <f>IF($A116="","",VLOOKUP($A116,Listes!$A$3:$C$193,2,FALSE))</f>
        <v>Panama Canal Surcharge</v>
      </c>
      <c r="C116" s="813"/>
      <c r="D116" s="813"/>
      <c r="E116" s="814" t="s">
        <v>51</v>
      </c>
      <c r="F116" s="814"/>
      <c r="G116" s="814"/>
      <c r="H116" s="612"/>
      <c r="I116" s="531"/>
      <c r="J116" s="531"/>
      <c r="K116" s="531"/>
      <c r="L116" s="531"/>
      <c r="M116" s="532"/>
      <c r="N116" s="160"/>
      <c r="O116" s="160"/>
      <c r="P116" s="160"/>
      <c r="Q116" s="160"/>
      <c r="R116" s="159"/>
    </row>
    <row r="117" spans="1:21" s="136" customFormat="1" ht="15.75" customHeight="1" x14ac:dyDescent="0.2">
      <c r="A117" s="182" t="s">
        <v>1257</v>
      </c>
      <c r="B117" s="813" t="str">
        <f>IF($A117="","",VLOOKUP($A117,Listes!$A$3:$C$193,2,FALSE))</f>
        <v>Panama Canal Adj Factor</v>
      </c>
      <c r="C117" s="813"/>
      <c r="D117" s="813"/>
      <c r="E117" s="814" t="s">
        <v>51</v>
      </c>
      <c r="F117" s="814"/>
      <c r="G117" s="814"/>
      <c r="H117" s="670"/>
      <c r="I117" s="531"/>
      <c r="J117" s="531"/>
      <c r="K117" s="531"/>
      <c r="L117" s="531"/>
      <c r="M117" s="532"/>
      <c r="N117" s="160"/>
      <c r="O117" s="160"/>
      <c r="P117" s="160"/>
      <c r="Q117" s="160"/>
      <c r="R117" s="159"/>
    </row>
    <row r="118" spans="1:21" s="136" customFormat="1" ht="31.5" customHeight="1" x14ac:dyDescent="0.2">
      <c r="A118" s="182" t="s">
        <v>1375</v>
      </c>
      <c r="B118" s="813" t="str">
        <f>IF($A118="","",VLOOKUP($A118,Listes!$A$3:$C$193,2,FALSE))</f>
        <v>Port Access Fee Destination</v>
      </c>
      <c r="C118" s="813"/>
      <c r="D118" s="813"/>
      <c r="E118" s="814" t="s">
        <v>51</v>
      </c>
      <c r="F118" s="814"/>
      <c r="G118" s="814"/>
      <c r="H118" s="694"/>
      <c r="I118" s="531"/>
      <c r="J118" s="531"/>
      <c r="K118" s="531"/>
      <c r="L118" s="531"/>
      <c r="M118" s="532"/>
      <c r="N118" s="160"/>
      <c r="O118" s="160"/>
      <c r="P118" s="160"/>
      <c r="Q118" s="160"/>
      <c r="R118" s="159"/>
    </row>
    <row r="119" spans="1:21" s="136" customFormat="1" ht="15.75" customHeight="1" x14ac:dyDescent="0.2">
      <c r="A119" s="182" t="s">
        <v>500</v>
      </c>
      <c r="B119" s="813" t="str">
        <f>IF($A119="","",VLOOKUP($A119,Listes!$A$3:$C$193,2,FALSE))</f>
        <v>Inland Hazardous Charge Precarriage</v>
      </c>
      <c r="C119" s="813"/>
      <c r="D119" s="813"/>
      <c r="E119" s="814" t="s">
        <v>51</v>
      </c>
      <c r="F119" s="814"/>
      <c r="G119" s="814"/>
      <c r="H119" s="612"/>
      <c r="I119" s="531"/>
      <c r="J119" s="531"/>
      <c r="K119" s="531"/>
      <c r="L119" s="531"/>
      <c r="M119" s="532"/>
      <c r="N119" s="160"/>
      <c r="O119" s="160"/>
      <c r="P119" s="160"/>
      <c r="Q119" s="160"/>
      <c r="R119" s="159"/>
    </row>
    <row r="120" spans="1:21" s="136" customFormat="1" ht="15.75" customHeight="1" x14ac:dyDescent="0.2">
      <c r="A120" s="182" t="s">
        <v>87</v>
      </c>
      <c r="B120" s="813" t="str">
        <f>IF($A120="","",VLOOKUP($A120,Listes!$A$3:$C$193,2,FALSE))</f>
        <v>Peak Season</v>
      </c>
      <c r="C120" s="813"/>
      <c r="D120" s="813"/>
      <c r="E120" s="814" t="s">
        <v>51</v>
      </c>
      <c r="F120" s="814"/>
      <c r="G120" s="814"/>
      <c r="H120" s="612"/>
      <c r="I120" s="531"/>
      <c r="J120" s="531"/>
      <c r="K120" s="531"/>
      <c r="L120" s="531"/>
      <c r="M120" s="532"/>
      <c r="N120" s="160"/>
      <c r="O120" s="160"/>
      <c r="P120" s="160"/>
      <c r="Q120" s="160"/>
      <c r="R120" s="159"/>
    </row>
    <row r="121" spans="1:21" s="136" customFormat="1" ht="15.75" customHeight="1" x14ac:dyDescent="0.2">
      <c r="A121" s="182" t="s">
        <v>278</v>
      </c>
      <c r="B121" s="813" t="str">
        <f>IF($A121="","",VLOOKUP($A121,Listes!$A$3:$C$193,2,FALSE))</f>
        <v>Destination Terminal Security Charge</v>
      </c>
      <c r="C121" s="813"/>
      <c r="D121" s="813"/>
      <c r="E121" s="814" t="s">
        <v>51</v>
      </c>
      <c r="F121" s="814"/>
      <c r="G121" s="814"/>
      <c r="H121" s="612"/>
      <c r="I121" s="531"/>
      <c r="J121" s="531"/>
      <c r="K121" s="531"/>
      <c r="L121" s="531"/>
      <c r="M121" s="532"/>
      <c r="N121" s="160"/>
      <c r="O121" s="160"/>
      <c r="P121" s="160"/>
      <c r="Q121" s="160"/>
      <c r="R121" s="159"/>
    </row>
    <row r="122" spans="1:21" s="136" customFormat="1" ht="15.75" customHeight="1" x14ac:dyDescent="0.2">
      <c r="A122" s="376" t="s">
        <v>277</v>
      </c>
      <c r="B122" s="813" t="str">
        <f>IF($A122="","",VLOOKUP($A122,Listes!$A$3:$C$193,2,FALSE))</f>
        <v>Origin Terminal Security Charge</v>
      </c>
      <c r="C122" s="813"/>
      <c r="D122" s="813"/>
      <c r="E122" s="814" t="s">
        <v>51</v>
      </c>
      <c r="F122" s="814"/>
      <c r="G122" s="814"/>
      <c r="H122" s="648"/>
      <c r="I122" s="531"/>
      <c r="J122" s="531"/>
      <c r="K122" s="531"/>
      <c r="L122" s="531"/>
      <c r="M122" s="532"/>
      <c r="N122" s="160"/>
      <c r="O122" s="160"/>
      <c r="P122" s="160"/>
      <c r="Q122" s="160"/>
      <c r="R122" s="159"/>
    </row>
    <row r="123" spans="1:21" s="136" customFormat="1" ht="15.75" customHeight="1" x14ac:dyDescent="0.2">
      <c r="A123" s="376" t="s">
        <v>361</v>
      </c>
      <c r="B123" s="813" t="str">
        <f>IF($A123="","",VLOOKUP($A123,Listes!$A$3:$C$193,2,FALSE))</f>
        <v>Suez Canal Surcharge</v>
      </c>
      <c r="C123" s="813"/>
      <c r="D123" s="813"/>
      <c r="E123" s="814" t="s">
        <v>53</v>
      </c>
      <c r="F123" s="814"/>
      <c r="G123" s="814"/>
      <c r="H123" s="612"/>
      <c r="I123" s="531"/>
      <c r="J123" s="531"/>
      <c r="K123" s="531"/>
      <c r="L123" s="531"/>
      <c r="M123" s="532"/>
      <c r="N123" s="160"/>
      <c r="O123" s="160"/>
      <c r="P123" s="160"/>
      <c r="Q123" s="160"/>
      <c r="R123" s="159"/>
    </row>
    <row r="124" spans="1:21" s="136" customFormat="1" ht="32.25" thickBot="1" x14ac:dyDescent="0.25">
      <c r="A124" s="185" t="s">
        <v>367</v>
      </c>
      <c r="B124" s="812" t="str">
        <f>IF($A124="","",VLOOKUP($A124,Listes!$A$3:$C$193,2,FALSE))</f>
        <v>Tri-Axle / Super Chassis Oncarriage Surcharge</v>
      </c>
      <c r="C124" s="812"/>
      <c r="D124" s="812"/>
      <c r="E124" s="815" t="s">
        <v>51</v>
      </c>
      <c r="F124" s="815"/>
      <c r="G124" s="815"/>
      <c r="H124" s="613"/>
      <c r="I124" s="533"/>
      <c r="J124" s="533"/>
      <c r="K124" s="533"/>
      <c r="L124" s="533"/>
      <c r="M124" s="534"/>
      <c r="N124" s="160"/>
      <c r="O124" s="160"/>
      <c r="P124" s="160"/>
      <c r="Q124" s="160"/>
      <c r="R124" s="159"/>
    </row>
    <row r="125" spans="1:21" s="73" customFormat="1" ht="16.5" thickBot="1" x14ac:dyDescent="0.25">
      <c r="A125" s="850" t="s">
        <v>216</v>
      </c>
      <c r="B125" s="851"/>
      <c r="C125" s="851"/>
      <c r="D125" s="851"/>
      <c r="E125" s="852"/>
      <c r="F125" s="852"/>
      <c r="G125" s="852"/>
      <c r="H125" s="852"/>
      <c r="I125" s="853"/>
      <c r="J125" s="169"/>
      <c r="K125" s="118"/>
      <c r="L125" s="134"/>
      <c r="M125" s="134"/>
      <c r="N125" s="134"/>
      <c r="O125" s="134"/>
      <c r="P125" s="134"/>
      <c r="Q125" s="118"/>
    </row>
    <row r="126" spans="1:21" s="73" customFormat="1" ht="16.5" thickBot="1" x14ac:dyDescent="0.25">
      <c r="A126" s="849" t="s">
        <v>597</v>
      </c>
      <c r="B126" s="833"/>
      <c r="C126" s="833"/>
      <c r="D126" s="833"/>
      <c r="E126" s="833"/>
      <c r="F126" s="833"/>
      <c r="G126" s="833"/>
      <c r="H126" s="833"/>
      <c r="I126" s="834"/>
      <c r="J126" s="169"/>
      <c r="K126" s="134"/>
      <c r="L126" s="134"/>
      <c r="M126" s="134"/>
      <c r="N126" s="134"/>
      <c r="O126" s="118"/>
    </row>
    <row r="127" spans="1:21" s="73" customFormat="1" ht="16.5" thickBot="1" x14ac:dyDescent="0.25">
      <c r="A127" s="187"/>
      <c r="B127" s="187"/>
      <c r="C127" s="188"/>
      <c r="D127" s="189"/>
      <c r="E127" s="170"/>
      <c r="F127" s="170"/>
      <c r="G127" s="170"/>
      <c r="H127" s="170"/>
      <c r="I127" s="170"/>
      <c r="J127" s="189"/>
      <c r="K127" s="169"/>
      <c r="L127" s="118"/>
      <c r="M127" s="134"/>
      <c r="N127" s="134"/>
      <c r="O127" s="134"/>
      <c r="P127" s="134"/>
      <c r="Q127" s="134"/>
      <c r="R127" s="118"/>
    </row>
    <row r="128" spans="1:21" s="73" customFormat="1" ht="15.6" customHeight="1" x14ac:dyDescent="0.2">
      <c r="A128" s="830" t="s">
        <v>523</v>
      </c>
      <c r="B128" s="831"/>
      <c r="C128" s="831"/>
      <c r="D128" s="831"/>
      <c r="E128" s="842" t="s">
        <v>288</v>
      </c>
      <c r="F128" s="842">
        <v>20</v>
      </c>
      <c r="G128" s="842">
        <v>40</v>
      </c>
      <c r="H128" s="842" t="s">
        <v>19</v>
      </c>
      <c r="I128" s="842" t="s">
        <v>20</v>
      </c>
      <c r="J128" s="848" t="s">
        <v>297</v>
      </c>
      <c r="K128" s="848" t="s">
        <v>33</v>
      </c>
      <c r="L128" s="846" t="s">
        <v>217</v>
      </c>
      <c r="M128" s="189"/>
      <c r="N128" s="134"/>
      <c r="O128" s="134"/>
      <c r="P128" s="134"/>
      <c r="Q128" s="134"/>
      <c r="R128" s="134"/>
      <c r="S128" s="134"/>
      <c r="T128" s="134"/>
      <c r="U128" s="134"/>
    </row>
    <row r="129" spans="1:23" s="73" customFormat="1" x14ac:dyDescent="0.2">
      <c r="A129" s="537" t="s">
        <v>218</v>
      </c>
      <c r="B129" s="538" t="s">
        <v>11</v>
      </c>
      <c r="C129" s="538" t="s">
        <v>12</v>
      </c>
      <c r="D129" s="538" t="s">
        <v>219</v>
      </c>
      <c r="E129" s="843"/>
      <c r="F129" s="843"/>
      <c r="G129" s="843"/>
      <c r="H129" s="843"/>
      <c r="I129" s="843"/>
      <c r="J129" s="843"/>
      <c r="K129" s="843"/>
      <c r="L129" s="847"/>
      <c r="M129" s="189"/>
      <c r="N129" s="134"/>
      <c r="O129" s="134"/>
      <c r="P129" s="134"/>
      <c r="Q129" s="134"/>
      <c r="R129" s="134"/>
      <c r="S129" s="134"/>
      <c r="T129" s="134"/>
      <c r="U129" s="134"/>
    </row>
    <row r="130" spans="1:23" s="136" customFormat="1" x14ac:dyDescent="0.2">
      <c r="A130" s="539"/>
      <c r="B130" s="540"/>
      <c r="C130" s="540"/>
      <c r="D130" s="540"/>
      <c r="E130" s="540"/>
      <c r="F130" s="255"/>
      <c r="G130" s="255"/>
      <c r="H130" s="255"/>
      <c r="I130" s="255"/>
      <c r="J130" s="540"/>
      <c r="K130" s="21"/>
      <c r="L130" s="541"/>
      <c r="M130" s="190"/>
      <c r="N130" s="160"/>
      <c r="O130" s="160"/>
      <c r="P130" s="160"/>
      <c r="Q130" s="160"/>
      <c r="R130" s="160"/>
      <c r="S130" s="160"/>
      <c r="T130" s="160"/>
      <c r="U130" s="160"/>
    </row>
    <row r="131" spans="1:23" s="136" customFormat="1" x14ac:dyDescent="0.2">
      <c r="A131" s="542"/>
      <c r="B131" s="540"/>
      <c r="C131" s="540"/>
      <c r="D131" s="540"/>
      <c r="E131" s="540"/>
      <c r="F131" s="255"/>
      <c r="G131" s="255"/>
      <c r="H131" s="255"/>
      <c r="I131" s="255"/>
      <c r="J131" s="24"/>
      <c r="K131" s="21"/>
      <c r="L131" s="25"/>
      <c r="M131" s="191"/>
      <c r="N131" s="160"/>
      <c r="O131" s="160"/>
      <c r="P131" s="160"/>
      <c r="Q131" s="160"/>
      <c r="R131" s="160"/>
      <c r="S131" s="160"/>
      <c r="T131" s="160"/>
      <c r="U131" s="160"/>
    </row>
    <row r="132" spans="1:23" s="136" customFormat="1" x14ac:dyDescent="0.2">
      <c r="A132" s="542"/>
      <c r="B132" s="540"/>
      <c r="C132" s="540"/>
      <c r="D132" s="540"/>
      <c r="E132" s="540"/>
      <c r="F132" s="255"/>
      <c r="G132" s="255"/>
      <c r="H132" s="255"/>
      <c r="I132" s="255"/>
      <c r="J132" s="24"/>
      <c r="K132" s="21"/>
      <c r="L132" s="25"/>
      <c r="M132" s="191"/>
      <c r="N132" s="160"/>
      <c r="O132" s="160"/>
      <c r="P132" s="160"/>
      <c r="Q132" s="160"/>
      <c r="R132" s="160"/>
      <c r="S132" s="160"/>
      <c r="T132" s="160"/>
      <c r="U132" s="160"/>
    </row>
    <row r="133" spans="1:23" s="136" customFormat="1" ht="16.5" thickBot="1" x14ac:dyDescent="0.25">
      <c r="A133" s="543"/>
      <c r="B133" s="544"/>
      <c r="C133" s="544"/>
      <c r="D133" s="544"/>
      <c r="E133" s="544"/>
      <c r="F133" s="256"/>
      <c r="G133" s="256"/>
      <c r="H133" s="256"/>
      <c r="I133" s="256"/>
      <c r="J133" s="28"/>
      <c r="K133" s="29"/>
      <c r="L133" s="30"/>
      <c r="M133" s="191"/>
      <c r="N133" s="160"/>
      <c r="O133" s="160"/>
      <c r="P133" s="160"/>
      <c r="Q133" s="160"/>
      <c r="R133" s="160"/>
      <c r="S133" s="160"/>
      <c r="T133" s="160"/>
      <c r="U133" s="160"/>
    </row>
    <row r="134" spans="1:23" s="136" customFormat="1" x14ac:dyDescent="0.2">
      <c r="A134" s="173"/>
      <c r="B134" s="545"/>
      <c r="C134" s="545"/>
      <c r="D134" s="545"/>
      <c r="E134" s="545"/>
      <c r="F134" s="545"/>
      <c r="G134" s="545"/>
      <c r="H134" s="545"/>
      <c r="I134" s="545"/>
      <c r="J134" s="33"/>
      <c r="K134" s="33"/>
      <c r="L134" s="34"/>
      <c r="M134" s="191"/>
      <c r="N134" s="160"/>
      <c r="O134" s="160"/>
      <c r="P134" s="160"/>
      <c r="Q134" s="160"/>
      <c r="R134" s="160"/>
      <c r="S134" s="160"/>
      <c r="T134" s="160"/>
      <c r="U134" s="160"/>
    </row>
    <row r="135" spans="1:23" s="73" customFormat="1" ht="15.6" customHeight="1" x14ac:dyDescent="0.2">
      <c r="A135" s="841" t="s">
        <v>596</v>
      </c>
      <c r="B135" s="840"/>
      <c r="C135" s="840"/>
      <c r="D135" s="840"/>
      <c r="E135" s="840" t="s">
        <v>288</v>
      </c>
      <c r="F135" s="840">
        <v>20</v>
      </c>
      <c r="G135" s="840">
        <v>40</v>
      </c>
      <c r="H135" s="840" t="s">
        <v>19</v>
      </c>
      <c r="I135" s="840" t="s">
        <v>20</v>
      </c>
      <c r="J135" s="845" t="s">
        <v>297</v>
      </c>
      <c r="K135" s="845" t="s">
        <v>33</v>
      </c>
      <c r="L135" s="844" t="s">
        <v>217</v>
      </c>
      <c r="M135" s="844" t="s">
        <v>23</v>
      </c>
      <c r="N135" s="169"/>
      <c r="O135" s="118"/>
      <c r="P135" s="134"/>
      <c r="Q135" s="134"/>
      <c r="R135" s="134"/>
      <c r="S135" s="134"/>
      <c r="T135" s="134"/>
      <c r="U135" s="134"/>
      <c r="V135" s="134"/>
      <c r="W135" s="134"/>
    </row>
    <row r="136" spans="1:23" s="73" customFormat="1" x14ac:dyDescent="0.2">
      <c r="A136" s="546" t="s">
        <v>218</v>
      </c>
      <c r="B136" s="546" t="s">
        <v>11</v>
      </c>
      <c r="C136" s="546" t="s">
        <v>12</v>
      </c>
      <c r="D136" s="546" t="s">
        <v>219</v>
      </c>
      <c r="E136" s="840"/>
      <c r="F136" s="840"/>
      <c r="G136" s="840"/>
      <c r="H136" s="840"/>
      <c r="I136" s="840"/>
      <c r="J136" s="840"/>
      <c r="K136" s="840"/>
      <c r="L136" s="844"/>
      <c r="M136" s="844"/>
      <c r="N136" s="169"/>
      <c r="O136" s="118"/>
      <c r="P136" s="134"/>
      <c r="Q136" s="134"/>
      <c r="R136" s="134"/>
      <c r="S136" s="134"/>
      <c r="T136" s="134"/>
      <c r="U136" s="134"/>
      <c r="V136" s="134"/>
      <c r="W136" s="134"/>
    </row>
    <row r="137" spans="1:23" s="136" customFormat="1" x14ac:dyDescent="0.2">
      <c r="A137" s="372"/>
      <c r="B137" s="547"/>
      <c r="C137" s="547"/>
      <c r="D137" s="547"/>
      <c r="E137" s="547"/>
      <c r="F137" s="368"/>
      <c r="G137" s="368"/>
      <c r="H137" s="368"/>
      <c r="I137" s="368"/>
      <c r="J137" s="369"/>
      <c r="K137" s="370"/>
      <c r="L137" s="548"/>
      <c r="M137" s="548"/>
      <c r="N137" s="192"/>
      <c r="O137" s="159"/>
      <c r="P137" s="160"/>
      <c r="Q137" s="160"/>
      <c r="R137" s="160"/>
      <c r="S137" s="160"/>
      <c r="T137" s="160"/>
      <c r="U137" s="160"/>
      <c r="V137" s="160"/>
      <c r="W137" s="160"/>
    </row>
    <row r="138" spans="1:23" s="136" customFormat="1" x14ac:dyDescent="0.2">
      <c r="A138" s="372"/>
      <c r="B138" s="547"/>
      <c r="C138" s="547"/>
      <c r="D138" s="547"/>
      <c r="E138" s="547"/>
      <c r="F138" s="368"/>
      <c r="G138" s="368"/>
      <c r="H138" s="368"/>
      <c r="I138" s="368"/>
      <c r="J138" s="369"/>
      <c r="K138" s="370"/>
      <c r="L138" s="548"/>
      <c r="M138" s="548"/>
      <c r="N138" s="192"/>
      <c r="O138" s="159"/>
      <c r="P138" s="160"/>
      <c r="Q138" s="160"/>
      <c r="R138" s="160"/>
      <c r="S138" s="160"/>
      <c r="T138" s="160"/>
      <c r="U138" s="160"/>
      <c r="V138" s="160"/>
      <c r="W138" s="160"/>
    </row>
    <row r="139" spans="1:23" s="136" customFormat="1" x14ac:dyDescent="0.2">
      <c r="A139" s="372"/>
      <c r="B139" s="547"/>
      <c r="C139" s="547"/>
      <c r="D139" s="547"/>
      <c r="E139" s="547"/>
      <c r="F139" s="368"/>
      <c r="G139" s="368"/>
      <c r="H139" s="368"/>
      <c r="I139" s="368"/>
      <c r="J139" s="369"/>
      <c r="K139" s="370"/>
      <c r="L139" s="548"/>
      <c r="M139" s="548"/>
      <c r="N139" s="192"/>
      <c r="O139" s="159"/>
      <c r="P139" s="160"/>
      <c r="Q139" s="160"/>
      <c r="R139" s="160"/>
      <c r="S139" s="160"/>
      <c r="T139" s="160"/>
      <c r="U139" s="160"/>
      <c r="V139" s="160"/>
      <c r="W139" s="160"/>
    </row>
    <row r="140" spans="1:23" s="136" customFormat="1" x14ac:dyDescent="0.2">
      <c r="A140" s="372"/>
      <c r="B140" s="547"/>
      <c r="C140" s="547"/>
      <c r="D140" s="547"/>
      <c r="E140" s="547"/>
      <c r="F140" s="368"/>
      <c r="G140" s="368"/>
      <c r="H140" s="368"/>
      <c r="I140" s="368"/>
      <c r="J140" s="369"/>
      <c r="K140" s="370"/>
      <c r="L140" s="373"/>
      <c r="M140" s="373"/>
      <c r="N140" s="191"/>
      <c r="O140" s="159"/>
      <c r="P140" s="160"/>
      <c r="Q140" s="160"/>
      <c r="R140" s="160"/>
      <c r="S140" s="160"/>
      <c r="T140" s="160"/>
      <c r="U140" s="160"/>
      <c r="V140" s="160"/>
      <c r="W140" s="160"/>
    </row>
    <row r="141" spans="1:23" s="73" customFormat="1" x14ac:dyDescent="0.2">
      <c r="A141" s="456"/>
      <c r="B141" s="549"/>
      <c r="C141" s="549"/>
      <c r="D141" s="549"/>
      <c r="E141" s="549"/>
      <c r="F141" s="194"/>
      <c r="G141" s="522"/>
      <c r="H141" s="195"/>
      <c r="I141" s="195"/>
      <c r="J141" s="176"/>
      <c r="K141" s="118"/>
      <c r="L141" s="134"/>
      <c r="M141" s="134"/>
      <c r="N141" s="134"/>
      <c r="O141" s="134"/>
      <c r="P141" s="134"/>
      <c r="Q141" s="134"/>
    </row>
    <row r="142" spans="1:23" s="456" customFormat="1" ht="16.5" thickBot="1" x14ac:dyDescent="0.25">
      <c r="A142" s="196"/>
      <c r="B142" s="197"/>
      <c r="C142" s="198"/>
      <c r="D142" s="198"/>
      <c r="E142" s="169"/>
      <c r="F142" s="176"/>
      <c r="G142" s="176"/>
      <c r="H142" s="176"/>
      <c r="I142" s="176"/>
      <c r="J142" s="170"/>
      <c r="K142" s="118"/>
      <c r="L142" s="134"/>
      <c r="M142" s="134"/>
      <c r="N142" s="134"/>
      <c r="O142" s="134"/>
      <c r="P142" s="134"/>
      <c r="Q142" s="134"/>
      <c r="R142" s="134"/>
      <c r="S142" s="118"/>
      <c r="T142" s="118"/>
      <c r="U142" s="118"/>
    </row>
    <row r="143" spans="1:23" s="456" customFormat="1" ht="16.5" thickBot="1" x14ac:dyDescent="0.25">
      <c r="A143" s="822" t="s">
        <v>220</v>
      </c>
      <c r="B143" s="823"/>
      <c r="C143" s="823"/>
      <c r="D143" s="823"/>
      <c r="E143" s="824"/>
      <c r="F143" s="176"/>
      <c r="G143" s="176"/>
      <c r="H143" s="176"/>
      <c r="I143" s="176"/>
      <c r="J143" s="170"/>
      <c r="K143" s="118"/>
      <c r="L143" s="134"/>
      <c r="M143" s="134"/>
      <c r="N143" s="134"/>
      <c r="O143" s="134"/>
      <c r="P143" s="134"/>
      <c r="Q143" s="134"/>
      <c r="R143" s="134"/>
      <c r="S143" s="118"/>
      <c r="T143" s="118"/>
      <c r="U143" s="118"/>
    </row>
    <row r="144" spans="1:23" s="73" customFormat="1" ht="16.5" thickBot="1" x14ac:dyDescent="0.25">
      <c r="A144" s="550"/>
      <c r="B144" s="456"/>
      <c r="C144" s="456"/>
      <c r="D144" s="456"/>
      <c r="E144" s="456"/>
      <c r="F144" s="194"/>
      <c r="G144" s="456"/>
      <c r="H144" s="200"/>
      <c r="I144" s="194"/>
      <c r="J144" s="194"/>
      <c r="K144" s="118"/>
      <c r="L144" s="134"/>
      <c r="M144" s="134"/>
      <c r="N144" s="134"/>
      <c r="O144" s="134"/>
      <c r="P144" s="134"/>
      <c r="Q144" s="134"/>
      <c r="R144" s="134"/>
      <c r="S144" s="118"/>
      <c r="T144" s="118"/>
      <c r="U144" s="118"/>
    </row>
    <row r="145" spans="1:21" s="73" customFormat="1" ht="16.5" thickBot="1" x14ac:dyDescent="0.25">
      <c r="A145" s="825" t="s">
        <v>221</v>
      </c>
      <c r="B145" s="838"/>
      <c r="C145" s="838"/>
      <c r="D145" s="838"/>
      <c r="E145" s="838"/>
      <c r="F145" s="839"/>
      <c r="G145" s="456"/>
      <c r="H145" s="200"/>
      <c r="I145" s="194"/>
      <c r="J145" s="194"/>
      <c r="K145" s="118"/>
      <c r="L145" s="134"/>
      <c r="M145" s="134"/>
      <c r="N145" s="134"/>
      <c r="O145" s="134"/>
      <c r="P145" s="134"/>
      <c r="Q145" s="134"/>
      <c r="R145" s="134"/>
      <c r="S145" s="118"/>
      <c r="T145" s="118"/>
      <c r="U145" s="118"/>
    </row>
    <row r="146" spans="1:21" s="73" customFormat="1" ht="16.5" customHeight="1" x14ac:dyDescent="0.2">
      <c r="A146" s="835" t="s">
        <v>222</v>
      </c>
      <c r="B146" s="836"/>
      <c r="C146" s="836"/>
      <c r="D146" s="836"/>
      <c r="E146" s="836"/>
      <c r="F146" s="837"/>
      <c r="G146" s="456"/>
      <c r="H146" s="201"/>
      <c r="I146" s="170"/>
      <c r="J146" s="170"/>
      <c r="K146" s="118"/>
      <c r="L146" s="134"/>
      <c r="M146" s="134"/>
      <c r="N146" s="134"/>
      <c r="O146" s="134"/>
      <c r="P146" s="134"/>
      <c r="Q146" s="134"/>
      <c r="R146" s="134"/>
      <c r="S146" s="118"/>
      <c r="T146" s="118"/>
      <c r="U146" s="118"/>
    </row>
    <row r="147" spans="1:21" ht="16.5" thickBot="1" x14ac:dyDescent="0.25">
      <c r="A147" s="832" t="s">
        <v>223</v>
      </c>
      <c r="B147" s="833"/>
      <c r="C147" s="833"/>
      <c r="D147" s="833"/>
      <c r="E147" s="833"/>
      <c r="F147" s="834"/>
      <c r="G147" s="176"/>
      <c r="H147" s="176"/>
      <c r="I147" s="176"/>
      <c r="J147" s="169"/>
      <c r="K147" s="169"/>
      <c r="L147" s="169"/>
      <c r="M147" s="169"/>
      <c r="N147" s="169"/>
      <c r="O147" s="169"/>
      <c r="P147" s="169"/>
      <c r="Q147" s="169"/>
      <c r="R147" s="169"/>
      <c r="S147" s="169"/>
      <c r="T147" s="169"/>
      <c r="U147" s="169"/>
    </row>
    <row r="148" spans="1:21" x14ac:dyDescent="0.2">
      <c r="A148" s="551" t="s">
        <v>224</v>
      </c>
      <c r="B148" s="450" t="s">
        <v>225</v>
      </c>
      <c r="C148" s="552" t="s">
        <v>226</v>
      </c>
      <c r="D148" s="553" t="s">
        <v>227</v>
      </c>
      <c r="E148" s="176"/>
      <c r="F148" s="176"/>
      <c r="G148" s="176"/>
      <c r="H148" s="169"/>
      <c r="I148" s="169"/>
      <c r="J148" s="169"/>
      <c r="K148" s="169"/>
      <c r="L148" s="169"/>
      <c r="M148" s="169"/>
      <c r="N148" s="169"/>
      <c r="O148" s="169"/>
      <c r="P148" s="169"/>
      <c r="Q148" s="169"/>
      <c r="R148" s="169"/>
    </row>
    <row r="149" spans="1:21" s="192" customFormat="1" x14ac:dyDescent="0.2">
      <c r="A149" s="203"/>
      <c r="B149" s="204" t="s">
        <v>344</v>
      </c>
      <c r="C149" s="205" t="s">
        <v>62</v>
      </c>
      <c r="D149" s="206">
        <v>0.8</v>
      </c>
      <c r="E149" s="191"/>
      <c r="F149" s="191"/>
      <c r="G149" s="191"/>
    </row>
    <row r="150" spans="1:21" s="192" customFormat="1" x14ac:dyDescent="0.2">
      <c r="A150" s="203"/>
      <c r="B150" s="204" t="s">
        <v>344</v>
      </c>
      <c r="C150" s="205" t="s">
        <v>417</v>
      </c>
      <c r="D150" s="206">
        <v>1.125</v>
      </c>
      <c r="E150" s="191"/>
      <c r="F150" s="191"/>
      <c r="G150" s="191"/>
    </row>
    <row r="151" spans="1:21" s="192" customFormat="1" ht="16.5" thickBot="1" x14ac:dyDescent="0.25">
      <c r="A151" s="207"/>
      <c r="B151" s="208" t="s">
        <v>344</v>
      </c>
      <c r="C151" s="209" t="s">
        <v>418</v>
      </c>
      <c r="D151" s="210">
        <v>1.266</v>
      </c>
      <c r="E151" s="191"/>
      <c r="F151" s="191"/>
      <c r="G151" s="191"/>
    </row>
    <row r="152" spans="1:21" ht="16.5" thickBot="1" x14ac:dyDescent="0.25"/>
    <row r="153" spans="1:21" s="73" customFormat="1" ht="16.5" thickBot="1" x14ac:dyDescent="0.25">
      <c r="A153" s="822" t="s">
        <v>228</v>
      </c>
      <c r="B153" s="823"/>
      <c r="C153" s="823"/>
      <c r="D153" s="823"/>
      <c r="E153" s="823"/>
      <c r="F153" s="823"/>
      <c r="G153" s="823"/>
      <c r="H153" s="823"/>
      <c r="I153" s="824"/>
      <c r="J153" s="169"/>
      <c r="K153" s="118"/>
      <c r="L153" s="134"/>
      <c r="M153" s="134"/>
      <c r="N153" s="134"/>
      <c r="O153" s="134"/>
      <c r="P153" s="134"/>
      <c r="Q153" s="134"/>
      <c r="R153" s="134"/>
      <c r="S153" s="118"/>
      <c r="T153" s="118"/>
      <c r="U153" s="118"/>
    </row>
    <row r="154" spans="1:21" s="73" customFormat="1" ht="16.5" thickBot="1" x14ac:dyDescent="0.25">
      <c r="A154" s="554" t="s">
        <v>229</v>
      </c>
      <c r="B154" s="213"/>
      <c r="C154" s="214"/>
      <c r="D154" s="214"/>
      <c r="E154" s="214"/>
      <c r="F154" s="214"/>
      <c r="G154" s="215"/>
      <c r="H154" s="216"/>
      <c r="I154" s="217"/>
      <c r="J154" s="170"/>
      <c r="K154" s="118"/>
      <c r="L154" s="134"/>
      <c r="M154" s="134"/>
      <c r="N154" s="134"/>
      <c r="O154" s="134"/>
      <c r="P154" s="134"/>
      <c r="Q154" s="134"/>
      <c r="R154" s="134"/>
      <c r="S154" s="118"/>
      <c r="T154" s="118"/>
      <c r="U154" s="118"/>
    </row>
    <row r="155" spans="1:21" s="308" customFormat="1" x14ac:dyDescent="0.2">
      <c r="A155" s="228"/>
      <c r="B155" s="949"/>
      <c r="C155" s="950"/>
      <c r="D155" s="950"/>
      <c r="E155" s="950"/>
      <c r="F155" s="950"/>
      <c r="G155" s="950"/>
      <c r="H155" s="950"/>
      <c r="I155" s="951"/>
      <c r="J155" s="171"/>
      <c r="K155" s="172"/>
      <c r="L155" s="173"/>
      <c r="M155" s="173"/>
      <c r="N155" s="173"/>
      <c r="O155" s="173"/>
      <c r="P155" s="173"/>
      <c r="Q155" s="173"/>
      <c r="R155" s="173"/>
      <c r="S155" s="172"/>
      <c r="T155" s="172"/>
      <c r="U155" s="172"/>
    </row>
    <row r="156" spans="1:21" s="218" customFormat="1" x14ac:dyDescent="0.2">
      <c r="A156" s="281"/>
      <c r="B156" s="816"/>
      <c r="C156" s="817"/>
      <c r="D156" s="817"/>
      <c r="E156" s="817"/>
      <c r="F156" s="817"/>
      <c r="G156" s="817"/>
      <c r="H156" s="817"/>
      <c r="I156" s="818"/>
    </row>
    <row r="157" spans="1:21" s="218" customFormat="1" x14ac:dyDescent="0.2">
      <c r="A157" s="281"/>
      <c r="B157" s="816"/>
      <c r="C157" s="817"/>
      <c r="D157" s="817"/>
      <c r="E157" s="817"/>
      <c r="F157" s="817"/>
      <c r="G157" s="817"/>
      <c r="H157" s="817"/>
      <c r="I157" s="818"/>
    </row>
    <row r="158" spans="1:21" s="218" customFormat="1" x14ac:dyDescent="0.2">
      <c r="A158" s="281"/>
      <c r="B158" s="816"/>
      <c r="C158" s="817"/>
      <c r="D158" s="817"/>
      <c r="E158" s="817"/>
      <c r="F158" s="817"/>
      <c r="G158" s="817"/>
      <c r="H158" s="817"/>
      <c r="I158" s="818"/>
    </row>
    <row r="159" spans="1:21" s="218" customFormat="1" x14ac:dyDescent="0.2">
      <c r="A159" s="281"/>
      <c r="B159" s="816"/>
      <c r="C159" s="817"/>
      <c r="D159" s="817"/>
      <c r="E159" s="817"/>
      <c r="F159" s="817"/>
      <c r="G159" s="817"/>
      <c r="H159" s="817"/>
      <c r="I159" s="818"/>
    </row>
    <row r="160" spans="1:21" s="218" customFormat="1" x14ac:dyDescent="0.2">
      <c r="A160" s="281"/>
      <c r="B160" s="816"/>
      <c r="C160" s="817"/>
      <c r="D160" s="817"/>
      <c r="E160" s="817"/>
      <c r="F160" s="817"/>
      <c r="G160" s="817"/>
      <c r="H160" s="817"/>
      <c r="I160" s="818"/>
    </row>
    <row r="161" spans="1:9" s="218" customFormat="1" x14ac:dyDescent="0.2">
      <c r="A161" s="281"/>
      <c r="B161" s="816"/>
      <c r="C161" s="817"/>
      <c r="D161" s="817"/>
      <c r="E161" s="817"/>
      <c r="F161" s="817"/>
      <c r="G161" s="817"/>
      <c r="H161" s="817"/>
      <c r="I161" s="818"/>
    </row>
    <row r="162" spans="1:9" s="218" customFormat="1" x14ac:dyDescent="0.2">
      <c r="A162" s="281"/>
      <c r="B162" s="816"/>
      <c r="C162" s="817"/>
      <c r="D162" s="817"/>
      <c r="E162" s="817"/>
      <c r="F162" s="817"/>
      <c r="G162" s="817"/>
      <c r="H162" s="817"/>
      <c r="I162" s="818"/>
    </row>
    <row r="163" spans="1:9" s="218" customFormat="1" x14ac:dyDescent="0.2">
      <c r="A163" s="281"/>
      <c r="B163" s="816"/>
      <c r="C163" s="817"/>
      <c r="D163" s="817"/>
      <c r="E163" s="817"/>
      <c r="F163" s="817"/>
      <c r="G163" s="817"/>
      <c r="H163" s="817"/>
      <c r="I163" s="818"/>
    </row>
    <row r="164" spans="1:9" s="218" customFormat="1" x14ac:dyDescent="0.2">
      <c r="A164" s="281"/>
      <c r="B164" s="816"/>
      <c r="C164" s="817"/>
      <c r="D164" s="817"/>
      <c r="E164" s="817"/>
      <c r="F164" s="817"/>
      <c r="G164" s="817"/>
      <c r="H164" s="817"/>
      <c r="I164" s="818"/>
    </row>
    <row r="165" spans="1:9" s="218" customFormat="1" x14ac:dyDescent="0.2">
      <c r="A165" s="281"/>
      <c r="B165" s="816"/>
      <c r="C165" s="817"/>
      <c r="D165" s="817"/>
      <c r="E165" s="817"/>
      <c r="F165" s="817"/>
      <c r="G165" s="817"/>
      <c r="H165" s="817"/>
      <c r="I165" s="818"/>
    </row>
    <row r="166" spans="1:9" s="218" customFormat="1" x14ac:dyDescent="0.2">
      <c r="A166" s="281"/>
      <c r="B166" s="816"/>
      <c r="C166" s="817"/>
      <c r="D166" s="817"/>
      <c r="E166" s="817"/>
      <c r="F166" s="817"/>
      <c r="G166" s="817"/>
      <c r="H166" s="817"/>
      <c r="I166" s="818"/>
    </row>
    <row r="167" spans="1:9" s="218" customFormat="1" x14ac:dyDescent="0.2">
      <c r="A167" s="281"/>
      <c r="B167" s="816"/>
      <c r="C167" s="817"/>
      <c r="D167" s="817"/>
      <c r="E167" s="817"/>
      <c r="F167" s="817"/>
      <c r="G167" s="817"/>
      <c r="H167" s="817"/>
      <c r="I167" s="818"/>
    </row>
    <row r="168" spans="1:9" s="218" customFormat="1" x14ac:dyDescent="0.2">
      <c r="A168" s="281"/>
      <c r="B168" s="816"/>
      <c r="C168" s="817"/>
      <c r="D168" s="817"/>
      <c r="E168" s="817"/>
      <c r="F168" s="817"/>
      <c r="G168" s="817"/>
      <c r="H168" s="817"/>
      <c r="I168" s="818"/>
    </row>
    <row r="169" spans="1:9" s="218" customFormat="1" ht="16.5" thickBot="1" x14ac:dyDescent="0.25">
      <c r="A169" s="282"/>
      <c r="B169" s="819"/>
      <c r="C169" s="820"/>
      <c r="D169" s="820"/>
      <c r="E169" s="820"/>
      <c r="F169" s="820"/>
      <c r="G169" s="820"/>
      <c r="H169" s="820"/>
      <c r="I169" s="821"/>
    </row>
    <row r="171" spans="1:9" s="218" customFormat="1" x14ac:dyDescent="0.2">
      <c r="F171" s="337"/>
      <c r="G171" s="337"/>
      <c r="H171" s="337"/>
      <c r="I171" s="337"/>
    </row>
    <row r="172" spans="1:9" s="218" customFormat="1" ht="16.5" thickBot="1" x14ac:dyDescent="0.25">
      <c r="F172" s="337"/>
      <c r="G172" s="337"/>
      <c r="H172" s="337"/>
      <c r="I172" s="337"/>
    </row>
    <row r="173" spans="1:9" s="218" customFormat="1" ht="16.5" thickBot="1" x14ac:dyDescent="0.25">
      <c r="A173" s="825" t="s">
        <v>3</v>
      </c>
      <c r="B173" s="826"/>
      <c r="F173" s="337"/>
      <c r="G173" s="337"/>
      <c r="H173" s="337"/>
      <c r="I173" s="337"/>
    </row>
    <row r="174" spans="1:9" s="347" customFormat="1" ht="16.5" thickBot="1" x14ac:dyDescent="0.25">
      <c r="A174" s="338"/>
      <c r="B174" s="338"/>
      <c r="F174" s="348"/>
      <c r="G174" s="348"/>
      <c r="H174" s="348"/>
      <c r="I174" s="348"/>
    </row>
    <row r="175" spans="1:9" s="218" customFormat="1" ht="15.75" customHeight="1" thickBot="1" x14ac:dyDescent="0.25">
      <c r="A175" s="800" t="s">
        <v>2</v>
      </c>
      <c r="B175" s="801"/>
      <c r="C175" s="801"/>
      <c r="D175" s="801"/>
      <c r="E175" s="801"/>
      <c r="F175" s="801"/>
      <c r="G175" s="802"/>
      <c r="H175" s="337"/>
      <c r="I175" s="337"/>
    </row>
    <row r="176" spans="1:9" s="347" customFormat="1" ht="15.75" customHeight="1" thickBot="1" x14ac:dyDescent="0.25">
      <c r="A176" s="338"/>
      <c r="B176" s="338"/>
      <c r="C176" s="338"/>
      <c r="D176" s="338"/>
      <c r="E176" s="338"/>
      <c r="F176" s="338"/>
      <c r="G176" s="338"/>
      <c r="H176" s="348"/>
      <c r="I176" s="348"/>
    </row>
    <row r="177" spans="1:31" s="218" customFormat="1" ht="15.75" customHeight="1" thickBot="1" x14ac:dyDescent="0.25">
      <c r="A177" s="807" t="s">
        <v>1</v>
      </c>
      <c r="B177" s="808"/>
      <c r="C177" s="808"/>
      <c r="D177" s="808"/>
      <c r="E177" s="809"/>
      <c r="F177" s="339"/>
      <c r="G177" s="339"/>
      <c r="H177" s="337"/>
      <c r="I177" s="337"/>
    </row>
    <row r="178" spans="1:31" s="218" customFormat="1" x14ac:dyDescent="0.2">
      <c r="A178" s="803" t="s">
        <v>627</v>
      </c>
      <c r="B178" s="805" t="s">
        <v>888</v>
      </c>
      <c r="C178" s="786" t="s">
        <v>0</v>
      </c>
      <c r="D178" s="786" t="s">
        <v>609</v>
      </c>
      <c r="E178" s="805" t="s">
        <v>889</v>
      </c>
      <c r="F178" s="786" t="s">
        <v>436</v>
      </c>
      <c r="G178" s="786" t="s">
        <v>421</v>
      </c>
      <c r="H178" s="786" t="s">
        <v>628</v>
      </c>
      <c r="I178" s="786" t="s">
        <v>11</v>
      </c>
      <c r="J178" s="786" t="s">
        <v>12</v>
      </c>
      <c r="K178" s="786" t="s">
        <v>13</v>
      </c>
      <c r="L178" s="786" t="s">
        <v>449</v>
      </c>
      <c r="M178" s="786" t="s">
        <v>610</v>
      </c>
      <c r="N178" s="788"/>
    </row>
    <row r="179" spans="1:31" s="218" customFormat="1" ht="32.25" customHeight="1" thickBot="1" x14ac:dyDescent="0.25">
      <c r="A179" s="804"/>
      <c r="B179" s="806"/>
      <c r="C179" s="787"/>
      <c r="D179" s="787"/>
      <c r="E179" s="806"/>
      <c r="F179" s="787"/>
      <c r="G179" s="787"/>
      <c r="H179" s="787"/>
      <c r="I179" s="787"/>
      <c r="J179" s="787"/>
      <c r="K179" s="787"/>
      <c r="L179" s="787"/>
      <c r="M179" s="787"/>
      <c r="N179" s="789"/>
    </row>
    <row r="180" spans="1:31" s="218" customFormat="1" x14ac:dyDescent="0.2">
      <c r="A180" s="344"/>
      <c r="B180" s="340"/>
      <c r="C180" s="394"/>
      <c r="D180" s="340"/>
      <c r="E180" s="340"/>
      <c r="F180" s="340"/>
      <c r="G180" s="340"/>
      <c r="H180" s="340"/>
      <c r="I180" s="340"/>
      <c r="J180" s="340"/>
      <c r="K180" s="340"/>
      <c r="L180" s="661"/>
      <c r="M180" s="810"/>
      <c r="N180" s="811"/>
    </row>
    <row r="181" spans="1:31" s="218" customFormat="1" x14ac:dyDescent="0.2">
      <c r="A181" s="345"/>
      <c r="B181" s="341"/>
      <c r="C181" s="392"/>
      <c r="D181" s="341"/>
      <c r="E181" s="341"/>
      <c r="F181" s="341"/>
      <c r="G181" s="341"/>
      <c r="H181" s="341"/>
      <c r="I181" s="341"/>
      <c r="J181" s="341"/>
      <c r="K181" s="341"/>
      <c r="L181" s="662"/>
      <c r="M181" s="790"/>
      <c r="N181" s="791"/>
    </row>
    <row r="182" spans="1:31" s="218" customFormat="1" x14ac:dyDescent="0.2">
      <c r="A182" s="345"/>
      <c r="B182" s="341"/>
      <c r="C182" s="392"/>
      <c r="D182" s="341"/>
      <c r="E182" s="341"/>
      <c r="F182" s="341"/>
      <c r="G182" s="341"/>
      <c r="H182" s="341"/>
      <c r="I182" s="341"/>
      <c r="J182" s="341"/>
      <c r="K182" s="341"/>
      <c r="L182" s="662"/>
      <c r="M182" s="790"/>
      <c r="N182" s="791"/>
    </row>
    <row r="183" spans="1:31" s="218" customFormat="1" x14ac:dyDescent="0.2">
      <c r="A183" s="345"/>
      <c r="B183" s="341"/>
      <c r="C183" s="392"/>
      <c r="D183" s="341"/>
      <c r="E183" s="341"/>
      <c r="F183" s="341"/>
      <c r="G183" s="341"/>
      <c r="H183" s="341"/>
      <c r="I183" s="341"/>
      <c r="J183" s="341"/>
      <c r="K183" s="341"/>
      <c r="L183" s="662"/>
      <c r="M183" s="790"/>
      <c r="N183" s="791"/>
    </row>
    <row r="184" spans="1:31" s="218" customFormat="1" x14ac:dyDescent="0.2">
      <c r="A184" s="345"/>
      <c r="B184" s="341"/>
      <c r="C184" s="392"/>
      <c r="D184" s="341"/>
      <c r="E184" s="341"/>
      <c r="F184" s="341"/>
      <c r="G184" s="341"/>
      <c r="H184" s="341"/>
      <c r="I184" s="341"/>
      <c r="J184" s="341"/>
      <c r="K184" s="341"/>
      <c r="L184" s="662"/>
      <c r="M184" s="790"/>
      <c r="N184" s="791"/>
    </row>
    <row r="185" spans="1:31" s="218" customFormat="1" ht="16.5" thickBot="1" x14ac:dyDescent="0.25">
      <c r="A185" s="346"/>
      <c r="B185" s="342"/>
      <c r="C185" s="336"/>
      <c r="D185" s="342"/>
      <c r="E185" s="342"/>
      <c r="F185" s="342"/>
      <c r="G185" s="342"/>
      <c r="H185" s="342"/>
      <c r="I185" s="342"/>
      <c r="J185" s="342"/>
      <c r="K185" s="342"/>
      <c r="L185" s="663"/>
      <c r="M185" s="794"/>
      <c r="N185" s="795"/>
    </row>
    <row r="186" spans="1:31" s="218" customFormat="1" x14ac:dyDescent="0.2">
      <c r="F186" s="337"/>
      <c r="G186" s="337"/>
      <c r="H186" s="337"/>
      <c r="I186" s="337"/>
    </row>
    <row r="187" spans="1:31" s="218" customFormat="1" ht="16.5" thickBot="1" x14ac:dyDescent="0.25">
      <c r="F187" s="337"/>
      <c r="G187" s="337"/>
      <c r="H187" s="337"/>
      <c r="I187" s="337"/>
    </row>
    <row r="188" spans="1:31" s="218" customFormat="1" ht="16.5" thickBot="1" x14ac:dyDescent="0.25">
      <c r="A188" s="800" t="s">
        <v>790</v>
      </c>
      <c r="B188" s="801"/>
      <c r="C188" s="801"/>
      <c r="D188" s="801"/>
      <c r="E188" s="801"/>
      <c r="F188" s="801"/>
      <c r="G188" s="802"/>
      <c r="H188" s="337"/>
      <c r="I188" s="337"/>
    </row>
    <row r="189" spans="1:31" s="192" customFormat="1" ht="16.5" thickBot="1" x14ac:dyDescent="0.25">
      <c r="F189" s="191"/>
      <c r="G189" s="191"/>
      <c r="H189" s="191"/>
      <c r="I189" s="191"/>
    </row>
    <row r="190" spans="1:31" s="218" customFormat="1" ht="16.5" thickBot="1" x14ac:dyDescent="0.25">
      <c r="A190" s="807" t="s">
        <v>1</v>
      </c>
      <c r="B190" s="808"/>
      <c r="C190" s="808"/>
      <c r="D190" s="808"/>
      <c r="E190" s="808"/>
      <c r="F190" s="808"/>
      <c r="G190" s="808"/>
      <c r="H190" s="809"/>
      <c r="I190" s="337"/>
    </row>
    <row r="191" spans="1:31" s="1187" customFormat="1" ht="16.5" customHeight="1" thickBot="1" x14ac:dyDescent="0.25">
      <c r="A191" s="803" t="s">
        <v>627</v>
      </c>
      <c r="B191" s="805" t="s">
        <v>888</v>
      </c>
      <c r="C191" s="786" t="s">
        <v>0</v>
      </c>
      <c r="D191" s="786" t="s">
        <v>609</v>
      </c>
      <c r="E191" s="805" t="s">
        <v>889</v>
      </c>
      <c r="F191" s="971" t="s">
        <v>42</v>
      </c>
      <c r="G191" s="1165" t="s">
        <v>789</v>
      </c>
      <c r="H191" s="1163"/>
      <c r="I191" s="1163"/>
      <c r="J191" s="1163"/>
      <c r="K191" s="1163"/>
      <c r="L191" s="1163"/>
      <c r="M191" s="1163"/>
      <c r="N191" s="1163"/>
      <c r="O191" s="1163"/>
      <c r="P191" s="1163"/>
      <c r="Q191" s="1163"/>
      <c r="R191" s="1163"/>
      <c r="S191" s="1163"/>
      <c r="T191" s="1163"/>
      <c r="U191" s="1163"/>
      <c r="V191" s="1164"/>
      <c r="W191" s="930" t="s">
        <v>436</v>
      </c>
      <c r="X191" s="786" t="s">
        <v>421</v>
      </c>
      <c r="Y191" s="786" t="s">
        <v>628</v>
      </c>
      <c r="Z191" s="786" t="s">
        <v>11</v>
      </c>
      <c r="AA191" s="786" t="s">
        <v>12</v>
      </c>
      <c r="AB191" s="786" t="s">
        <v>13</v>
      </c>
      <c r="AC191" s="786" t="s">
        <v>449</v>
      </c>
      <c r="AD191" s="971" t="s">
        <v>610</v>
      </c>
      <c r="AE191" s="1161"/>
    </row>
    <row r="192" spans="1:31" s="1187" customFormat="1" ht="47.25" customHeight="1" thickBot="1" x14ac:dyDescent="0.25">
      <c r="A192" s="804"/>
      <c r="B192" s="806"/>
      <c r="C192" s="787"/>
      <c r="D192" s="787"/>
      <c r="E192" s="806"/>
      <c r="F192" s="787"/>
      <c r="G192" s="1204" t="s">
        <v>432</v>
      </c>
      <c r="H192" s="1204" t="s">
        <v>1380</v>
      </c>
      <c r="I192" s="1200" t="s">
        <v>1381</v>
      </c>
      <c r="J192" s="1200" t="s">
        <v>1382</v>
      </c>
      <c r="K192" s="1200" t="s">
        <v>433</v>
      </c>
      <c r="L192" s="1200" t="s">
        <v>1383</v>
      </c>
      <c r="M192" s="1200" t="s">
        <v>1386</v>
      </c>
      <c r="N192" s="1200" t="s">
        <v>1387</v>
      </c>
      <c r="O192" s="1200" t="s">
        <v>434</v>
      </c>
      <c r="P192" s="1200" t="s">
        <v>1384</v>
      </c>
      <c r="Q192" s="1200" t="s">
        <v>1388</v>
      </c>
      <c r="R192" s="1200" t="s">
        <v>1389</v>
      </c>
      <c r="S192" s="1200" t="s">
        <v>435</v>
      </c>
      <c r="T192" s="1200" t="s">
        <v>1385</v>
      </c>
      <c r="U192" s="1200" t="s">
        <v>1390</v>
      </c>
      <c r="V192" s="1200" t="s">
        <v>1391</v>
      </c>
      <c r="W192" s="787"/>
      <c r="X192" s="787"/>
      <c r="Y192" s="787"/>
      <c r="Z192" s="787"/>
      <c r="AA192" s="787"/>
      <c r="AB192" s="787"/>
      <c r="AC192" s="787"/>
      <c r="AD192" s="972"/>
      <c r="AE192" s="1162"/>
    </row>
    <row r="193" spans="1:31" s="1187" customFormat="1" x14ac:dyDescent="0.2">
      <c r="A193" s="1194"/>
      <c r="B193" s="1191"/>
      <c r="C193" s="1189"/>
      <c r="D193" s="1191"/>
      <c r="E193" s="1191"/>
      <c r="F193" s="1197"/>
      <c r="G193" s="1191"/>
      <c r="H193" s="1191"/>
      <c r="I193" s="1191"/>
      <c r="J193" s="1191"/>
      <c r="K193" s="1191"/>
      <c r="L193" s="1191"/>
      <c r="M193" s="1191"/>
      <c r="N193" s="1191"/>
      <c r="O193" s="1191"/>
      <c r="P193" s="1191"/>
      <c r="Q193" s="1191"/>
      <c r="R193" s="1191"/>
      <c r="S193" s="1191"/>
      <c r="T193" s="1191"/>
      <c r="U193" s="1191"/>
      <c r="V193" s="1191"/>
      <c r="W193" s="1191"/>
      <c r="X193" s="1191"/>
      <c r="Y193" s="1191"/>
      <c r="Z193" s="1191"/>
      <c r="AA193" s="1191"/>
      <c r="AB193" s="1191"/>
      <c r="AC193" s="1201"/>
      <c r="AD193" s="796"/>
      <c r="AE193" s="797"/>
    </row>
    <row r="194" spans="1:31" s="1187" customFormat="1" x14ac:dyDescent="0.2">
      <c r="A194" s="1195"/>
      <c r="B194" s="1192"/>
      <c r="C194" s="1188"/>
      <c r="D194" s="1192"/>
      <c r="E194" s="1192"/>
      <c r="F194" s="1198"/>
      <c r="G194" s="1192"/>
      <c r="H194" s="1192"/>
      <c r="I194" s="1192"/>
      <c r="J194" s="1192"/>
      <c r="K194" s="1192"/>
      <c r="L194" s="1192"/>
      <c r="M194" s="1192"/>
      <c r="N194" s="1192"/>
      <c r="O194" s="1192"/>
      <c r="P194" s="1192"/>
      <c r="Q194" s="1192"/>
      <c r="R194" s="1192"/>
      <c r="S194" s="1192"/>
      <c r="T194" s="1192"/>
      <c r="U194" s="1192"/>
      <c r="V194" s="1192"/>
      <c r="W194" s="1192"/>
      <c r="X194" s="1192"/>
      <c r="Y194" s="1192"/>
      <c r="Z194" s="1192"/>
      <c r="AA194" s="1192"/>
      <c r="AB194" s="1192"/>
      <c r="AC194" s="1202"/>
      <c r="AD194" s="798"/>
      <c r="AE194" s="799"/>
    </row>
    <row r="195" spans="1:31" s="1187" customFormat="1" x14ac:dyDescent="0.2">
      <c r="A195" s="1195"/>
      <c r="B195" s="1192"/>
      <c r="C195" s="1188"/>
      <c r="D195" s="1192"/>
      <c r="E195" s="1192"/>
      <c r="F195" s="1198"/>
      <c r="G195" s="1192"/>
      <c r="H195" s="1192"/>
      <c r="I195" s="1192"/>
      <c r="J195" s="1192"/>
      <c r="K195" s="1192"/>
      <c r="L195" s="1192"/>
      <c r="M195" s="1192"/>
      <c r="N195" s="1192"/>
      <c r="O195" s="1192"/>
      <c r="P195" s="1192"/>
      <c r="Q195" s="1192"/>
      <c r="R195" s="1192"/>
      <c r="S195" s="1192"/>
      <c r="T195" s="1192"/>
      <c r="U195" s="1192"/>
      <c r="V195" s="1192"/>
      <c r="W195" s="1192"/>
      <c r="X195" s="1192"/>
      <c r="Y195" s="1192"/>
      <c r="Z195" s="1192"/>
      <c r="AA195" s="1192"/>
      <c r="AB195" s="1192"/>
      <c r="AC195" s="1202"/>
      <c r="AD195" s="798"/>
      <c r="AE195" s="799"/>
    </row>
    <row r="196" spans="1:31" s="1187" customFormat="1" x14ac:dyDescent="0.2">
      <c r="A196" s="1195"/>
      <c r="B196" s="1192"/>
      <c r="C196" s="1188"/>
      <c r="D196" s="1192"/>
      <c r="E196" s="1192"/>
      <c r="F196" s="1198"/>
      <c r="G196" s="1192"/>
      <c r="H196" s="1192"/>
      <c r="I196" s="1192"/>
      <c r="J196" s="1192"/>
      <c r="K196" s="1192"/>
      <c r="L196" s="1192"/>
      <c r="M196" s="1192"/>
      <c r="N196" s="1192"/>
      <c r="O196" s="1192"/>
      <c r="P196" s="1192"/>
      <c r="Q196" s="1192"/>
      <c r="R196" s="1192"/>
      <c r="S196" s="1192"/>
      <c r="T196" s="1192"/>
      <c r="U196" s="1192"/>
      <c r="V196" s="1192"/>
      <c r="W196" s="1192"/>
      <c r="X196" s="1192"/>
      <c r="Y196" s="1192"/>
      <c r="Z196" s="1192"/>
      <c r="AA196" s="1192"/>
      <c r="AB196" s="1192"/>
      <c r="AC196" s="1202"/>
      <c r="AD196" s="798"/>
      <c r="AE196" s="799"/>
    </row>
    <row r="197" spans="1:31" s="1187" customFormat="1" x14ac:dyDescent="0.2">
      <c r="A197" s="1195"/>
      <c r="B197" s="1192"/>
      <c r="C197" s="1188"/>
      <c r="D197" s="1192"/>
      <c r="E197" s="1192"/>
      <c r="F197" s="1198"/>
      <c r="G197" s="1192"/>
      <c r="H197" s="1192"/>
      <c r="I197" s="1192"/>
      <c r="J197" s="1192"/>
      <c r="K197" s="1192"/>
      <c r="L197" s="1192"/>
      <c r="M197" s="1192"/>
      <c r="N197" s="1192"/>
      <c r="O197" s="1192"/>
      <c r="P197" s="1192"/>
      <c r="Q197" s="1192"/>
      <c r="R197" s="1192"/>
      <c r="S197" s="1192"/>
      <c r="T197" s="1192"/>
      <c r="U197" s="1192"/>
      <c r="V197" s="1192"/>
      <c r="W197" s="1192"/>
      <c r="X197" s="1192"/>
      <c r="Y197" s="1192"/>
      <c r="Z197" s="1192"/>
      <c r="AA197" s="1192"/>
      <c r="AB197" s="1192"/>
      <c r="AC197" s="1202"/>
      <c r="AD197" s="798"/>
      <c r="AE197" s="799"/>
    </row>
    <row r="198" spans="1:31" s="1187" customFormat="1" ht="16.5" thickBot="1" x14ac:dyDescent="0.25">
      <c r="A198" s="1196"/>
      <c r="B198" s="1193"/>
      <c r="C198" s="1190"/>
      <c r="D198" s="1193"/>
      <c r="E198" s="1193"/>
      <c r="F198" s="1199"/>
      <c r="G198" s="1193"/>
      <c r="H198" s="1193"/>
      <c r="I198" s="1193"/>
      <c r="J198" s="1193"/>
      <c r="K198" s="1193"/>
      <c r="L198" s="1193"/>
      <c r="M198" s="1193"/>
      <c r="N198" s="1193"/>
      <c r="O198" s="1193"/>
      <c r="P198" s="1193"/>
      <c r="Q198" s="1193"/>
      <c r="R198" s="1193"/>
      <c r="S198" s="1193"/>
      <c r="T198" s="1193"/>
      <c r="U198" s="1193"/>
      <c r="V198" s="1193"/>
      <c r="W198" s="1193"/>
      <c r="X198" s="1193"/>
      <c r="Y198" s="1193"/>
      <c r="Z198" s="1193"/>
      <c r="AA198" s="1193"/>
      <c r="AB198" s="1193"/>
      <c r="AC198" s="1203"/>
      <c r="AD198" s="792"/>
      <c r="AE198" s="793"/>
    </row>
    <row r="199" spans="1:31" s="218" customFormat="1" x14ac:dyDescent="0.2">
      <c r="F199" s="337"/>
      <c r="G199" s="337"/>
      <c r="H199" s="337"/>
      <c r="I199" s="337"/>
    </row>
    <row r="200" spans="1:31" s="218" customFormat="1" x14ac:dyDescent="0.2">
      <c r="F200" s="337"/>
      <c r="G200" s="337"/>
      <c r="H200" s="337"/>
      <c r="I200" s="337"/>
    </row>
    <row r="201" spans="1:31" s="218" customFormat="1" ht="16.5" thickBot="1" x14ac:dyDescent="0.25">
      <c r="F201" s="337"/>
      <c r="G201" s="337"/>
      <c r="H201" s="337"/>
      <c r="I201" s="337"/>
    </row>
    <row r="202" spans="1:31" ht="16.5" thickBot="1" x14ac:dyDescent="0.25">
      <c r="A202" s="555" t="s">
        <v>454</v>
      </c>
      <c r="B202" s="556" t="s">
        <v>455</v>
      </c>
    </row>
    <row r="203" spans="1:31" x14ac:dyDescent="0.2">
      <c r="A203" s="450" t="s">
        <v>456</v>
      </c>
      <c r="B203" s="557" t="s">
        <v>51</v>
      </c>
    </row>
    <row r="204" spans="1:31" x14ac:dyDescent="0.2">
      <c r="A204" s="558" t="s">
        <v>65</v>
      </c>
      <c r="B204" s="559" t="s">
        <v>51</v>
      </c>
    </row>
    <row r="205" spans="1:31" x14ac:dyDescent="0.2">
      <c r="A205" s="558" t="s">
        <v>257</v>
      </c>
      <c r="B205" s="559" t="s">
        <v>51</v>
      </c>
    </row>
    <row r="206" spans="1:31" x14ac:dyDescent="0.2">
      <c r="A206" s="558" t="s">
        <v>258</v>
      </c>
      <c r="B206" s="559" t="s">
        <v>51</v>
      </c>
    </row>
    <row r="207" spans="1:31" x14ac:dyDescent="0.2">
      <c r="A207" s="558" t="s">
        <v>259</v>
      </c>
      <c r="B207" s="559" t="s">
        <v>53</v>
      </c>
    </row>
    <row r="208" spans="1:31" x14ac:dyDescent="0.2">
      <c r="A208" s="558" t="s">
        <v>281</v>
      </c>
      <c r="B208" s="559" t="s">
        <v>53</v>
      </c>
    </row>
    <row r="209" spans="1:2" x14ac:dyDescent="0.2">
      <c r="A209" s="560" t="s">
        <v>279</v>
      </c>
      <c r="B209" s="559" t="s">
        <v>53</v>
      </c>
    </row>
    <row r="210" spans="1:2" x14ac:dyDescent="0.2">
      <c r="A210" s="560" t="s">
        <v>457</v>
      </c>
      <c r="B210" s="559" t="s">
        <v>53</v>
      </c>
    </row>
    <row r="211" spans="1:2" ht="16.5" thickBot="1" x14ac:dyDescent="0.25">
      <c r="A211" s="561" t="s">
        <v>460</v>
      </c>
      <c r="B211" s="562" t="s">
        <v>51</v>
      </c>
    </row>
  </sheetData>
  <sheetProtection formatCells="0" formatColumns="0" formatRows="0" insertColumns="0" insertRows="0" deleteColumns="0" deleteRows="0" sort="0" autoFilter="0"/>
  <autoFilter ref="A30:AB30" xr:uid="{00000000-0009-0000-0000-000019000000}"/>
  <dataConsolidate>
    <dataRefs count="2">
      <dataRef ref="B9" sheet="APPENDIX B-1  (FE - USWC)"/>
      <dataRef ref="A14:A18" sheet="APPENDIX B-1  (FE - USWC)"/>
    </dataRefs>
  </dataConsolidate>
  <mergeCells count="262">
    <mergeCell ref="AD194:AE194"/>
    <mergeCell ref="AD195:AE195"/>
    <mergeCell ref="AD196:AE196"/>
    <mergeCell ref="AD197:AE197"/>
    <mergeCell ref="AD198:AE198"/>
    <mergeCell ref="W191:W192"/>
    <mergeCell ref="X191:X192"/>
    <mergeCell ref="Y191:Y192"/>
    <mergeCell ref="Z191:Z192"/>
    <mergeCell ref="AA191:AA192"/>
    <mergeCell ref="AB191:AB192"/>
    <mergeCell ref="AC191:AC192"/>
    <mergeCell ref="AD191:AE192"/>
    <mergeCell ref="AD193:AE193"/>
    <mergeCell ref="AC48:AC49"/>
    <mergeCell ref="AA48:AA49"/>
    <mergeCell ref="B81:D81"/>
    <mergeCell ref="B68:D68"/>
    <mergeCell ref="B80:D80"/>
    <mergeCell ref="J90:J92"/>
    <mergeCell ref="M90:M92"/>
    <mergeCell ref="L48:L49"/>
    <mergeCell ref="K90:K92"/>
    <mergeCell ref="A92:G92"/>
    <mergeCell ref="A86:I86"/>
    <mergeCell ref="A72:C72"/>
    <mergeCell ref="A58:C58"/>
    <mergeCell ref="A48:A49"/>
    <mergeCell ref="H90:H92"/>
    <mergeCell ref="A90:G90"/>
    <mergeCell ref="AB48:AB49"/>
    <mergeCell ref="L90:L92"/>
    <mergeCell ref="I90:I92"/>
    <mergeCell ref="A91:G91"/>
    <mergeCell ref="B84:D84"/>
    <mergeCell ref="A87:I87"/>
    <mergeCell ref="Z48:Z49"/>
    <mergeCell ref="F48:F49"/>
    <mergeCell ref="AA30:AA31"/>
    <mergeCell ref="AA39:AA40"/>
    <mergeCell ref="F39:F40"/>
    <mergeCell ref="G39:G40"/>
    <mergeCell ref="X39:X40"/>
    <mergeCell ref="H39:H40"/>
    <mergeCell ref="Z30:Z31"/>
    <mergeCell ref="K30:K31"/>
    <mergeCell ref="L30:L31"/>
    <mergeCell ref="G30:G31"/>
    <mergeCell ref="Y39:Y40"/>
    <mergeCell ref="Z39:Z40"/>
    <mergeCell ref="Y30:Y31"/>
    <mergeCell ref="X30:X31"/>
    <mergeCell ref="H30:H31"/>
    <mergeCell ref="I39:I40"/>
    <mergeCell ref="K39:K40"/>
    <mergeCell ref="I30:I31"/>
    <mergeCell ref="J30:J31"/>
    <mergeCell ref="M48:M49"/>
    <mergeCell ref="K48:K49"/>
    <mergeCell ref="J48:J49"/>
    <mergeCell ref="A1:B1"/>
    <mergeCell ref="C1:F1"/>
    <mergeCell ref="A2:B2"/>
    <mergeCell ref="C2:F2"/>
    <mergeCell ref="A3:B3"/>
    <mergeCell ref="C3:F3"/>
    <mergeCell ref="A4:B4"/>
    <mergeCell ref="C4:F4"/>
    <mergeCell ref="C6:F6"/>
    <mergeCell ref="A7:B7"/>
    <mergeCell ref="B15:I15"/>
    <mergeCell ref="B20:H20"/>
    <mergeCell ref="B13:I13"/>
    <mergeCell ref="A5:B5"/>
    <mergeCell ref="C5:F5"/>
    <mergeCell ref="A6:B6"/>
    <mergeCell ref="L16:M16"/>
    <mergeCell ref="A12:J12"/>
    <mergeCell ref="J16:K16"/>
    <mergeCell ref="L13:M13"/>
    <mergeCell ref="B14:I14"/>
    <mergeCell ref="A47:D47"/>
    <mergeCell ref="B48:B49"/>
    <mergeCell ref="D48:D49"/>
    <mergeCell ref="E30:E31"/>
    <mergeCell ref="D30:D31"/>
    <mergeCell ref="E39:E40"/>
    <mergeCell ref="C48:C49"/>
    <mergeCell ref="F30:F31"/>
    <mergeCell ref="A39:A40"/>
    <mergeCell ref="A30:A31"/>
    <mergeCell ref="J14:K14"/>
    <mergeCell ref="L14:M14"/>
    <mergeCell ref="J13:K13"/>
    <mergeCell ref="L15:M15"/>
    <mergeCell ref="J15:K15"/>
    <mergeCell ref="C7:F7"/>
    <mergeCell ref="A8:B8"/>
    <mergeCell ref="C8:F8"/>
    <mergeCell ref="B16:I16"/>
    <mergeCell ref="L17:M17"/>
    <mergeCell ref="J39:J40"/>
    <mergeCell ref="C30:C31"/>
    <mergeCell ref="B21:H21"/>
    <mergeCell ref="B24:H24"/>
    <mergeCell ref="B22:H22"/>
    <mergeCell ref="B23:H23"/>
    <mergeCell ref="B30:B31"/>
    <mergeCell ref="J17:K17"/>
    <mergeCell ref="B17:I17"/>
    <mergeCell ref="B39:B40"/>
    <mergeCell ref="C39:C40"/>
    <mergeCell ref="D39:D40"/>
    <mergeCell ref="B120:D120"/>
    <mergeCell ref="E120:G120"/>
    <mergeCell ref="B103:D103"/>
    <mergeCell ref="B96:D96"/>
    <mergeCell ref="E96:G96"/>
    <mergeCell ref="E115:G115"/>
    <mergeCell ref="A145:F145"/>
    <mergeCell ref="E93:G93"/>
    <mergeCell ref="E114:G114"/>
    <mergeCell ref="B109:D109"/>
    <mergeCell ref="E103:G103"/>
    <mergeCell ref="B95:D95"/>
    <mergeCell ref="B112:D112"/>
    <mergeCell ref="E112:G112"/>
    <mergeCell ref="B111:D111"/>
    <mergeCell ref="E111:G111"/>
    <mergeCell ref="E109:G109"/>
    <mergeCell ref="B101:D101"/>
    <mergeCell ref="B97:D97"/>
    <mergeCell ref="B116:D116"/>
    <mergeCell ref="E106:G106"/>
    <mergeCell ref="E100:G100"/>
    <mergeCell ref="B114:D114"/>
    <mergeCell ref="B119:D119"/>
    <mergeCell ref="A73:C73"/>
    <mergeCell ref="B66:D66"/>
    <mergeCell ref="B67:D67"/>
    <mergeCell ref="B69:D69"/>
    <mergeCell ref="H48:H49"/>
    <mergeCell ref="G48:G49"/>
    <mergeCell ref="E48:E49"/>
    <mergeCell ref="B93:D93"/>
    <mergeCell ref="E104:G104"/>
    <mergeCell ref="B88:I88"/>
    <mergeCell ref="E95:G95"/>
    <mergeCell ref="B98:D98"/>
    <mergeCell ref="B83:D83"/>
    <mergeCell ref="B65:D65"/>
    <mergeCell ref="B82:D82"/>
    <mergeCell ref="E98:G98"/>
    <mergeCell ref="A57:C57"/>
    <mergeCell ref="I48:I49"/>
    <mergeCell ref="E97:G97"/>
    <mergeCell ref="B102:D102"/>
    <mergeCell ref="E102:G102"/>
    <mergeCell ref="B94:D94"/>
    <mergeCell ref="E94:G94"/>
    <mergeCell ref="B113:D113"/>
    <mergeCell ref="B115:D115"/>
    <mergeCell ref="E101:G101"/>
    <mergeCell ref="B99:D99"/>
    <mergeCell ref="B100:D100"/>
    <mergeCell ref="E99:G99"/>
    <mergeCell ref="B104:D104"/>
    <mergeCell ref="E119:G119"/>
    <mergeCell ref="B117:D117"/>
    <mergeCell ref="E117:G117"/>
    <mergeCell ref="E113:G113"/>
    <mergeCell ref="B110:D110"/>
    <mergeCell ref="E110:G110"/>
    <mergeCell ref="B106:D106"/>
    <mergeCell ref="B107:D107"/>
    <mergeCell ref="E107:G107"/>
    <mergeCell ref="B108:D108"/>
    <mergeCell ref="E108:G108"/>
    <mergeCell ref="E116:G116"/>
    <mergeCell ref="B105:D105"/>
    <mergeCell ref="E105:G105"/>
    <mergeCell ref="B118:D118"/>
    <mergeCell ref="E118:G118"/>
    <mergeCell ref="J128:J129"/>
    <mergeCell ref="A128:D128"/>
    <mergeCell ref="H178:H179"/>
    <mergeCell ref="E178:E179"/>
    <mergeCell ref="L128:L129"/>
    <mergeCell ref="B155:I155"/>
    <mergeCell ref="B160:I160"/>
    <mergeCell ref="J135:J136"/>
    <mergeCell ref="E135:E136"/>
    <mergeCell ref="F135:F136"/>
    <mergeCell ref="K135:K136"/>
    <mergeCell ref="H128:H129"/>
    <mergeCell ref="G128:G129"/>
    <mergeCell ref="B158:I158"/>
    <mergeCell ref="I135:I136"/>
    <mergeCell ref="G135:G136"/>
    <mergeCell ref="M135:M136"/>
    <mergeCell ref="B162:I162"/>
    <mergeCell ref="B163:I163"/>
    <mergeCell ref="M178:N179"/>
    <mergeCell ref="K128:K129"/>
    <mergeCell ref="G191:V191"/>
    <mergeCell ref="M185:N185"/>
    <mergeCell ref="B166:I166"/>
    <mergeCell ref="D178:D179"/>
    <mergeCell ref="B168:I168"/>
    <mergeCell ref="B167:I167"/>
    <mergeCell ref="A175:G175"/>
    <mergeCell ref="L178:L179"/>
    <mergeCell ref="M182:N182"/>
    <mergeCell ref="C191:C192"/>
    <mergeCell ref="A173:B173"/>
    <mergeCell ref="M183:N183"/>
    <mergeCell ref="G178:G179"/>
    <mergeCell ref="A191:A192"/>
    <mergeCell ref="A177:E177"/>
    <mergeCell ref="B121:D121"/>
    <mergeCell ref="E121:G121"/>
    <mergeCell ref="B123:D123"/>
    <mergeCell ref="E123:G123"/>
    <mergeCell ref="B124:D124"/>
    <mergeCell ref="A135:D135"/>
    <mergeCell ref="H135:H136"/>
    <mergeCell ref="B159:I159"/>
    <mergeCell ref="A153:I153"/>
    <mergeCell ref="A126:I126"/>
    <mergeCell ref="A146:F146"/>
    <mergeCell ref="A125:I125"/>
    <mergeCell ref="E122:G122"/>
    <mergeCell ref="A143:E143"/>
    <mergeCell ref="B122:D122"/>
    <mergeCell ref="F128:F129"/>
    <mergeCell ref="E128:E129"/>
    <mergeCell ref="B157:I157"/>
    <mergeCell ref="A147:F147"/>
    <mergeCell ref="B156:I156"/>
    <mergeCell ref="E124:G124"/>
    <mergeCell ref="I128:I129"/>
    <mergeCell ref="E191:E192"/>
    <mergeCell ref="F191:F192"/>
    <mergeCell ref="K178:K179"/>
    <mergeCell ref="B169:I169"/>
    <mergeCell ref="B164:I164"/>
    <mergeCell ref="L135:L136"/>
    <mergeCell ref="B191:B192"/>
    <mergeCell ref="M184:N184"/>
    <mergeCell ref="A188:G188"/>
    <mergeCell ref="M180:N180"/>
    <mergeCell ref="B165:I165"/>
    <mergeCell ref="A190:H190"/>
    <mergeCell ref="B161:I161"/>
    <mergeCell ref="J178:J179"/>
    <mergeCell ref="F178:F179"/>
    <mergeCell ref="I178:I179"/>
    <mergeCell ref="B178:B179"/>
    <mergeCell ref="C178:C179"/>
    <mergeCell ref="A178:A179"/>
    <mergeCell ref="M181:N181"/>
    <mergeCell ref="D191:D192"/>
  </mergeCells>
  <phoneticPr fontId="11" type="noConversion"/>
  <dataValidations count="34">
    <dataValidation type="list" allowBlank="1" showInputMessage="1" showErrorMessage="1" sqref="B203:B211" xr:uid="{00000000-0002-0000-1900-000000000000}">
      <formula1>Autom</formula1>
    </dataValidation>
    <dataValidation type="list" allowBlank="1" showInputMessage="1" showErrorMessage="1" sqref="C180:C185" xr:uid="{00000000-0002-0000-1900-000001000000}">
      <formula1>DDTARIFF</formula1>
    </dataValidation>
    <dataValidation type="list" allowBlank="1" showInputMessage="1" showErrorMessage="1" sqref="B180:B185 B193:B198" xr:uid="{00000000-0002-0000-1900-000002000000}">
      <formula1>EXPIMP</formula1>
    </dataValidation>
    <dataValidation type="list" allowBlank="1" showInputMessage="1" showErrorMessage="1" sqref="F180:F185 W193:W198" xr:uid="{00000000-0002-0000-1900-000003000000}">
      <formula1>EQTYPE</formula1>
    </dataValidation>
    <dataValidation type="list" allowBlank="1" showInputMessage="1" showErrorMessage="1" sqref="G180:G185 X193:X198" xr:uid="{00000000-0002-0000-1900-000004000000}">
      <formula1>OPREEFER</formula1>
    </dataValidation>
    <dataValidation type="list" allowBlank="1" showInputMessage="1" showErrorMessage="1" sqref="F193:F198" xr:uid="{379F8A7A-38D7-45ED-A37D-D93193E4B3D9}">
      <formula1>CURRENCY</formula1>
    </dataValidation>
    <dataValidation type="whole" allowBlank="1" showInputMessage="1" showErrorMessage="1" error="Only whole numbers can be entered into this field" sqref="D180:D185 D193:D198" xr:uid="{00000000-0002-0000-1900-000006000000}">
      <formula1>1</formula1>
      <formula2>99</formula2>
    </dataValidation>
    <dataValidation type="list" showInputMessage="1" showErrorMessage="1" sqref="E180:E185 E193:E198" xr:uid="{00000000-0002-0000-1900-000007000000}">
      <formula1>DAYS</formula1>
    </dataValidation>
    <dataValidation type="whole" allowBlank="1" showInputMessage="1" showErrorMessage="1" error="Only whole numbers may be entered into this field_x000a_" sqref="G193:G198 S193:S198 O193:O198 K193:K198" xr:uid="{F7CA3285-5F1C-4B62-8E64-E3068AD31081}">
      <formula1>1</formula1>
      <formula2>99</formula2>
    </dataValidation>
    <dataValidation type="decimal" allowBlank="1" showInputMessage="1" showErrorMessage="1" error="Only numbers may be entered into this field" sqref="H193:J198 L193:N198 P193:R198 T193:V198" xr:uid="{ECA20EEC-632F-4B26-9E48-21C442147B05}">
      <formula1>1</formula1>
      <formula2>1000000000</formula2>
    </dataValidation>
    <dataValidation type="list" showInputMessage="1" showErrorMessage="1" sqref="K130:K133 K137:K140 N66:N69 A41:A44 A50:A53 A32:A35 N81:N84" xr:uid="{00000000-0002-0000-1900-00000A000000}">
      <formula1>$A$14:$A$18</formula1>
    </dataValidation>
    <dataValidation type="list" allowBlank="1" showInputMessage="1" showErrorMessage="1" sqref="J130:J133 J137:J140" xr:uid="{00000000-0002-0000-1900-00000B000000}">
      <formula1>GRIPSS</formula1>
    </dataValidation>
    <dataValidation type="decimal" allowBlank="1" showInputMessage="1" showErrorMessage="1" sqref="F137:I140 F130:I133 I32:L35 I41:K44 J81:M84 I50:L53" xr:uid="{00000000-0002-0000-1900-00000C000000}">
      <formula1>0</formula1>
      <formula2>999999999999999</formula2>
    </dataValidation>
    <dataValidation type="list" allowBlank="1" showInputMessage="1" showErrorMessage="1" sqref="E130:E133 E137:E140" xr:uid="{00000000-0002-0000-1900-00000D000000}">
      <formula1>GRIPSS_EQ</formula1>
    </dataValidation>
    <dataValidation type="date" allowBlank="1" showInputMessage="1" showErrorMessage="1" sqref="X32:Y35 J93:K124" xr:uid="{00000000-0002-0000-1900-00000E000000}">
      <formula1>10101</formula1>
      <formula2>311299</formula2>
    </dataValidation>
    <dataValidation type="list" showDropDown="1" showErrorMessage="1" sqref="O65:P65 O80:P80" xr:uid="{00000000-0002-0000-1900-00000F000000}">
      <formula1>Charges</formula1>
    </dataValidation>
    <dataValidation type="list" allowBlank="1" showInputMessage="1" showErrorMessage="1" sqref="O66:P69 O81:P84" xr:uid="{00000000-0002-0000-1900-000010000000}">
      <formula1 xml:space="preserve"> droppull</formula1>
    </dataValidation>
    <dataValidation type="list" allowBlank="1" showInputMessage="1" showErrorMessage="1" sqref="L41:L44 G66:G69 P50:P53 N41:N44 G81:G84" xr:uid="{00000000-0002-0000-1900-000011000000}">
      <formula1>YesNo</formula1>
    </dataValidation>
    <dataValidation type="list" allowBlank="1" showInputMessage="1" showErrorMessage="1" sqref="M50:M53" xr:uid="{00000000-0002-0000-1900-000012000000}">
      <formula1>Equip</formula1>
    </dataValidation>
    <dataValidation type="list" allowBlank="1" showInputMessage="1" showErrorMessage="1" sqref="F66:F69 F81:F84" xr:uid="{00000000-0002-0000-1900-000013000000}">
      <formula1>ArbMode</formula1>
    </dataValidation>
    <dataValidation type="list" allowBlank="1" showInputMessage="1" showErrorMessage="1" sqref="G41:G44 G50:G53 G32:G35" xr:uid="{00000000-0002-0000-1900-000014000000}">
      <formula1>SDD</formula1>
    </dataValidation>
    <dataValidation type="list" allowBlank="1" showInputMessage="1" showErrorMessage="1" sqref="M31:W31 Q49:Y49" xr:uid="{00000000-0002-0000-1900-000015000000}">
      <formula1>Container</formula1>
    </dataValidation>
    <dataValidation type="list" allowBlank="1" showInputMessage="1" showErrorMessage="1" sqref="O40:W40" xr:uid="{00000000-0002-0000-1900-000016000000}">
      <formula1>Reefer</formula1>
    </dataValidation>
    <dataValidation type="list" allowBlank="1" showInputMessage="1" showErrorMessage="1" sqref="F32:F35 F50:F53 F41:F44" xr:uid="{00000000-0002-0000-1900-000017000000}">
      <formula1>Mode</formula1>
    </dataValidation>
    <dataValidation type="list" allowBlank="1" showInputMessage="1" showErrorMessage="1" sqref="M41:M44 O50:O53" xr:uid="{00000000-0002-0000-1900-000018000000}">
      <formula1>ShipperOwn</formula1>
    </dataValidation>
    <dataValidation type="list" allowBlank="1" showInputMessage="1" showErrorMessage="1" sqref="N50:N53" xr:uid="{00000000-0002-0000-1900-000019000000}">
      <formula1>OOG</formula1>
    </dataValidation>
    <dataValidation type="list" allowBlank="1" showErrorMessage="1" sqref="M30:W30 Q48:Y48 O39:W39" xr:uid="{00000000-0002-0000-1900-00001A000000}">
      <formula1>Exceptions</formula1>
    </dataValidation>
    <dataValidation type="list" allowBlank="1" showInputMessage="1" showErrorMessage="1" sqref="AA32:AA35 AC50:AC53 AA41:AA44" xr:uid="{00000000-0002-0000-1900-00001B000000}">
      <formula1>CST</formula1>
    </dataValidation>
    <dataValidation type="list" showInputMessage="1" showErrorMessage="1" sqref="A180:A185 A193:A198" xr:uid="{00000000-0002-0000-1900-00001C000000}">
      <formula1>BULLET</formula1>
    </dataValidation>
    <dataValidation type="list" allowBlank="1" showInputMessage="1" showErrorMessage="1" sqref="I93:I124" xr:uid="{00000000-0002-0000-1900-00001D000000}">
      <formula1>$A$14:$A$18</formula1>
    </dataValidation>
    <dataValidation type="list" allowBlank="1" showErrorMessage="1" sqref="A93:A124" xr:uid="{00000000-0002-0000-1900-00001E000000}">
      <formula1>Charges</formula1>
    </dataValidation>
    <dataValidation allowBlank="1" showInputMessage="1" showErrorMessage="1" promptTitle="Acceptable Values:" prompt="- Applicable _x000a_- Not applicable _x000a_- Included_x000a_- Amount and OSPF for cases of fixed per D40 OSPF_x000a_    (example-  &quot;375 OSPF&quot;)" sqref="E93:G124" xr:uid="{00000000-0002-0000-1900-00001F000000}"/>
    <dataValidation type="list" allowBlank="1" showInputMessage="1" showErrorMessage="1" errorTitle="Pick up the list" promptTitle="Blank = ALL" sqref="H93:H124" xr:uid="{00000000-0002-0000-1900-000020000000}">
      <formula1>Type_note2</formula1>
    </dataValidation>
    <dataValidation type="list" showInputMessage="1" showErrorMessage="1" sqref="C193:C198" xr:uid="{08288D54-F347-48E6-A696-5C2470FF4AC1}">
      <formula1>IF($B193="I",DDTARIFFUS,DDTARIFF)</formula1>
    </dataValidation>
  </dataValidations>
  <pageMargins left="0.25" right="0.25" top="0.25" bottom="0.25" header="0.5" footer="0"/>
  <pageSetup scale="28" fitToHeight="0" orientation="landscape" r:id="rId1"/>
  <headerFooter alignWithMargins="0"/>
  <rowBreaks count="1" manualBreakCount="1">
    <brk id="88" max="16383" man="1"/>
  </rowBreaks>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3">
    <tabColor indexed="12"/>
    <pageSetUpPr fitToPage="1"/>
  </sheetPr>
  <dimension ref="A1:BB243"/>
  <sheetViews>
    <sheetView showGridLines="0" topLeftCell="A181" zoomScale="75" zoomScaleNormal="75" zoomScaleSheetLayoutView="75" workbookViewId="0">
      <selection activeCell="G223" sqref="A223:XFD230"/>
    </sheetView>
  </sheetViews>
  <sheetFormatPr defaultColWidth="9.140625" defaultRowHeight="15.75" x14ac:dyDescent="0.2"/>
  <cols>
    <col min="1" max="1" width="25.140625" style="69" customWidth="1"/>
    <col min="2" max="2" width="18.5703125" style="69" customWidth="1"/>
    <col min="3" max="3" width="18.28515625" style="69" customWidth="1"/>
    <col min="4" max="4" width="37.42578125" style="69" bestFit="1" customWidth="1"/>
    <col min="5" max="5" width="19.28515625" style="69" customWidth="1"/>
    <col min="6" max="6" width="12.140625" style="211" customWidth="1"/>
    <col min="7" max="8" width="17.42578125" style="211" customWidth="1"/>
    <col min="9" max="9" width="17.7109375" style="211" customWidth="1"/>
    <col min="10" max="10" width="17.85546875" style="69" customWidth="1"/>
    <col min="11" max="11" width="16.5703125" style="69" customWidth="1"/>
    <col min="12" max="12" width="23.5703125" style="69" customWidth="1"/>
    <col min="13" max="13" width="17.28515625" style="69" customWidth="1"/>
    <col min="14" max="14" width="17.7109375" style="69" customWidth="1"/>
    <col min="15" max="16" width="16.5703125" style="69" customWidth="1"/>
    <col min="17" max="17" width="17.5703125" style="69" customWidth="1"/>
    <col min="18" max="18" width="15.85546875" style="69" customWidth="1"/>
    <col min="19" max="19" width="16.7109375" style="69" customWidth="1"/>
    <col min="20" max="20" width="16.5703125" style="69" customWidth="1"/>
    <col min="21" max="21" width="16.7109375" style="69" customWidth="1"/>
    <col min="22" max="22" width="17.5703125" style="69" customWidth="1"/>
    <col min="23" max="23" width="18" style="69" customWidth="1"/>
    <col min="24" max="24" width="12.7109375" style="69" customWidth="1"/>
    <col min="25" max="25" width="16.85546875" style="69" customWidth="1"/>
    <col min="26" max="26" width="9.7109375" style="69" customWidth="1"/>
    <col min="27" max="27" width="14.140625" style="69" customWidth="1"/>
    <col min="28" max="28" width="9.7109375" style="69" customWidth="1"/>
    <col min="29" max="29" width="14.140625" style="69" customWidth="1"/>
    <col min="30" max="16384" width="9.140625" style="69"/>
  </cols>
  <sheetData>
    <row r="1" spans="1:54" x14ac:dyDescent="0.2">
      <c r="A1" s="835" t="s">
        <v>511</v>
      </c>
      <c r="B1" s="837"/>
      <c r="C1" s="902" t="str">
        <f>Cover!B1</f>
        <v>22-XXXX</v>
      </c>
      <c r="D1" s="903"/>
      <c r="E1" s="903"/>
      <c r="F1" s="904"/>
      <c r="G1" s="69"/>
      <c r="H1" s="69"/>
      <c r="I1" s="69"/>
    </row>
    <row r="2" spans="1:54" x14ac:dyDescent="0.2">
      <c r="A2" s="885" t="s">
        <v>1236</v>
      </c>
      <c r="B2" s="886"/>
      <c r="C2" s="887"/>
      <c r="D2" s="888"/>
      <c r="E2" s="888"/>
      <c r="F2" s="889"/>
      <c r="G2" s="69"/>
      <c r="H2" s="69"/>
      <c r="I2" s="69"/>
    </row>
    <row r="3" spans="1:54" x14ac:dyDescent="0.2">
      <c r="A3" s="885" t="s">
        <v>522</v>
      </c>
      <c r="B3" s="886"/>
      <c r="C3" s="905">
        <f>Cover!B2</f>
        <v>0</v>
      </c>
      <c r="D3" s="906"/>
      <c r="E3" s="906"/>
      <c r="F3" s="907"/>
      <c r="G3" s="69"/>
      <c r="H3" s="69"/>
      <c r="I3" s="69"/>
    </row>
    <row r="4" spans="1:54" x14ac:dyDescent="0.2">
      <c r="A4" s="885" t="s">
        <v>1229</v>
      </c>
      <c r="B4" s="886"/>
      <c r="C4" s="884">
        <f>Cover!B7</f>
        <v>0</v>
      </c>
      <c r="D4" s="817"/>
      <c r="E4" s="817"/>
      <c r="F4" s="818"/>
      <c r="G4" s="69"/>
      <c r="H4" s="69"/>
      <c r="I4" s="69"/>
    </row>
    <row r="5" spans="1:54" x14ac:dyDescent="0.2">
      <c r="A5" s="885" t="s">
        <v>528</v>
      </c>
      <c r="B5" s="886"/>
      <c r="C5" s="887" t="s">
        <v>841</v>
      </c>
      <c r="D5" s="888"/>
      <c r="E5" s="888"/>
      <c r="F5" s="889"/>
      <c r="G5" s="69"/>
      <c r="H5" s="69"/>
      <c r="I5" s="69"/>
    </row>
    <row r="6" spans="1:54" ht="15.75" customHeight="1" x14ac:dyDescent="0.2">
      <c r="A6" s="885" t="s">
        <v>512</v>
      </c>
      <c r="B6" s="886"/>
      <c r="C6" s="887" t="s">
        <v>842</v>
      </c>
      <c r="D6" s="888"/>
      <c r="E6" s="888"/>
      <c r="F6" s="889"/>
      <c r="G6" s="69"/>
      <c r="H6" s="69"/>
      <c r="I6" s="69"/>
    </row>
    <row r="7" spans="1:54" ht="15.75" customHeight="1" x14ac:dyDescent="0.2">
      <c r="A7" s="885" t="s">
        <v>612</v>
      </c>
      <c r="B7" s="886"/>
      <c r="C7" s="887" t="s">
        <v>843</v>
      </c>
      <c r="D7" s="888"/>
      <c r="E7" s="888"/>
      <c r="F7" s="889"/>
      <c r="G7" s="69"/>
      <c r="H7" s="69"/>
      <c r="I7" s="69"/>
    </row>
    <row r="8" spans="1:54" ht="2.25" customHeight="1" thickBot="1" x14ac:dyDescent="0.25">
      <c r="A8" s="900"/>
      <c r="B8" s="901"/>
      <c r="C8" s="894"/>
      <c r="D8" s="895"/>
      <c r="E8" s="895"/>
      <c r="F8" s="896"/>
      <c r="G8" s="69"/>
      <c r="H8" s="69"/>
      <c r="I8" s="69"/>
    </row>
    <row r="9" spans="1:54" s="73" customFormat="1" x14ac:dyDescent="0.2">
      <c r="A9" s="442">
        <v>39</v>
      </c>
      <c r="B9" s="443" t="s">
        <v>615</v>
      </c>
      <c r="D9" s="444"/>
      <c r="E9" s="444"/>
      <c r="F9" s="445"/>
    </row>
    <row r="10" spans="1:54" s="73" customFormat="1" ht="16.5" thickBot="1" x14ac:dyDescent="0.25">
      <c r="A10" s="446"/>
      <c r="D10" s="444"/>
      <c r="E10" s="444"/>
      <c r="F10" s="445"/>
      <c r="G10" s="447"/>
      <c r="H10" s="444"/>
      <c r="I10" s="444"/>
      <c r="J10" s="444"/>
    </row>
    <row r="11" spans="1:54" ht="19.5" thickBot="1" x14ac:dyDescent="0.25">
      <c r="A11" s="448" t="s">
        <v>613</v>
      </c>
      <c r="B11" s="449"/>
      <c r="C11" s="73"/>
      <c r="D11" s="444"/>
      <c r="E11" s="444"/>
      <c r="F11" s="445"/>
      <c r="G11" s="447"/>
      <c r="H11" s="444"/>
      <c r="I11" s="444"/>
      <c r="J11" s="444"/>
    </row>
    <row r="12" spans="1:54" s="78" customFormat="1" ht="16.5" thickBot="1" x14ac:dyDescent="0.25">
      <c r="A12" s="897" t="s">
        <v>616</v>
      </c>
      <c r="B12" s="898"/>
      <c r="C12" s="898"/>
      <c r="D12" s="898"/>
      <c r="E12" s="898"/>
      <c r="F12" s="898"/>
      <c r="G12" s="898"/>
      <c r="H12" s="898"/>
      <c r="I12" s="898"/>
      <c r="J12" s="899"/>
    </row>
    <row r="13" spans="1:54" ht="17.25" customHeight="1" x14ac:dyDescent="0.2">
      <c r="A13" s="450" t="s">
        <v>617</v>
      </c>
      <c r="B13" s="881" t="s">
        <v>618</v>
      </c>
      <c r="C13" s="881"/>
      <c r="D13" s="881"/>
      <c r="E13" s="881"/>
      <c r="F13" s="881"/>
      <c r="G13" s="881"/>
      <c r="H13" s="881"/>
      <c r="I13" s="881"/>
      <c r="J13" s="882" t="s">
        <v>622</v>
      </c>
      <c r="K13" s="883"/>
      <c r="L13" s="890" t="s">
        <v>623</v>
      </c>
      <c r="M13" s="891"/>
      <c r="N13" s="350" t="s">
        <v>4</v>
      </c>
    </row>
    <row r="14" spans="1:54" s="81" customFormat="1" x14ac:dyDescent="0.2">
      <c r="A14" s="451"/>
      <c r="B14" s="862"/>
      <c r="C14" s="892"/>
      <c r="D14" s="892"/>
      <c r="E14" s="892"/>
      <c r="F14" s="892"/>
      <c r="G14" s="892"/>
      <c r="H14" s="892"/>
      <c r="I14" s="892"/>
      <c r="J14" s="870"/>
      <c r="K14" s="855"/>
      <c r="L14" s="893"/>
      <c r="M14" s="871"/>
      <c r="N14" s="349" t="str">
        <f>IF($A14&gt;0,$A14,"")</f>
        <v/>
      </c>
    </row>
    <row r="15" spans="1:54" s="453" customFormat="1" x14ac:dyDescent="0.2">
      <c r="A15" s="452"/>
      <c r="B15" s="879"/>
      <c r="C15" s="880"/>
      <c r="D15" s="880"/>
      <c r="E15" s="880"/>
      <c r="F15" s="880"/>
      <c r="G15" s="880"/>
      <c r="H15" s="880"/>
      <c r="I15" s="880"/>
      <c r="J15" s="870"/>
      <c r="K15" s="855"/>
      <c r="L15" s="870"/>
      <c r="M15" s="871"/>
      <c r="N15" s="349" t="str">
        <f>IF($A15&gt;0,$A15,"")</f>
        <v/>
      </c>
      <c r="BB15" s="81"/>
    </row>
    <row r="16" spans="1:54" s="453" customFormat="1" x14ac:dyDescent="0.2">
      <c r="A16" s="452"/>
      <c r="B16" s="879"/>
      <c r="C16" s="880"/>
      <c r="D16" s="880"/>
      <c r="E16" s="880"/>
      <c r="F16" s="880"/>
      <c r="G16" s="880"/>
      <c r="H16" s="880"/>
      <c r="I16" s="880"/>
      <c r="J16" s="870"/>
      <c r="K16" s="855"/>
      <c r="L16" s="870"/>
      <c r="M16" s="871"/>
      <c r="N16" s="349" t="str">
        <f>IF($A16&gt;0,$A16,"")</f>
        <v/>
      </c>
      <c r="BB16" s="81"/>
    </row>
    <row r="17" spans="1:54" s="453" customFormat="1" ht="16.5" thickBot="1" x14ac:dyDescent="0.25">
      <c r="A17" s="454"/>
      <c r="B17" s="864"/>
      <c r="C17" s="865"/>
      <c r="D17" s="865"/>
      <c r="E17" s="865"/>
      <c r="F17" s="865"/>
      <c r="G17" s="865"/>
      <c r="H17" s="865"/>
      <c r="I17" s="865"/>
      <c r="J17" s="866"/>
      <c r="K17" s="867"/>
      <c r="L17" s="857"/>
      <c r="M17" s="858"/>
      <c r="N17" s="349" t="str">
        <f>IF($A17&gt;0,$A17,"")</f>
        <v/>
      </c>
      <c r="BB17" s="81"/>
    </row>
    <row r="18" spans="1:54" s="462" customFormat="1" ht="16.5" thickBot="1" x14ac:dyDescent="0.25">
      <c r="A18" s="455"/>
      <c r="B18" s="456"/>
      <c r="C18" s="457"/>
      <c r="D18" s="458"/>
      <c r="E18" s="458"/>
      <c r="F18" s="459"/>
      <c r="G18" s="459"/>
      <c r="H18" s="460"/>
      <c r="I18" s="461"/>
      <c r="J18" s="461"/>
      <c r="K18" s="457"/>
      <c r="L18" s="457"/>
      <c r="M18" s="457"/>
      <c r="N18" s="349" t="str">
        <f>IF($A18&gt;0,$A18,"")</f>
        <v/>
      </c>
      <c r="O18" s="457"/>
      <c r="P18" s="457"/>
      <c r="Q18" s="457"/>
      <c r="BB18" s="81"/>
    </row>
    <row r="19" spans="1:54" s="462" customFormat="1" ht="19.5" thickBot="1" x14ac:dyDescent="0.25">
      <c r="A19" s="448" t="s">
        <v>419</v>
      </c>
      <c r="B19" s="463"/>
      <c r="I19" s="461"/>
      <c r="J19" s="461"/>
      <c r="K19" s="457"/>
      <c r="L19" s="457"/>
      <c r="M19" s="457"/>
      <c r="N19" s="457"/>
      <c r="O19" s="457"/>
      <c r="P19" s="457"/>
      <c r="Q19" s="457"/>
    </row>
    <row r="20" spans="1:54" s="462" customFormat="1" x14ac:dyDescent="0.2">
      <c r="A20" s="464" t="s">
        <v>419</v>
      </c>
      <c r="B20" s="859" t="s">
        <v>618</v>
      </c>
      <c r="C20" s="860"/>
      <c r="D20" s="860"/>
      <c r="E20" s="860"/>
      <c r="F20" s="860"/>
      <c r="G20" s="860"/>
      <c r="H20" s="861"/>
      <c r="I20" s="461"/>
      <c r="J20" s="461"/>
      <c r="K20" s="457"/>
      <c r="L20" s="457"/>
      <c r="M20" s="457"/>
      <c r="N20" s="457"/>
      <c r="O20" s="457"/>
      <c r="P20" s="457"/>
      <c r="Q20" s="457"/>
    </row>
    <row r="21" spans="1:54" s="467" customFormat="1" x14ac:dyDescent="0.2">
      <c r="A21" s="451"/>
      <c r="B21" s="862"/>
      <c r="C21" s="862"/>
      <c r="D21" s="862"/>
      <c r="E21" s="862"/>
      <c r="F21" s="862"/>
      <c r="G21" s="862"/>
      <c r="H21" s="863"/>
      <c r="I21" s="220"/>
      <c r="J21" s="465"/>
      <c r="K21" s="466"/>
      <c r="L21" s="466"/>
      <c r="M21" s="466"/>
      <c r="N21" s="466"/>
      <c r="O21" s="466"/>
      <c r="P21" s="466"/>
      <c r="Q21" s="466"/>
    </row>
    <row r="22" spans="1:54" s="467" customFormat="1" x14ac:dyDescent="0.2">
      <c r="A22" s="468"/>
      <c r="B22" s="862"/>
      <c r="C22" s="862"/>
      <c r="D22" s="862"/>
      <c r="E22" s="862"/>
      <c r="F22" s="862"/>
      <c r="G22" s="862"/>
      <c r="H22" s="863"/>
      <c r="I22" s="465"/>
      <c r="J22" s="465"/>
      <c r="K22" s="466"/>
      <c r="L22" s="466"/>
      <c r="M22" s="466"/>
      <c r="N22" s="466"/>
      <c r="O22" s="466"/>
      <c r="P22" s="466"/>
      <c r="Q22" s="466"/>
    </row>
    <row r="23" spans="1:54" s="467" customFormat="1" x14ac:dyDescent="0.2">
      <c r="A23" s="468"/>
      <c r="B23" s="854"/>
      <c r="C23" s="855"/>
      <c r="D23" s="855"/>
      <c r="E23" s="855"/>
      <c r="F23" s="855"/>
      <c r="G23" s="855"/>
      <c r="H23" s="856"/>
      <c r="I23" s="465"/>
      <c r="J23" s="465"/>
      <c r="K23" s="466"/>
      <c r="L23" s="466"/>
      <c r="M23" s="466"/>
      <c r="N23" s="466"/>
      <c r="O23" s="466"/>
      <c r="P23" s="466"/>
      <c r="Q23" s="466"/>
    </row>
    <row r="24" spans="1:54" s="467" customFormat="1" ht="16.5" thickBot="1" x14ac:dyDescent="0.25">
      <c r="A24" s="469"/>
      <c r="B24" s="877"/>
      <c r="C24" s="867"/>
      <c r="D24" s="867"/>
      <c r="E24" s="867"/>
      <c r="F24" s="867"/>
      <c r="G24" s="867"/>
      <c r="H24" s="878"/>
      <c r="I24" s="465"/>
      <c r="J24" s="465"/>
      <c r="K24" s="466"/>
      <c r="L24" s="466"/>
      <c r="M24" s="466"/>
      <c r="N24" s="466"/>
      <c r="O24" s="466"/>
      <c r="P24" s="466"/>
      <c r="Q24" s="466"/>
    </row>
    <row r="25" spans="1:54" s="462" customFormat="1" ht="16.5" thickBot="1" x14ac:dyDescent="0.25">
      <c r="A25" s="456"/>
      <c r="B25" s="95"/>
      <c r="C25" s="95"/>
      <c r="D25" s="95"/>
      <c r="E25" s="95"/>
      <c r="F25" s="95"/>
      <c r="G25" s="95"/>
      <c r="H25" s="95"/>
      <c r="I25" s="461"/>
      <c r="J25" s="461"/>
      <c r="K25" s="457"/>
      <c r="L25" s="457"/>
      <c r="M25" s="457"/>
      <c r="N25" s="457"/>
      <c r="O25" s="457"/>
      <c r="P25" s="457"/>
      <c r="Q25" s="457"/>
      <c r="R25" s="457"/>
      <c r="S25" s="457"/>
      <c r="T25" s="457"/>
      <c r="U25" s="457"/>
    </row>
    <row r="26" spans="1:54" s="462" customFormat="1" ht="19.5" thickBot="1" x14ac:dyDescent="0.25">
      <c r="A26" s="448" t="s">
        <v>624</v>
      </c>
      <c r="B26" s="449"/>
      <c r="I26" s="461"/>
      <c r="J26" s="461"/>
      <c r="K26" s="457"/>
      <c r="L26" s="457"/>
      <c r="M26" s="457"/>
      <c r="N26" s="457"/>
      <c r="O26" s="457"/>
      <c r="P26" s="457"/>
      <c r="Q26" s="457"/>
      <c r="R26" s="457"/>
      <c r="S26" s="457"/>
      <c r="T26" s="457"/>
      <c r="U26" s="457"/>
    </row>
    <row r="27" spans="1:54" s="462" customFormat="1" x14ac:dyDescent="0.2">
      <c r="A27" s="223" t="s">
        <v>886</v>
      </c>
      <c r="B27" s="470"/>
      <c r="C27" s="471"/>
      <c r="D27" s="472"/>
      <c r="E27" s="472"/>
      <c r="F27" s="473"/>
      <c r="G27" s="473"/>
      <c r="H27" s="473"/>
      <c r="I27" s="474"/>
      <c r="J27" s="475"/>
      <c r="K27" s="476"/>
      <c r="L27" s="457"/>
      <c r="M27" s="457"/>
      <c r="N27" s="457"/>
      <c r="O27" s="457"/>
      <c r="P27" s="457"/>
      <c r="Q27" s="457"/>
      <c r="R27" s="457"/>
      <c r="S27" s="457"/>
      <c r="T27" s="457"/>
      <c r="U27" s="457"/>
      <c r="V27" s="457"/>
    </row>
    <row r="28" spans="1:54" s="462" customFormat="1" x14ac:dyDescent="0.2">
      <c r="A28" s="96" t="s">
        <v>626</v>
      </c>
      <c r="B28" s="214"/>
      <c r="C28" s="477"/>
      <c r="D28" s="478"/>
      <c r="E28" s="478"/>
      <c r="F28" s="479"/>
      <c r="G28" s="479"/>
      <c r="H28" s="479"/>
      <c r="I28" s="480"/>
      <c r="J28" s="481"/>
      <c r="K28" s="482"/>
      <c r="L28" s="457"/>
      <c r="M28" s="457"/>
      <c r="N28" s="457"/>
      <c r="O28" s="457"/>
      <c r="P28" s="457"/>
      <c r="Q28" s="457"/>
      <c r="R28" s="457"/>
    </row>
    <row r="29" spans="1:54" s="462" customFormat="1" ht="16.5" thickBot="1" x14ac:dyDescent="0.25">
      <c r="A29" s="110" t="s">
        <v>172</v>
      </c>
      <c r="B29" s="483"/>
      <c r="C29" s="484"/>
      <c r="D29" s="485"/>
      <c r="E29" s="485"/>
      <c r="F29" s="486"/>
      <c r="G29" s="486"/>
      <c r="H29" s="486"/>
      <c r="I29" s="487"/>
      <c r="J29" s="488"/>
      <c r="K29" s="489"/>
      <c r="L29" s="457"/>
      <c r="M29" s="457"/>
      <c r="N29" s="457"/>
      <c r="O29" s="457"/>
      <c r="P29" s="457"/>
      <c r="Q29" s="457"/>
      <c r="R29" s="457"/>
      <c r="S29" s="118"/>
      <c r="T29" s="118"/>
      <c r="U29" s="118"/>
      <c r="V29" s="457"/>
      <c r="W29" s="457"/>
      <c r="X29" s="457"/>
    </row>
    <row r="30" spans="1:54" s="491" customFormat="1" ht="32.25" customHeight="1" x14ac:dyDescent="0.2">
      <c r="A30" s="875" t="s">
        <v>627</v>
      </c>
      <c r="B30" s="868" t="s">
        <v>628</v>
      </c>
      <c r="C30" s="868" t="s">
        <v>11</v>
      </c>
      <c r="D30" s="868" t="s">
        <v>12</v>
      </c>
      <c r="E30" s="868" t="s">
        <v>13</v>
      </c>
      <c r="F30" s="868" t="s">
        <v>14</v>
      </c>
      <c r="G30" s="868" t="s">
        <v>15</v>
      </c>
      <c r="H30" s="868" t="s">
        <v>16</v>
      </c>
      <c r="I30" s="868" t="s">
        <v>17</v>
      </c>
      <c r="J30" s="868" t="s">
        <v>18</v>
      </c>
      <c r="K30" s="868" t="s">
        <v>19</v>
      </c>
      <c r="L30" s="868" t="s">
        <v>20</v>
      </c>
      <c r="M30" s="490"/>
      <c r="N30" s="490"/>
      <c r="O30" s="490"/>
      <c r="P30" s="490"/>
      <c r="Q30" s="490"/>
      <c r="R30" s="490"/>
      <c r="S30" s="490"/>
      <c r="T30" s="490"/>
      <c r="U30" s="490"/>
      <c r="V30" s="490"/>
      <c r="W30" s="490"/>
      <c r="X30" s="868" t="s">
        <v>22</v>
      </c>
      <c r="Y30" s="868" t="s">
        <v>23</v>
      </c>
      <c r="Z30" s="868" t="s">
        <v>24</v>
      </c>
      <c r="AA30" s="922" t="s">
        <v>352</v>
      </c>
    </row>
    <row r="31" spans="1:54" s="491" customFormat="1" ht="16.5" thickBot="1" x14ac:dyDescent="0.25">
      <c r="A31" s="876"/>
      <c r="B31" s="869"/>
      <c r="C31" s="869"/>
      <c r="D31" s="869"/>
      <c r="E31" s="869"/>
      <c r="F31" s="869"/>
      <c r="G31" s="872"/>
      <c r="H31" s="869"/>
      <c r="I31" s="869"/>
      <c r="J31" s="869"/>
      <c r="K31" s="869"/>
      <c r="L31" s="869"/>
      <c r="M31" s="492"/>
      <c r="N31" s="492"/>
      <c r="O31" s="492"/>
      <c r="P31" s="492"/>
      <c r="Q31" s="492"/>
      <c r="R31" s="492"/>
      <c r="S31" s="492"/>
      <c r="T31" s="492"/>
      <c r="U31" s="492"/>
      <c r="V31" s="492"/>
      <c r="W31" s="492"/>
      <c r="X31" s="869"/>
      <c r="Y31" s="869"/>
      <c r="Z31" s="869"/>
      <c r="AA31" s="923"/>
    </row>
    <row r="32" spans="1:54" s="136" customFormat="1" x14ac:dyDescent="0.2">
      <c r="A32" s="493"/>
      <c r="B32" s="49"/>
      <c r="C32" s="225"/>
      <c r="D32" s="225"/>
      <c r="E32" s="225"/>
      <c r="F32" s="225"/>
      <c r="G32" s="120"/>
      <c r="H32" s="225"/>
      <c r="I32" s="263"/>
      <c r="J32" s="263"/>
      <c r="K32" s="263"/>
      <c r="L32" s="263"/>
      <c r="M32" s="120"/>
      <c r="N32" s="120"/>
      <c r="O32" s="120"/>
      <c r="P32" s="226"/>
      <c r="Q32" s="226"/>
      <c r="R32" s="226"/>
      <c r="S32" s="120"/>
      <c r="T32" s="120"/>
      <c r="U32" s="120"/>
      <c r="V32" s="120"/>
      <c r="W32" s="120"/>
      <c r="X32" s="227"/>
      <c r="Y32" s="227"/>
      <c r="Z32" s="120"/>
      <c r="AA32" s="121"/>
    </row>
    <row r="33" spans="1:27" s="136" customFormat="1" x14ac:dyDescent="0.2">
      <c r="A33" s="494"/>
      <c r="B33" s="123"/>
      <c r="C33" s="123"/>
      <c r="D33" s="123"/>
      <c r="E33" s="123"/>
      <c r="F33" s="123"/>
      <c r="G33" s="124"/>
      <c r="H33" s="123"/>
      <c r="I33" s="255"/>
      <c r="J33" s="255"/>
      <c r="K33" s="255"/>
      <c r="L33" s="255"/>
      <c r="M33" s="125"/>
      <c r="N33" s="124"/>
      <c r="O33" s="124"/>
      <c r="P33" s="125"/>
      <c r="Q33" s="125"/>
      <c r="R33" s="125"/>
      <c r="S33" s="124"/>
      <c r="T33" s="124"/>
      <c r="U33" s="124"/>
      <c r="V33" s="124"/>
      <c r="W33" s="124"/>
      <c r="X33" s="126"/>
      <c r="Y33" s="126"/>
      <c r="Z33" s="124"/>
      <c r="AA33" s="127"/>
    </row>
    <row r="34" spans="1:27" s="136" customFormat="1" x14ac:dyDescent="0.2">
      <c r="A34" s="494"/>
      <c r="B34" s="123"/>
      <c r="C34" s="123"/>
      <c r="D34" s="123"/>
      <c r="E34" s="123"/>
      <c r="F34" s="123"/>
      <c r="G34" s="124"/>
      <c r="H34" s="123"/>
      <c r="I34" s="255"/>
      <c r="J34" s="255"/>
      <c r="K34" s="255"/>
      <c r="L34" s="255"/>
      <c r="M34" s="125"/>
      <c r="N34" s="124"/>
      <c r="O34" s="124"/>
      <c r="P34" s="125"/>
      <c r="Q34" s="125"/>
      <c r="R34" s="125"/>
      <c r="S34" s="124"/>
      <c r="T34" s="124"/>
      <c r="U34" s="124"/>
      <c r="V34" s="124"/>
      <c r="W34" s="124"/>
      <c r="X34" s="126"/>
      <c r="Y34" s="126"/>
      <c r="Z34" s="124"/>
      <c r="AA34" s="127"/>
    </row>
    <row r="35" spans="1:27" s="136" customFormat="1" x14ac:dyDescent="0.2">
      <c r="A35" s="494"/>
      <c r="B35" s="123"/>
      <c r="C35" s="123"/>
      <c r="D35" s="123"/>
      <c r="E35" s="123"/>
      <c r="F35" s="123"/>
      <c r="G35" s="124"/>
      <c r="H35" s="123"/>
      <c r="I35" s="255"/>
      <c r="J35" s="255"/>
      <c r="K35" s="255"/>
      <c r="L35" s="255"/>
      <c r="M35" s="125"/>
      <c r="N35" s="124"/>
      <c r="O35" s="124"/>
      <c r="P35" s="125"/>
      <c r="Q35" s="125"/>
      <c r="R35" s="125"/>
      <c r="S35" s="124"/>
      <c r="T35" s="124"/>
      <c r="U35" s="124"/>
      <c r="V35" s="124"/>
      <c r="W35" s="124"/>
      <c r="X35" s="126"/>
      <c r="Y35" s="126"/>
      <c r="Z35" s="124"/>
      <c r="AA35" s="127"/>
    </row>
    <row r="36" spans="1:27" s="136" customFormat="1" x14ac:dyDescent="0.2">
      <c r="A36" s="494"/>
      <c r="B36" s="123"/>
      <c r="C36" s="123"/>
      <c r="D36" s="123"/>
      <c r="E36" s="123"/>
      <c r="F36" s="123"/>
      <c r="G36" s="124"/>
      <c r="H36" s="123"/>
      <c r="I36" s="255"/>
      <c r="J36" s="255"/>
      <c r="K36" s="255"/>
      <c r="L36" s="255"/>
      <c r="M36" s="125"/>
      <c r="N36" s="124"/>
      <c r="O36" s="124"/>
      <c r="P36" s="125"/>
      <c r="Q36" s="125"/>
      <c r="R36" s="125"/>
      <c r="S36" s="124"/>
      <c r="T36" s="124"/>
      <c r="U36" s="124"/>
      <c r="V36" s="124"/>
      <c r="W36" s="124"/>
      <c r="X36" s="126"/>
      <c r="Y36" s="126"/>
      <c r="Z36" s="124"/>
      <c r="AA36" s="127"/>
    </row>
    <row r="37" spans="1:27" s="136" customFormat="1" x14ac:dyDescent="0.2">
      <c r="A37" s="494"/>
      <c r="B37" s="123"/>
      <c r="C37" s="123"/>
      <c r="D37" s="123"/>
      <c r="E37" s="123"/>
      <c r="F37" s="123"/>
      <c r="G37" s="124"/>
      <c r="H37" s="123"/>
      <c r="I37" s="255"/>
      <c r="J37" s="255"/>
      <c r="K37" s="255"/>
      <c r="L37" s="255"/>
      <c r="M37" s="125"/>
      <c r="N37" s="124"/>
      <c r="O37" s="124"/>
      <c r="P37" s="125"/>
      <c r="Q37" s="125"/>
      <c r="R37" s="125"/>
      <c r="S37" s="124"/>
      <c r="T37" s="124"/>
      <c r="U37" s="124"/>
      <c r="V37" s="124"/>
      <c r="W37" s="124"/>
      <c r="X37" s="126"/>
      <c r="Y37" s="126"/>
      <c r="Z37" s="124"/>
      <c r="AA37" s="127"/>
    </row>
    <row r="38" spans="1:27" s="136" customFormat="1" x14ac:dyDescent="0.2">
      <c r="A38" s="494"/>
      <c r="B38" s="123"/>
      <c r="C38" s="123"/>
      <c r="D38" s="123"/>
      <c r="E38" s="123"/>
      <c r="F38" s="123"/>
      <c r="G38" s="124"/>
      <c r="H38" s="123"/>
      <c r="I38" s="255"/>
      <c r="J38" s="255"/>
      <c r="K38" s="255"/>
      <c r="L38" s="255"/>
      <c r="M38" s="125"/>
      <c r="N38" s="124"/>
      <c r="O38" s="124"/>
      <c r="P38" s="125"/>
      <c r="Q38" s="125"/>
      <c r="R38" s="125"/>
      <c r="S38" s="124"/>
      <c r="T38" s="124"/>
      <c r="U38" s="124"/>
      <c r="V38" s="124"/>
      <c r="W38" s="124"/>
      <c r="X38" s="126"/>
      <c r="Y38" s="126"/>
      <c r="Z38" s="124"/>
      <c r="AA38" s="127"/>
    </row>
    <row r="39" spans="1:27" s="136" customFormat="1" x14ac:dyDescent="0.2">
      <c r="A39" s="494"/>
      <c r="B39" s="123"/>
      <c r="C39" s="123"/>
      <c r="D39" s="123"/>
      <c r="E39" s="123"/>
      <c r="F39" s="123"/>
      <c r="G39" s="124"/>
      <c r="H39" s="123"/>
      <c r="I39" s="255"/>
      <c r="J39" s="255"/>
      <c r="K39" s="255"/>
      <c r="L39" s="255"/>
      <c r="M39" s="125"/>
      <c r="N39" s="124"/>
      <c r="O39" s="124"/>
      <c r="P39" s="125"/>
      <c r="Q39" s="125"/>
      <c r="R39" s="125"/>
      <c r="S39" s="124"/>
      <c r="T39" s="124"/>
      <c r="U39" s="124"/>
      <c r="V39" s="124"/>
      <c r="W39" s="124"/>
      <c r="X39" s="126"/>
      <c r="Y39" s="126"/>
      <c r="Z39" s="124"/>
      <c r="AA39" s="127"/>
    </row>
    <row r="40" spans="1:27" s="136" customFormat="1" x14ac:dyDescent="0.2">
      <c r="A40" s="494"/>
      <c r="B40" s="123"/>
      <c r="C40" s="123"/>
      <c r="D40" s="123"/>
      <c r="E40" s="123"/>
      <c r="F40" s="123"/>
      <c r="G40" s="124"/>
      <c r="H40" s="123"/>
      <c r="I40" s="255"/>
      <c r="J40" s="255"/>
      <c r="K40" s="255"/>
      <c r="L40" s="255"/>
      <c r="M40" s="125"/>
      <c r="N40" s="124"/>
      <c r="O40" s="124"/>
      <c r="P40" s="125"/>
      <c r="Q40" s="125"/>
      <c r="R40" s="125"/>
      <c r="S40" s="124"/>
      <c r="T40" s="124"/>
      <c r="U40" s="124"/>
      <c r="V40" s="124"/>
      <c r="W40" s="124"/>
      <c r="X40" s="126"/>
      <c r="Y40" s="126"/>
      <c r="Z40" s="124"/>
      <c r="AA40" s="127"/>
    </row>
    <row r="41" spans="1:27" s="136" customFormat="1" x14ac:dyDescent="0.2">
      <c r="A41" s="494"/>
      <c r="B41" s="123"/>
      <c r="C41" s="123"/>
      <c r="D41" s="123"/>
      <c r="E41" s="123"/>
      <c r="F41" s="123"/>
      <c r="G41" s="124"/>
      <c r="H41" s="123"/>
      <c r="I41" s="255"/>
      <c r="J41" s="255"/>
      <c r="K41" s="255"/>
      <c r="L41" s="255"/>
      <c r="M41" s="125"/>
      <c r="N41" s="124"/>
      <c r="O41" s="124"/>
      <c r="P41" s="125"/>
      <c r="Q41" s="125"/>
      <c r="R41" s="125"/>
      <c r="S41" s="124"/>
      <c r="T41" s="124"/>
      <c r="U41" s="124"/>
      <c r="V41" s="124"/>
      <c r="W41" s="124"/>
      <c r="X41" s="126"/>
      <c r="Y41" s="126"/>
      <c r="Z41" s="124"/>
      <c r="AA41" s="127"/>
    </row>
    <row r="42" spans="1:27" s="136" customFormat="1" x14ac:dyDescent="0.2">
      <c r="A42" s="494"/>
      <c r="B42" s="123"/>
      <c r="C42" s="123"/>
      <c r="D42" s="123"/>
      <c r="E42" s="123"/>
      <c r="F42" s="123"/>
      <c r="G42" s="124"/>
      <c r="H42" s="123"/>
      <c r="I42" s="255"/>
      <c r="J42" s="255"/>
      <c r="K42" s="255"/>
      <c r="L42" s="255"/>
      <c r="M42" s="125"/>
      <c r="N42" s="124"/>
      <c r="O42" s="124"/>
      <c r="P42" s="125"/>
      <c r="Q42" s="125"/>
      <c r="R42" s="125"/>
      <c r="S42" s="124"/>
      <c r="T42" s="124"/>
      <c r="U42" s="124"/>
      <c r="V42" s="124"/>
      <c r="W42" s="124"/>
      <c r="X42" s="126"/>
      <c r="Y42" s="126"/>
      <c r="Z42" s="124"/>
      <c r="AA42" s="127"/>
    </row>
    <row r="43" spans="1:27" s="136" customFormat="1" x14ac:dyDescent="0.2">
      <c r="A43" s="494"/>
      <c r="B43" s="123"/>
      <c r="C43" s="123"/>
      <c r="D43" s="123"/>
      <c r="E43" s="123"/>
      <c r="F43" s="123"/>
      <c r="G43" s="124"/>
      <c r="H43" s="123"/>
      <c r="I43" s="255"/>
      <c r="J43" s="255"/>
      <c r="K43" s="255"/>
      <c r="L43" s="255"/>
      <c r="M43" s="125"/>
      <c r="N43" s="124"/>
      <c r="O43" s="124"/>
      <c r="P43" s="125"/>
      <c r="Q43" s="125"/>
      <c r="R43" s="125"/>
      <c r="S43" s="124"/>
      <c r="T43" s="124"/>
      <c r="U43" s="124"/>
      <c r="V43" s="124"/>
      <c r="W43" s="124"/>
      <c r="X43" s="126"/>
      <c r="Y43" s="126"/>
      <c r="Z43" s="124"/>
      <c r="AA43" s="127"/>
    </row>
    <row r="44" spans="1:27" s="136" customFormat="1" x14ac:dyDescent="0.2">
      <c r="A44" s="494"/>
      <c r="B44" s="123"/>
      <c r="C44" s="123"/>
      <c r="D44" s="123"/>
      <c r="E44" s="123"/>
      <c r="F44" s="123"/>
      <c r="G44" s="124"/>
      <c r="H44" s="123"/>
      <c r="I44" s="255"/>
      <c r="J44" s="255"/>
      <c r="K44" s="255"/>
      <c r="L44" s="255"/>
      <c r="M44" s="125"/>
      <c r="N44" s="124"/>
      <c r="O44" s="124"/>
      <c r="P44" s="125"/>
      <c r="Q44" s="125"/>
      <c r="R44" s="125"/>
      <c r="S44" s="124"/>
      <c r="T44" s="124"/>
      <c r="U44" s="124"/>
      <c r="V44" s="124"/>
      <c r="W44" s="124"/>
      <c r="X44" s="126"/>
      <c r="Y44" s="126"/>
      <c r="Z44" s="124"/>
      <c r="AA44" s="127"/>
    </row>
    <row r="45" spans="1:27" s="136" customFormat="1" x14ac:dyDescent="0.2">
      <c r="A45" s="494"/>
      <c r="B45" s="123"/>
      <c r="C45" s="123"/>
      <c r="D45" s="123"/>
      <c r="E45" s="123"/>
      <c r="F45" s="123"/>
      <c r="G45" s="124"/>
      <c r="H45" s="123"/>
      <c r="I45" s="255"/>
      <c r="J45" s="255"/>
      <c r="K45" s="255"/>
      <c r="L45" s="255"/>
      <c r="M45" s="125"/>
      <c r="N45" s="124"/>
      <c r="O45" s="124"/>
      <c r="P45" s="125"/>
      <c r="Q45" s="125"/>
      <c r="R45" s="125"/>
      <c r="S45" s="124"/>
      <c r="T45" s="124"/>
      <c r="U45" s="124"/>
      <c r="V45" s="124"/>
      <c r="W45" s="124"/>
      <c r="X45" s="126"/>
      <c r="Y45" s="126"/>
      <c r="Z45" s="124"/>
      <c r="AA45" s="127"/>
    </row>
    <row r="46" spans="1:27" s="136" customFormat="1" x14ac:dyDescent="0.2">
      <c r="A46" s="494"/>
      <c r="B46" s="123"/>
      <c r="C46" s="123"/>
      <c r="D46" s="123"/>
      <c r="E46" s="123"/>
      <c r="F46" s="123"/>
      <c r="G46" s="124"/>
      <c r="H46" s="123"/>
      <c r="I46" s="255"/>
      <c r="J46" s="255"/>
      <c r="K46" s="255"/>
      <c r="L46" s="255"/>
      <c r="M46" s="125"/>
      <c r="N46" s="124"/>
      <c r="O46" s="124"/>
      <c r="P46" s="125"/>
      <c r="Q46" s="125"/>
      <c r="R46" s="125"/>
      <c r="S46" s="124"/>
      <c r="T46" s="124"/>
      <c r="U46" s="124"/>
      <c r="V46" s="124"/>
      <c r="W46" s="124"/>
      <c r="X46" s="126"/>
      <c r="Y46" s="126"/>
      <c r="Z46" s="124"/>
      <c r="AA46" s="127"/>
    </row>
    <row r="47" spans="1:27" s="136" customFormat="1" x14ac:dyDescent="0.2">
      <c r="A47" s="494"/>
      <c r="B47" s="123"/>
      <c r="C47" s="123"/>
      <c r="D47" s="123"/>
      <c r="E47" s="123"/>
      <c r="F47" s="123"/>
      <c r="G47" s="124"/>
      <c r="H47" s="123"/>
      <c r="I47" s="255"/>
      <c r="J47" s="255"/>
      <c r="K47" s="255"/>
      <c r="L47" s="255"/>
      <c r="M47" s="125"/>
      <c r="N47" s="124"/>
      <c r="O47" s="124"/>
      <c r="P47" s="125"/>
      <c r="Q47" s="125"/>
      <c r="R47" s="125"/>
      <c r="S47" s="124"/>
      <c r="T47" s="124"/>
      <c r="U47" s="124"/>
      <c r="V47" s="124"/>
      <c r="W47" s="124"/>
      <c r="X47" s="126"/>
      <c r="Y47" s="126"/>
      <c r="Z47" s="124"/>
      <c r="AA47" s="127"/>
    </row>
    <row r="48" spans="1:27" s="136" customFormat="1" x14ac:dyDescent="0.2">
      <c r="A48" s="494"/>
      <c r="B48" s="123"/>
      <c r="C48" s="123"/>
      <c r="D48" s="123"/>
      <c r="E48" s="123"/>
      <c r="F48" s="123"/>
      <c r="G48" s="124"/>
      <c r="H48" s="123"/>
      <c r="I48" s="255"/>
      <c r="J48" s="255"/>
      <c r="K48" s="255"/>
      <c r="L48" s="255"/>
      <c r="M48" s="125"/>
      <c r="N48" s="124"/>
      <c r="O48" s="124"/>
      <c r="P48" s="125"/>
      <c r="Q48" s="125"/>
      <c r="R48" s="125"/>
      <c r="S48" s="124"/>
      <c r="T48" s="124"/>
      <c r="U48" s="124"/>
      <c r="V48" s="124"/>
      <c r="W48" s="124"/>
      <c r="X48" s="126"/>
      <c r="Y48" s="126"/>
      <c r="Z48" s="124"/>
      <c r="AA48" s="127"/>
    </row>
    <row r="49" spans="1:29" s="136" customFormat="1" x14ac:dyDescent="0.2">
      <c r="A49" s="494"/>
      <c r="B49" s="123"/>
      <c r="C49" s="123"/>
      <c r="D49" s="123"/>
      <c r="E49" s="123"/>
      <c r="F49" s="123"/>
      <c r="G49" s="124"/>
      <c r="H49" s="123"/>
      <c r="I49" s="255"/>
      <c r="J49" s="255"/>
      <c r="K49" s="255"/>
      <c r="L49" s="255"/>
      <c r="M49" s="125"/>
      <c r="N49" s="124"/>
      <c r="O49" s="124"/>
      <c r="P49" s="125"/>
      <c r="Q49" s="125"/>
      <c r="R49" s="125"/>
      <c r="S49" s="124"/>
      <c r="T49" s="124"/>
      <c r="U49" s="124"/>
      <c r="V49" s="124"/>
      <c r="W49" s="124"/>
      <c r="X49" s="126"/>
      <c r="Y49" s="126"/>
      <c r="Z49" s="124"/>
      <c r="AA49" s="127"/>
    </row>
    <row r="50" spans="1:29" s="136" customFormat="1" x14ac:dyDescent="0.2">
      <c r="A50" s="566"/>
      <c r="B50" s="309"/>
      <c r="C50" s="309"/>
      <c r="D50" s="309"/>
      <c r="E50" s="309"/>
      <c r="F50" s="309"/>
      <c r="G50" s="310"/>
      <c r="H50" s="309"/>
      <c r="I50" s="297"/>
      <c r="J50" s="297"/>
      <c r="K50" s="297"/>
      <c r="L50" s="297"/>
      <c r="M50" s="299"/>
      <c r="N50" s="310"/>
      <c r="O50" s="310"/>
      <c r="P50" s="299"/>
      <c r="Q50" s="299"/>
      <c r="R50" s="299"/>
      <c r="S50" s="310"/>
      <c r="T50" s="310"/>
      <c r="U50" s="310"/>
      <c r="V50" s="310"/>
      <c r="W50" s="310"/>
      <c r="X50" s="311"/>
      <c r="Y50" s="311"/>
      <c r="Z50" s="310"/>
      <c r="AA50" s="312"/>
    </row>
    <row r="51" spans="1:29" s="136" customFormat="1" ht="16.5" thickBot="1" x14ac:dyDescent="0.25">
      <c r="A51" s="495"/>
      <c r="B51" s="128"/>
      <c r="C51" s="128"/>
      <c r="D51" s="128"/>
      <c r="E51" s="128"/>
      <c r="F51" s="128"/>
      <c r="G51" s="129"/>
      <c r="H51" s="128"/>
      <c r="I51" s="256"/>
      <c r="J51" s="256"/>
      <c r="K51" s="256"/>
      <c r="L51" s="256"/>
      <c r="M51" s="129"/>
      <c r="N51" s="129"/>
      <c r="O51" s="129"/>
      <c r="P51" s="130"/>
      <c r="Q51" s="130"/>
      <c r="R51" s="130"/>
      <c r="S51" s="129"/>
      <c r="T51" s="129"/>
      <c r="U51" s="129"/>
      <c r="V51" s="129"/>
      <c r="W51" s="129"/>
      <c r="X51" s="131"/>
      <c r="Y51" s="131"/>
      <c r="Z51" s="129"/>
      <c r="AA51" s="132"/>
    </row>
    <row r="52" spans="1:29" s="73" customFormat="1" x14ac:dyDescent="0.2">
      <c r="A52" s="133"/>
      <c r="B52" s="133"/>
      <c r="C52" s="133"/>
      <c r="D52" s="133"/>
      <c r="E52" s="133"/>
      <c r="F52" s="133"/>
      <c r="G52" s="118"/>
      <c r="H52" s="118"/>
      <c r="I52" s="118"/>
      <c r="J52" s="118"/>
      <c r="K52" s="118"/>
      <c r="L52" s="118"/>
      <c r="M52" s="134"/>
      <c r="N52" s="118"/>
      <c r="O52" s="159"/>
      <c r="P52" s="159"/>
      <c r="Q52" s="159"/>
      <c r="R52" s="159"/>
      <c r="S52" s="159"/>
      <c r="T52" s="159"/>
      <c r="U52" s="159"/>
      <c r="V52" s="159"/>
      <c r="W52" s="466"/>
    </row>
    <row r="53" spans="1:29" s="73" customFormat="1" ht="16.5" thickBot="1" x14ac:dyDescent="0.25">
      <c r="A53" s="133"/>
      <c r="B53" s="133"/>
      <c r="C53" s="133"/>
      <c r="D53" s="133"/>
      <c r="E53" s="133"/>
      <c r="F53" s="133"/>
      <c r="G53" s="118"/>
      <c r="H53" s="118"/>
      <c r="I53" s="118"/>
      <c r="J53" s="118"/>
      <c r="K53" s="118"/>
      <c r="N53" s="118"/>
      <c r="O53" s="159"/>
      <c r="P53" s="159"/>
      <c r="Q53" s="159"/>
      <c r="R53" s="159"/>
      <c r="S53" s="159"/>
      <c r="T53" s="159"/>
      <c r="U53" s="159"/>
      <c r="V53" s="159"/>
      <c r="W53" s="467"/>
    </row>
    <row r="54" spans="1:29" s="73" customFormat="1" ht="16.5" thickBot="1" x14ac:dyDescent="0.25">
      <c r="A54" s="496" t="s">
        <v>25</v>
      </c>
      <c r="B54" s="133"/>
      <c r="C54" s="133"/>
      <c r="D54" s="133"/>
      <c r="E54" s="133"/>
      <c r="F54" s="133"/>
      <c r="G54" s="118"/>
      <c r="H54" s="118"/>
      <c r="I54" s="118"/>
      <c r="J54" s="118"/>
      <c r="K54" s="118"/>
      <c r="M54" s="118"/>
      <c r="N54" s="118"/>
      <c r="O54" s="159"/>
      <c r="P54" s="136"/>
      <c r="Q54" s="136"/>
      <c r="R54" s="136"/>
      <c r="S54" s="466"/>
      <c r="T54" s="466"/>
      <c r="U54" s="466"/>
      <c r="V54" s="466"/>
      <c r="W54" s="159"/>
    </row>
    <row r="55" spans="1:29" s="73" customFormat="1" ht="15.75" customHeight="1" x14ac:dyDescent="0.2">
      <c r="A55" s="875" t="s">
        <v>627</v>
      </c>
      <c r="B55" s="868" t="s">
        <v>628</v>
      </c>
      <c r="C55" s="868" t="s">
        <v>11</v>
      </c>
      <c r="D55" s="868" t="s">
        <v>12</v>
      </c>
      <c r="E55" s="868" t="s">
        <v>13</v>
      </c>
      <c r="F55" s="868" t="s">
        <v>14</v>
      </c>
      <c r="G55" s="868" t="s">
        <v>15</v>
      </c>
      <c r="H55" s="868" t="s">
        <v>16</v>
      </c>
      <c r="I55" s="868" t="s">
        <v>26</v>
      </c>
      <c r="J55" s="868" t="s">
        <v>27</v>
      </c>
      <c r="K55" s="945" t="s">
        <v>295</v>
      </c>
      <c r="L55" s="497" t="s">
        <v>63</v>
      </c>
      <c r="M55" s="498" t="s">
        <v>64</v>
      </c>
      <c r="N55" s="499" t="s">
        <v>65</v>
      </c>
      <c r="O55" s="490"/>
      <c r="P55" s="490"/>
      <c r="Q55" s="490"/>
      <c r="R55" s="490"/>
      <c r="S55" s="490"/>
      <c r="T55" s="490"/>
      <c r="U55" s="490"/>
      <c r="V55" s="490"/>
      <c r="W55" s="490"/>
      <c r="X55" s="868" t="s">
        <v>22</v>
      </c>
      <c r="Y55" s="868" t="s">
        <v>23</v>
      </c>
      <c r="Z55" s="868" t="s">
        <v>24</v>
      </c>
      <c r="AA55" s="922" t="s">
        <v>352</v>
      </c>
    </row>
    <row r="56" spans="1:29" s="73" customFormat="1" ht="31.7" customHeight="1" thickBot="1" x14ac:dyDescent="0.25">
      <c r="A56" s="876"/>
      <c r="B56" s="869"/>
      <c r="C56" s="869"/>
      <c r="D56" s="869"/>
      <c r="E56" s="869"/>
      <c r="F56" s="869"/>
      <c r="G56" s="872"/>
      <c r="H56" s="869"/>
      <c r="I56" s="869"/>
      <c r="J56" s="869"/>
      <c r="K56" s="946"/>
      <c r="L56" s="500" t="s">
        <v>66</v>
      </c>
      <c r="M56" s="501" t="s">
        <v>67</v>
      </c>
      <c r="N56" s="502" t="s">
        <v>68</v>
      </c>
      <c r="O56" s="503"/>
      <c r="P56" s="492"/>
      <c r="Q56" s="492"/>
      <c r="R56" s="492"/>
      <c r="S56" s="492"/>
      <c r="T56" s="492"/>
      <c r="U56" s="492"/>
      <c r="V56" s="492"/>
      <c r="W56" s="492"/>
      <c r="X56" s="869"/>
      <c r="Y56" s="869"/>
      <c r="Z56" s="869"/>
      <c r="AA56" s="923"/>
    </row>
    <row r="57" spans="1:29" s="136" customFormat="1" x14ac:dyDescent="0.2">
      <c r="A57" s="493"/>
      <c r="B57" s="225"/>
      <c r="C57" s="225"/>
      <c r="D57" s="225"/>
      <c r="E57" s="225"/>
      <c r="F57" s="225"/>
      <c r="G57" s="120"/>
      <c r="H57" s="225"/>
      <c r="I57" s="263"/>
      <c r="J57" s="263"/>
      <c r="K57" s="265"/>
      <c r="L57" s="268"/>
      <c r="M57" s="120"/>
      <c r="N57" s="121"/>
      <c r="O57" s="269"/>
      <c r="P57" s="226"/>
      <c r="Q57" s="226"/>
      <c r="R57" s="226"/>
      <c r="S57" s="120"/>
      <c r="T57" s="120"/>
      <c r="U57" s="120"/>
      <c r="V57" s="120"/>
      <c r="W57" s="120"/>
      <c r="X57" s="227"/>
      <c r="Y57" s="227"/>
      <c r="Z57" s="120"/>
      <c r="AA57" s="121"/>
    </row>
    <row r="58" spans="1:29" s="136" customFormat="1" x14ac:dyDescent="0.2">
      <c r="A58" s="494"/>
      <c r="B58" s="123"/>
      <c r="C58" s="123"/>
      <c r="D58" s="123"/>
      <c r="E58" s="123"/>
      <c r="F58" s="123"/>
      <c r="G58" s="124"/>
      <c r="H58" s="123"/>
      <c r="I58" s="255"/>
      <c r="J58" s="255"/>
      <c r="K58" s="266"/>
      <c r="L58" s="259"/>
      <c r="M58" s="124"/>
      <c r="N58" s="127"/>
      <c r="O58" s="248"/>
      <c r="P58" s="125"/>
      <c r="Q58" s="125"/>
      <c r="R58" s="125"/>
      <c r="S58" s="124"/>
      <c r="T58" s="124"/>
      <c r="U58" s="124"/>
      <c r="V58" s="124"/>
      <c r="W58" s="124"/>
      <c r="X58" s="126"/>
      <c r="Y58" s="126"/>
      <c r="Z58" s="124"/>
      <c r="AA58" s="127"/>
    </row>
    <row r="59" spans="1:29" s="136" customFormat="1" x14ac:dyDescent="0.2">
      <c r="A59" s="494"/>
      <c r="B59" s="123"/>
      <c r="C59" s="123"/>
      <c r="D59" s="123"/>
      <c r="E59" s="123"/>
      <c r="F59" s="123"/>
      <c r="G59" s="124"/>
      <c r="H59" s="123"/>
      <c r="I59" s="255"/>
      <c r="J59" s="255"/>
      <c r="K59" s="266"/>
      <c r="L59" s="259"/>
      <c r="M59" s="124"/>
      <c r="N59" s="127"/>
      <c r="O59" s="248"/>
      <c r="P59" s="125"/>
      <c r="Q59" s="125"/>
      <c r="R59" s="125"/>
      <c r="S59" s="124"/>
      <c r="T59" s="124"/>
      <c r="U59" s="124"/>
      <c r="V59" s="124"/>
      <c r="W59" s="124"/>
      <c r="X59" s="126"/>
      <c r="Y59" s="126"/>
      <c r="Z59" s="124"/>
      <c r="AA59" s="127"/>
    </row>
    <row r="60" spans="1:29" s="136" customFormat="1" ht="16.5" thickBot="1" x14ac:dyDescent="0.25">
      <c r="A60" s="495"/>
      <c r="B60" s="128"/>
      <c r="C60" s="128"/>
      <c r="D60" s="128"/>
      <c r="E60" s="128"/>
      <c r="F60" s="128"/>
      <c r="G60" s="129"/>
      <c r="H60" s="128"/>
      <c r="I60" s="256"/>
      <c r="J60" s="256"/>
      <c r="K60" s="267"/>
      <c r="L60" s="137"/>
      <c r="M60" s="129"/>
      <c r="N60" s="132"/>
      <c r="O60" s="137"/>
      <c r="P60" s="129"/>
      <c r="Q60" s="129"/>
      <c r="R60" s="129"/>
      <c r="S60" s="129"/>
      <c r="T60" s="129"/>
      <c r="U60" s="129"/>
      <c r="V60" s="129"/>
      <c r="W60" s="129"/>
      <c r="X60" s="131"/>
      <c r="Y60" s="131"/>
      <c r="Z60" s="129"/>
      <c r="AA60" s="132"/>
    </row>
    <row r="61" spans="1:29" s="73" customFormat="1" x14ac:dyDescent="0.2">
      <c r="A61" s="133"/>
      <c r="B61" s="133"/>
      <c r="C61" s="133"/>
      <c r="D61" s="133"/>
      <c r="E61" s="133"/>
      <c r="F61" s="133"/>
      <c r="G61" s="118"/>
      <c r="H61" s="118"/>
      <c r="I61" s="118"/>
      <c r="J61" s="118"/>
      <c r="K61" s="118"/>
      <c r="L61" s="118"/>
      <c r="M61" s="118"/>
      <c r="N61" s="118"/>
      <c r="O61" s="160"/>
      <c r="P61" s="159"/>
      <c r="Q61" s="159"/>
      <c r="R61" s="159"/>
      <c r="S61" s="136"/>
      <c r="T61" s="136"/>
      <c r="U61" s="136"/>
      <c r="V61" s="136"/>
      <c r="W61" s="136"/>
      <c r="X61" s="118"/>
    </row>
    <row r="62" spans="1:29" s="73" customFormat="1" ht="16.5" thickBot="1" x14ac:dyDescent="0.25">
      <c r="A62" s="133"/>
      <c r="B62" s="133"/>
      <c r="C62" s="133"/>
      <c r="D62" s="133"/>
      <c r="E62" s="133"/>
      <c r="F62" s="133"/>
      <c r="G62" s="118"/>
      <c r="H62" s="118"/>
      <c r="I62" s="118"/>
      <c r="J62" s="118"/>
      <c r="K62" s="118"/>
      <c r="L62" s="118"/>
      <c r="M62" s="118"/>
      <c r="N62" s="118"/>
      <c r="O62" s="160"/>
      <c r="P62" s="159"/>
      <c r="Q62" s="159"/>
      <c r="R62" s="159"/>
      <c r="S62" s="136"/>
      <c r="T62" s="136"/>
      <c r="U62" s="136"/>
      <c r="V62" s="136"/>
      <c r="W62" s="136"/>
      <c r="X62" s="118"/>
    </row>
    <row r="63" spans="1:29" s="73" customFormat="1" ht="16.5" thickBot="1" x14ac:dyDescent="0.25">
      <c r="A63" s="822" t="s">
        <v>307</v>
      </c>
      <c r="B63" s="873"/>
      <c r="C63" s="873"/>
      <c r="D63" s="874"/>
      <c r="E63" s="133"/>
      <c r="F63" s="133"/>
      <c r="G63" s="118"/>
      <c r="H63" s="118"/>
      <c r="I63" s="118"/>
      <c r="J63" s="118"/>
      <c r="K63" s="118"/>
      <c r="L63" s="118"/>
      <c r="M63" s="118"/>
      <c r="N63" s="118"/>
      <c r="O63" s="136"/>
      <c r="P63" s="159"/>
      <c r="Q63" s="159"/>
      <c r="R63" s="159"/>
      <c r="S63" s="466"/>
      <c r="T63" s="466"/>
      <c r="U63" s="466"/>
      <c r="V63" s="466"/>
      <c r="W63" s="159"/>
      <c r="X63" s="118"/>
      <c r="Y63" s="118"/>
    </row>
    <row r="64" spans="1:29" s="73" customFormat="1" ht="15.75" customHeight="1" x14ac:dyDescent="0.2">
      <c r="A64" s="875" t="s">
        <v>627</v>
      </c>
      <c r="B64" s="868" t="s">
        <v>628</v>
      </c>
      <c r="C64" s="868" t="s">
        <v>11</v>
      </c>
      <c r="D64" s="868" t="s">
        <v>12</v>
      </c>
      <c r="E64" s="868" t="s">
        <v>13</v>
      </c>
      <c r="F64" s="868" t="s">
        <v>14</v>
      </c>
      <c r="G64" s="868" t="s">
        <v>15</v>
      </c>
      <c r="H64" s="868" t="s">
        <v>16</v>
      </c>
      <c r="I64" s="868">
        <v>20</v>
      </c>
      <c r="J64" s="868">
        <v>40</v>
      </c>
      <c r="K64" s="868" t="s">
        <v>19</v>
      </c>
      <c r="L64" s="922" t="s">
        <v>20</v>
      </c>
      <c r="M64" s="943" t="s">
        <v>28</v>
      </c>
      <c r="N64" s="504" t="s">
        <v>69</v>
      </c>
      <c r="O64" s="498" t="s">
        <v>64</v>
      </c>
      <c r="P64" s="499" t="s">
        <v>65</v>
      </c>
      <c r="Q64" s="490" t="s">
        <v>147</v>
      </c>
      <c r="R64" s="490" t="s">
        <v>71</v>
      </c>
      <c r="S64" s="490"/>
      <c r="T64" s="490"/>
      <c r="U64" s="490"/>
      <c r="V64" s="490"/>
      <c r="W64" s="490"/>
      <c r="X64" s="490"/>
      <c r="Y64" s="490"/>
      <c r="Z64" s="868" t="s">
        <v>22</v>
      </c>
      <c r="AA64" s="868" t="s">
        <v>23</v>
      </c>
      <c r="AB64" s="868" t="s">
        <v>24</v>
      </c>
      <c r="AC64" s="922" t="s">
        <v>352</v>
      </c>
    </row>
    <row r="65" spans="1:29" s="73" customFormat="1" ht="48" thickBot="1" x14ac:dyDescent="0.25">
      <c r="A65" s="876"/>
      <c r="B65" s="869"/>
      <c r="C65" s="869"/>
      <c r="D65" s="869"/>
      <c r="E65" s="869"/>
      <c r="F65" s="869"/>
      <c r="G65" s="872"/>
      <c r="H65" s="869"/>
      <c r="I65" s="869"/>
      <c r="J65" s="869"/>
      <c r="K65" s="869"/>
      <c r="L65" s="923"/>
      <c r="M65" s="944"/>
      <c r="N65" s="505" t="s">
        <v>70</v>
      </c>
      <c r="O65" s="501" t="s">
        <v>67</v>
      </c>
      <c r="P65" s="502" t="s">
        <v>68</v>
      </c>
      <c r="Q65" s="503" t="s">
        <v>84</v>
      </c>
      <c r="R65" s="492" t="s">
        <v>84</v>
      </c>
      <c r="S65" s="492"/>
      <c r="T65" s="492"/>
      <c r="U65" s="492"/>
      <c r="V65" s="492"/>
      <c r="W65" s="492"/>
      <c r="X65" s="492"/>
      <c r="Y65" s="492"/>
      <c r="Z65" s="924"/>
      <c r="AA65" s="924"/>
      <c r="AB65" s="924"/>
      <c r="AC65" s="923"/>
    </row>
    <row r="66" spans="1:29" s="136" customFormat="1" x14ac:dyDescent="0.2">
      <c r="A66" s="493"/>
      <c r="B66" s="225"/>
      <c r="C66" s="225"/>
      <c r="D66" s="225"/>
      <c r="E66" s="225"/>
      <c r="F66" s="225"/>
      <c r="G66" s="120"/>
      <c r="H66" s="225"/>
      <c r="I66" s="263"/>
      <c r="J66" s="263"/>
      <c r="K66" s="263"/>
      <c r="L66" s="265"/>
      <c r="M66" s="270"/>
      <c r="N66" s="268"/>
      <c r="O66" s="120"/>
      <c r="P66" s="121"/>
      <c r="Q66" s="269"/>
      <c r="R66" s="226"/>
      <c r="S66" s="226"/>
      <c r="T66" s="226"/>
      <c r="U66" s="226"/>
      <c r="V66" s="226"/>
      <c r="W66" s="120"/>
      <c r="X66" s="120"/>
      <c r="Y66" s="120"/>
      <c r="Z66" s="227"/>
      <c r="AA66" s="227"/>
      <c r="AB66" s="120"/>
      <c r="AC66" s="121"/>
    </row>
    <row r="67" spans="1:29" s="136" customFormat="1" x14ac:dyDescent="0.2">
      <c r="A67" s="494"/>
      <c r="B67" s="123"/>
      <c r="C67" s="123"/>
      <c r="D67" s="123"/>
      <c r="E67" s="123"/>
      <c r="F67" s="123"/>
      <c r="G67" s="124"/>
      <c r="H67" s="123"/>
      <c r="I67" s="255"/>
      <c r="J67" s="255"/>
      <c r="K67" s="255"/>
      <c r="L67" s="266"/>
      <c r="M67" s="271"/>
      <c r="N67" s="259"/>
      <c r="O67" s="124"/>
      <c r="P67" s="127"/>
      <c r="Q67" s="248"/>
      <c r="R67" s="125"/>
      <c r="S67" s="125"/>
      <c r="T67" s="125"/>
      <c r="U67" s="125"/>
      <c r="V67" s="125"/>
      <c r="W67" s="124"/>
      <c r="X67" s="124"/>
      <c r="Y67" s="124"/>
      <c r="Z67" s="126"/>
      <c r="AA67" s="126"/>
      <c r="AB67" s="124"/>
      <c r="AC67" s="127"/>
    </row>
    <row r="68" spans="1:29" s="136" customFormat="1" x14ac:dyDescent="0.2">
      <c r="A68" s="494"/>
      <c r="B68" s="123"/>
      <c r="C68" s="123"/>
      <c r="D68" s="123"/>
      <c r="E68" s="123"/>
      <c r="F68" s="123"/>
      <c r="G68" s="124"/>
      <c r="H68" s="123"/>
      <c r="I68" s="255"/>
      <c r="J68" s="255"/>
      <c r="K68" s="255"/>
      <c r="L68" s="266"/>
      <c r="M68" s="271"/>
      <c r="N68" s="259"/>
      <c r="O68" s="124"/>
      <c r="P68" s="127"/>
      <c r="Q68" s="248"/>
      <c r="R68" s="125"/>
      <c r="S68" s="125"/>
      <c r="T68" s="125"/>
      <c r="U68" s="125"/>
      <c r="V68" s="125"/>
      <c r="W68" s="124"/>
      <c r="X68" s="124"/>
      <c r="Y68" s="124"/>
      <c r="Z68" s="126"/>
      <c r="AA68" s="126"/>
      <c r="AB68" s="124"/>
      <c r="AC68" s="127"/>
    </row>
    <row r="69" spans="1:29" s="136" customFormat="1" ht="16.5" thickBot="1" x14ac:dyDescent="0.25">
      <c r="A69" s="495"/>
      <c r="B69" s="128"/>
      <c r="C69" s="128"/>
      <c r="D69" s="128"/>
      <c r="E69" s="128"/>
      <c r="F69" s="128"/>
      <c r="G69" s="129"/>
      <c r="H69" s="128"/>
      <c r="I69" s="256"/>
      <c r="J69" s="256"/>
      <c r="K69" s="256"/>
      <c r="L69" s="267"/>
      <c r="M69" s="161"/>
      <c r="N69" s="137"/>
      <c r="O69" s="129"/>
      <c r="P69" s="132"/>
      <c r="Q69" s="137"/>
      <c r="R69" s="129"/>
      <c r="S69" s="129"/>
      <c r="T69" s="129"/>
      <c r="U69" s="129"/>
      <c r="V69" s="129"/>
      <c r="W69" s="129"/>
      <c r="X69" s="129"/>
      <c r="Y69" s="129"/>
      <c r="Z69" s="131"/>
      <c r="AA69" s="131"/>
      <c r="AB69" s="129"/>
      <c r="AC69" s="132"/>
    </row>
    <row r="70" spans="1:29" s="73" customFormat="1" x14ac:dyDescent="0.2">
      <c r="A70" s="133"/>
      <c r="B70" s="133"/>
      <c r="C70" s="133"/>
      <c r="D70" s="133"/>
      <c r="E70" s="133"/>
      <c r="F70" s="133"/>
      <c r="G70" s="118"/>
      <c r="H70" s="118"/>
      <c r="I70" s="118"/>
      <c r="J70" s="118"/>
      <c r="K70" s="118"/>
      <c r="M70" s="118"/>
      <c r="V70" s="118"/>
      <c r="W70" s="118"/>
    </row>
    <row r="71" spans="1:29" s="73" customFormat="1" x14ac:dyDescent="0.2">
      <c r="A71" s="133"/>
      <c r="B71" s="133"/>
      <c r="C71" s="133"/>
      <c r="D71" s="133"/>
      <c r="E71" s="133"/>
      <c r="F71" s="118"/>
      <c r="G71" s="118"/>
      <c r="H71" s="118"/>
      <c r="I71" s="118"/>
      <c r="J71" s="118"/>
      <c r="K71" s="134"/>
      <c r="L71" s="118"/>
      <c r="M71" s="118"/>
      <c r="N71" s="118"/>
      <c r="S71" s="118"/>
      <c r="T71" s="118"/>
      <c r="U71" s="118"/>
    </row>
    <row r="72" spans="1:29" s="456" customFormat="1" ht="16.5" thickBot="1" x14ac:dyDescent="0.25">
      <c r="A72" s="133"/>
      <c r="B72" s="133"/>
      <c r="C72" s="133"/>
      <c r="D72" s="133"/>
      <c r="E72" s="118"/>
      <c r="F72" s="118"/>
      <c r="G72" s="118"/>
      <c r="H72" s="118"/>
      <c r="I72" s="118"/>
      <c r="J72" s="134"/>
      <c r="K72" s="134"/>
      <c r="L72" s="134"/>
      <c r="M72" s="134"/>
      <c r="R72" s="134"/>
    </row>
    <row r="73" spans="1:29" s="456" customFormat="1" ht="19.5" thickBot="1" x14ac:dyDescent="0.25">
      <c r="A73" s="938" t="s">
        <v>29</v>
      </c>
      <c r="B73" s="939"/>
      <c r="C73" s="940"/>
      <c r="D73" s="133"/>
      <c r="E73" s="133"/>
      <c r="F73" s="118"/>
      <c r="G73" s="118"/>
      <c r="H73" s="118"/>
      <c r="I73" s="118"/>
      <c r="J73" s="118"/>
      <c r="K73" s="134"/>
      <c r="L73" s="134"/>
      <c r="M73" s="134"/>
      <c r="N73" s="134"/>
      <c r="S73" s="134"/>
      <c r="T73" s="134"/>
      <c r="U73" s="134"/>
    </row>
    <row r="74" spans="1:29" s="456" customFormat="1" ht="16.5" thickBot="1" x14ac:dyDescent="0.25">
      <c r="A74" s="800" t="s">
        <v>625</v>
      </c>
      <c r="B74" s="801"/>
      <c r="C74" s="802"/>
      <c r="D74" s="133"/>
      <c r="E74" s="133"/>
      <c r="F74" s="133"/>
      <c r="G74" s="118"/>
      <c r="H74" s="118"/>
      <c r="I74" s="118"/>
      <c r="J74" s="118"/>
      <c r="K74" s="118"/>
      <c r="L74" s="134"/>
      <c r="N74" s="134"/>
      <c r="O74" s="134"/>
      <c r="V74" s="134"/>
    </row>
    <row r="75" spans="1:29" s="456" customFormat="1" x14ac:dyDescent="0.2">
      <c r="A75" s="506" t="s">
        <v>30</v>
      </c>
      <c r="B75" s="507"/>
      <c r="C75" s="508" t="s">
        <v>155</v>
      </c>
      <c r="D75" s="509"/>
      <c r="E75" s="509"/>
      <c r="F75" s="510"/>
      <c r="G75" s="510"/>
      <c r="H75" s="509"/>
      <c r="I75" s="510"/>
      <c r="J75" s="509"/>
      <c r="K75" s="143"/>
      <c r="L75" s="144"/>
      <c r="N75" s="134"/>
      <c r="O75" s="134"/>
      <c r="P75" s="134"/>
    </row>
    <row r="76" spans="1:29" s="456" customFormat="1" x14ac:dyDescent="0.2">
      <c r="A76" s="96" t="s">
        <v>626</v>
      </c>
      <c r="B76" s="511"/>
      <c r="C76" s="511"/>
      <c r="D76" s="512"/>
      <c r="E76" s="512"/>
      <c r="F76" s="215"/>
      <c r="G76" s="215"/>
      <c r="H76" s="512"/>
      <c r="I76" s="215"/>
      <c r="J76" s="512"/>
      <c r="K76" s="149"/>
      <c r="L76" s="150"/>
      <c r="N76" s="134"/>
      <c r="O76" s="134"/>
      <c r="P76" s="134"/>
    </row>
    <row r="77" spans="1:29" s="456" customFormat="1" x14ac:dyDescent="0.2">
      <c r="A77" s="96" t="s">
        <v>173</v>
      </c>
      <c r="B77" s="511"/>
      <c r="C77" s="511"/>
      <c r="D77" s="512"/>
      <c r="E77" s="512"/>
      <c r="F77" s="215"/>
      <c r="G77" s="215"/>
      <c r="H77" s="512"/>
      <c r="I77" s="215"/>
      <c r="J77" s="512"/>
      <c r="K77" s="149"/>
      <c r="L77" s="150"/>
      <c r="N77" s="134"/>
      <c r="O77" s="134"/>
      <c r="P77" s="134"/>
    </row>
    <row r="78" spans="1:29" s="456" customFormat="1" x14ac:dyDescent="0.2">
      <c r="A78" s="96" t="s">
        <v>987</v>
      </c>
      <c r="B78" s="511"/>
      <c r="C78" s="511"/>
      <c r="D78" s="512"/>
      <c r="E78" s="512"/>
      <c r="F78" s="215"/>
      <c r="G78" s="215"/>
      <c r="H78" s="512"/>
      <c r="I78" s="215"/>
      <c r="J78" s="512"/>
      <c r="K78" s="149"/>
      <c r="L78" s="150"/>
      <c r="N78" s="134"/>
      <c r="O78" s="134"/>
      <c r="P78" s="134"/>
    </row>
    <row r="79" spans="1:29" s="456" customFormat="1" ht="16.5" thickBot="1" x14ac:dyDescent="0.25">
      <c r="A79" s="110" t="s">
        <v>988</v>
      </c>
      <c r="B79" s="513"/>
      <c r="C79" s="513"/>
      <c r="D79" s="514"/>
      <c r="E79" s="514"/>
      <c r="F79" s="515"/>
      <c r="G79" s="515"/>
      <c r="H79" s="514"/>
      <c r="I79" s="515"/>
      <c r="J79" s="514"/>
      <c r="K79" s="154"/>
      <c r="L79" s="155"/>
      <c r="N79" s="134"/>
      <c r="O79" s="134"/>
      <c r="P79" s="134"/>
    </row>
    <row r="80" spans="1:29" s="456" customFormat="1" ht="16.5" thickBot="1" x14ac:dyDescent="0.25">
      <c r="A80" s="516"/>
      <c r="B80" s="517"/>
      <c r="C80" s="134"/>
      <c r="D80" s="133"/>
      <c r="E80" s="133"/>
      <c r="F80" s="133"/>
      <c r="G80" s="133"/>
      <c r="H80" s="118"/>
      <c r="I80" s="118"/>
      <c r="J80" s="118"/>
      <c r="K80" s="118"/>
      <c r="L80" s="118"/>
      <c r="M80" s="134"/>
      <c r="O80" s="134"/>
      <c r="P80" s="134"/>
      <c r="Q80" s="118"/>
    </row>
    <row r="81" spans="1:24" s="14" customFormat="1" ht="48" thickBot="1" x14ac:dyDescent="0.25">
      <c r="A81" s="518" t="s">
        <v>31</v>
      </c>
      <c r="B81" s="932" t="s">
        <v>628</v>
      </c>
      <c r="C81" s="933"/>
      <c r="D81" s="934"/>
      <c r="E81" s="519" t="s">
        <v>11</v>
      </c>
      <c r="F81" s="519" t="s">
        <v>14</v>
      </c>
      <c r="G81" s="519" t="s">
        <v>287</v>
      </c>
      <c r="H81" s="519" t="s">
        <v>32</v>
      </c>
      <c r="I81" s="519" t="s">
        <v>16</v>
      </c>
      <c r="J81" s="519" t="s">
        <v>17</v>
      </c>
      <c r="K81" s="519" t="s">
        <v>18</v>
      </c>
      <c r="L81" s="519" t="s">
        <v>19</v>
      </c>
      <c r="M81" s="519" t="s">
        <v>20</v>
      </c>
      <c r="N81" s="520" t="s">
        <v>123</v>
      </c>
      <c r="O81" s="519" t="s">
        <v>96</v>
      </c>
      <c r="P81" s="521" t="s">
        <v>809</v>
      </c>
    </row>
    <row r="82" spans="1:24" s="303" customFormat="1" x14ac:dyDescent="0.2">
      <c r="A82" s="269"/>
      <c r="B82" s="925"/>
      <c r="C82" s="926"/>
      <c r="D82" s="926"/>
      <c r="E82" s="226"/>
      <c r="F82" s="226"/>
      <c r="G82" s="226"/>
      <c r="H82" s="226"/>
      <c r="I82" s="226"/>
      <c r="J82" s="273"/>
      <c r="K82" s="263"/>
      <c r="L82" s="263"/>
      <c r="M82" s="306"/>
      <c r="N82" s="49"/>
      <c r="O82" s="226"/>
      <c r="P82" s="274"/>
      <c r="Q82" s="159"/>
      <c r="R82" s="159"/>
      <c r="S82" s="159"/>
      <c r="T82" s="159"/>
      <c r="U82" s="159"/>
      <c r="V82" s="160"/>
      <c r="W82" s="160"/>
      <c r="X82" s="160"/>
    </row>
    <row r="83" spans="1:24" s="303" customFormat="1" x14ac:dyDescent="0.2">
      <c r="A83" s="248"/>
      <c r="B83" s="927"/>
      <c r="C83" s="928"/>
      <c r="D83" s="928"/>
      <c r="E83" s="125"/>
      <c r="F83" s="125"/>
      <c r="G83" s="125"/>
      <c r="H83" s="125"/>
      <c r="I83" s="125"/>
      <c r="J83" s="275"/>
      <c r="K83" s="255"/>
      <c r="L83" s="255"/>
      <c r="M83" s="307"/>
      <c r="N83" s="21"/>
      <c r="O83" s="125"/>
      <c r="P83" s="276"/>
      <c r="Q83" s="159"/>
      <c r="R83" s="159"/>
      <c r="S83" s="159"/>
      <c r="T83" s="159"/>
      <c r="U83" s="159"/>
      <c r="V83" s="160"/>
      <c r="W83" s="160"/>
      <c r="X83" s="160"/>
    </row>
    <row r="84" spans="1:24" s="303" customFormat="1" x14ac:dyDescent="0.2">
      <c r="A84" s="248"/>
      <c r="B84" s="927"/>
      <c r="C84" s="928"/>
      <c r="D84" s="928"/>
      <c r="E84" s="125"/>
      <c r="F84" s="125"/>
      <c r="G84" s="125"/>
      <c r="H84" s="125"/>
      <c r="I84" s="125"/>
      <c r="J84" s="275"/>
      <c r="K84" s="255"/>
      <c r="L84" s="255"/>
      <c r="M84" s="307"/>
      <c r="N84" s="21"/>
      <c r="O84" s="125"/>
      <c r="P84" s="276"/>
      <c r="Q84" s="159"/>
      <c r="R84" s="159"/>
      <c r="S84" s="159"/>
      <c r="T84" s="159"/>
      <c r="U84" s="159"/>
      <c r="V84" s="160"/>
      <c r="W84" s="160"/>
      <c r="X84" s="160"/>
    </row>
    <row r="85" spans="1:24" s="303" customFormat="1" ht="16.5" thickBot="1" x14ac:dyDescent="0.25">
      <c r="A85" s="304"/>
      <c r="B85" s="912"/>
      <c r="C85" s="913"/>
      <c r="D85" s="913"/>
      <c r="E85" s="130"/>
      <c r="F85" s="130"/>
      <c r="G85" s="130"/>
      <c r="H85" s="130"/>
      <c r="I85" s="130"/>
      <c r="J85" s="258"/>
      <c r="K85" s="256"/>
      <c r="L85" s="256"/>
      <c r="M85" s="305"/>
      <c r="N85" s="29"/>
      <c r="O85" s="129"/>
      <c r="P85" s="132"/>
      <c r="Q85" s="159"/>
      <c r="R85" s="159"/>
      <c r="S85" s="159"/>
      <c r="T85" s="159"/>
      <c r="U85" s="159"/>
      <c r="V85" s="160"/>
      <c r="W85" s="160"/>
      <c r="X85" s="160"/>
    </row>
    <row r="86" spans="1:24" s="456" customFormat="1" x14ac:dyDescent="0.2">
      <c r="A86" s="134"/>
      <c r="B86" s="134"/>
      <c r="C86" s="522"/>
      <c r="D86" s="522"/>
      <c r="E86" s="134"/>
      <c r="F86" s="134"/>
      <c r="G86" s="134"/>
      <c r="H86" s="134"/>
      <c r="I86" s="134"/>
      <c r="J86" s="134"/>
      <c r="K86" s="134"/>
      <c r="L86" s="134"/>
      <c r="M86" s="134"/>
      <c r="O86" s="118"/>
      <c r="P86" s="118"/>
      <c r="Q86" s="118"/>
      <c r="R86" s="118"/>
      <c r="S86" s="118"/>
      <c r="T86" s="118"/>
      <c r="U86" s="118"/>
      <c r="V86" s="134"/>
      <c r="W86" s="134"/>
      <c r="X86" s="134"/>
    </row>
    <row r="87" spans="1:24" s="456" customFormat="1" ht="16.5" thickBot="1" x14ac:dyDescent="0.25">
      <c r="A87" s="133"/>
      <c r="B87" s="133"/>
      <c r="C87" s="133"/>
      <c r="D87" s="133"/>
      <c r="E87" s="133"/>
      <c r="F87" s="133"/>
      <c r="G87" s="133"/>
      <c r="H87" s="133"/>
      <c r="I87" s="118"/>
      <c r="J87" s="118"/>
      <c r="K87" s="118"/>
      <c r="L87" s="118"/>
      <c r="M87" s="118"/>
      <c r="N87" s="134"/>
      <c r="O87" s="134"/>
      <c r="P87" s="134"/>
      <c r="Q87" s="134"/>
      <c r="R87" s="134"/>
      <c r="S87" s="134"/>
      <c r="T87" s="134"/>
      <c r="U87" s="134"/>
      <c r="V87" s="134"/>
      <c r="W87" s="118"/>
    </row>
    <row r="88" spans="1:24" s="456" customFormat="1" ht="19.5" thickBot="1" x14ac:dyDescent="0.25">
      <c r="A88" s="938" t="s">
        <v>34</v>
      </c>
      <c r="B88" s="939"/>
      <c r="C88" s="940"/>
      <c r="D88" s="523"/>
      <c r="E88" s="133"/>
      <c r="F88" s="133"/>
      <c r="G88" s="133"/>
      <c r="H88" s="133"/>
      <c r="I88" s="118"/>
      <c r="J88" s="118"/>
      <c r="K88" s="118"/>
      <c r="L88" s="118"/>
      <c r="M88" s="118"/>
      <c r="N88" s="134"/>
      <c r="O88" s="134"/>
      <c r="P88" s="134"/>
      <c r="Q88" s="134"/>
      <c r="R88" s="134"/>
      <c r="S88" s="134"/>
      <c r="T88" s="134"/>
      <c r="U88" s="134"/>
      <c r="V88" s="134"/>
      <c r="W88" s="118"/>
    </row>
    <row r="89" spans="1:24" s="456" customFormat="1" ht="16.5" thickBot="1" x14ac:dyDescent="0.25">
      <c r="A89" s="800" t="s">
        <v>625</v>
      </c>
      <c r="B89" s="801"/>
      <c r="C89" s="802"/>
      <c r="D89" s="200"/>
      <c r="E89" s="200"/>
      <c r="F89" s="200"/>
      <c r="G89" s="200"/>
      <c r="H89" s="194"/>
      <c r="I89" s="194"/>
      <c r="J89" s="200"/>
      <c r="K89" s="194"/>
      <c r="L89" s="200"/>
      <c r="M89" s="118"/>
      <c r="N89" s="134"/>
      <c r="O89" s="134"/>
      <c r="P89" s="134"/>
      <c r="Q89" s="134"/>
      <c r="R89" s="134"/>
      <c r="S89" s="134"/>
      <c r="T89" s="134"/>
      <c r="U89" s="134"/>
      <c r="V89" s="134"/>
      <c r="W89" s="118"/>
    </row>
    <row r="90" spans="1:24" s="456" customFormat="1" x14ac:dyDescent="0.2">
      <c r="A90" s="506" t="s">
        <v>30</v>
      </c>
      <c r="B90" s="470"/>
      <c r="C90" s="508" t="s">
        <v>155</v>
      </c>
      <c r="D90" s="508"/>
      <c r="E90" s="509"/>
      <c r="F90" s="509"/>
      <c r="G90" s="509"/>
      <c r="H90" s="510"/>
      <c r="I90" s="510"/>
      <c r="J90" s="509"/>
      <c r="K90" s="510"/>
      <c r="L90" s="524"/>
      <c r="M90" s="118"/>
      <c r="N90" s="134"/>
      <c r="O90" s="134"/>
      <c r="P90" s="134"/>
      <c r="Q90" s="134"/>
      <c r="R90" s="134"/>
      <c r="S90" s="134"/>
      <c r="T90" s="134"/>
      <c r="U90" s="134"/>
      <c r="V90" s="134"/>
      <c r="W90" s="118"/>
    </row>
    <row r="91" spans="1:24" s="456" customFormat="1" x14ac:dyDescent="0.2">
      <c r="A91" s="96" t="s">
        <v>35</v>
      </c>
      <c r="B91" s="512"/>
      <c r="C91" s="512"/>
      <c r="D91" s="512"/>
      <c r="E91" s="512"/>
      <c r="F91" s="512"/>
      <c r="G91" s="512"/>
      <c r="H91" s="215"/>
      <c r="I91" s="215"/>
      <c r="J91" s="512"/>
      <c r="K91" s="215"/>
      <c r="L91" s="525"/>
      <c r="M91" s="118"/>
      <c r="N91" s="134"/>
      <c r="O91" s="134"/>
      <c r="P91" s="134"/>
      <c r="Q91" s="134"/>
      <c r="R91" s="134"/>
      <c r="S91" s="134"/>
      <c r="T91" s="134"/>
      <c r="U91" s="134"/>
      <c r="V91" s="134"/>
      <c r="W91" s="118"/>
    </row>
    <row r="92" spans="1:24" s="456" customFormat="1" x14ac:dyDescent="0.2">
      <c r="A92" s="96" t="s">
        <v>174</v>
      </c>
      <c r="B92" s="512"/>
      <c r="C92" s="512"/>
      <c r="D92" s="512"/>
      <c r="E92" s="512"/>
      <c r="F92" s="512"/>
      <c r="G92" s="512"/>
      <c r="H92" s="215"/>
      <c r="I92" s="215"/>
      <c r="J92" s="512"/>
      <c r="K92" s="215"/>
      <c r="L92" s="525"/>
      <c r="M92" s="118"/>
      <c r="N92" s="134"/>
      <c r="O92" s="134"/>
      <c r="P92" s="134"/>
      <c r="Q92" s="134"/>
      <c r="R92" s="134"/>
      <c r="S92" s="134"/>
      <c r="T92" s="134"/>
      <c r="U92" s="134"/>
      <c r="V92" s="134"/>
      <c r="W92" s="118"/>
    </row>
    <row r="93" spans="1:24" s="456" customFormat="1" x14ac:dyDescent="0.2">
      <c r="A93" s="96" t="s">
        <v>987</v>
      </c>
      <c r="B93" s="512"/>
      <c r="C93" s="512"/>
      <c r="D93" s="512"/>
      <c r="E93" s="512"/>
      <c r="F93" s="512"/>
      <c r="G93" s="512"/>
      <c r="H93" s="215"/>
      <c r="I93" s="215"/>
      <c r="J93" s="512"/>
      <c r="K93" s="215"/>
      <c r="L93" s="525"/>
      <c r="M93" s="118"/>
      <c r="N93" s="134"/>
      <c r="O93" s="134"/>
      <c r="P93" s="134"/>
      <c r="Q93" s="134"/>
      <c r="R93" s="134"/>
      <c r="S93" s="134"/>
      <c r="T93" s="134"/>
      <c r="U93" s="134"/>
      <c r="V93" s="134"/>
      <c r="W93" s="118"/>
    </row>
    <row r="94" spans="1:24" s="456" customFormat="1" ht="16.5" thickBot="1" x14ac:dyDescent="0.25">
      <c r="A94" s="110" t="s">
        <v>988</v>
      </c>
      <c r="B94" s="514"/>
      <c r="C94" s="514"/>
      <c r="D94" s="514"/>
      <c r="E94" s="514"/>
      <c r="F94" s="514"/>
      <c r="G94" s="514"/>
      <c r="H94" s="515"/>
      <c r="I94" s="515"/>
      <c r="J94" s="514"/>
      <c r="K94" s="515"/>
      <c r="L94" s="526"/>
      <c r="M94" s="118"/>
      <c r="N94" s="134"/>
      <c r="O94" s="134"/>
      <c r="P94" s="134"/>
      <c r="Q94" s="134"/>
      <c r="R94" s="134"/>
      <c r="S94" s="134"/>
      <c r="T94" s="134"/>
      <c r="U94" s="134"/>
      <c r="V94" s="134"/>
      <c r="W94" s="118"/>
    </row>
    <row r="95" spans="1:24" s="456" customFormat="1" ht="16.5" thickBot="1" x14ac:dyDescent="0.25">
      <c r="A95" s="527"/>
      <c r="E95" s="200"/>
      <c r="F95" s="200"/>
      <c r="G95" s="200"/>
      <c r="H95" s="194"/>
      <c r="I95" s="517"/>
      <c r="J95" s="200"/>
      <c r="K95" s="194"/>
      <c r="L95" s="200"/>
      <c r="M95" s="118"/>
      <c r="N95" s="134"/>
      <c r="O95" s="134"/>
      <c r="P95" s="134"/>
      <c r="Q95" s="134"/>
      <c r="R95" s="118"/>
      <c r="V95" s="528"/>
      <c r="W95" s="528"/>
    </row>
    <row r="96" spans="1:24" s="14" customFormat="1" ht="32.25" thickBot="1" x14ac:dyDescent="0.25">
      <c r="A96" s="518" t="s">
        <v>31</v>
      </c>
      <c r="B96" s="932" t="s">
        <v>13</v>
      </c>
      <c r="C96" s="933"/>
      <c r="D96" s="934"/>
      <c r="E96" s="519" t="s">
        <v>12</v>
      </c>
      <c r="F96" s="519" t="s">
        <v>14</v>
      </c>
      <c r="G96" s="519" t="s">
        <v>276</v>
      </c>
      <c r="H96" s="519" t="s">
        <v>32</v>
      </c>
      <c r="I96" s="519" t="s">
        <v>16</v>
      </c>
      <c r="J96" s="519" t="s">
        <v>17</v>
      </c>
      <c r="K96" s="519" t="s">
        <v>18</v>
      </c>
      <c r="L96" s="519" t="s">
        <v>19</v>
      </c>
      <c r="M96" s="519" t="s">
        <v>20</v>
      </c>
      <c r="N96" s="520" t="s">
        <v>123</v>
      </c>
      <c r="O96" s="519" t="s">
        <v>94</v>
      </c>
      <c r="P96" s="521" t="s">
        <v>807</v>
      </c>
      <c r="W96" s="13"/>
    </row>
    <row r="97" spans="1:23" s="303" customFormat="1" x14ac:dyDescent="0.2">
      <c r="A97" s="269"/>
      <c r="B97" s="925"/>
      <c r="C97" s="926"/>
      <c r="D97" s="926"/>
      <c r="E97" s="226"/>
      <c r="F97" s="226"/>
      <c r="G97" s="226"/>
      <c r="H97" s="226"/>
      <c r="I97" s="226"/>
      <c r="J97" s="263"/>
      <c r="K97" s="263"/>
      <c r="L97" s="263"/>
      <c r="M97" s="263"/>
      <c r="N97" s="49"/>
      <c r="O97" s="226"/>
      <c r="P97" s="274"/>
      <c r="Q97" s="160"/>
      <c r="R97" s="160"/>
      <c r="S97" s="160"/>
      <c r="T97" s="160"/>
      <c r="U97" s="160"/>
      <c r="V97" s="160"/>
      <c r="W97" s="159"/>
    </row>
    <row r="98" spans="1:23" s="303" customFormat="1" x14ac:dyDescent="0.2">
      <c r="A98" s="248"/>
      <c r="B98" s="927"/>
      <c r="C98" s="928"/>
      <c r="D98" s="928"/>
      <c r="E98" s="125"/>
      <c r="F98" s="125"/>
      <c r="G98" s="125"/>
      <c r="H98" s="125"/>
      <c r="I98" s="125"/>
      <c r="J98" s="255"/>
      <c r="K98" s="255"/>
      <c r="L98" s="255"/>
      <c r="M98" s="255"/>
      <c r="N98" s="21"/>
      <c r="O98" s="125"/>
      <c r="P98" s="276"/>
      <c r="Q98" s="160"/>
      <c r="R98" s="160"/>
      <c r="S98" s="160"/>
      <c r="T98" s="160"/>
      <c r="U98" s="160"/>
      <c r="V98" s="160"/>
      <c r="W98" s="159"/>
    </row>
    <row r="99" spans="1:23" s="303" customFormat="1" x14ac:dyDescent="0.2">
      <c r="A99" s="248"/>
      <c r="B99" s="927"/>
      <c r="C99" s="928"/>
      <c r="D99" s="928"/>
      <c r="E99" s="125"/>
      <c r="F99" s="125"/>
      <c r="G99" s="125"/>
      <c r="H99" s="125"/>
      <c r="I99" s="125"/>
      <c r="J99" s="255"/>
      <c r="K99" s="255"/>
      <c r="L99" s="255"/>
      <c r="M99" s="255"/>
      <c r="N99" s="21"/>
      <c r="O99" s="125"/>
      <c r="P99" s="276"/>
      <c r="Q99" s="160"/>
      <c r="R99" s="160"/>
      <c r="S99" s="160"/>
      <c r="T99" s="160"/>
      <c r="U99" s="160"/>
      <c r="V99" s="160"/>
      <c r="W99" s="159"/>
    </row>
    <row r="100" spans="1:23" s="303" customFormat="1" ht="16.5" thickBot="1" x14ac:dyDescent="0.25">
      <c r="A100" s="304"/>
      <c r="B100" s="912"/>
      <c r="C100" s="913"/>
      <c r="D100" s="913"/>
      <c r="E100" s="130"/>
      <c r="F100" s="130"/>
      <c r="G100" s="130"/>
      <c r="H100" s="130"/>
      <c r="I100" s="130"/>
      <c r="J100" s="256"/>
      <c r="K100" s="256"/>
      <c r="L100" s="256"/>
      <c r="M100" s="256"/>
      <c r="N100" s="29"/>
      <c r="O100" s="129"/>
      <c r="P100" s="132"/>
      <c r="Q100" s="160"/>
      <c r="R100" s="160"/>
      <c r="S100" s="160"/>
      <c r="T100" s="160"/>
      <c r="U100" s="160"/>
      <c r="V100" s="160"/>
      <c r="W100" s="159"/>
    </row>
    <row r="101" spans="1:23" s="456" customFormat="1" ht="16.5" thickBot="1" x14ac:dyDescent="0.25">
      <c r="A101" s="133"/>
      <c r="B101" s="133"/>
      <c r="C101" s="133"/>
      <c r="D101" s="133"/>
      <c r="E101" s="133"/>
      <c r="F101" s="133"/>
      <c r="G101" s="133"/>
      <c r="H101" s="118"/>
      <c r="I101" s="118"/>
      <c r="J101" s="118"/>
      <c r="K101" s="118"/>
      <c r="L101" s="118"/>
      <c r="M101" s="134"/>
      <c r="N101" s="134"/>
      <c r="O101" s="134"/>
      <c r="P101" s="134"/>
      <c r="Q101" s="134"/>
      <c r="R101" s="134"/>
      <c r="S101" s="134"/>
      <c r="T101" s="134"/>
      <c r="U101" s="134"/>
      <c r="V101" s="118"/>
    </row>
    <row r="102" spans="1:23" s="73" customFormat="1" ht="16.5" thickBot="1" x14ac:dyDescent="0.25">
      <c r="A102" s="822" t="s">
        <v>36</v>
      </c>
      <c r="B102" s="823"/>
      <c r="C102" s="823"/>
      <c r="D102" s="823"/>
      <c r="E102" s="823"/>
      <c r="F102" s="823"/>
      <c r="G102" s="823"/>
      <c r="H102" s="823"/>
      <c r="I102" s="824"/>
      <c r="J102" s="169"/>
      <c r="K102" s="118"/>
      <c r="L102" s="134"/>
      <c r="M102" s="134"/>
      <c r="N102" s="134"/>
      <c r="O102" s="134"/>
      <c r="P102" s="134"/>
      <c r="Q102" s="134"/>
      <c r="R102" s="134"/>
      <c r="S102" s="118"/>
      <c r="T102" s="118"/>
      <c r="U102" s="118"/>
    </row>
    <row r="103" spans="1:23" s="73" customFormat="1" ht="16.5" thickBot="1" x14ac:dyDescent="0.25">
      <c r="A103" s="935" t="s">
        <v>37</v>
      </c>
      <c r="B103" s="936"/>
      <c r="C103" s="936"/>
      <c r="D103" s="936"/>
      <c r="E103" s="936"/>
      <c r="F103" s="936"/>
      <c r="G103" s="936"/>
      <c r="H103" s="936"/>
      <c r="I103" s="937"/>
      <c r="J103" s="170"/>
      <c r="K103" s="118"/>
      <c r="L103" s="134"/>
      <c r="M103" s="134"/>
      <c r="N103" s="134"/>
      <c r="O103" s="134"/>
      <c r="P103" s="134"/>
      <c r="Q103" s="134"/>
      <c r="R103" s="134"/>
      <c r="S103" s="118"/>
      <c r="T103" s="118"/>
      <c r="U103" s="118"/>
    </row>
    <row r="104" spans="1:23" s="308" customFormat="1" ht="15.75" customHeight="1" thickBot="1" x14ac:dyDescent="0.25">
      <c r="A104" s="665" t="s">
        <v>296</v>
      </c>
      <c r="B104" s="909" t="s">
        <v>1129</v>
      </c>
      <c r="C104" s="910"/>
      <c r="D104" s="910"/>
      <c r="E104" s="910"/>
      <c r="F104" s="910"/>
      <c r="G104" s="910"/>
      <c r="H104" s="910"/>
      <c r="I104" s="911"/>
      <c r="J104" s="171"/>
      <c r="K104" s="172"/>
      <c r="L104" s="173"/>
      <c r="M104" s="173"/>
      <c r="N104" s="173"/>
      <c r="O104" s="173"/>
      <c r="P104" s="173"/>
      <c r="Q104" s="173"/>
      <c r="R104" s="173"/>
      <c r="S104" s="172"/>
      <c r="T104" s="172"/>
      <c r="U104" s="172"/>
    </row>
    <row r="105" spans="1:23" s="73" customFormat="1" ht="16.5" thickBot="1" x14ac:dyDescent="0.25">
      <c r="A105" s="196"/>
      <c r="B105" s="169"/>
      <c r="C105" s="169"/>
      <c r="D105" s="169"/>
      <c r="E105" s="169"/>
      <c r="F105" s="176"/>
      <c r="G105" s="176"/>
      <c r="H105" s="176"/>
      <c r="I105" s="176"/>
      <c r="J105" s="176"/>
      <c r="K105" s="118"/>
      <c r="L105" s="134"/>
      <c r="M105" s="134"/>
      <c r="N105" s="134"/>
      <c r="O105" s="134"/>
      <c r="P105" s="134"/>
      <c r="Q105" s="118"/>
    </row>
    <row r="106" spans="1:23" s="73" customFormat="1" ht="16.5" customHeight="1" thickBot="1" x14ac:dyDescent="0.25">
      <c r="A106" s="917" t="s">
        <v>214</v>
      </c>
      <c r="B106" s="918"/>
      <c r="C106" s="918"/>
      <c r="D106" s="918"/>
      <c r="E106" s="918"/>
      <c r="F106" s="918"/>
      <c r="G106" s="918"/>
      <c r="H106" s="930" t="s">
        <v>226</v>
      </c>
      <c r="I106" s="786" t="s">
        <v>627</v>
      </c>
      <c r="J106" s="786" t="s">
        <v>215</v>
      </c>
      <c r="K106" s="786" t="s">
        <v>23</v>
      </c>
      <c r="L106" s="786" t="s">
        <v>302</v>
      </c>
      <c r="M106" s="788" t="s">
        <v>83</v>
      </c>
      <c r="N106" s="134"/>
      <c r="O106" s="118"/>
      <c r="P106" s="456"/>
      <c r="Q106" s="528"/>
      <c r="R106" s="528"/>
    </row>
    <row r="107" spans="1:23" s="446" customFormat="1" ht="16.5" thickBot="1" x14ac:dyDescent="0.25">
      <c r="A107" s="919" t="s">
        <v>887</v>
      </c>
      <c r="B107" s="920"/>
      <c r="C107" s="920"/>
      <c r="D107" s="920"/>
      <c r="E107" s="920"/>
      <c r="F107" s="920"/>
      <c r="G107" s="921"/>
      <c r="H107" s="931"/>
      <c r="I107" s="908"/>
      <c r="J107" s="908"/>
      <c r="K107" s="908"/>
      <c r="L107" s="908"/>
      <c r="M107" s="929"/>
      <c r="N107" s="177"/>
      <c r="O107" s="177"/>
      <c r="P107" s="177"/>
      <c r="Q107" s="177"/>
      <c r="R107" s="177"/>
    </row>
    <row r="108" spans="1:23" s="446" customFormat="1" ht="15.75" customHeight="1" thickBot="1" x14ac:dyDescent="0.25">
      <c r="A108" s="919" t="s">
        <v>353</v>
      </c>
      <c r="B108" s="920"/>
      <c r="C108" s="920"/>
      <c r="D108" s="920"/>
      <c r="E108" s="920"/>
      <c r="F108" s="920"/>
      <c r="G108" s="921"/>
      <c r="H108" s="959"/>
      <c r="I108" s="787"/>
      <c r="J108" s="787"/>
      <c r="K108" s="787"/>
      <c r="L108" s="787"/>
      <c r="M108" s="789"/>
      <c r="N108" s="177"/>
      <c r="O108" s="177"/>
      <c r="P108" s="177"/>
      <c r="Q108" s="177"/>
      <c r="R108" s="177"/>
    </row>
    <row r="109" spans="1:23" s="136" customFormat="1" x14ac:dyDescent="0.2">
      <c r="A109" s="617" t="s">
        <v>234</v>
      </c>
      <c r="B109" s="1010" t="str">
        <f>IF($A109="","",VLOOKUP($A109,Listes!$A$3:$C$193,2,FALSE))</f>
        <v>Bunker Adjustment Factor</v>
      </c>
      <c r="C109" s="942"/>
      <c r="D109" s="942"/>
      <c r="E109" s="941" t="s">
        <v>51</v>
      </c>
      <c r="F109" s="941"/>
      <c r="G109" s="941"/>
      <c r="H109" s="658"/>
      <c r="I109" s="529"/>
      <c r="J109" s="529"/>
      <c r="K109" s="529"/>
      <c r="L109" s="529"/>
      <c r="M109" s="530"/>
      <c r="N109" s="160"/>
      <c r="O109" s="160"/>
      <c r="P109" s="160"/>
      <c r="Q109" s="160"/>
      <c r="R109" s="159"/>
    </row>
    <row r="110" spans="1:23" s="136" customFormat="1" ht="16.5" customHeight="1" x14ac:dyDescent="0.2">
      <c r="A110" s="618" t="s">
        <v>1325</v>
      </c>
      <c r="B110" s="1011" t="str">
        <f>IF($A110="","",VLOOKUP($A110,Listes!$A$3:$C$193,2,FALSE))</f>
        <v>Import BL Documentation Fee - Brazil only</v>
      </c>
      <c r="C110" s="813"/>
      <c r="D110" s="813"/>
      <c r="E110" s="814" t="s">
        <v>51</v>
      </c>
      <c r="F110" s="814"/>
      <c r="G110" s="814"/>
      <c r="H110" s="657"/>
      <c r="I110" s="531"/>
      <c r="J110" s="531"/>
      <c r="K110" s="531"/>
      <c r="L110" s="531"/>
      <c r="M110" s="532"/>
      <c r="N110" s="160"/>
      <c r="O110" s="160"/>
      <c r="P110" s="160"/>
      <c r="Q110" s="160"/>
      <c r="R110" s="159"/>
    </row>
    <row r="111" spans="1:23" s="136" customFormat="1" ht="15.75" customHeight="1" x14ac:dyDescent="0.2">
      <c r="A111" s="618" t="s">
        <v>557</v>
      </c>
      <c r="B111" s="1011" t="str">
        <f>IF($A111="","",VLOOKUP($A111,Listes!$A$3:$C$193,2,FALSE))</f>
        <v>Cargo Facility Charge</v>
      </c>
      <c r="C111" s="813"/>
      <c r="D111" s="813"/>
      <c r="E111" s="814" t="s">
        <v>51</v>
      </c>
      <c r="F111" s="814"/>
      <c r="G111" s="814"/>
      <c r="H111" s="657"/>
      <c r="I111" s="531"/>
      <c r="J111" s="531"/>
      <c r="K111" s="531"/>
      <c r="L111" s="531"/>
      <c r="M111" s="532"/>
      <c r="N111" s="160"/>
      <c r="O111" s="160"/>
      <c r="P111" s="160"/>
      <c r="Q111" s="160"/>
      <c r="R111" s="159"/>
    </row>
    <row r="112" spans="1:23" s="136" customFormat="1" ht="15.75" customHeight="1" x14ac:dyDescent="0.2">
      <c r="A112" s="618" t="s">
        <v>1335</v>
      </c>
      <c r="B112" s="1011" t="str">
        <f>IF($A112="","",VLOOKUP($A112,Listes!$A$3:$C$193,2,FALSE))</f>
        <v>Container Cleaning Surcharge Destination</v>
      </c>
      <c r="C112" s="813"/>
      <c r="D112" s="813"/>
      <c r="E112" s="814" t="s">
        <v>51</v>
      </c>
      <c r="F112" s="814"/>
      <c r="G112" s="814"/>
      <c r="H112" s="657"/>
      <c r="I112" s="531"/>
      <c r="J112" s="531"/>
      <c r="K112" s="531"/>
      <c r="L112" s="531"/>
      <c r="M112" s="532"/>
      <c r="N112" s="160"/>
      <c r="O112" s="160"/>
      <c r="P112" s="160"/>
      <c r="Q112" s="160"/>
      <c r="R112" s="159"/>
    </row>
    <row r="113" spans="1:18" s="136" customFormat="1" ht="16.5" customHeight="1" x14ac:dyDescent="0.2">
      <c r="A113" s="618" t="s">
        <v>1103</v>
      </c>
      <c r="B113" s="1011" t="str">
        <f>IF($A113="","",VLOOKUP($A113,Listes!$A$3:$C$193,2,FALSE))</f>
        <v>Chassis Administration Fee Pre-Carriage</v>
      </c>
      <c r="C113" s="813"/>
      <c r="D113" s="813"/>
      <c r="E113" s="814" t="s">
        <v>51</v>
      </c>
      <c r="F113" s="814"/>
      <c r="G113" s="814"/>
      <c r="H113" s="657"/>
      <c r="I113" s="531"/>
      <c r="J113" s="531"/>
      <c r="K113" s="531"/>
      <c r="L113" s="531"/>
      <c r="M113" s="532"/>
      <c r="N113" s="160"/>
      <c r="O113" s="160"/>
      <c r="P113" s="160"/>
      <c r="Q113" s="160"/>
      <c r="R113" s="159"/>
    </row>
    <row r="114" spans="1:18" s="136" customFormat="1" ht="16.5" customHeight="1" x14ac:dyDescent="0.2">
      <c r="A114" s="618" t="s">
        <v>551</v>
      </c>
      <c r="B114" s="1011" t="str">
        <f>IF($A114="","",VLOOKUP($A114,Listes!$A$3:$C$193,2,FALSE))</f>
        <v>Chassis Provision Charge</v>
      </c>
      <c r="C114" s="813"/>
      <c r="D114" s="813"/>
      <c r="E114" s="814" t="s">
        <v>51</v>
      </c>
      <c r="F114" s="814"/>
      <c r="G114" s="814"/>
      <c r="H114" s="657"/>
      <c r="I114" s="531"/>
      <c r="J114" s="531"/>
      <c r="K114" s="531"/>
      <c r="L114" s="531"/>
      <c r="M114" s="532"/>
      <c r="N114" s="160"/>
      <c r="O114" s="160"/>
      <c r="P114" s="160"/>
      <c r="Q114" s="160"/>
      <c r="R114" s="159"/>
    </row>
    <row r="115" spans="1:18" s="136" customFormat="1" ht="15.75" customHeight="1" x14ac:dyDescent="0.2">
      <c r="A115" s="618" t="s">
        <v>263</v>
      </c>
      <c r="B115" s="1011" t="str">
        <f>IF($A115="","",VLOOKUP($A115,Listes!$A$3:$C$193,2,FALSE))</f>
        <v>Carrier Security Charge</v>
      </c>
      <c r="C115" s="813"/>
      <c r="D115" s="813"/>
      <c r="E115" s="814" t="s">
        <v>51</v>
      </c>
      <c r="F115" s="814"/>
      <c r="G115" s="814"/>
      <c r="H115" s="657"/>
      <c r="I115" s="531"/>
      <c r="J115" s="531"/>
      <c r="K115" s="531"/>
      <c r="L115" s="531"/>
      <c r="M115" s="532"/>
      <c r="N115" s="160"/>
      <c r="O115" s="160"/>
      <c r="P115" s="160"/>
      <c r="Q115" s="160"/>
      <c r="R115" s="159"/>
    </row>
    <row r="116" spans="1:18" s="136" customFormat="1" ht="15.75" customHeight="1" x14ac:dyDescent="0.2">
      <c r="A116" s="618" t="s">
        <v>1262</v>
      </c>
      <c r="B116" s="1011" t="str">
        <f>IF($A116="","",VLOOKUP($A116,Listes!$A$3:$C$193,2,FALSE))</f>
        <v>Container Maintenance Charge Destination</v>
      </c>
      <c r="C116" s="813"/>
      <c r="D116" s="813"/>
      <c r="E116" s="814" t="s">
        <v>51</v>
      </c>
      <c r="F116" s="814"/>
      <c r="G116" s="814"/>
      <c r="H116" s="657"/>
      <c r="I116" s="531"/>
      <c r="J116" s="531"/>
      <c r="K116" s="531"/>
      <c r="L116" s="531"/>
      <c r="M116" s="532"/>
      <c r="N116" s="160"/>
      <c r="O116" s="160"/>
      <c r="P116" s="160"/>
      <c r="Q116" s="160"/>
      <c r="R116" s="159"/>
    </row>
    <row r="117" spans="1:18" s="136" customFormat="1" ht="15.75" customHeight="1" x14ac:dyDescent="0.2">
      <c r="A117" s="618" t="s">
        <v>312</v>
      </c>
      <c r="B117" s="1011" t="str">
        <f>IF($A117="","",VLOOKUP($A117,Listes!$A$3:$C$193,2,FALSE))</f>
        <v>Chassis Usage Charge (Carrier-haulage)</v>
      </c>
      <c r="C117" s="813"/>
      <c r="D117" s="813"/>
      <c r="E117" s="814" t="s">
        <v>51</v>
      </c>
      <c r="F117" s="814"/>
      <c r="G117" s="814"/>
      <c r="H117" s="657"/>
      <c r="I117" s="531"/>
      <c r="J117" s="531"/>
      <c r="K117" s="531"/>
      <c r="L117" s="531" t="s">
        <v>508</v>
      </c>
      <c r="M117" s="532"/>
      <c r="N117" s="160"/>
      <c r="O117" s="160"/>
      <c r="P117" s="160"/>
      <c r="Q117" s="160"/>
      <c r="R117" s="159"/>
    </row>
    <row r="118" spans="1:18" s="136" customFormat="1" ht="15.75" customHeight="1" x14ac:dyDescent="0.2">
      <c r="A118" s="618" t="s">
        <v>312</v>
      </c>
      <c r="B118" s="1011" t="str">
        <f>IF($A118="","",VLOOKUP($A118,Listes!$A$3:$C$193,2,FALSE))</f>
        <v>Chassis Usage Charge (Carrier-haulage)</v>
      </c>
      <c r="C118" s="813"/>
      <c r="D118" s="813"/>
      <c r="E118" s="814" t="s">
        <v>51</v>
      </c>
      <c r="F118" s="814"/>
      <c r="G118" s="814"/>
      <c r="H118" s="657"/>
      <c r="I118" s="531"/>
      <c r="J118" s="531"/>
      <c r="K118" s="531"/>
      <c r="L118" s="531" t="s">
        <v>560</v>
      </c>
      <c r="M118" s="532"/>
      <c r="N118" s="160"/>
      <c r="O118" s="160"/>
      <c r="P118" s="160"/>
      <c r="Q118" s="160"/>
      <c r="R118" s="159"/>
    </row>
    <row r="119" spans="1:18" s="136" customFormat="1" ht="15.75" customHeight="1" x14ac:dyDescent="0.2">
      <c r="A119" s="618" t="s">
        <v>312</v>
      </c>
      <c r="B119" s="1011" t="str">
        <f>IF($A119="","",VLOOKUP($A119,Listes!$A$3:$C$193,2,FALSE))</f>
        <v>Chassis Usage Charge (Carrier-haulage)</v>
      </c>
      <c r="C119" s="813"/>
      <c r="D119" s="813"/>
      <c r="E119" s="814" t="s">
        <v>51</v>
      </c>
      <c r="F119" s="814"/>
      <c r="G119" s="814"/>
      <c r="H119" s="657"/>
      <c r="I119" s="531"/>
      <c r="J119" s="531"/>
      <c r="K119" s="531"/>
      <c r="L119" s="531" t="s">
        <v>510</v>
      </c>
      <c r="M119" s="532"/>
      <c r="N119" s="160"/>
      <c r="O119" s="160"/>
      <c r="P119" s="160"/>
      <c r="Q119" s="160"/>
      <c r="R119" s="159"/>
    </row>
    <row r="120" spans="1:18" s="136" customFormat="1" ht="15.75" customHeight="1" x14ac:dyDescent="0.2">
      <c r="A120" s="618" t="s">
        <v>312</v>
      </c>
      <c r="B120" s="1012" t="str">
        <f>IF($A120="","",VLOOKUP($A120,Listes!$A$3:$C$193,2,FALSE))</f>
        <v>Chassis Usage Charge (Carrier-haulage)</v>
      </c>
      <c r="C120" s="961"/>
      <c r="D120" s="962"/>
      <c r="E120" s="963" t="s">
        <v>51</v>
      </c>
      <c r="F120" s="964"/>
      <c r="G120" s="965"/>
      <c r="H120" s="657"/>
      <c r="I120" s="531"/>
      <c r="J120" s="531"/>
      <c r="K120" s="531"/>
      <c r="L120" s="531" t="s">
        <v>492</v>
      </c>
      <c r="M120" s="532"/>
      <c r="N120" s="160"/>
      <c r="O120" s="160"/>
      <c r="P120" s="160"/>
      <c r="Q120" s="160"/>
      <c r="R120" s="159"/>
    </row>
    <row r="121" spans="1:18" s="136" customFormat="1" ht="15.75" customHeight="1" x14ac:dyDescent="0.2">
      <c r="A121" s="618" t="s">
        <v>312</v>
      </c>
      <c r="B121" s="1011" t="str">
        <f>IF($A121="","",VLOOKUP($A121,Listes!$A$3:$C$193,2,FALSE))</f>
        <v>Chassis Usage Charge (Carrier-haulage)</v>
      </c>
      <c r="C121" s="813"/>
      <c r="D121" s="813"/>
      <c r="E121" s="814" t="s">
        <v>51</v>
      </c>
      <c r="F121" s="814"/>
      <c r="G121" s="814"/>
      <c r="H121" s="657"/>
      <c r="I121" s="531"/>
      <c r="J121" s="531"/>
      <c r="K121" s="531"/>
      <c r="L121" s="531" t="s">
        <v>509</v>
      </c>
      <c r="M121" s="532"/>
      <c r="N121" s="160"/>
      <c r="O121" s="160"/>
      <c r="P121" s="160"/>
      <c r="Q121" s="160"/>
      <c r="R121" s="159"/>
    </row>
    <row r="122" spans="1:18" s="136" customFormat="1" ht="15.75" customHeight="1" x14ac:dyDescent="0.2">
      <c r="A122" s="618" t="s">
        <v>312</v>
      </c>
      <c r="B122" s="1011" t="str">
        <f>IF($A122="","",VLOOKUP($A122,Listes!$A$3:$C$193,2,FALSE))</f>
        <v>Chassis Usage Charge (Carrier-haulage)</v>
      </c>
      <c r="C122" s="813"/>
      <c r="D122" s="813"/>
      <c r="E122" s="814" t="s">
        <v>51</v>
      </c>
      <c r="F122" s="814"/>
      <c r="G122" s="814"/>
      <c r="H122" s="657"/>
      <c r="I122" s="531"/>
      <c r="J122" s="531"/>
      <c r="K122" s="531"/>
      <c r="L122" s="531" t="s">
        <v>507</v>
      </c>
      <c r="M122" s="532"/>
      <c r="N122" s="160"/>
      <c r="O122" s="160"/>
      <c r="P122" s="160"/>
      <c r="Q122" s="160"/>
      <c r="R122" s="159"/>
    </row>
    <row r="123" spans="1:18" s="136" customFormat="1" ht="15.75" customHeight="1" x14ac:dyDescent="0.2">
      <c r="A123" s="618" t="s">
        <v>230</v>
      </c>
      <c r="B123" s="1011" t="str">
        <f>IF($A123="","",VLOOKUP($A123,Listes!$A$3:$C$193,2,FALSE))</f>
        <v>Destination THC / Destination Receiving Charge</v>
      </c>
      <c r="C123" s="813"/>
      <c r="D123" s="813"/>
      <c r="E123" s="814" t="s">
        <v>51</v>
      </c>
      <c r="F123" s="814"/>
      <c r="G123" s="814"/>
      <c r="H123" s="657"/>
      <c r="I123" s="531"/>
      <c r="J123" s="531"/>
      <c r="K123" s="531"/>
      <c r="L123" s="531"/>
      <c r="M123" s="532"/>
      <c r="N123" s="160"/>
      <c r="O123" s="160"/>
      <c r="P123" s="160"/>
      <c r="Q123" s="160"/>
      <c r="R123" s="159"/>
    </row>
    <row r="124" spans="1:18" s="136" customFormat="1" ht="15.75" customHeight="1" x14ac:dyDescent="0.2">
      <c r="A124" s="618" t="s">
        <v>1081</v>
      </c>
      <c r="B124" s="1011" t="str">
        <f>IF($A124="","",VLOOKUP($A124,Listes!$A$3:$C$193,2,FALSE))</f>
        <v>Equipment Imbalance Surcharge at Origin</v>
      </c>
      <c r="C124" s="813"/>
      <c r="D124" s="813"/>
      <c r="E124" s="814" t="s">
        <v>51</v>
      </c>
      <c r="F124" s="814"/>
      <c r="G124" s="814"/>
      <c r="H124" s="657"/>
      <c r="I124" s="531"/>
      <c r="J124" s="531"/>
      <c r="K124" s="531"/>
      <c r="L124" s="531"/>
      <c r="M124" s="532"/>
      <c r="N124" s="160"/>
      <c r="O124" s="160"/>
      <c r="P124" s="160"/>
      <c r="Q124" s="160"/>
      <c r="R124" s="159"/>
    </row>
    <row r="125" spans="1:18" s="136" customFormat="1" ht="15.75" customHeight="1" x14ac:dyDescent="0.2">
      <c r="A125" s="618" t="s">
        <v>1082</v>
      </c>
      <c r="B125" s="1011" t="str">
        <f>IF($A125="","",VLOOKUP($A125,Listes!$A$3:$C$193,2,FALSE))</f>
        <v>Equipment Imbalance Surcharge at Destination</v>
      </c>
      <c r="C125" s="813"/>
      <c r="D125" s="813"/>
      <c r="E125" s="814" t="s">
        <v>51</v>
      </c>
      <c r="F125" s="814"/>
      <c r="G125" s="814"/>
      <c r="H125" s="657"/>
      <c r="I125" s="531"/>
      <c r="J125" s="531"/>
      <c r="K125" s="531"/>
      <c r="L125" s="531"/>
      <c r="M125" s="532"/>
      <c r="N125" s="160"/>
      <c r="O125" s="160"/>
      <c r="P125" s="160"/>
      <c r="Q125" s="160"/>
      <c r="R125" s="159"/>
    </row>
    <row r="126" spans="1:18" s="136" customFormat="1" ht="15.75" customHeight="1" x14ac:dyDescent="0.2">
      <c r="A126" s="618" t="s">
        <v>470</v>
      </c>
      <c r="B126" s="1011" t="str">
        <f>IF($A126="","",VLOOKUP($A126,Listes!$A$3:$C$193,2,FALSE))</f>
        <v>Emergency Terminal Congestion Surcharge / Emergency Port Surcharge</v>
      </c>
      <c r="C126" s="813"/>
      <c r="D126" s="813"/>
      <c r="E126" s="814" t="s">
        <v>51</v>
      </c>
      <c r="F126" s="814"/>
      <c r="G126" s="814"/>
      <c r="H126" s="657"/>
      <c r="I126" s="531"/>
      <c r="J126" s="531"/>
      <c r="K126" s="531"/>
      <c r="L126" s="531"/>
      <c r="M126" s="532"/>
      <c r="N126" s="160"/>
      <c r="O126" s="160"/>
      <c r="P126" s="160"/>
      <c r="Q126" s="160"/>
      <c r="R126" s="159"/>
    </row>
    <row r="127" spans="1:18" s="136" customFormat="1" ht="15.75" customHeight="1" x14ac:dyDescent="0.2">
      <c r="A127" s="618" t="s">
        <v>874</v>
      </c>
      <c r="B127" s="1011" t="str">
        <f>IF($A127="","",VLOOKUP($A127,Listes!$A$3:$C$193,2,FALSE))</f>
        <v>Export Documentation Fees - Carrier</v>
      </c>
      <c r="C127" s="813"/>
      <c r="D127" s="813"/>
      <c r="E127" s="814" t="s">
        <v>51</v>
      </c>
      <c r="F127" s="814"/>
      <c r="G127" s="814"/>
      <c r="H127" s="657"/>
      <c r="I127" s="531"/>
      <c r="J127" s="531"/>
      <c r="K127" s="531"/>
      <c r="L127" s="531"/>
      <c r="M127" s="532"/>
      <c r="N127" s="160"/>
      <c r="O127" s="160"/>
      <c r="P127" s="160"/>
      <c r="Q127" s="160"/>
      <c r="R127" s="159"/>
    </row>
    <row r="128" spans="1:18" s="136" customFormat="1" ht="15.75" customHeight="1" x14ac:dyDescent="0.2">
      <c r="A128" s="618" t="s">
        <v>854</v>
      </c>
      <c r="B128" s="1011" t="str">
        <f>IF($A128="","",VLOOKUP($A128,Listes!$A$3:$C$193,2,FALSE))</f>
        <v>Export Declaration Surcharge</v>
      </c>
      <c r="C128" s="813"/>
      <c r="D128" s="813"/>
      <c r="E128" s="814" t="s">
        <v>51</v>
      </c>
      <c r="F128" s="814"/>
      <c r="G128" s="814"/>
      <c r="H128" s="657"/>
      <c r="I128" s="531"/>
      <c r="J128" s="531"/>
      <c r="K128" s="531"/>
      <c r="L128" s="531"/>
      <c r="M128" s="532"/>
      <c r="N128" s="160"/>
      <c r="O128" s="160"/>
      <c r="P128" s="160"/>
      <c r="Q128" s="160"/>
      <c r="R128" s="159"/>
    </row>
    <row r="129" spans="1:18" s="136" customFormat="1" ht="15.75" customHeight="1" x14ac:dyDescent="0.2">
      <c r="A129" s="618" t="s">
        <v>82</v>
      </c>
      <c r="B129" s="1011" t="str">
        <f>IF($A129="","",VLOOKUP($A129,Listes!$A$3:$C$193,2,FALSE))</f>
        <v>General Rate Increase</v>
      </c>
      <c r="C129" s="813"/>
      <c r="D129" s="813"/>
      <c r="E129" s="814" t="s">
        <v>51</v>
      </c>
      <c r="F129" s="814"/>
      <c r="G129" s="814"/>
      <c r="H129" s="657"/>
      <c r="I129" s="531"/>
      <c r="J129" s="531"/>
      <c r="K129" s="531"/>
      <c r="L129" s="531"/>
      <c r="M129" s="532"/>
      <c r="N129" s="160"/>
      <c r="O129" s="160"/>
      <c r="P129" s="160"/>
      <c r="Q129" s="160"/>
      <c r="R129" s="159"/>
    </row>
    <row r="130" spans="1:18" s="136" customFormat="1" ht="15.75" customHeight="1" x14ac:dyDescent="0.2">
      <c r="A130" s="618" t="s">
        <v>260</v>
      </c>
      <c r="B130" s="1011" t="str">
        <f>IF($A130="","",VLOOKUP($A130,Listes!$A$3:$C$193,2,FALSE))</f>
        <v>Hazardous Fees (Ocean)</v>
      </c>
      <c r="C130" s="813"/>
      <c r="D130" s="813"/>
      <c r="E130" s="814" t="s">
        <v>51</v>
      </c>
      <c r="F130" s="814"/>
      <c r="G130" s="814"/>
      <c r="H130" s="657"/>
      <c r="I130" s="531"/>
      <c r="J130" s="531"/>
      <c r="K130" s="531"/>
      <c r="L130" s="531"/>
      <c r="M130" s="532"/>
      <c r="N130" s="160"/>
      <c r="O130" s="160"/>
      <c r="P130" s="160"/>
      <c r="Q130" s="160"/>
      <c r="R130" s="159"/>
    </row>
    <row r="131" spans="1:18" s="136" customFormat="1" ht="15.75" customHeight="1" x14ac:dyDescent="0.2">
      <c r="A131" s="618" t="s">
        <v>897</v>
      </c>
      <c r="B131" s="1011" t="str">
        <f>IF($A131="","",VLOOKUP($A131,Listes!$A$3:$C$193,2,FALSE))</f>
        <v xml:space="preserve">Intermodal Door Precarriage Additional for </v>
      </c>
      <c r="C131" s="813"/>
      <c r="D131" s="813"/>
      <c r="E131" s="814" t="s">
        <v>51</v>
      </c>
      <c r="F131" s="814"/>
      <c r="G131" s="814"/>
      <c r="H131" s="657"/>
      <c r="I131" s="531"/>
      <c r="J131" s="531"/>
      <c r="K131" s="531"/>
      <c r="L131" s="531"/>
      <c r="M131" s="532"/>
      <c r="N131" s="160"/>
      <c r="O131" s="160"/>
      <c r="P131" s="160"/>
      <c r="Q131" s="160"/>
      <c r="R131" s="159"/>
    </row>
    <row r="132" spans="1:18" s="136" customFormat="1" ht="15.75" customHeight="1" x14ac:dyDescent="0.2">
      <c r="A132" s="618" t="s">
        <v>877</v>
      </c>
      <c r="B132" s="1011" t="str">
        <f>IF($A132="","",VLOOKUP($A132,Listes!$A$3:$C$193,2,FALSE))</f>
        <v>Import Documentation / BL fee - Carrier</v>
      </c>
      <c r="C132" s="813"/>
      <c r="D132" s="813"/>
      <c r="E132" s="814" t="s">
        <v>51</v>
      </c>
      <c r="F132" s="814"/>
      <c r="G132" s="814"/>
      <c r="H132" s="687"/>
      <c r="I132" s="531"/>
      <c r="J132" s="531"/>
      <c r="K132" s="531"/>
      <c r="L132" s="531"/>
      <c r="M132" s="532"/>
      <c r="N132" s="160"/>
      <c r="O132" s="160"/>
      <c r="P132" s="160"/>
      <c r="Q132" s="160"/>
      <c r="R132" s="159"/>
    </row>
    <row r="133" spans="1:18" s="136" customFormat="1" ht="15.75" customHeight="1" x14ac:dyDescent="0.2">
      <c r="A133" s="618" t="s">
        <v>96</v>
      </c>
      <c r="B133" s="1011" t="str">
        <f>IF($A133="","",VLOOKUP($A133,Listes!$A$3:$C$193,2,FALSE))</f>
        <v xml:space="preserve">Precarriage Inland Fuel Charge </v>
      </c>
      <c r="C133" s="813"/>
      <c r="D133" s="813"/>
      <c r="E133" s="814" t="s">
        <v>51</v>
      </c>
      <c r="F133" s="814"/>
      <c r="G133" s="814"/>
      <c r="H133" s="657"/>
      <c r="I133" s="531"/>
      <c r="J133" s="531"/>
      <c r="K133" s="531"/>
      <c r="L133" s="531"/>
      <c r="M133" s="532"/>
      <c r="N133" s="160"/>
      <c r="O133" s="160"/>
      <c r="P133" s="160"/>
      <c r="Q133" s="160"/>
      <c r="R133" s="159"/>
    </row>
    <row r="134" spans="1:18" s="136" customFormat="1" ht="15.75" customHeight="1" x14ac:dyDescent="0.2">
      <c r="A134" s="182" t="s">
        <v>1290</v>
      </c>
      <c r="B134" s="813" t="str">
        <f>IF($A134="","",VLOOKUP($A134,Listes!$A$3:$C$193,2,FALSE))</f>
        <v>Local Port Charge Destination Sanitary Fee</v>
      </c>
      <c r="C134" s="813"/>
      <c r="D134" s="813"/>
      <c r="E134" s="814" t="s">
        <v>51</v>
      </c>
      <c r="F134" s="814"/>
      <c r="G134" s="814"/>
      <c r="H134" s="675"/>
      <c r="I134" s="531"/>
      <c r="J134" s="531"/>
      <c r="K134" s="531"/>
      <c r="L134" s="531"/>
      <c r="M134" s="532"/>
      <c r="N134" s="160"/>
      <c r="O134" s="160"/>
      <c r="P134" s="160"/>
      <c r="Q134" s="160"/>
      <c r="R134" s="159"/>
    </row>
    <row r="135" spans="1:18" s="136" customFormat="1" ht="15.75" customHeight="1" x14ac:dyDescent="0.2">
      <c r="A135" s="182" t="s">
        <v>1292</v>
      </c>
      <c r="B135" s="813" t="str">
        <f>IF($A135="","",VLOOKUP($A135,Listes!$A$3:$C$193,2,FALSE))</f>
        <v>Local Port Charge Origin Sanitary Fee</v>
      </c>
      <c r="C135" s="813"/>
      <c r="D135" s="813"/>
      <c r="E135" s="814" t="s">
        <v>51</v>
      </c>
      <c r="F135" s="814"/>
      <c r="G135" s="814"/>
      <c r="H135" s="675"/>
      <c r="I135" s="531"/>
      <c r="J135" s="531"/>
      <c r="K135" s="531"/>
      <c r="L135" s="531"/>
      <c r="M135" s="532"/>
      <c r="N135" s="160"/>
      <c r="O135" s="160"/>
      <c r="P135" s="160"/>
      <c r="Q135" s="160"/>
      <c r="R135" s="159"/>
    </row>
    <row r="136" spans="1:18" s="136" customFormat="1" ht="15.75" customHeight="1" x14ac:dyDescent="0.2">
      <c r="A136" s="618" t="s">
        <v>199</v>
      </c>
      <c r="B136" s="1011" t="str">
        <f>IF($A136="","",VLOOKUP($A136,Listes!$A$3:$C$193,2,FALSE))</f>
        <v>Low Sulfur Surcharge</v>
      </c>
      <c r="C136" s="813"/>
      <c r="D136" s="813"/>
      <c r="E136" s="814" t="s">
        <v>53</v>
      </c>
      <c r="F136" s="814"/>
      <c r="G136" s="814"/>
      <c r="H136" s="657"/>
      <c r="I136" s="531"/>
      <c r="J136" s="531"/>
      <c r="K136" s="531"/>
      <c r="L136" s="531"/>
      <c r="M136" s="532"/>
      <c r="N136" s="160"/>
      <c r="O136" s="160"/>
      <c r="P136" s="160"/>
      <c r="Q136" s="160"/>
      <c r="R136" s="159"/>
    </row>
    <row r="137" spans="1:18" s="136" customFormat="1" ht="15.75" customHeight="1" x14ac:dyDescent="0.2">
      <c r="A137" s="618" t="s">
        <v>1124</v>
      </c>
      <c r="B137" s="1011" t="str">
        <f>IF($A137="","",VLOOKUP($A137,Listes!$A$3:$C$193,2,FALSE))</f>
        <v>Low Sulfur Surcharge IMO2020</v>
      </c>
      <c r="C137" s="813"/>
      <c r="D137" s="813"/>
      <c r="E137" s="814" t="s">
        <v>53</v>
      </c>
      <c r="F137" s="814"/>
      <c r="G137" s="814"/>
      <c r="H137" s="667"/>
      <c r="I137" s="531"/>
      <c r="J137" s="531"/>
      <c r="K137" s="531"/>
      <c r="L137" s="531"/>
      <c r="M137" s="532"/>
      <c r="N137" s="160"/>
      <c r="O137" s="160"/>
      <c r="P137" s="160"/>
      <c r="Q137" s="160"/>
      <c r="R137" s="159"/>
    </row>
    <row r="138" spans="1:18" s="136" customFormat="1" ht="15.75" customHeight="1" x14ac:dyDescent="0.2">
      <c r="A138" s="619" t="s">
        <v>497</v>
      </c>
      <c r="B138" s="1011" t="str">
        <f>IF($A138="","",VLOOKUP($A138,Listes!$A$3:$C$193,2,FALSE))</f>
        <v>Inland Hazardous Charge Oncarriage</v>
      </c>
      <c r="C138" s="813"/>
      <c r="D138" s="813"/>
      <c r="E138" s="814" t="s">
        <v>51</v>
      </c>
      <c r="F138" s="814"/>
      <c r="G138" s="814"/>
      <c r="H138" s="366"/>
      <c r="I138" s="535"/>
      <c r="J138" s="535"/>
      <c r="K138" s="535"/>
      <c r="L138" s="535"/>
      <c r="M138" s="536"/>
      <c r="N138" s="160"/>
      <c r="O138" s="160"/>
      <c r="P138" s="160"/>
      <c r="Q138" s="160"/>
      <c r="R138" s="159"/>
    </row>
    <row r="139" spans="1:18" s="136" customFormat="1" ht="15.75" customHeight="1" x14ac:dyDescent="0.2">
      <c r="A139" s="619" t="s">
        <v>89</v>
      </c>
      <c r="B139" s="1011" t="str">
        <f>IF($A139="","",VLOOKUP($A139,Listes!$A$3:$C$193,2,FALSE))</f>
        <v>Origin THC / Origin Receiving Charge</v>
      </c>
      <c r="C139" s="813"/>
      <c r="D139" s="813"/>
      <c r="E139" s="814" t="s">
        <v>51</v>
      </c>
      <c r="F139" s="814"/>
      <c r="G139" s="814"/>
      <c r="H139" s="366"/>
      <c r="I139" s="535"/>
      <c r="J139" s="535"/>
      <c r="K139" s="535"/>
      <c r="L139" s="535"/>
      <c r="M139" s="536"/>
      <c r="N139" s="160"/>
      <c r="O139" s="160"/>
      <c r="P139" s="160"/>
      <c r="Q139" s="160"/>
      <c r="R139" s="159"/>
    </row>
    <row r="140" spans="1:18" s="136" customFormat="1" ht="15.75" customHeight="1" x14ac:dyDescent="0.2">
      <c r="A140" s="619" t="s">
        <v>210</v>
      </c>
      <c r="B140" s="1011" t="str">
        <f>IF($A140="","",VLOOKUP($A140,Listes!$A$3:$C$193,2,FALSE))</f>
        <v>Panama Canal Lock Improvement Surcharge</v>
      </c>
      <c r="C140" s="813"/>
      <c r="D140" s="813"/>
      <c r="E140" s="814" t="s">
        <v>51</v>
      </c>
      <c r="F140" s="814"/>
      <c r="G140" s="814"/>
      <c r="H140" s="366"/>
      <c r="I140" s="535"/>
      <c r="J140" s="535"/>
      <c r="K140" s="535"/>
      <c r="L140" s="535"/>
      <c r="M140" s="536"/>
      <c r="N140" s="160"/>
      <c r="O140" s="160"/>
      <c r="P140" s="160"/>
      <c r="Q140" s="160"/>
      <c r="R140" s="159"/>
    </row>
    <row r="141" spans="1:18" s="136" customFormat="1" ht="33" customHeight="1" x14ac:dyDescent="0.2">
      <c r="A141" s="619" t="s">
        <v>1375</v>
      </c>
      <c r="B141" s="1011" t="str">
        <f>IF($A141="","",VLOOKUP($A141,Listes!$A$3:$C$193,2,FALSE))</f>
        <v>Port Access Fee Destination</v>
      </c>
      <c r="C141" s="813"/>
      <c r="D141" s="813"/>
      <c r="E141" s="814" t="s">
        <v>51</v>
      </c>
      <c r="F141" s="814"/>
      <c r="G141" s="814"/>
      <c r="H141" s="366"/>
      <c r="I141" s="535"/>
      <c r="J141" s="535"/>
      <c r="K141" s="535"/>
      <c r="L141" s="535"/>
      <c r="M141" s="536"/>
      <c r="N141" s="160"/>
      <c r="O141" s="160"/>
      <c r="P141" s="160"/>
      <c r="Q141" s="160"/>
      <c r="R141" s="159"/>
    </row>
    <row r="142" spans="1:18" s="136" customFormat="1" ht="15.75" customHeight="1" x14ac:dyDescent="0.2">
      <c r="A142" s="619" t="s">
        <v>813</v>
      </c>
      <c r="B142" s="1011" t="str">
        <f>IF($A142="","",VLOOKUP($A142,Listes!$A$3:$C$193,2,FALSE))</f>
        <v>Port License Fee / Port Taxes NOS</v>
      </c>
      <c r="C142" s="813"/>
      <c r="D142" s="813"/>
      <c r="E142" s="814" t="s">
        <v>51</v>
      </c>
      <c r="F142" s="814"/>
      <c r="G142" s="814"/>
      <c r="H142" s="366"/>
      <c r="I142" s="535"/>
      <c r="J142" s="535"/>
      <c r="K142" s="535"/>
      <c r="L142" s="535" t="s">
        <v>858</v>
      </c>
      <c r="M142" s="536"/>
      <c r="N142" s="160"/>
      <c r="O142" s="160"/>
      <c r="P142" s="160"/>
      <c r="Q142" s="160"/>
      <c r="R142" s="159"/>
    </row>
    <row r="143" spans="1:18" s="136" customFormat="1" x14ac:dyDescent="0.2">
      <c r="A143" s="182" t="s">
        <v>1060</v>
      </c>
      <c r="B143" s="813" t="str">
        <f>IF($A143="","",VLOOKUP($A143,Listes!$A$3:$C$193,2,FALSE))</f>
        <v>Pre-Carriage Emergency Inland Fuel Surcharge</v>
      </c>
      <c r="C143" s="813"/>
      <c r="D143" s="813"/>
      <c r="E143" s="814" t="s">
        <v>51</v>
      </c>
      <c r="F143" s="814"/>
      <c r="G143" s="814"/>
      <c r="H143" s="657"/>
      <c r="I143" s="531"/>
      <c r="J143" s="531"/>
      <c r="K143" s="531"/>
      <c r="L143" s="531"/>
      <c r="M143" s="532"/>
      <c r="N143" s="160"/>
      <c r="O143" s="160"/>
      <c r="P143" s="160"/>
      <c r="Q143" s="160"/>
      <c r="R143" s="159"/>
    </row>
    <row r="144" spans="1:18" s="136" customFormat="1" ht="31.5" x14ac:dyDescent="0.2">
      <c r="A144" s="182" t="s">
        <v>1046</v>
      </c>
      <c r="B144" s="813" t="str">
        <f>IF($A144="","",VLOOKUP($A144,Listes!$A$3:$C$193,2,FALSE))</f>
        <v>Pre-Carriage Emergency Intermodal Surcharge</v>
      </c>
      <c r="C144" s="813"/>
      <c r="D144" s="813"/>
      <c r="E144" s="814" t="s">
        <v>51</v>
      </c>
      <c r="F144" s="814"/>
      <c r="G144" s="814"/>
      <c r="H144" s="657"/>
      <c r="I144" s="531"/>
      <c r="J144" s="531"/>
      <c r="K144" s="531"/>
      <c r="L144" s="531"/>
      <c r="M144" s="532"/>
      <c r="N144" s="160"/>
      <c r="O144" s="160"/>
      <c r="P144" s="160"/>
      <c r="Q144" s="160"/>
      <c r="R144" s="159"/>
    </row>
    <row r="145" spans="1:18" s="136" customFormat="1" ht="15.75" customHeight="1" x14ac:dyDescent="0.2">
      <c r="A145" s="619" t="s">
        <v>500</v>
      </c>
      <c r="B145" s="1011" t="str">
        <f>IF($A145="","",VLOOKUP($A145,Listes!$A$3:$C$193,2,FALSE))</f>
        <v>Inland Hazardous Charge Precarriage</v>
      </c>
      <c r="C145" s="813"/>
      <c r="D145" s="813"/>
      <c r="E145" s="814" t="s">
        <v>51</v>
      </c>
      <c r="F145" s="814"/>
      <c r="G145" s="814"/>
      <c r="H145" s="366"/>
      <c r="I145" s="535"/>
      <c r="J145" s="535"/>
      <c r="K145" s="535"/>
      <c r="L145" s="535"/>
      <c r="M145" s="536"/>
      <c r="N145" s="160"/>
      <c r="O145" s="160"/>
      <c r="P145" s="160"/>
      <c r="Q145" s="160"/>
      <c r="R145" s="159"/>
    </row>
    <row r="146" spans="1:18" s="136" customFormat="1" ht="15.75" customHeight="1" x14ac:dyDescent="0.2">
      <c r="A146" s="619" t="s">
        <v>826</v>
      </c>
      <c r="B146" s="1011" t="str">
        <f>IF($A146="","",VLOOKUP($A146,Listes!$A$3:$C$193,2,FALSE))</f>
        <v>Port Service Charge / Port Additional Surcharge Destination</v>
      </c>
      <c r="C146" s="813"/>
      <c r="D146" s="813"/>
      <c r="E146" s="814" t="s">
        <v>51</v>
      </c>
      <c r="F146" s="814"/>
      <c r="G146" s="814"/>
      <c r="H146" s="366"/>
      <c r="I146" s="535"/>
      <c r="J146" s="535"/>
      <c r="K146" s="535"/>
      <c r="L146" s="535" t="s">
        <v>856</v>
      </c>
      <c r="M146" s="536"/>
      <c r="N146" s="160"/>
      <c r="O146" s="160"/>
      <c r="P146" s="160"/>
      <c r="Q146" s="160"/>
      <c r="R146" s="159"/>
    </row>
    <row r="147" spans="1:18" s="136" customFormat="1" ht="15.75" customHeight="1" x14ac:dyDescent="0.2">
      <c r="A147" s="619" t="s">
        <v>826</v>
      </c>
      <c r="B147" s="1011" t="str">
        <f>IF($A147="","",VLOOKUP($A147,Listes!$A$3:$C$193,2,FALSE))</f>
        <v>Port Service Charge / Port Additional Surcharge Destination</v>
      </c>
      <c r="C147" s="813"/>
      <c r="D147" s="813"/>
      <c r="E147" s="814" t="s">
        <v>51</v>
      </c>
      <c r="F147" s="814"/>
      <c r="G147" s="814"/>
      <c r="H147" s="366"/>
      <c r="I147" s="535"/>
      <c r="J147" s="535"/>
      <c r="K147" s="535"/>
      <c r="L147" s="535" t="s">
        <v>857</v>
      </c>
      <c r="M147" s="536"/>
      <c r="N147" s="160"/>
      <c r="O147" s="160"/>
      <c r="P147" s="160"/>
      <c r="Q147" s="160"/>
      <c r="R147" s="159"/>
    </row>
    <row r="148" spans="1:18" s="136" customFormat="1" ht="15.75" customHeight="1" x14ac:dyDescent="0.2">
      <c r="A148" s="619" t="s">
        <v>87</v>
      </c>
      <c r="B148" s="1012" t="str">
        <f>IF($A148="","",VLOOKUP($A148,Listes!$A$3:$C$193,2,FALSE))</f>
        <v>Peak Season</v>
      </c>
      <c r="C148" s="961"/>
      <c r="D148" s="962"/>
      <c r="E148" s="963" t="s">
        <v>51</v>
      </c>
      <c r="F148" s="964"/>
      <c r="G148" s="965"/>
      <c r="H148" s="366"/>
      <c r="I148" s="535"/>
      <c r="J148" s="535"/>
      <c r="K148" s="535"/>
      <c r="L148" s="535"/>
      <c r="M148" s="536"/>
      <c r="N148" s="160"/>
      <c r="O148" s="160"/>
      <c r="P148" s="160"/>
      <c r="Q148" s="160"/>
      <c r="R148" s="159"/>
    </row>
    <row r="149" spans="1:18" s="136" customFormat="1" ht="15.75" customHeight="1" x14ac:dyDescent="0.2">
      <c r="A149" s="619" t="s">
        <v>817</v>
      </c>
      <c r="B149" s="1011" t="str">
        <f>IF($A149="","",VLOOKUP($A149,Listes!$A$3:$C$193,2,FALSE))</f>
        <v>Reefer PTI</v>
      </c>
      <c r="C149" s="813"/>
      <c r="D149" s="813"/>
      <c r="E149" s="814" t="s">
        <v>51</v>
      </c>
      <c r="F149" s="814"/>
      <c r="G149" s="814"/>
      <c r="H149" s="366"/>
      <c r="I149" s="535"/>
      <c r="J149" s="535"/>
      <c r="K149" s="535"/>
      <c r="L149" s="535"/>
      <c r="M149" s="536"/>
      <c r="N149" s="160"/>
      <c r="O149" s="160"/>
      <c r="P149" s="160"/>
      <c r="Q149" s="160"/>
      <c r="R149" s="159"/>
    </row>
    <row r="150" spans="1:18" s="136" customFormat="1" ht="15.75" customHeight="1" x14ac:dyDescent="0.2">
      <c r="A150" s="619" t="s">
        <v>291</v>
      </c>
      <c r="B150" s="1011" t="str">
        <f>IF($A150="","",VLOOKUP($A150,Listes!$A$3:$C$193,2,FALSE))</f>
        <v>River plate &amp; EIF Surcharge / Congo River Surcharge</v>
      </c>
      <c r="C150" s="813"/>
      <c r="D150" s="813"/>
      <c r="E150" s="814" t="s">
        <v>51</v>
      </c>
      <c r="F150" s="814"/>
      <c r="G150" s="814"/>
      <c r="H150" s="366"/>
      <c r="I150" s="535"/>
      <c r="J150" s="535"/>
      <c r="K150" s="535"/>
      <c r="L150" s="535"/>
      <c r="M150" s="536"/>
      <c r="N150" s="160"/>
      <c r="O150" s="160"/>
      <c r="P150" s="160"/>
      <c r="Q150" s="160"/>
      <c r="R150" s="159"/>
    </row>
    <row r="151" spans="1:18" s="136" customFormat="1" ht="15.75" customHeight="1" x14ac:dyDescent="0.2">
      <c r="A151" s="619" t="s">
        <v>278</v>
      </c>
      <c r="B151" s="1011" t="str">
        <f>IF($A151="","",VLOOKUP($A151,Listes!$A$3:$C$193,2,FALSE))</f>
        <v>Destination Terminal Security Charge</v>
      </c>
      <c r="C151" s="813"/>
      <c r="D151" s="813"/>
      <c r="E151" s="814" t="s">
        <v>51</v>
      </c>
      <c r="F151" s="814"/>
      <c r="G151" s="814"/>
      <c r="H151" s="366"/>
      <c r="I151" s="535"/>
      <c r="J151" s="535"/>
      <c r="K151" s="535"/>
      <c r="L151" s="535"/>
      <c r="M151" s="536"/>
      <c r="N151" s="160"/>
      <c r="O151" s="160"/>
      <c r="P151" s="160"/>
      <c r="Q151" s="160"/>
      <c r="R151" s="159"/>
    </row>
    <row r="152" spans="1:18" s="136" customFormat="1" ht="15.75" customHeight="1" x14ac:dyDescent="0.2">
      <c r="A152" s="619" t="s">
        <v>277</v>
      </c>
      <c r="B152" s="1011" t="str">
        <f>IF($A152="","",VLOOKUP($A152,Listes!$A$3:$C$193,2,FALSE))</f>
        <v>Origin Terminal Security Charge</v>
      </c>
      <c r="C152" s="813"/>
      <c r="D152" s="813"/>
      <c r="E152" s="814" t="s">
        <v>51</v>
      </c>
      <c r="F152" s="814"/>
      <c r="G152" s="814"/>
      <c r="H152" s="366"/>
      <c r="I152" s="535"/>
      <c r="J152" s="535"/>
      <c r="K152" s="535"/>
      <c r="L152" s="535"/>
      <c r="M152" s="536"/>
      <c r="N152" s="160"/>
      <c r="O152" s="160"/>
      <c r="P152" s="160"/>
      <c r="Q152" s="160"/>
      <c r="R152" s="159"/>
    </row>
    <row r="153" spans="1:18" s="136" customFormat="1" ht="15.75" customHeight="1" x14ac:dyDescent="0.2">
      <c r="A153" s="619" t="s">
        <v>489</v>
      </c>
      <c r="B153" s="1011" t="str">
        <f>IF($A153="","",VLOOKUP($A153,Listes!$A$3:$C$193,2,FALSE))</f>
        <v>Shipper Owned Container Surcharge</v>
      </c>
      <c r="C153" s="813"/>
      <c r="D153" s="813"/>
      <c r="E153" s="814" t="s">
        <v>51</v>
      </c>
      <c r="F153" s="814"/>
      <c r="G153" s="814"/>
      <c r="H153" s="366"/>
      <c r="I153" s="535"/>
      <c r="J153" s="535"/>
      <c r="K153" s="535"/>
      <c r="L153" s="535"/>
      <c r="M153" s="536"/>
      <c r="N153" s="160"/>
      <c r="O153" s="160"/>
      <c r="P153" s="160"/>
      <c r="Q153" s="160"/>
      <c r="R153" s="159"/>
    </row>
    <row r="154" spans="1:18" s="136" customFormat="1" ht="15.75" customHeight="1" x14ac:dyDescent="0.2">
      <c r="A154" s="619" t="s">
        <v>1051</v>
      </c>
      <c r="B154" s="1011" t="str">
        <f>IF($A154="","",VLOOKUP($A154,Listes!$A$3:$C$193,2,FALSE))</f>
        <v>Terminal Gate In Fee</v>
      </c>
      <c r="C154" s="813"/>
      <c r="D154" s="813"/>
      <c r="E154" s="814" t="s">
        <v>51</v>
      </c>
      <c r="F154" s="814"/>
      <c r="G154" s="814"/>
      <c r="H154" s="366"/>
      <c r="I154" s="535"/>
      <c r="J154" s="535"/>
      <c r="K154" s="535"/>
      <c r="L154" s="535"/>
      <c r="M154" s="536"/>
      <c r="N154" s="160"/>
      <c r="O154" s="160"/>
      <c r="P154" s="160"/>
      <c r="Q154" s="160"/>
      <c r="R154" s="159"/>
    </row>
    <row r="155" spans="1:18" s="136" customFormat="1" ht="31.5" x14ac:dyDescent="0.2">
      <c r="A155" s="619" t="s">
        <v>368</v>
      </c>
      <c r="B155" s="1011" t="str">
        <f>IF($A155="","",VLOOKUP($A155,Listes!$A$3:$C$193,2,FALSE))</f>
        <v>Tri-Axle / Super Chassis Precarriage Surcharge</v>
      </c>
      <c r="C155" s="813"/>
      <c r="D155" s="813"/>
      <c r="E155" s="814" t="s">
        <v>51</v>
      </c>
      <c r="F155" s="814"/>
      <c r="G155" s="814"/>
      <c r="H155" s="366"/>
      <c r="I155" s="535"/>
      <c r="J155" s="535"/>
      <c r="K155" s="535"/>
      <c r="L155" s="535"/>
      <c r="M155" s="536"/>
      <c r="N155" s="160"/>
      <c r="O155" s="160"/>
      <c r="P155" s="160"/>
      <c r="Q155" s="160"/>
      <c r="R155" s="159"/>
    </row>
    <row r="156" spans="1:18" s="136" customFormat="1" ht="15.75" customHeight="1" x14ac:dyDescent="0.2">
      <c r="A156" s="619" t="s">
        <v>833</v>
      </c>
      <c r="B156" s="1011" t="str">
        <f>IF($A156="","",VLOOKUP($A156,Listes!$A$3:$C$193,2,FALSE))</f>
        <v>Wharfage (Origin)</v>
      </c>
      <c r="C156" s="813"/>
      <c r="D156" s="813"/>
      <c r="E156" s="814" t="s">
        <v>51</v>
      </c>
      <c r="F156" s="814"/>
      <c r="G156" s="814"/>
      <c r="H156" s="366"/>
      <c r="I156" s="535"/>
      <c r="J156" s="535"/>
      <c r="K156" s="535"/>
      <c r="L156" s="535"/>
      <c r="M156" s="536"/>
      <c r="N156" s="160"/>
      <c r="O156" s="160"/>
      <c r="P156" s="160"/>
      <c r="Q156" s="160"/>
      <c r="R156" s="159"/>
    </row>
    <row r="157" spans="1:18" s="136" customFormat="1" ht="16.5" thickBot="1" x14ac:dyDescent="0.25">
      <c r="A157" s="620" t="s">
        <v>870</v>
      </c>
      <c r="B157" s="1013" t="str">
        <f>IF($A157="","",VLOOKUP($A157,Listes!$A$3:$C$193,2,FALSE))</f>
        <v>Scanning by Customs, incl other examination charges</v>
      </c>
      <c r="C157" s="999"/>
      <c r="D157" s="1000"/>
      <c r="E157" s="815" t="s">
        <v>51</v>
      </c>
      <c r="F157" s="815"/>
      <c r="G157" s="815"/>
      <c r="H157" s="659"/>
      <c r="I157" s="533"/>
      <c r="J157" s="533"/>
      <c r="K157" s="533"/>
      <c r="L157" s="533"/>
      <c r="M157" s="534"/>
      <c r="N157" s="160"/>
      <c r="O157" s="160"/>
      <c r="P157" s="160"/>
      <c r="Q157" s="160"/>
      <c r="R157" s="159"/>
    </row>
    <row r="158" spans="1:18" s="73" customFormat="1" ht="16.5" thickBot="1" x14ac:dyDescent="0.25">
      <c r="A158" s="995" t="s">
        <v>216</v>
      </c>
      <c r="B158" s="996"/>
      <c r="C158" s="996"/>
      <c r="D158" s="996"/>
      <c r="E158" s="997"/>
      <c r="F158" s="997"/>
      <c r="G158" s="997"/>
      <c r="H158" s="997"/>
      <c r="I158" s="853"/>
      <c r="J158" s="169"/>
      <c r="K158" s="118"/>
      <c r="L158" s="134"/>
      <c r="M158" s="134"/>
      <c r="N158" s="134"/>
      <c r="O158" s="134"/>
      <c r="P158" s="134"/>
      <c r="Q158" s="118"/>
    </row>
    <row r="159" spans="1:18" s="73" customFormat="1" ht="16.5" thickBot="1" x14ac:dyDescent="0.25">
      <c r="A159" s="849" t="s">
        <v>597</v>
      </c>
      <c r="B159" s="833"/>
      <c r="C159" s="833"/>
      <c r="D159" s="833"/>
      <c r="E159" s="833"/>
      <c r="F159" s="833"/>
      <c r="G159" s="833"/>
      <c r="H159" s="833"/>
      <c r="I159" s="834"/>
      <c r="J159" s="169"/>
      <c r="K159" s="134"/>
      <c r="L159" s="134"/>
      <c r="M159" s="134"/>
      <c r="N159" s="134"/>
      <c r="O159" s="118"/>
    </row>
    <row r="160" spans="1:18" s="73" customFormat="1" ht="16.5" thickBot="1" x14ac:dyDescent="0.25">
      <c r="A160" s="187"/>
      <c r="B160" s="187"/>
      <c r="C160" s="188"/>
      <c r="D160" s="189"/>
      <c r="E160" s="170"/>
      <c r="F160" s="170"/>
      <c r="G160" s="170"/>
      <c r="H160" s="170"/>
      <c r="I160" s="170"/>
      <c r="J160" s="189"/>
      <c r="K160" s="169"/>
      <c r="L160" s="118"/>
      <c r="M160" s="134"/>
      <c r="N160" s="134"/>
      <c r="O160" s="134"/>
      <c r="P160" s="134"/>
      <c r="Q160" s="134"/>
      <c r="R160" s="118"/>
    </row>
    <row r="161" spans="1:23" s="73" customFormat="1" ht="15.6" customHeight="1" x14ac:dyDescent="0.2">
      <c r="A161" s="830" t="s">
        <v>523</v>
      </c>
      <c r="B161" s="831"/>
      <c r="C161" s="831"/>
      <c r="D161" s="831"/>
      <c r="E161" s="842" t="s">
        <v>288</v>
      </c>
      <c r="F161" s="842">
        <v>20</v>
      </c>
      <c r="G161" s="842">
        <v>40</v>
      </c>
      <c r="H161" s="842" t="s">
        <v>19</v>
      </c>
      <c r="I161" s="842" t="s">
        <v>20</v>
      </c>
      <c r="J161" s="848" t="s">
        <v>297</v>
      </c>
      <c r="K161" s="848" t="s">
        <v>33</v>
      </c>
      <c r="L161" s="846" t="s">
        <v>217</v>
      </c>
      <c r="M161" s="189"/>
      <c r="N161" s="134"/>
      <c r="O161" s="134"/>
      <c r="P161" s="134"/>
      <c r="Q161" s="134"/>
      <c r="R161" s="134"/>
      <c r="S161" s="134"/>
      <c r="T161" s="134"/>
      <c r="U161" s="134"/>
    </row>
    <row r="162" spans="1:23" s="73" customFormat="1" x14ac:dyDescent="0.2">
      <c r="A162" s="537" t="s">
        <v>218</v>
      </c>
      <c r="B162" s="538" t="s">
        <v>11</v>
      </c>
      <c r="C162" s="538" t="s">
        <v>12</v>
      </c>
      <c r="D162" s="538" t="s">
        <v>219</v>
      </c>
      <c r="E162" s="843"/>
      <c r="F162" s="843"/>
      <c r="G162" s="843"/>
      <c r="H162" s="843"/>
      <c r="I162" s="843"/>
      <c r="J162" s="843"/>
      <c r="K162" s="843"/>
      <c r="L162" s="847"/>
      <c r="M162" s="189"/>
      <c r="N162" s="134"/>
      <c r="O162" s="134"/>
      <c r="P162" s="134"/>
      <c r="Q162" s="134"/>
      <c r="R162" s="134"/>
      <c r="S162" s="134"/>
      <c r="T162" s="134"/>
      <c r="U162" s="134"/>
    </row>
    <row r="163" spans="1:23" s="136" customFormat="1" x14ac:dyDescent="0.2">
      <c r="A163" s="539"/>
      <c r="B163" s="540"/>
      <c r="C163" s="540"/>
      <c r="D163" s="540"/>
      <c r="E163" s="540"/>
      <c r="F163" s="255"/>
      <c r="G163" s="255"/>
      <c r="H163" s="255"/>
      <c r="I163" s="255"/>
      <c r="J163" s="540"/>
      <c r="K163" s="21"/>
      <c r="L163" s="541"/>
      <c r="M163" s="190"/>
      <c r="N163" s="160"/>
      <c r="O163" s="160"/>
      <c r="P163" s="160"/>
      <c r="Q163" s="160"/>
      <c r="R163" s="160"/>
      <c r="S163" s="160"/>
      <c r="T163" s="160"/>
      <c r="U163" s="160"/>
    </row>
    <row r="164" spans="1:23" s="136" customFormat="1" x14ac:dyDescent="0.2">
      <c r="A164" s="542"/>
      <c r="B164" s="540"/>
      <c r="C164" s="540"/>
      <c r="D164" s="540"/>
      <c r="E164" s="540"/>
      <c r="F164" s="255"/>
      <c r="G164" s="255"/>
      <c r="H164" s="255"/>
      <c r="I164" s="255"/>
      <c r="J164" s="24"/>
      <c r="K164" s="21"/>
      <c r="L164" s="25"/>
      <c r="M164" s="191"/>
      <c r="N164" s="160"/>
      <c r="O164" s="160"/>
      <c r="P164" s="160"/>
      <c r="Q164" s="160"/>
      <c r="R164" s="160"/>
      <c r="S164" s="160"/>
      <c r="T164" s="160"/>
      <c r="U164" s="160"/>
    </row>
    <row r="165" spans="1:23" s="136" customFormat="1" x14ac:dyDescent="0.2">
      <c r="A165" s="542"/>
      <c r="B165" s="540"/>
      <c r="C165" s="540"/>
      <c r="D165" s="540"/>
      <c r="E165" s="540"/>
      <c r="F165" s="255"/>
      <c r="G165" s="255"/>
      <c r="H165" s="255"/>
      <c r="I165" s="255"/>
      <c r="J165" s="24"/>
      <c r="K165" s="21"/>
      <c r="L165" s="25"/>
      <c r="M165" s="191"/>
      <c r="N165" s="160"/>
      <c r="O165" s="160"/>
      <c r="P165" s="160"/>
      <c r="Q165" s="160"/>
      <c r="R165" s="160"/>
      <c r="S165" s="160"/>
      <c r="T165" s="160"/>
      <c r="U165" s="160"/>
    </row>
    <row r="166" spans="1:23" s="136" customFormat="1" ht="16.5" thickBot="1" x14ac:dyDescent="0.25">
      <c r="A166" s="543"/>
      <c r="B166" s="544"/>
      <c r="C166" s="544"/>
      <c r="D166" s="544"/>
      <c r="E166" s="544"/>
      <c r="F166" s="256"/>
      <c r="G166" s="256"/>
      <c r="H166" s="256"/>
      <c r="I166" s="256"/>
      <c r="J166" s="28"/>
      <c r="K166" s="29"/>
      <c r="L166" s="30"/>
      <c r="M166" s="191"/>
      <c r="N166" s="160"/>
      <c r="O166" s="160"/>
      <c r="P166" s="160"/>
      <c r="Q166" s="160"/>
      <c r="R166" s="160"/>
      <c r="S166" s="160"/>
      <c r="T166" s="160"/>
      <c r="U166" s="160"/>
    </row>
    <row r="167" spans="1:23" s="136" customFormat="1" x14ac:dyDescent="0.2">
      <c r="A167" s="173"/>
      <c r="B167" s="545"/>
      <c r="C167" s="545"/>
      <c r="D167" s="545"/>
      <c r="E167" s="545"/>
      <c r="F167" s="545"/>
      <c r="G167" s="545"/>
      <c r="H167" s="545"/>
      <c r="I167" s="545"/>
      <c r="J167" s="33"/>
      <c r="K167" s="33"/>
      <c r="L167" s="34"/>
      <c r="M167" s="191"/>
      <c r="N167" s="160"/>
      <c r="O167" s="160"/>
      <c r="P167" s="160"/>
      <c r="Q167" s="160"/>
      <c r="R167" s="160"/>
      <c r="S167" s="160"/>
      <c r="T167" s="160"/>
      <c r="U167" s="160"/>
    </row>
    <row r="168" spans="1:23" s="73" customFormat="1" ht="15.6" customHeight="1" x14ac:dyDescent="0.2">
      <c r="A168" s="841" t="s">
        <v>596</v>
      </c>
      <c r="B168" s="840"/>
      <c r="C168" s="840"/>
      <c r="D168" s="840"/>
      <c r="E168" s="840" t="s">
        <v>288</v>
      </c>
      <c r="F168" s="840">
        <v>20</v>
      </c>
      <c r="G168" s="840">
        <v>40</v>
      </c>
      <c r="H168" s="840" t="s">
        <v>19</v>
      </c>
      <c r="I168" s="840" t="s">
        <v>20</v>
      </c>
      <c r="J168" s="845" t="s">
        <v>297</v>
      </c>
      <c r="K168" s="845" t="s">
        <v>33</v>
      </c>
      <c r="L168" s="844" t="s">
        <v>217</v>
      </c>
      <c r="M168" s="844" t="s">
        <v>23</v>
      </c>
      <c r="N168" s="169"/>
      <c r="O168" s="118"/>
      <c r="P168" s="134"/>
      <c r="Q168" s="134"/>
      <c r="R168" s="134"/>
      <c r="S168" s="134"/>
      <c r="T168" s="134"/>
      <c r="U168" s="134"/>
      <c r="V168" s="134"/>
      <c r="W168" s="134"/>
    </row>
    <row r="169" spans="1:23" s="73" customFormat="1" x14ac:dyDescent="0.2">
      <c r="A169" s="546" t="s">
        <v>218</v>
      </c>
      <c r="B169" s="546" t="s">
        <v>11</v>
      </c>
      <c r="C169" s="546" t="s">
        <v>12</v>
      </c>
      <c r="D169" s="546" t="s">
        <v>219</v>
      </c>
      <c r="E169" s="840"/>
      <c r="F169" s="840"/>
      <c r="G169" s="840"/>
      <c r="H169" s="840"/>
      <c r="I169" s="840"/>
      <c r="J169" s="840"/>
      <c r="K169" s="840"/>
      <c r="L169" s="844"/>
      <c r="M169" s="844"/>
      <c r="N169" s="169"/>
      <c r="O169" s="118"/>
      <c r="P169" s="134"/>
      <c r="Q169" s="134"/>
      <c r="R169" s="134"/>
      <c r="S169" s="134"/>
      <c r="T169" s="134"/>
      <c r="U169" s="134"/>
      <c r="V169" s="134"/>
      <c r="W169" s="134"/>
    </row>
    <row r="170" spans="1:23" s="136" customFormat="1" x14ac:dyDescent="0.2">
      <c r="A170" s="372"/>
      <c r="B170" s="547"/>
      <c r="C170" s="547"/>
      <c r="D170" s="547"/>
      <c r="E170" s="547"/>
      <c r="F170" s="368"/>
      <c r="G170" s="368"/>
      <c r="H170" s="368"/>
      <c r="I170" s="368"/>
      <c r="J170" s="369"/>
      <c r="K170" s="370"/>
      <c r="L170" s="548"/>
      <c r="M170" s="548"/>
      <c r="N170" s="192"/>
      <c r="O170" s="159"/>
      <c r="P170" s="160"/>
      <c r="Q170" s="160"/>
      <c r="R170" s="160"/>
      <c r="S170" s="160"/>
      <c r="T170" s="160"/>
      <c r="U170" s="160"/>
      <c r="V170" s="160"/>
      <c r="W170" s="160"/>
    </row>
    <row r="171" spans="1:23" s="136" customFormat="1" x14ac:dyDescent="0.2">
      <c r="A171" s="372"/>
      <c r="B171" s="547"/>
      <c r="C171" s="547"/>
      <c r="D171" s="547"/>
      <c r="E171" s="547"/>
      <c r="F171" s="368"/>
      <c r="G171" s="368"/>
      <c r="H171" s="368"/>
      <c r="I171" s="368"/>
      <c r="J171" s="369"/>
      <c r="K171" s="370"/>
      <c r="L171" s="548"/>
      <c r="M171" s="548"/>
      <c r="N171" s="192"/>
      <c r="O171" s="159"/>
      <c r="P171" s="160"/>
      <c r="Q171" s="160"/>
      <c r="R171" s="160"/>
      <c r="S171" s="160"/>
      <c r="T171" s="160"/>
      <c r="U171" s="160"/>
      <c r="V171" s="160"/>
      <c r="W171" s="160"/>
    </row>
    <row r="172" spans="1:23" s="136" customFormat="1" x14ac:dyDescent="0.2">
      <c r="A172" s="372"/>
      <c r="B172" s="547"/>
      <c r="C172" s="547"/>
      <c r="D172" s="547"/>
      <c r="E172" s="547"/>
      <c r="F172" s="368"/>
      <c r="G172" s="368"/>
      <c r="H172" s="368"/>
      <c r="I172" s="368"/>
      <c r="J172" s="369"/>
      <c r="K172" s="370"/>
      <c r="L172" s="548"/>
      <c r="M172" s="548"/>
      <c r="N172" s="192"/>
      <c r="O172" s="159"/>
      <c r="P172" s="160"/>
      <c r="Q172" s="160"/>
      <c r="R172" s="160"/>
      <c r="S172" s="160"/>
      <c r="T172" s="160"/>
      <c r="U172" s="160"/>
      <c r="V172" s="160"/>
      <c r="W172" s="160"/>
    </row>
    <row r="173" spans="1:23" s="136" customFormat="1" x14ac:dyDescent="0.2">
      <c r="A173" s="372"/>
      <c r="B173" s="547"/>
      <c r="C173" s="547"/>
      <c r="D173" s="547"/>
      <c r="E173" s="547"/>
      <c r="F173" s="368"/>
      <c r="G173" s="368"/>
      <c r="H173" s="368"/>
      <c r="I173" s="368"/>
      <c r="J173" s="369"/>
      <c r="K173" s="370"/>
      <c r="L173" s="373"/>
      <c r="M173" s="373"/>
      <c r="N173" s="191"/>
      <c r="O173" s="159"/>
      <c r="P173" s="160"/>
      <c r="Q173" s="160"/>
      <c r="R173" s="160"/>
      <c r="S173" s="160"/>
      <c r="T173" s="160"/>
      <c r="U173" s="160"/>
      <c r="V173" s="160"/>
      <c r="W173" s="160"/>
    </row>
    <row r="174" spans="1:23" s="73" customFormat="1" x14ac:dyDescent="0.2">
      <c r="A174" s="456"/>
      <c r="B174" s="549"/>
      <c r="C174" s="549"/>
      <c r="D174" s="549"/>
      <c r="E174" s="549"/>
      <c r="F174" s="194"/>
      <c r="G174" s="522"/>
      <c r="H174" s="195"/>
      <c r="I174" s="195"/>
      <c r="J174" s="176"/>
      <c r="K174" s="118"/>
      <c r="L174" s="134"/>
      <c r="M174" s="134"/>
      <c r="N174" s="134"/>
      <c r="O174" s="134"/>
      <c r="P174" s="134"/>
      <c r="Q174" s="134"/>
    </row>
    <row r="175" spans="1:23" s="456" customFormat="1" ht="16.5" thickBot="1" x14ac:dyDescent="0.25">
      <c r="A175" s="196"/>
      <c r="B175" s="197"/>
      <c r="C175" s="198"/>
      <c r="D175" s="198"/>
      <c r="E175" s="169"/>
      <c r="F175" s="176"/>
      <c r="G175" s="176"/>
      <c r="H175" s="176"/>
      <c r="I175" s="176"/>
      <c r="J175" s="170"/>
      <c r="K175" s="118"/>
      <c r="L175" s="134"/>
      <c r="M175" s="134"/>
      <c r="N175" s="134"/>
      <c r="O175" s="134"/>
      <c r="P175" s="134"/>
      <c r="Q175" s="134"/>
      <c r="R175" s="134"/>
      <c r="S175" s="118"/>
      <c r="T175" s="118"/>
      <c r="U175" s="118"/>
    </row>
    <row r="176" spans="1:23" s="456" customFormat="1" ht="16.5" thickBot="1" x14ac:dyDescent="0.25">
      <c r="A176" s="822" t="s">
        <v>220</v>
      </c>
      <c r="B176" s="823"/>
      <c r="C176" s="823"/>
      <c r="D176" s="823"/>
      <c r="E176" s="824"/>
      <c r="F176" s="176"/>
      <c r="G176" s="176"/>
      <c r="H176" s="176"/>
      <c r="I176" s="176"/>
      <c r="J176" s="170"/>
      <c r="K176" s="118"/>
      <c r="L176" s="134"/>
      <c r="M176" s="134"/>
      <c r="N176" s="134"/>
      <c r="O176" s="134"/>
      <c r="P176" s="134"/>
      <c r="Q176" s="134"/>
      <c r="R176" s="134"/>
      <c r="S176" s="118"/>
      <c r="T176" s="118"/>
      <c r="U176" s="118"/>
    </row>
    <row r="177" spans="1:21" s="73" customFormat="1" ht="16.5" thickBot="1" x14ac:dyDescent="0.25">
      <c r="A177" s="550"/>
      <c r="B177" s="456"/>
      <c r="C177" s="456"/>
      <c r="D177" s="456"/>
      <c r="E177" s="456"/>
      <c r="F177" s="194"/>
      <c r="G177" s="456"/>
      <c r="H177" s="200"/>
      <c r="I177" s="194"/>
      <c r="J177" s="194"/>
      <c r="K177" s="118"/>
      <c r="L177" s="134"/>
      <c r="M177" s="134"/>
      <c r="N177" s="134"/>
      <c r="O177" s="134"/>
      <c r="P177" s="134"/>
      <c r="Q177" s="134"/>
      <c r="R177" s="134"/>
      <c r="S177" s="118"/>
      <c r="T177" s="118"/>
      <c r="U177" s="118"/>
    </row>
    <row r="178" spans="1:21" s="73" customFormat="1" ht="16.5" thickBot="1" x14ac:dyDescent="0.25">
      <c r="A178" s="825" t="s">
        <v>221</v>
      </c>
      <c r="B178" s="838"/>
      <c r="C178" s="838"/>
      <c r="D178" s="838"/>
      <c r="E178" s="838"/>
      <c r="F178" s="839"/>
      <c r="G178" s="456"/>
      <c r="H178" s="200"/>
      <c r="I178" s="194"/>
      <c r="J178" s="194"/>
      <c r="K178" s="118"/>
      <c r="L178" s="134"/>
      <c r="M178" s="134"/>
      <c r="N178" s="134"/>
      <c r="O178" s="134"/>
      <c r="P178" s="134"/>
      <c r="Q178" s="134"/>
      <c r="R178" s="134"/>
      <c r="S178" s="118"/>
      <c r="T178" s="118"/>
      <c r="U178" s="118"/>
    </row>
    <row r="179" spans="1:21" s="73" customFormat="1" ht="16.5" customHeight="1" x14ac:dyDescent="0.2">
      <c r="A179" s="835" t="s">
        <v>222</v>
      </c>
      <c r="B179" s="836"/>
      <c r="C179" s="836"/>
      <c r="D179" s="836"/>
      <c r="E179" s="836"/>
      <c r="F179" s="837"/>
      <c r="G179" s="456"/>
      <c r="H179" s="201"/>
      <c r="I179" s="170"/>
      <c r="J179" s="170"/>
      <c r="K179" s="118"/>
      <c r="L179" s="134"/>
      <c r="M179" s="134"/>
      <c r="N179" s="134"/>
      <c r="O179" s="134"/>
      <c r="P179" s="134"/>
      <c r="Q179" s="134"/>
      <c r="R179" s="134"/>
      <c r="S179" s="118"/>
      <c r="T179" s="118"/>
      <c r="U179" s="118"/>
    </row>
    <row r="180" spans="1:21" ht="16.5" thickBot="1" x14ac:dyDescent="0.25">
      <c r="A180" s="832" t="s">
        <v>223</v>
      </c>
      <c r="B180" s="833"/>
      <c r="C180" s="833"/>
      <c r="D180" s="833"/>
      <c r="E180" s="833"/>
      <c r="F180" s="834"/>
      <c r="G180" s="176"/>
      <c r="H180" s="176"/>
      <c r="I180" s="176"/>
      <c r="J180" s="169"/>
      <c r="K180" s="169"/>
      <c r="L180" s="169"/>
      <c r="M180" s="169"/>
      <c r="N180" s="169"/>
      <c r="O180" s="169"/>
      <c r="P180" s="169"/>
      <c r="Q180" s="169"/>
      <c r="R180" s="169"/>
      <c r="S180" s="169"/>
      <c r="T180" s="169"/>
      <c r="U180" s="169"/>
    </row>
    <row r="181" spans="1:21" x14ac:dyDescent="0.2">
      <c r="A181" s="551" t="s">
        <v>224</v>
      </c>
      <c r="B181" s="450" t="s">
        <v>225</v>
      </c>
      <c r="C181" s="552" t="s">
        <v>226</v>
      </c>
      <c r="D181" s="553" t="s">
        <v>227</v>
      </c>
      <c r="E181" s="176"/>
      <c r="F181" s="176"/>
      <c r="G181" s="176"/>
      <c r="H181" s="169"/>
      <c r="I181" s="169"/>
      <c r="J181" s="169"/>
      <c r="K181" s="169"/>
      <c r="L181" s="169"/>
      <c r="M181" s="169"/>
      <c r="N181" s="169"/>
      <c r="O181" s="169"/>
      <c r="P181" s="169"/>
      <c r="Q181" s="169"/>
      <c r="R181" s="169"/>
    </row>
    <row r="182" spans="1:21" s="192" customFormat="1" x14ac:dyDescent="0.2">
      <c r="A182" s="203"/>
      <c r="B182" s="204" t="s">
        <v>344</v>
      </c>
      <c r="C182" s="205" t="s">
        <v>417</v>
      </c>
      <c r="D182" s="206">
        <v>1</v>
      </c>
      <c r="E182" s="191"/>
      <c r="F182" s="191"/>
      <c r="G182" s="191"/>
    </row>
    <row r="183" spans="1:21" s="192" customFormat="1" x14ac:dyDescent="0.2">
      <c r="A183" s="203"/>
      <c r="B183" s="204" t="s">
        <v>344</v>
      </c>
      <c r="C183" s="205" t="s">
        <v>418</v>
      </c>
      <c r="D183" s="206">
        <v>1.2</v>
      </c>
      <c r="E183" s="191"/>
      <c r="F183" s="191"/>
      <c r="G183" s="191"/>
    </row>
    <row r="184" spans="1:21" s="192" customFormat="1" ht="16.5" thickBot="1" x14ac:dyDescent="0.25">
      <c r="A184" s="207"/>
      <c r="B184" s="208"/>
      <c r="C184" s="209"/>
      <c r="D184" s="210"/>
      <c r="E184" s="191"/>
      <c r="F184" s="191"/>
      <c r="G184" s="191"/>
    </row>
    <row r="185" spans="1:21" ht="16.5" thickBot="1" x14ac:dyDescent="0.25"/>
    <row r="186" spans="1:21" s="73" customFormat="1" ht="16.5" thickBot="1" x14ac:dyDescent="0.25">
      <c r="A186" s="822" t="s">
        <v>228</v>
      </c>
      <c r="B186" s="823"/>
      <c r="C186" s="823"/>
      <c r="D186" s="823"/>
      <c r="E186" s="823"/>
      <c r="F186" s="823"/>
      <c r="G186" s="823"/>
      <c r="H186" s="823"/>
      <c r="I186" s="824"/>
      <c r="J186" s="169"/>
      <c r="K186" s="118"/>
      <c r="L186" s="134"/>
      <c r="M186" s="134"/>
      <c r="N186" s="134"/>
      <c r="O186" s="134"/>
      <c r="P186" s="134"/>
      <c r="Q186" s="134"/>
      <c r="R186" s="134"/>
      <c r="S186" s="118"/>
      <c r="T186" s="118"/>
      <c r="U186" s="118"/>
    </row>
    <row r="187" spans="1:21" s="73" customFormat="1" ht="16.5" thickBot="1" x14ac:dyDescent="0.25">
      <c r="A187" s="554" t="s">
        <v>229</v>
      </c>
      <c r="B187" s="213"/>
      <c r="C187" s="214"/>
      <c r="D187" s="214"/>
      <c r="E187" s="214"/>
      <c r="F187" s="214"/>
      <c r="G187" s="215"/>
      <c r="H187" s="216"/>
      <c r="I187" s="217"/>
      <c r="J187" s="170"/>
      <c r="K187" s="118"/>
      <c r="L187" s="134"/>
      <c r="M187" s="134"/>
      <c r="N187" s="134"/>
      <c r="O187" s="134"/>
      <c r="P187" s="134"/>
      <c r="Q187" s="134"/>
      <c r="R187" s="134"/>
      <c r="S187" s="118"/>
      <c r="T187" s="118"/>
      <c r="U187" s="118"/>
    </row>
    <row r="188" spans="1:21" s="218" customFormat="1" ht="158.25" customHeight="1" x14ac:dyDescent="0.2">
      <c r="A188" s="281" t="s">
        <v>473</v>
      </c>
      <c r="B188" s="827" t="s">
        <v>1063</v>
      </c>
      <c r="C188" s="828"/>
      <c r="D188" s="828"/>
      <c r="E188" s="828"/>
      <c r="F188" s="828"/>
      <c r="G188" s="828"/>
      <c r="H188" s="828"/>
      <c r="I188" s="829"/>
    </row>
    <row r="189" spans="1:21" s="218" customFormat="1" x14ac:dyDescent="0.2">
      <c r="A189" s="281"/>
      <c r="B189" s="816"/>
      <c r="C189" s="817"/>
      <c r="D189" s="817"/>
      <c r="E189" s="817"/>
      <c r="F189" s="817"/>
      <c r="G189" s="817"/>
      <c r="H189" s="817"/>
      <c r="I189" s="818"/>
    </row>
    <row r="190" spans="1:21" s="218" customFormat="1" x14ac:dyDescent="0.2">
      <c r="A190" s="281"/>
      <c r="B190" s="816"/>
      <c r="C190" s="817"/>
      <c r="D190" s="817"/>
      <c r="E190" s="817"/>
      <c r="F190" s="817"/>
      <c r="G190" s="817"/>
      <c r="H190" s="817"/>
      <c r="I190" s="818"/>
    </row>
    <row r="191" spans="1:21" s="218" customFormat="1" x14ac:dyDescent="0.2">
      <c r="A191" s="281"/>
      <c r="B191" s="816"/>
      <c r="C191" s="817"/>
      <c r="D191" s="817"/>
      <c r="E191" s="817"/>
      <c r="F191" s="817"/>
      <c r="G191" s="817"/>
      <c r="H191" s="817"/>
      <c r="I191" s="818"/>
    </row>
    <row r="192" spans="1:21" s="218" customFormat="1" x14ac:dyDescent="0.2">
      <c r="A192" s="281"/>
      <c r="B192" s="816"/>
      <c r="C192" s="817"/>
      <c r="D192" s="817"/>
      <c r="E192" s="817"/>
      <c r="F192" s="817"/>
      <c r="G192" s="817"/>
      <c r="H192" s="817"/>
      <c r="I192" s="818"/>
    </row>
    <row r="193" spans="1:9" s="218" customFormat="1" x14ac:dyDescent="0.2">
      <c r="A193" s="281"/>
      <c r="B193" s="816"/>
      <c r="C193" s="817"/>
      <c r="D193" s="817"/>
      <c r="E193" s="817"/>
      <c r="F193" s="817"/>
      <c r="G193" s="817"/>
      <c r="H193" s="817"/>
      <c r="I193" s="818"/>
    </row>
    <row r="194" spans="1:9" s="218" customFormat="1" x14ac:dyDescent="0.2">
      <c r="A194" s="281"/>
      <c r="B194" s="816"/>
      <c r="C194" s="817"/>
      <c r="D194" s="817"/>
      <c r="E194" s="817"/>
      <c r="F194" s="817"/>
      <c r="G194" s="817"/>
      <c r="H194" s="817"/>
      <c r="I194" s="818"/>
    </row>
    <row r="195" spans="1:9" s="218" customFormat="1" x14ac:dyDescent="0.2">
      <c r="A195" s="281"/>
      <c r="B195" s="816"/>
      <c r="C195" s="817"/>
      <c r="D195" s="817"/>
      <c r="E195" s="817"/>
      <c r="F195" s="817"/>
      <c r="G195" s="817"/>
      <c r="H195" s="817"/>
      <c r="I195" s="818"/>
    </row>
    <row r="196" spans="1:9" s="218" customFormat="1" x14ac:dyDescent="0.2">
      <c r="A196" s="281"/>
      <c r="B196" s="816"/>
      <c r="C196" s="817"/>
      <c r="D196" s="817"/>
      <c r="E196" s="817"/>
      <c r="F196" s="817"/>
      <c r="G196" s="817"/>
      <c r="H196" s="817"/>
      <c r="I196" s="818"/>
    </row>
    <row r="197" spans="1:9" s="218" customFormat="1" x14ac:dyDescent="0.2">
      <c r="A197" s="281"/>
      <c r="B197" s="816"/>
      <c r="C197" s="817"/>
      <c r="D197" s="817"/>
      <c r="E197" s="817"/>
      <c r="F197" s="817"/>
      <c r="G197" s="817"/>
      <c r="H197" s="817"/>
      <c r="I197" s="818"/>
    </row>
    <row r="198" spans="1:9" s="218" customFormat="1" x14ac:dyDescent="0.2">
      <c r="A198" s="281"/>
      <c r="B198" s="816"/>
      <c r="C198" s="817"/>
      <c r="D198" s="817"/>
      <c r="E198" s="817"/>
      <c r="F198" s="817"/>
      <c r="G198" s="817"/>
      <c r="H198" s="817"/>
      <c r="I198" s="818"/>
    </row>
    <row r="199" spans="1:9" s="218" customFormat="1" x14ac:dyDescent="0.2">
      <c r="A199" s="281"/>
      <c r="B199" s="816"/>
      <c r="C199" s="817"/>
      <c r="D199" s="817"/>
      <c r="E199" s="817"/>
      <c r="F199" s="817"/>
      <c r="G199" s="817"/>
      <c r="H199" s="817"/>
      <c r="I199" s="818"/>
    </row>
    <row r="200" spans="1:9" s="218" customFormat="1" x14ac:dyDescent="0.2">
      <c r="A200" s="281"/>
      <c r="B200" s="816"/>
      <c r="C200" s="817"/>
      <c r="D200" s="817"/>
      <c r="E200" s="817"/>
      <c r="F200" s="817"/>
      <c r="G200" s="817"/>
      <c r="H200" s="817"/>
      <c r="I200" s="818"/>
    </row>
    <row r="201" spans="1:9" s="218" customFormat="1" ht="16.5" thickBot="1" x14ac:dyDescent="0.25">
      <c r="A201" s="282"/>
      <c r="B201" s="819"/>
      <c r="C201" s="820"/>
      <c r="D201" s="820"/>
      <c r="E201" s="820"/>
      <c r="F201" s="820"/>
      <c r="G201" s="820"/>
      <c r="H201" s="820"/>
      <c r="I201" s="821"/>
    </row>
    <row r="203" spans="1:9" s="218" customFormat="1" x14ac:dyDescent="0.2">
      <c r="F203" s="337"/>
      <c r="G203" s="337"/>
      <c r="H203" s="337"/>
      <c r="I203" s="337"/>
    </row>
    <row r="204" spans="1:9" s="218" customFormat="1" ht="16.5" thickBot="1" x14ac:dyDescent="0.25">
      <c r="F204" s="337"/>
      <c r="G204" s="337"/>
      <c r="H204" s="337"/>
      <c r="I204" s="337"/>
    </row>
    <row r="205" spans="1:9" s="218" customFormat="1" ht="16.5" thickBot="1" x14ac:dyDescent="0.25">
      <c r="A205" s="825" t="s">
        <v>3</v>
      </c>
      <c r="B205" s="826"/>
      <c r="F205" s="337"/>
      <c r="G205" s="337"/>
      <c r="H205" s="337"/>
      <c r="I205" s="337"/>
    </row>
    <row r="206" spans="1:9" s="347" customFormat="1" ht="16.5" thickBot="1" x14ac:dyDescent="0.25">
      <c r="A206" s="338"/>
      <c r="B206" s="338"/>
      <c r="F206" s="348"/>
      <c r="G206" s="348"/>
      <c r="H206" s="348"/>
      <c r="I206" s="348"/>
    </row>
    <row r="207" spans="1:9" s="218" customFormat="1" ht="15.75" customHeight="1" thickBot="1" x14ac:dyDescent="0.25">
      <c r="A207" s="800" t="s">
        <v>2</v>
      </c>
      <c r="B207" s="801"/>
      <c r="C207" s="801"/>
      <c r="D207" s="801"/>
      <c r="E207" s="801"/>
      <c r="F207" s="801"/>
      <c r="G207" s="802"/>
      <c r="H207" s="337"/>
      <c r="I207" s="337"/>
    </row>
    <row r="208" spans="1:9" s="347" customFormat="1" ht="15.75" customHeight="1" thickBot="1" x14ac:dyDescent="0.25">
      <c r="A208" s="338"/>
      <c r="B208" s="338"/>
      <c r="C208" s="338"/>
      <c r="D208" s="338"/>
      <c r="E208" s="338"/>
      <c r="F208" s="338"/>
      <c r="G208" s="338"/>
      <c r="H208" s="348"/>
      <c r="I208" s="348"/>
    </row>
    <row r="209" spans="1:31" s="218" customFormat="1" ht="15.75" customHeight="1" thickBot="1" x14ac:dyDescent="0.25">
      <c r="A209" s="807" t="s">
        <v>1</v>
      </c>
      <c r="B209" s="808"/>
      <c r="C209" s="808"/>
      <c r="D209" s="808"/>
      <c r="E209" s="809"/>
      <c r="F209" s="339"/>
      <c r="G209" s="339"/>
      <c r="H209" s="337"/>
      <c r="I209" s="337"/>
    </row>
    <row r="210" spans="1:31" s="218" customFormat="1" x14ac:dyDescent="0.2">
      <c r="A210" s="803" t="s">
        <v>627</v>
      </c>
      <c r="B210" s="805" t="s">
        <v>888</v>
      </c>
      <c r="C210" s="786" t="s">
        <v>0</v>
      </c>
      <c r="D210" s="786" t="s">
        <v>609</v>
      </c>
      <c r="E210" s="805" t="s">
        <v>889</v>
      </c>
      <c r="F210" s="786" t="s">
        <v>436</v>
      </c>
      <c r="G210" s="786" t="s">
        <v>421</v>
      </c>
      <c r="H210" s="786" t="s">
        <v>628</v>
      </c>
      <c r="I210" s="786" t="s">
        <v>11</v>
      </c>
      <c r="J210" s="786" t="s">
        <v>12</v>
      </c>
      <c r="K210" s="786" t="s">
        <v>13</v>
      </c>
      <c r="L210" s="786" t="s">
        <v>449</v>
      </c>
      <c r="M210" s="786" t="s">
        <v>610</v>
      </c>
      <c r="N210" s="788"/>
    </row>
    <row r="211" spans="1:31" s="218" customFormat="1" ht="32.25" customHeight="1" thickBot="1" x14ac:dyDescent="0.25">
      <c r="A211" s="804"/>
      <c r="B211" s="806"/>
      <c r="C211" s="787"/>
      <c r="D211" s="787"/>
      <c r="E211" s="806"/>
      <c r="F211" s="787"/>
      <c r="G211" s="787"/>
      <c r="H211" s="787"/>
      <c r="I211" s="787"/>
      <c r="J211" s="787"/>
      <c r="K211" s="787"/>
      <c r="L211" s="787"/>
      <c r="M211" s="787"/>
      <c r="N211" s="789"/>
    </row>
    <row r="212" spans="1:31" s="218" customFormat="1" x14ac:dyDescent="0.2">
      <c r="A212" s="344"/>
      <c r="B212" s="340"/>
      <c r="C212" s="394"/>
      <c r="D212" s="340"/>
      <c r="E212" s="340"/>
      <c r="F212" s="340"/>
      <c r="G212" s="340"/>
      <c r="H212" s="340"/>
      <c r="I212" s="340"/>
      <c r="J212" s="340"/>
      <c r="K212" s="340"/>
      <c r="L212" s="661"/>
      <c r="M212" s="810"/>
      <c r="N212" s="811"/>
    </row>
    <row r="213" spans="1:31" s="218" customFormat="1" x14ac:dyDescent="0.2">
      <c r="A213" s="345"/>
      <c r="B213" s="341"/>
      <c r="C213" s="392"/>
      <c r="D213" s="341"/>
      <c r="E213" s="341"/>
      <c r="F213" s="341"/>
      <c r="G213" s="341"/>
      <c r="H213" s="341"/>
      <c r="I213" s="341"/>
      <c r="J213" s="341"/>
      <c r="K213" s="341"/>
      <c r="L213" s="662"/>
      <c r="M213" s="790"/>
      <c r="N213" s="791"/>
    </row>
    <row r="214" spans="1:31" s="218" customFormat="1" x14ac:dyDescent="0.2">
      <c r="A214" s="345"/>
      <c r="B214" s="341"/>
      <c r="C214" s="392"/>
      <c r="D214" s="341"/>
      <c r="E214" s="341"/>
      <c r="F214" s="341"/>
      <c r="G214" s="341"/>
      <c r="H214" s="341"/>
      <c r="I214" s="341"/>
      <c r="J214" s="341"/>
      <c r="K214" s="341"/>
      <c r="L214" s="662"/>
      <c r="M214" s="790"/>
      <c r="N214" s="791"/>
    </row>
    <row r="215" spans="1:31" s="218" customFormat="1" x14ac:dyDescent="0.2">
      <c r="A215" s="345"/>
      <c r="B215" s="341"/>
      <c r="C215" s="392"/>
      <c r="D215" s="341"/>
      <c r="E215" s="341"/>
      <c r="F215" s="341"/>
      <c r="G215" s="341"/>
      <c r="H215" s="341"/>
      <c r="I215" s="341"/>
      <c r="J215" s="341"/>
      <c r="K215" s="341"/>
      <c r="L215" s="662"/>
      <c r="M215" s="790"/>
      <c r="N215" s="791"/>
    </row>
    <row r="216" spans="1:31" s="218" customFormat="1" x14ac:dyDescent="0.2">
      <c r="A216" s="345"/>
      <c r="B216" s="341"/>
      <c r="C216" s="392"/>
      <c r="D216" s="341"/>
      <c r="E216" s="341"/>
      <c r="F216" s="341"/>
      <c r="G216" s="341"/>
      <c r="H216" s="341"/>
      <c r="I216" s="341"/>
      <c r="J216" s="341"/>
      <c r="K216" s="341"/>
      <c r="L216" s="662"/>
      <c r="M216" s="790"/>
      <c r="N216" s="791"/>
    </row>
    <row r="217" spans="1:31" s="218" customFormat="1" ht="16.5" thickBot="1" x14ac:dyDescent="0.25">
      <c r="A217" s="346"/>
      <c r="B217" s="342"/>
      <c r="C217" s="336"/>
      <c r="D217" s="342"/>
      <c r="E217" s="342"/>
      <c r="F217" s="342"/>
      <c r="G217" s="342"/>
      <c r="H217" s="342"/>
      <c r="I217" s="342"/>
      <c r="J217" s="342"/>
      <c r="K217" s="342"/>
      <c r="L217" s="663"/>
      <c r="M217" s="794"/>
      <c r="N217" s="795"/>
    </row>
    <row r="218" spans="1:31" s="218" customFormat="1" x14ac:dyDescent="0.2">
      <c r="F218" s="337"/>
      <c r="G218" s="337"/>
      <c r="H218" s="337"/>
      <c r="I218" s="337"/>
    </row>
    <row r="219" spans="1:31" s="218" customFormat="1" ht="16.5" thickBot="1" x14ac:dyDescent="0.25">
      <c r="F219" s="337"/>
      <c r="G219" s="337"/>
      <c r="H219" s="337"/>
      <c r="I219" s="337"/>
    </row>
    <row r="220" spans="1:31" s="218" customFormat="1" ht="16.5" thickBot="1" x14ac:dyDescent="0.25">
      <c r="A220" s="800" t="s">
        <v>790</v>
      </c>
      <c r="B220" s="801"/>
      <c r="C220" s="801"/>
      <c r="D220" s="801"/>
      <c r="E220" s="801"/>
      <c r="F220" s="801"/>
      <c r="G220" s="802"/>
      <c r="H220" s="337"/>
      <c r="I220" s="337"/>
    </row>
    <row r="221" spans="1:31" s="192" customFormat="1" ht="16.5" thickBot="1" x14ac:dyDescent="0.25">
      <c r="F221" s="191"/>
      <c r="G221" s="191"/>
      <c r="H221" s="191"/>
      <c r="I221" s="191"/>
    </row>
    <row r="222" spans="1:31" s="218" customFormat="1" ht="16.5" thickBot="1" x14ac:dyDescent="0.25">
      <c r="A222" s="807" t="s">
        <v>1</v>
      </c>
      <c r="B222" s="808"/>
      <c r="C222" s="808"/>
      <c r="D222" s="808"/>
      <c r="E222" s="808"/>
      <c r="F222" s="808"/>
      <c r="G222" s="808"/>
      <c r="H222" s="809"/>
      <c r="I222" s="337"/>
    </row>
    <row r="223" spans="1:31" s="1169" customFormat="1" ht="36.75" customHeight="1" thickBot="1" x14ac:dyDescent="0.25">
      <c r="A223" s="803" t="s">
        <v>627</v>
      </c>
      <c r="B223" s="805" t="s">
        <v>888</v>
      </c>
      <c r="C223" s="786" t="s">
        <v>0</v>
      </c>
      <c r="D223" s="786" t="s">
        <v>609</v>
      </c>
      <c r="E223" s="805" t="s">
        <v>889</v>
      </c>
      <c r="F223" s="971" t="s">
        <v>42</v>
      </c>
      <c r="G223" s="1165" t="s">
        <v>789</v>
      </c>
      <c r="H223" s="1163"/>
      <c r="I223" s="1163"/>
      <c r="J223" s="1163"/>
      <c r="K223" s="1163"/>
      <c r="L223" s="1163"/>
      <c r="M223" s="1163"/>
      <c r="N223" s="1163"/>
      <c r="O223" s="1163"/>
      <c r="P223" s="1163"/>
      <c r="Q223" s="1163"/>
      <c r="R223" s="1163"/>
      <c r="S223" s="1163"/>
      <c r="T223" s="1163"/>
      <c r="U223" s="1163"/>
      <c r="V223" s="1164"/>
      <c r="W223" s="930" t="s">
        <v>436</v>
      </c>
      <c r="X223" s="786" t="s">
        <v>421</v>
      </c>
      <c r="Y223" s="786" t="s">
        <v>628</v>
      </c>
      <c r="Z223" s="786" t="s">
        <v>11</v>
      </c>
      <c r="AA223" s="786" t="s">
        <v>12</v>
      </c>
      <c r="AB223" s="786" t="s">
        <v>13</v>
      </c>
      <c r="AC223" s="786" t="s">
        <v>449</v>
      </c>
      <c r="AD223" s="971" t="s">
        <v>610</v>
      </c>
      <c r="AE223" s="1161"/>
    </row>
    <row r="224" spans="1:31" s="1169" customFormat="1" ht="45.75" customHeight="1" thickBot="1" x14ac:dyDescent="0.25">
      <c r="A224" s="804"/>
      <c r="B224" s="806"/>
      <c r="C224" s="787"/>
      <c r="D224" s="787"/>
      <c r="E224" s="806"/>
      <c r="F224" s="787"/>
      <c r="G224" s="1186" t="s">
        <v>432</v>
      </c>
      <c r="H224" s="1186" t="s">
        <v>1380</v>
      </c>
      <c r="I224" s="1186" t="s">
        <v>1381</v>
      </c>
      <c r="J224" s="1186" t="s">
        <v>1382</v>
      </c>
      <c r="K224" s="1186" t="s">
        <v>433</v>
      </c>
      <c r="L224" s="1186" t="s">
        <v>1383</v>
      </c>
      <c r="M224" s="1182" t="s">
        <v>1386</v>
      </c>
      <c r="N224" s="1182" t="s">
        <v>1387</v>
      </c>
      <c r="O224" s="1186" t="s">
        <v>434</v>
      </c>
      <c r="P224" s="1186" t="s">
        <v>1384</v>
      </c>
      <c r="Q224" s="1182" t="s">
        <v>1388</v>
      </c>
      <c r="R224" s="1182" t="s">
        <v>1389</v>
      </c>
      <c r="S224" s="1186" t="s">
        <v>435</v>
      </c>
      <c r="T224" s="1186" t="s">
        <v>1385</v>
      </c>
      <c r="U224" s="1182" t="s">
        <v>1390</v>
      </c>
      <c r="V224" s="1182" t="s">
        <v>1391</v>
      </c>
      <c r="W224" s="959"/>
      <c r="X224" s="787"/>
      <c r="Y224" s="787"/>
      <c r="Z224" s="787"/>
      <c r="AA224" s="787"/>
      <c r="AB224" s="787"/>
      <c r="AC224" s="787"/>
      <c r="AD224" s="972"/>
      <c r="AE224" s="1162"/>
    </row>
    <row r="225" spans="1:31" s="1169" customFormat="1" x14ac:dyDescent="0.2">
      <c r="A225" s="1176"/>
      <c r="B225" s="1173"/>
      <c r="C225" s="1171"/>
      <c r="D225" s="1173"/>
      <c r="E225" s="1173"/>
      <c r="F225" s="1179"/>
      <c r="G225" s="1173"/>
      <c r="H225" s="1173"/>
      <c r="I225" s="1173"/>
      <c r="J225" s="1173"/>
      <c r="K225" s="1173"/>
      <c r="L225" s="1173"/>
      <c r="M225" s="1173"/>
      <c r="N225" s="1173"/>
      <c r="O225" s="1173"/>
      <c r="P225" s="1173"/>
      <c r="Q225" s="1173"/>
      <c r="R225" s="1173"/>
      <c r="S225" s="1173"/>
      <c r="T225" s="1173"/>
      <c r="U225" s="1173"/>
      <c r="V225" s="1173"/>
      <c r="W225" s="1173"/>
      <c r="X225" s="1173"/>
      <c r="Y225" s="1173"/>
      <c r="Z225" s="1173"/>
      <c r="AA225" s="1173"/>
      <c r="AB225" s="1173"/>
      <c r="AC225" s="1183"/>
      <c r="AD225" s="796"/>
      <c r="AE225" s="797"/>
    </row>
    <row r="226" spans="1:31" s="1169" customFormat="1" x14ac:dyDescent="0.2">
      <c r="A226" s="1177"/>
      <c r="B226" s="1174"/>
      <c r="C226" s="1170"/>
      <c r="D226" s="1174"/>
      <c r="E226" s="1174"/>
      <c r="F226" s="1180"/>
      <c r="G226" s="1174"/>
      <c r="H226" s="1174"/>
      <c r="I226" s="1174"/>
      <c r="J226" s="1174"/>
      <c r="K226" s="1174"/>
      <c r="L226" s="1174"/>
      <c r="M226" s="1174"/>
      <c r="N226" s="1174"/>
      <c r="O226" s="1174"/>
      <c r="P226" s="1174"/>
      <c r="Q226" s="1174"/>
      <c r="R226" s="1174"/>
      <c r="S226" s="1174"/>
      <c r="T226" s="1174"/>
      <c r="U226" s="1174"/>
      <c r="V226" s="1174"/>
      <c r="W226" s="1174"/>
      <c r="X226" s="1174"/>
      <c r="Y226" s="1174"/>
      <c r="Z226" s="1174"/>
      <c r="AA226" s="1174"/>
      <c r="AB226" s="1174"/>
      <c r="AC226" s="1184"/>
      <c r="AD226" s="798"/>
      <c r="AE226" s="799"/>
    </row>
    <row r="227" spans="1:31" s="1169" customFormat="1" x14ac:dyDescent="0.2">
      <c r="A227" s="1177"/>
      <c r="B227" s="1174"/>
      <c r="C227" s="1170"/>
      <c r="D227" s="1174"/>
      <c r="E227" s="1174"/>
      <c r="F227" s="1180"/>
      <c r="G227" s="1174"/>
      <c r="H227" s="1174"/>
      <c r="I227" s="1174"/>
      <c r="J227" s="1174"/>
      <c r="K227" s="1174"/>
      <c r="L227" s="1174"/>
      <c r="M227" s="1174"/>
      <c r="N227" s="1174"/>
      <c r="O227" s="1174"/>
      <c r="P227" s="1174"/>
      <c r="Q227" s="1174"/>
      <c r="R227" s="1174"/>
      <c r="S227" s="1174"/>
      <c r="T227" s="1174"/>
      <c r="U227" s="1174"/>
      <c r="V227" s="1174"/>
      <c r="W227" s="1174"/>
      <c r="X227" s="1174"/>
      <c r="Y227" s="1174"/>
      <c r="Z227" s="1174"/>
      <c r="AA227" s="1174"/>
      <c r="AB227" s="1174"/>
      <c r="AC227" s="1184"/>
      <c r="AD227" s="798"/>
      <c r="AE227" s="799"/>
    </row>
    <row r="228" spans="1:31" s="1169" customFormat="1" x14ac:dyDescent="0.2">
      <c r="A228" s="1177"/>
      <c r="B228" s="1174"/>
      <c r="C228" s="1170"/>
      <c r="D228" s="1174"/>
      <c r="E228" s="1174"/>
      <c r="F228" s="1180"/>
      <c r="G228" s="1174"/>
      <c r="H228" s="1174"/>
      <c r="I228" s="1174"/>
      <c r="J228" s="1174"/>
      <c r="K228" s="1174"/>
      <c r="L228" s="1174"/>
      <c r="M228" s="1174"/>
      <c r="N228" s="1174"/>
      <c r="O228" s="1174"/>
      <c r="P228" s="1174"/>
      <c r="Q228" s="1174"/>
      <c r="R228" s="1174"/>
      <c r="S228" s="1174"/>
      <c r="T228" s="1174"/>
      <c r="U228" s="1174"/>
      <c r="V228" s="1174"/>
      <c r="W228" s="1174"/>
      <c r="X228" s="1174"/>
      <c r="Y228" s="1174"/>
      <c r="Z228" s="1174"/>
      <c r="AA228" s="1174"/>
      <c r="AB228" s="1174"/>
      <c r="AC228" s="1184"/>
      <c r="AD228" s="798"/>
      <c r="AE228" s="799"/>
    </row>
    <row r="229" spans="1:31" s="1169" customFormat="1" x14ac:dyDescent="0.2">
      <c r="A229" s="1177"/>
      <c r="B229" s="1174"/>
      <c r="C229" s="1170"/>
      <c r="D229" s="1174"/>
      <c r="E229" s="1174"/>
      <c r="F229" s="1180"/>
      <c r="G229" s="1174"/>
      <c r="H229" s="1174"/>
      <c r="I229" s="1174"/>
      <c r="J229" s="1174"/>
      <c r="K229" s="1174"/>
      <c r="L229" s="1174"/>
      <c r="M229" s="1174"/>
      <c r="N229" s="1174"/>
      <c r="O229" s="1174"/>
      <c r="P229" s="1174"/>
      <c r="Q229" s="1174"/>
      <c r="R229" s="1174"/>
      <c r="S229" s="1174"/>
      <c r="T229" s="1174"/>
      <c r="U229" s="1174"/>
      <c r="V229" s="1174"/>
      <c r="W229" s="1174"/>
      <c r="X229" s="1174"/>
      <c r="Y229" s="1174"/>
      <c r="Z229" s="1174"/>
      <c r="AA229" s="1174"/>
      <c r="AB229" s="1174"/>
      <c r="AC229" s="1184"/>
      <c r="AD229" s="798"/>
      <c r="AE229" s="799"/>
    </row>
    <row r="230" spans="1:31" s="1169" customFormat="1" ht="16.5" thickBot="1" x14ac:dyDescent="0.25">
      <c r="A230" s="1178"/>
      <c r="B230" s="1175"/>
      <c r="C230" s="1172"/>
      <c r="D230" s="1175"/>
      <c r="E230" s="1175"/>
      <c r="F230" s="1181"/>
      <c r="G230" s="1175"/>
      <c r="H230" s="1175"/>
      <c r="I230" s="1175"/>
      <c r="J230" s="1175"/>
      <c r="K230" s="1175"/>
      <c r="L230" s="1175"/>
      <c r="M230" s="1175"/>
      <c r="N230" s="1175"/>
      <c r="O230" s="1175"/>
      <c r="P230" s="1175"/>
      <c r="Q230" s="1175"/>
      <c r="R230" s="1175"/>
      <c r="S230" s="1175"/>
      <c r="T230" s="1175"/>
      <c r="U230" s="1175"/>
      <c r="V230" s="1175"/>
      <c r="W230" s="1175"/>
      <c r="X230" s="1175"/>
      <c r="Y230" s="1175"/>
      <c r="Z230" s="1175"/>
      <c r="AA230" s="1175"/>
      <c r="AB230" s="1175"/>
      <c r="AC230" s="1185"/>
      <c r="AD230" s="792"/>
      <c r="AE230" s="793"/>
    </row>
    <row r="231" spans="1:31" s="218" customFormat="1" x14ac:dyDescent="0.2">
      <c r="F231" s="337"/>
      <c r="G231" s="337"/>
      <c r="H231" s="337"/>
      <c r="I231" s="337"/>
    </row>
    <row r="232" spans="1:31" s="218" customFormat="1" x14ac:dyDescent="0.2">
      <c r="F232" s="337"/>
      <c r="G232" s="337"/>
      <c r="H232" s="337"/>
      <c r="I232" s="337"/>
    </row>
    <row r="233" spans="1:31" s="218" customFormat="1" ht="16.5" thickBot="1" x14ac:dyDescent="0.25">
      <c r="F233" s="337"/>
      <c r="G233" s="337"/>
      <c r="H233" s="337"/>
      <c r="I233" s="337"/>
    </row>
    <row r="234" spans="1:31" ht="16.5" thickBot="1" x14ac:dyDescent="0.25">
      <c r="A234" s="555" t="s">
        <v>454</v>
      </c>
      <c r="B234" s="556" t="s">
        <v>455</v>
      </c>
    </row>
    <row r="235" spans="1:31" x14ac:dyDescent="0.2">
      <c r="A235" s="450" t="s">
        <v>456</v>
      </c>
      <c r="B235" s="557" t="s">
        <v>51</v>
      </c>
    </row>
    <row r="236" spans="1:31" x14ac:dyDescent="0.2">
      <c r="A236" s="558" t="s">
        <v>65</v>
      </c>
      <c r="B236" s="559" t="s">
        <v>51</v>
      </c>
    </row>
    <row r="237" spans="1:31" x14ac:dyDescent="0.2">
      <c r="A237" s="558" t="s">
        <v>257</v>
      </c>
      <c r="B237" s="559" t="s">
        <v>51</v>
      </c>
    </row>
    <row r="238" spans="1:31" x14ac:dyDescent="0.2">
      <c r="A238" s="558" t="s">
        <v>258</v>
      </c>
      <c r="B238" s="559" t="s">
        <v>51</v>
      </c>
    </row>
    <row r="239" spans="1:31" x14ac:dyDescent="0.2">
      <c r="A239" s="558" t="s">
        <v>259</v>
      </c>
      <c r="B239" s="559" t="s">
        <v>53</v>
      </c>
    </row>
    <row r="240" spans="1:31" x14ac:dyDescent="0.2">
      <c r="A240" s="558" t="s">
        <v>281</v>
      </c>
      <c r="B240" s="559" t="s">
        <v>53</v>
      </c>
    </row>
    <row r="241" spans="1:9" x14ac:dyDescent="0.2">
      <c r="A241" s="560" t="s">
        <v>279</v>
      </c>
      <c r="B241" s="559" t="s">
        <v>53</v>
      </c>
    </row>
    <row r="242" spans="1:9" x14ac:dyDescent="0.2">
      <c r="A242" s="560" t="s">
        <v>457</v>
      </c>
      <c r="B242" s="559" t="s">
        <v>53</v>
      </c>
      <c r="F242" s="69"/>
      <c r="G242" s="69"/>
      <c r="H242" s="69"/>
      <c r="I242" s="69"/>
    </row>
    <row r="243" spans="1:9" ht="16.5" thickBot="1" x14ac:dyDescent="0.25">
      <c r="A243" s="561" t="s">
        <v>460</v>
      </c>
      <c r="B243" s="562" t="s">
        <v>51</v>
      </c>
      <c r="F243" s="69"/>
      <c r="G243" s="69"/>
      <c r="H243" s="69"/>
      <c r="I243" s="69"/>
    </row>
  </sheetData>
  <sheetProtection formatCells="0" formatColumns="0" formatRows="0" insertColumns="0" insertRows="0" deleteColumns="0" deleteRows="0" sort="0" autoFilter="0"/>
  <autoFilter ref="A30:BB30" xr:uid="{245FB3C7-D0B1-44FB-A347-68C1A540E074}"/>
  <sortState xmlns:xlrd2="http://schemas.microsoft.com/office/spreadsheetml/2017/richdata2" ref="A106:A151">
    <sortCondition ref="A151"/>
  </sortState>
  <dataConsolidate>
    <dataRefs count="2">
      <dataRef ref="B9" sheet="APPENDIX B-1  (FE - USWC)"/>
      <dataRef ref="A14:A18" sheet="APPENDIX B-1  (FE - USWC)"/>
    </dataRefs>
  </dataConsolidate>
  <mergeCells count="295">
    <mergeCell ref="AD226:AE226"/>
    <mergeCell ref="AD227:AE227"/>
    <mergeCell ref="AD228:AE228"/>
    <mergeCell ref="AD229:AE229"/>
    <mergeCell ref="AD230:AE230"/>
    <mergeCell ref="W223:W224"/>
    <mergeCell ref="X223:X224"/>
    <mergeCell ref="Y223:Y224"/>
    <mergeCell ref="Z223:Z224"/>
    <mergeCell ref="AA223:AA224"/>
    <mergeCell ref="AB223:AB224"/>
    <mergeCell ref="AC223:AC224"/>
    <mergeCell ref="AD223:AE224"/>
    <mergeCell ref="AD225:AE225"/>
    <mergeCell ref="B134:D134"/>
    <mergeCell ref="E134:G134"/>
    <mergeCell ref="B135:D135"/>
    <mergeCell ref="E135:G135"/>
    <mergeCell ref="B156:D156"/>
    <mergeCell ref="E156:G156"/>
    <mergeCell ref="B157:D157"/>
    <mergeCell ref="E150:G150"/>
    <mergeCell ref="B151:D151"/>
    <mergeCell ref="E151:G151"/>
    <mergeCell ref="B152:D152"/>
    <mergeCell ref="E152:G152"/>
    <mergeCell ref="E154:G154"/>
    <mergeCell ref="B155:D155"/>
    <mergeCell ref="E155:G155"/>
    <mergeCell ref="B146:D146"/>
    <mergeCell ref="E146:G146"/>
    <mergeCell ref="B142:D142"/>
    <mergeCell ref="E142:G142"/>
    <mergeCell ref="B147:D147"/>
    <mergeCell ref="E147:G147"/>
    <mergeCell ref="B148:D148"/>
    <mergeCell ref="E148:G148"/>
    <mergeCell ref="B145:D145"/>
    <mergeCell ref="E143:G143"/>
    <mergeCell ref="B144:D144"/>
    <mergeCell ref="E144:G144"/>
    <mergeCell ref="B140:D140"/>
    <mergeCell ref="E140:G140"/>
    <mergeCell ref="B136:D136"/>
    <mergeCell ref="E136:G136"/>
    <mergeCell ref="B138:D138"/>
    <mergeCell ref="E138:G138"/>
    <mergeCell ref="B139:D139"/>
    <mergeCell ref="E139:G139"/>
    <mergeCell ref="B143:D143"/>
    <mergeCell ref="B137:D137"/>
    <mergeCell ref="E137:G137"/>
    <mergeCell ref="B141:D141"/>
    <mergeCell ref="E141:G141"/>
    <mergeCell ref="B188:I188"/>
    <mergeCell ref="B189:I189"/>
    <mergeCell ref="B190:I190"/>
    <mergeCell ref="B191:I191"/>
    <mergeCell ref="B192:I192"/>
    <mergeCell ref="B193:I193"/>
    <mergeCell ref="B194:I194"/>
    <mergeCell ref="E145:G145"/>
    <mergeCell ref="B154:D154"/>
    <mergeCell ref="H168:H169"/>
    <mergeCell ref="I168:I169"/>
    <mergeCell ref="I161:I162"/>
    <mergeCell ref="A168:D168"/>
    <mergeCell ref="A176:E176"/>
    <mergeCell ref="A178:F178"/>
    <mergeCell ref="H161:H162"/>
    <mergeCell ref="E157:G157"/>
    <mergeCell ref="A159:I159"/>
    <mergeCell ref="B153:D153"/>
    <mergeCell ref="E153:G153"/>
    <mergeCell ref="B149:D149"/>
    <mergeCell ref="E149:G149"/>
    <mergeCell ref="B150:D150"/>
    <mergeCell ref="A158:I158"/>
    <mergeCell ref="L161:L162"/>
    <mergeCell ref="K210:K211"/>
    <mergeCell ref="M210:N211"/>
    <mergeCell ref="B198:I198"/>
    <mergeCell ref="B199:I199"/>
    <mergeCell ref="G210:G211"/>
    <mergeCell ref="H210:H211"/>
    <mergeCell ref="I210:I211"/>
    <mergeCell ref="L168:L169"/>
    <mergeCell ref="A161:D161"/>
    <mergeCell ref="E161:E162"/>
    <mergeCell ref="F161:F162"/>
    <mergeCell ref="G161:G162"/>
    <mergeCell ref="J168:J169"/>
    <mergeCell ref="K168:K169"/>
    <mergeCell ref="J161:J162"/>
    <mergeCell ref="K161:K162"/>
    <mergeCell ref="E168:E169"/>
    <mergeCell ref="F168:F169"/>
    <mergeCell ref="G168:G169"/>
    <mergeCell ref="M168:M169"/>
    <mergeCell ref="A179:F179"/>
    <mergeCell ref="A180:F180"/>
    <mergeCell ref="A186:I186"/>
    <mergeCell ref="M213:N213"/>
    <mergeCell ref="M214:N214"/>
    <mergeCell ref="M215:N215"/>
    <mergeCell ref="M216:N216"/>
    <mergeCell ref="M217:N217"/>
    <mergeCell ref="B200:I200"/>
    <mergeCell ref="B201:I201"/>
    <mergeCell ref="A205:B205"/>
    <mergeCell ref="B195:I195"/>
    <mergeCell ref="B196:I196"/>
    <mergeCell ref="B197:I197"/>
    <mergeCell ref="A207:G207"/>
    <mergeCell ref="A209:E209"/>
    <mergeCell ref="M212:N212"/>
    <mergeCell ref="J210:J211"/>
    <mergeCell ref="A210:A211"/>
    <mergeCell ref="B210:B211"/>
    <mergeCell ref="C210:C211"/>
    <mergeCell ref="D210:D211"/>
    <mergeCell ref="E210:E211"/>
    <mergeCell ref="F210:F211"/>
    <mergeCell ref="L210:L211"/>
    <mergeCell ref="A220:G220"/>
    <mergeCell ref="A222:H222"/>
    <mergeCell ref="A223:A224"/>
    <mergeCell ref="B223:B224"/>
    <mergeCell ref="C223:C224"/>
    <mergeCell ref="D223:D224"/>
    <mergeCell ref="E223:E224"/>
    <mergeCell ref="F223:F224"/>
    <mergeCell ref="G223:V223"/>
    <mergeCell ref="B122:D122"/>
    <mergeCell ref="E122:G122"/>
    <mergeCell ref="B121:D121"/>
    <mergeCell ref="E121:G121"/>
    <mergeCell ref="B126:D126"/>
    <mergeCell ref="E126:G126"/>
    <mergeCell ref="B127:D127"/>
    <mergeCell ref="E127:G127"/>
    <mergeCell ref="B124:D124"/>
    <mergeCell ref="E124:G124"/>
    <mergeCell ref="B123:D123"/>
    <mergeCell ref="E123:G123"/>
    <mergeCell ref="B125:D125"/>
    <mergeCell ref="E125:G125"/>
    <mergeCell ref="B128:D128"/>
    <mergeCell ref="E128:G128"/>
    <mergeCell ref="B131:D131"/>
    <mergeCell ref="E131:G131"/>
    <mergeCell ref="B133:D133"/>
    <mergeCell ref="E133:G133"/>
    <mergeCell ref="B129:D129"/>
    <mergeCell ref="E129:G129"/>
    <mergeCell ref="B130:D130"/>
    <mergeCell ref="E130:G130"/>
    <mergeCell ref="B132:D132"/>
    <mergeCell ref="E132:G132"/>
    <mergeCell ref="B115:D115"/>
    <mergeCell ref="E115:G115"/>
    <mergeCell ref="B120:D120"/>
    <mergeCell ref="E120:G120"/>
    <mergeCell ref="B110:D110"/>
    <mergeCell ref="E110:G110"/>
    <mergeCell ref="B118:D118"/>
    <mergeCell ref="E118:G118"/>
    <mergeCell ref="B119:D119"/>
    <mergeCell ref="E119:G119"/>
    <mergeCell ref="B117:D117"/>
    <mergeCell ref="E117:G117"/>
    <mergeCell ref="B114:D114"/>
    <mergeCell ref="E114:G114"/>
    <mergeCell ref="B111:D111"/>
    <mergeCell ref="E111:G111"/>
    <mergeCell ref="B112:D112"/>
    <mergeCell ref="E112:G112"/>
    <mergeCell ref="B113:D113"/>
    <mergeCell ref="E113:G113"/>
    <mergeCell ref="B116:D116"/>
    <mergeCell ref="E116:G116"/>
    <mergeCell ref="K106:K108"/>
    <mergeCell ref="L106:L108"/>
    <mergeCell ref="M106:M108"/>
    <mergeCell ref="A107:G107"/>
    <mergeCell ref="A108:G108"/>
    <mergeCell ref="B109:D109"/>
    <mergeCell ref="E109:G109"/>
    <mergeCell ref="I106:I108"/>
    <mergeCell ref="J106:J108"/>
    <mergeCell ref="H106:H108"/>
    <mergeCell ref="AB64:AB65"/>
    <mergeCell ref="AC64:AC65"/>
    <mergeCell ref="B85:D85"/>
    <mergeCell ref="L64:L65"/>
    <mergeCell ref="M64:M65"/>
    <mergeCell ref="Z64:Z65"/>
    <mergeCell ref="AA64:AA65"/>
    <mergeCell ref="B96:D96"/>
    <mergeCell ref="B97:D97"/>
    <mergeCell ref="I64:I65"/>
    <mergeCell ref="J64:J65"/>
    <mergeCell ref="K64:K65"/>
    <mergeCell ref="F64:F65"/>
    <mergeCell ref="G64:G65"/>
    <mergeCell ref="H64:H65"/>
    <mergeCell ref="A88:C88"/>
    <mergeCell ref="A89:C89"/>
    <mergeCell ref="A73:C73"/>
    <mergeCell ref="A74:C74"/>
    <mergeCell ref="B81:D81"/>
    <mergeCell ref="B82:D82"/>
    <mergeCell ref="X55:X56"/>
    <mergeCell ref="X30:X31"/>
    <mergeCell ref="Y30:Y31"/>
    <mergeCell ref="Z30:Z31"/>
    <mergeCell ref="AA30:AA31"/>
    <mergeCell ref="Y55:Y56"/>
    <mergeCell ref="Z55:Z56"/>
    <mergeCell ref="AA55:AA56"/>
    <mergeCell ref="K30:K31"/>
    <mergeCell ref="L30:L31"/>
    <mergeCell ref="K55:K56"/>
    <mergeCell ref="B22:H22"/>
    <mergeCell ref="B23:H23"/>
    <mergeCell ref="G30:G31"/>
    <mergeCell ref="H30:H31"/>
    <mergeCell ref="F30:F31"/>
    <mergeCell ref="L13:M13"/>
    <mergeCell ref="B14:I14"/>
    <mergeCell ref="J14:K14"/>
    <mergeCell ref="L14:M14"/>
    <mergeCell ref="B15:I15"/>
    <mergeCell ref="J15:K15"/>
    <mergeCell ref="B24:H24"/>
    <mergeCell ref="L15:M15"/>
    <mergeCell ref="B16:I16"/>
    <mergeCell ref="B17:I17"/>
    <mergeCell ref="J17:K17"/>
    <mergeCell ref="L17:M17"/>
    <mergeCell ref="B20:H20"/>
    <mergeCell ref="B21:H21"/>
    <mergeCell ref="I30:I31"/>
    <mergeCell ref="A1:B1"/>
    <mergeCell ref="C1:F1"/>
    <mergeCell ref="A2:B2"/>
    <mergeCell ref="C2:F2"/>
    <mergeCell ref="A3:B3"/>
    <mergeCell ref="C3:F3"/>
    <mergeCell ref="J16:K16"/>
    <mergeCell ref="L16:M16"/>
    <mergeCell ref="A6:B6"/>
    <mergeCell ref="C6:F6"/>
    <mergeCell ref="A7:B7"/>
    <mergeCell ref="C7:F7"/>
    <mergeCell ref="A8:B8"/>
    <mergeCell ref="C8:F8"/>
    <mergeCell ref="C4:F4"/>
    <mergeCell ref="A5:B5"/>
    <mergeCell ref="C5:F5"/>
    <mergeCell ref="A12:J12"/>
    <mergeCell ref="B13:I13"/>
    <mergeCell ref="J13:K13"/>
    <mergeCell ref="A4:B4"/>
    <mergeCell ref="J55:J56"/>
    <mergeCell ref="J30:J31"/>
    <mergeCell ref="A64:A65"/>
    <mergeCell ref="B64:B65"/>
    <mergeCell ref="C64:C65"/>
    <mergeCell ref="D64:D65"/>
    <mergeCell ref="E64:E65"/>
    <mergeCell ref="A55:A56"/>
    <mergeCell ref="B55:B56"/>
    <mergeCell ref="C55:C56"/>
    <mergeCell ref="D55:D56"/>
    <mergeCell ref="E55:E56"/>
    <mergeCell ref="F55:F56"/>
    <mergeCell ref="B30:B31"/>
    <mergeCell ref="C30:C31"/>
    <mergeCell ref="D30:D31"/>
    <mergeCell ref="E30:E31"/>
    <mergeCell ref="A30:A31"/>
    <mergeCell ref="A63:D63"/>
    <mergeCell ref="G55:G56"/>
    <mergeCell ref="H55:H56"/>
    <mergeCell ref="I55:I56"/>
    <mergeCell ref="A102:I102"/>
    <mergeCell ref="B83:D83"/>
    <mergeCell ref="B84:D84"/>
    <mergeCell ref="A106:G106"/>
    <mergeCell ref="B99:D99"/>
    <mergeCell ref="B100:D100"/>
    <mergeCell ref="A103:I103"/>
    <mergeCell ref="B98:D98"/>
    <mergeCell ref="B104:I104"/>
  </mergeCells>
  <dataValidations count="33">
    <dataValidation type="list" allowBlank="1" showInputMessage="1" showErrorMessage="1" sqref="AA57:AA60 AC66:AC69 AA32:AA51" xr:uid="{00000000-0002-0000-1A00-000000000000}">
      <formula1>CST</formula1>
    </dataValidation>
    <dataValidation type="list" allowBlank="1" showErrorMessage="1" sqref="O55:W55 Q64:Y64 M30:W30" xr:uid="{00000000-0002-0000-1A00-000001000000}">
      <formula1>Exceptions</formula1>
    </dataValidation>
    <dataValidation type="list" allowBlank="1" showInputMessage="1" showErrorMessage="1" sqref="N66:N69" xr:uid="{00000000-0002-0000-1A00-000002000000}">
      <formula1>OOG</formula1>
    </dataValidation>
    <dataValidation type="list" allowBlank="1" showInputMessage="1" showErrorMessage="1" sqref="M57:M60 O66:O69" xr:uid="{00000000-0002-0000-1A00-000003000000}">
      <formula1>ShipperOwn</formula1>
    </dataValidation>
    <dataValidation type="list" allowBlank="1" showInputMessage="1" showErrorMessage="1" sqref="F57:F60 F66:F69 F32:F51" xr:uid="{00000000-0002-0000-1A00-000004000000}">
      <formula1>Mode</formula1>
    </dataValidation>
    <dataValidation type="list" allowBlank="1" showInputMessage="1" showErrorMessage="1" sqref="O56:W56" xr:uid="{00000000-0002-0000-1A00-000005000000}">
      <formula1>Reefer</formula1>
    </dataValidation>
    <dataValidation type="list" allowBlank="1" showInputMessage="1" showErrorMessage="1" sqref="Q65:Y65 M31:W31" xr:uid="{00000000-0002-0000-1A00-000006000000}">
      <formula1>Container</formula1>
    </dataValidation>
    <dataValidation type="list" allowBlank="1" showInputMessage="1" showErrorMessage="1" sqref="G57:G60 G66:G69 G32:G51" xr:uid="{00000000-0002-0000-1A00-000007000000}">
      <formula1>SDD</formula1>
    </dataValidation>
    <dataValidation type="list" allowBlank="1" showInputMessage="1" showErrorMessage="1" sqref="F82:F85 F97:F100" xr:uid="{00000000-0002-0000-1A00-000008000000}">
      <formula1>ArbMode</formula1>
    </dataValidation>
    <dataValidation type="list" allowBlank="1" showInputMessage="1" showErrorMessage="1" sqref="M66:M69" xr:uid="{00000000-0002-0000-1A00-000009000000}">
      <formula1>Equip</formula1>
    </dataValidation>
    <dataValidation type="list" allowBlank="1" showInputMessage="1" showErrorMessage="1" sqref="L57:L60 G97:G100 N57:N60 P66:P69 G82:G85" xr:uid="{00000000-0002-0000-1A00-00000A000000}">
      <formula1>YesNo</formula1>
    </dataValidation>
    <dataValidation type="list" allowBlank="1" showInputMessage="1" showErrorMessage="1" sqref="O82:P85 O97:P100" xr:uid="{00000000-0002-0000-1A00-00000B000000}">
      <formula1 xml:space="preserve"> droppull</formula1>
    </dataValidation>
    <dataValidation type="list" showDropDown="1" showErrorMessage="1" sqref="O81:P81 O96:P96" xr:uid="{00000000-0002-0000-1A00-00000C000000}">
      <formula1>Charges</formula1>
    </dataValidation>
    <dataValidation type="date" allowBlank="1" showInputMessage="1" showErrorMessage="1" sqref="X32:Y51 J143:K144 K145:L145 K109:K116 J153:J157 K148:K157 J109:J127 J134:K135 K123:L133 K136:L141" xr:uid="{00000000-0002-0000-1A00-00000D000000}">
      <formula1>10101</formula1>
      <formula2>311299</formula2>
    </dataValidation>
    <dataValidation type="list" showInputMessage="1" showErrorMessage="1" sqref="A212:A217 A225:A230" xr:uid="{00000000-0002-0000-1A00-00000E000000}">
      <formula1>BULLET</formula1>
    </dataValidation>
    <dataValidation type="list" allowBlank="1" showInputMessage="1" showErrorMessage="1" sqref="E163:E166 E170:E173" xr:uid="{00000000-0002-0000-1A00-00000F000000}">
      <formula1>GRIPSS_EQ</formula1>
    </dataValidation>
    <dataValidation type="decimal" allowBlank="1" showInputMessage="1" showErrorMessage="1" sqref="F170:I173 F163:I166 I66:L69 J97:M100 I57:K60 I32:L51" xr:uid="{00000000-0002-0000-1A00-000010000000}">
      <formula1>0</formula1>
      <formula2>999999999999999</formula2>
    </dataValidation>
    <dataValidation type="list" allowBlank="1" showInputMessage="1" showErrorMessage="1" sqref="J163:J166 J170:J173" xr:uid="{00000000-0002-0000-1A00-000011000000}">
      <formula1>GRIPSS</formula1>
    </dataValidation>
    <dataValidation type="list" showInputMessage="1" showErrorMessage="1" sqref="K163:K166 K170:K173 N97:N100 A66:A69 A57:A60 N82:N85 A32:A51" xr:uid="{00000000-0002-0000-1A00-000012000000}">
      <formula1>$A$14:$A$18</formula1>
    </dataValidation>
    <dataValidation type="decimal" allowBlank="1" showInputMessage="1" showErrorMessage="1" error="Only numbers may be entered into this field" sqref="H225:J230 L225:N230 P225:R230 T225:V230" xr:uid="{854A3248-55EF-4A54-9E47-3F10226230EB}">
      <formula1>1</formula1>
      <formula2>1000000000</formula2>
    </dataValidation>
    <dataValidation type="whole" allowBlank="1" showInputMessage="1" showErrorMessage="1" error="Only whole numbers may be entered into this field_x000a_" sqref="G225:G230 S225:S230 O225:O230 K225:K230" xr:uid="{C8126716-79C8-493F-BF21-19525A32400D}">
      <formula1>1</formula1>
      <formula2>99</formula2>
    </dataValidation>
    <dataValidation type="list" showInputMessage="1" showErrorMessage="1" sqref="E212:E217 E225:E230" xr:uid="{00000000-0002-0000-1A00-000015000000}">
      <formula1>DAYS</formula1>
    </dataValidation>
    <dataValidation type="whole" allowBlank="1" showInputMessage="1" showErrorMessage="1" error="Only whole numbers can be entered into this field" sqref="D212:D217 D225:D230" xr:uid="{00000000-0002-0000-1A00-000016000000}">
      <formula1>1</formula1>
      <formula2>99</formula2>
    </dataValidation>
    <dataValidation type="list" allowBlank="1" showInputMessage="1" showErrorMessage="1" sqref="F225:F230" xr:uid="{C63B4786-EBE9-494C-908D-04AACDD69CFC}">
      <formula1>CURRENCY</formula1>
    </dataValidation>
    <dataValidation type="list" allowBlank="1" showInputMessage="1" showErrorMessage="1" sqref="G212:G217 X225:X230" xr:uid="{00000000-0002-0000-1A00-000018000000}">
      <formula1>OPREEFER</formula1>
    </dataValidation>
    <dataValidation type="list" allowBlank="1" showInputMessage="1" showErrorMessage="1" sqref="F212:F217 W225:W230" xr:uid="{00000000-0002-0000-1A00-000019000000}">
      <formula1>EQTYPE</formula1>
    </dataValidation>
    <dataValidation type="list" allowBlank="1" showInputMessage="1" showErrorMessage="1" sqref="B212:B217 B225:B230" xr:uid="{00000000-0002-0000-1A00-00001A000000}">
      <formula1>EXPIMP</formula1>
    </dataValidation>
    <dataValidation type="list" showInputMessage="1" showErrorMessage="1" sqref="C212:C217 C225:C230" xr:uid="{00000000-0002-0000-1A00-00001B000000}">
      <formula1>IF($B212="I",DDTARIFF,DDTARIFFUSE)</formula1>
    </dataValidation>
    <dataValidation type="list" allowBlank="1" showInputMessage="1" showErrorMessage="1" sqref="B235:B243" xr:uid="{00000000-0002-0000-1A00-00001C000000}">
      <formula1>Autom</formula1>
    </dataValidation>
    <dataValidation type="list" allowBlank="1" showInputMessage="1" showErrorMessage="1" errorTitle="Pick up the list" promptTitle="Blank = ALL" sqref="H109:H157" xr:uid="{00000000-0002-0000-1A00-00001D000000}">
      <formula1>Type_note2</formula1>
    </dataValidation>
    <dataValidation allowBlank="1" showInputMessage="1" showErrorMessage="1" promptTitle="Acceptable Values:" prompt="- Applicable _x000a_- Not applicable _x000a_- Included_x000a_- Amount and OSPF for cases of fixed per D40 OSPF_x000a_    (example-  &quot;375 OSPF&quot;)" sqref="E109:G157" xr:uid="{00000000-0002-0000-1A00-00001E000000}"/>
    <dataValidation type="list" allowBlank="1" showErrorMessage="1" sqref="A109:A157" xr:uid="{00000000-0002-0000-1A00-00001F000000}">
      <formula1>Charges</formula1>
    </dataValidation>
    <dataValidation type="list" allowBlank="1" showInputMessage="1" showErrorMessage="1" sqref="I109:I157" xr:uid="{00000000-0002-0000-1A00-000020000000}">
      <formula1>$A$14:$A$18</formula1>
    </dataValidation>
  </dataValidations>
  <pageMargins left="0.25" right="0.25" top="0.25" bottom="0.25" header="0.5" footer="0"/>
  <pageSetup scale="27" fitToHeight="0" orientation="landscape" r:id="rId1"/>
  <headerFooter alignWithMargins="0"/>
  <rowBreaks count="1" manualBreakCount="1">
    <brk id="104" max="16383" man="1"/>
  </rowBreaks>
  <legacyDrawing r:id="rId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5">
    <tabColor theme="7" tint="0.39997558519241921"/>
    <pageSetUpPr fitToPage="1"/>
  </sheetPr>
  <dimension ref="A1:BB243"/>
  <sheetViews>
    <sheetView showGridLines="0" topLeftCell="A190" zoomScale="75" zoomScaleNormal="75" zoomScaleSheetLayoutView="75" workbookViewId="0">
      <selection activeCell="G223" sqref="A223:XFD230"/>
    </sheetView>
  </sheetViews>
  <sheetFormatPr defaultColWidth="9.140625" defaultRowHeight="15.75" x14ac:dyDescent="0.2"/>
  <cols>
    <col min="1" max="1" width="25.140625" style="69" customWidth="1"/>
    <col min="2" max="2" width="18.5703125" style="69" customWidth="1"/>
    <col min="3" max="3" width="18.28515625" style="69" customWidth="1"/>
    <col min="4" max="4" width="37.42578125" style="69" bestFit="1" customWidth="1"/>
    <col min="5" max="5" width="19.28515625" style="69" customWidth="1"/>
    <col min="6" max="6" width="12.140625" style="211" customWidth="1"/>
    <col min="7" max="8" width="17.42578125" style="211" customWidth="1"/>
    <col min="9" max="9" width="17.7109375" style="211" customWidth="1"/>
    <col min="10" max="10" width="17.85546875" style="69" customWidth="1"/>
    <col min="11" max="11" width="16.5703125" style="69" customWidth="1"/>
    <col min="12" max="12" width="23.5703125" style="69" customWidth="1"/>
    <col min="13" max="13" width="17.28515625" style="69" customWidth="1"/>
    <col min="14" max="14" width="17.7109375" style="69" customWidth="1"/>
    <col min="15" max="16" width="16.5703125" style="69" customWidth="1"/>
    <col min="17" max="17" width="17.5703125" style="69" customWidth="1"/>
    <col min="18" max="18" width="15.85546875" style="69" customWidth="1"/>
    <col min="19" max="19" width="16.7109375" style="69" customWidth="1"/>
    <col min="20" max="20" width="16.5703125" style="69" customWidth="1"/>
    <col min="21" max="21" width="16.7109375" style="69" customWidth="1"/>
    <col min="22" max="22" width="17.5703125" style="69" customWidth="1"/>
    <col min="23" max="23" width="18" style="69" customWidth="1"/>
    <col min="24" max="24" width="12.7109375" style="69" customWidth="1"/>
    <col min="25" max="25" width="16.85546875" style="69" customWidth="1"/>
    <col min="26" max="26" width="9.7109375" style="69" customWidth="1"/>
    <col min="27" max="27" width="14.140625" style="69" customWidth="1"/>
    <col min="28" max="28" width="9.7109375" style="69" customWidth="1"/>
    <col min="29" max="29" width="14.140625" style="69" customWidth="1"/>
    <col min="30" max="16384" width="9.140625" style="69"/>
  </cols>
  <sheetData>
    <row r="1" spans="1:54" x14ac:dyDescent="0.2">
      <c r="A1" s="835" t="s">
        <v>511</v>
      </c>
      <c r="B1" s="837"/>
      <c r="C1" s="902" t="str">
        <f>Cover!B1</f>
        <v>22-XXXX</v>
      </c>
      <c r="D1" s="903"/>
      <c r="E1" s="903"/>
      <c r="F1" s="904"/>
      <c r="G1" s="69"/>
      <c r="H1" s="69"/>
      <c r="I1" s="69"/>
    </row>
    <row r="2" spans="1:54" x14ac:dyDescent="0.2">
      <c r="A2" s="885" t="s">
        <v>1236</v>
      </c>
      <c r="B2" s="886"/>
      <c r="C2" s="887"/>
      <c r="D2" s="888"/>
      <c r="E2" s="888"/>
      <c r="F2" s="889"/>
      <c r="G2" s="69"/>
      <c r="H2" s="69"/>
      <c r="I2" s="69"/>
    </row>
    <row r="3" spans="1:54" x14ac:dyDescent="0.2">
      <c r="A3" s="885" t="s">
        <v>522</v>
      </c>
      <c r="B3" s="886"/>
      <c r="C3" s="905">
        <f>Cover!B2</f>
        <v>0</v>
      </c>
      <c r="D3" s="906"/>
      <c r="E3" s="906"/>
      <c r="F3" s="907"/>
      <c r="G3" s="69"/>
      <c r="H3" s="69"/>
      <c r="I3" s="69"/>
    </row>
    <row r="4" spans="1:54" x14ac:dyDescent="0.2">
      <c r="A4" s="885" t="s">
        <v>1229</v>
      </c>
      <c r="B4" s="886"/>
      <c r="C4" s="884">
        <f>Cover!B7</f>
        <v>0</v>
      </c>
      <c r="D4" s="817"/>
      <c r="E4" s="817"/>
      <c r="F4" s="818"/>
      <c r="G4" s="69"/>
      <c r="H4" s="69"/>
      <c r="I4" s="69"/>
    </row>
    <row r="5" spans="1:54" x14ac:dyDescent="0.2">
      <c r="A5" s="885" t="s">
        <v>528</v>
      </c>
      <c r="B5" s="886"/>
      <c r="C5" s="887" t="s">
        <v>844</v>
      </c>
      <c r="D5" s="888"/>
      <c r="E5" s="888"/>
      <c r="F5" s="889"/>
      <c r="G5" s="69"/>
      <c r="H5" s="69"/>
      <c r="I5" s="69"/>
    </row>
    <row r="6" spans="1:54" ht="15.75" customHeight="1" x14ac:dyDescent="0.2">
      <c r="A6" s="885" t="s">
        <v>512</v>
      </c>
      <c r="B6" s="886"/>
      <c r="C6" s="887" t="s">
        <v>845</v>
      </c>
      <c r="D6" s="888"/>
      <c r="E6" s="888"/>
      <c r="F6" s="889"/>
      <c r="G6" s="69"/>
      <c r="H6" s="69"/>
      <c r="I6" s="69"/>
    </row>
    <row r="7" spans="1:54" ht="15.75" customHeight="1" x14ac:dyDescent="0.2">
      <c r="A7" s="885" t="s">
        <v>612</v>
      </c>
      <c r="B7" s="886"/>
      <c r="C7" s="887" t="s">
        <v>846</v>
      </c>
      <c r="D7" s="888"/>
      <c r="E7" s="888"/>
      <c r="F7" s="889"/>
      <c r="G7" s="69"/>
      <c r="H7" s="69"/>
      <c r="I7" s="69"/>
    </row>
    <row r="8" spans="1:54" ht="2.25" customHeight="1" thickBot="1" x14ac:dyDescent="0.25">
      <c r="A8" s="900"/>
      <c r="B8" s="901"/>
      <c r="C8" s="894"/>
      <c r="D8" s="895"/>
      <c r="E8" s="895"/>
      <c r="F8" s="896"/>
      <c r="G8" s="69"/>
      <c r="H8" s="69"/>
      <c r="I8" s="69"/>
    </row>
    <row r="9" spans="1:54" s="73" customFormat="1" x14ac:dyDescent="0.2">
      <c r="A9" s="442">
        <v>39</v>
      </c>
      <c r="B9" s="443" t="s">
        <v>614</v>
      </c>
      <c r="D9" s="444"/>
      <c r="E9" s="444"/>
      <c r="F9" s="445"/>
    </row>
    <row r="10" spans="1:54" s="73" customFormat="1" ht="16.5" thickBot="1" x14ac:dyDescent="0.25">
      <c r="A10" s="446"/>
      <c r="D10" s="444"/>
      <c r="E10" s="444"/>
      <c r="F10" s="445"/>
      <c r="G10" s="447"/>
      <c r="H10" s="444"/>
      <c r="I10" s="444"/>
      <c r="J10" s="444"/>
    </row>
    <row r="11" spans="1:54" ht="19.5" thickBot="1" x14ac:dyDescent="0.25">
      <c r="A11" s="448" t="s">
        <v>613</v>
      </c>
      <c r="B11" s="449"/>
      <c r="C11" s="73"/>
      <c r="D11" s="444"/>
      <c r="E11" s="444"/>
      <c r="F11" s="445"/>
      <c r="G11" s="447"/>
      <c r="H11" s="444"/>
      <c r="I11" s="444"/>
      <c r="J11" s="444"/>
    </row>
    <row r="12" spans="1:54" s="78" customFormat="1" ht="16.5" thickBot="1" x14ac:dyDescent="0.25">
      <c r="A12" s="897" t="s">
        <v>616</v>
      </c>
      <c r="B12" s="898"/>
      <c r="C12" s="898"/>
      <c r="D12" s="898"/>
      <c r="E12" s="898"/>
      <c r="F12" s="898"/>
      <c r="G12" s="898"/>
      <c r="H12" s="898"/>
      <c r="I12" s="898"/>
      <c r="J12" s="899"/>
    </row>
    <row r="13" spans="1:54" ht="17.25" customHeight="1" x14ac:dyDescent="0.2">
      <c r="A13" s="450" t="s">
        <v>617</v>
      </c>
      <c r="B13" s="881" t="s">
        <v>618</v>
      </c>
      <c r="C13" s="881"/>
      <c r="D13" s="881"/>
      <c r="E13" s="881"/>
      <c r="F13" s="881"/>
      <c r="G13" s="881"/>
      <c r="H13" s="881"/>
      <c r="I13" s="881"/>
      <c r="J13" s="882" t="s">
        <v>622</v>
      </c>
      <c r="K13" s="883"/>
      <c r="L13" s="890" t="s">
        <v>623</v>
      </c>
      <c r="M13" s="891"/>
      <c r="N13" s="350" t="s">
        <v>4</v>
      </c>
    </row>
    <row r="14" spans="1:54" s="81" customFormat="1" x14ac:dyDescent="0.2">
      <c r="A14" s="451"/>
      <c r="B14" s="862"/>
      <c r="C14" s="892"/>
      <c r="D14" s="892"/>
      <c r="E14" s="892"/>
      <c r="F14" s="892"/>
      <c r="G14" s="892"/>
      <c r="H14" s="892"/>
      <c r="I14" s="892"/>
      <c r="J14" s="870"/>
      <c r="K14" s="855"/>
      <c r="L14" s="893"/>
      <c r="M14" s="871"/>
      <c r="N14" s="349" t="str">
        <f>IF($A14&gt;0,$A14,"")</f>
        <v/>
      </c>
    </row>
    <row r="15" spans="1:54" s="453" customFormat="1" x14ac:dyDescent="0.2">
      <c r="A15" s="452"/>
      <c r="B15" s="879"/>
      <c r="C15" s="880"/>
      <c r="D15" s="880"/>
      <c r="E15" s="880"/>
      <c r="F15" s="880"/>
      <c r="G15" s="880"/>
      <c r="H15" s="880"/>
      <c r="I15" s="880"/>
      <c r="J15" s="870"/>
      <c r="K15" s="855"/>
      <c r="L15" s="870"/>
      <c r="M15" s="871"/>
      <c r="N15" s="349" t="str">
        <f>IF($A15&gt;0,$A15,"")</f>
        <v/>
      </c>
      <c r="BB15" s="81"/>
    </row>
    <row r="16" spans="1:54" s="453" customFormat="1" x14ac:dyDescent="0.2">
      <c r="A16" s="452"/>
      <c r="B16" s="879"/>
      <c r="C16" s="880"/>
      <c r="D16" s="880"/>
      <c r="E16" s="880"/>
      <c r="F16" s="880"/>
      <c r="G16" s="880"/>
      <c r="H16" s="880"/>
      <c r="I16" s="880"/>
      <c r="J16" s="870"/>
      <c r="K16" s="855"/>
      <c r="L16" s="870"/>
      <c r="M16" s="871"/>
      <c r="N16" s="349" t="str">
        <f>IF($A16&gt;0,$A16,"")</f>
        <v/>
      </c>
      <c r="BB16" s="81"/>
    </row>
    <row r="17" spans="1:54" s="453" customFormat="1" ht="16.5" thickBot="1" x14ac:dyDescent="0.25">
      <c r="A17" s="454"/>
      <c r="B17" s="864"/>
      <c r="C17" s="865"/>
      <c r="D17" s="865"/>
      <c r="E17" s="865"/>
      <c r="F17" s="865"/>
      <c r="G17" s="865"/>
      <c r="H17" s="865"/>
      <c r="I17" s="865"/>
      <c r="J17" s="866"/>
      <c r="K17" s="867"/>
      <c r="L17" s="857"/>
      <c r="M17" s="858"/>
      <c r="N17" s="349" t="str">
        <f>IF($A17&gt;0,$A17,"")</f>
        <v/>
      </c>
      <c r="BB17" s="81"/>
    </row>
    <row r="18" spans="1:54" s="462" customFormat="1" ht="16.5" thickBot="1" x14ac:dyDescent="0.25">
      <c r="A18" s="455"/>
      <c r="B18" s="456"/>
      <c r="C18" s="457"/>
      <c r="D18" s="458"/>
      <c r="E18" s="458"/>
      <c r="F18" s="459"/>
      <c r="G18" s="459"/>
      <c r="H18" s="460"/>
      <c r="I18" s="461"/>
      <c r="J18" s="461"/>
      <c r="K18" s="457"/>
      <c r="L18" s="457"/>
      <c r="M18" s="457"/>
      <c r="N18" s="349" t="str">
        <f>IF($A18&gt;0,$A18,"")</f>
        <v/>
      </c>
      <c r="O18" s="457"/>
      <c r="P18" s="457"/>
      <c r="Q18" s="457"/>
      <c r="BB18" s="81"/>
    </row>
    <row r="19" spans="1:54" s="462" customFormat="1" ht="19.5" thickBot="1" x14ac:dyDescent="0.25">
      <c r="A19" s="448" t="s">
        <v>419</v>
      </c>
      <c r="B19" s="463"/>
      <c r="I19" s="461"/>
      <c r="J19" s="461"/>
      <c r="K19" s="457"/>
      <c r="L19" s="457"/>
      <c r="M19" s="457"/>
      <c r="N19" s="457"/>
      <c r="O19" s="457"/>
      <c r="P19" s="457"/>
      <c r="Q19" s="457"/>
    </row>
    <row r="20" spans="1:54" s="462" customFormat="1" x14ac:dyDescent="0.2">
      <c r="A20" s="464" t="s">
        <v>419</v>
      </c>
      <c r="B20" s="859" t="s">
        <v>618</v>
      </c>
      <c r="C20" s="860"/>
      <c r="D20" s="860"/>
      <c r="E20" s="860"/>
      <c r="F20" s="860"/>
      <c r="G20" s="860"/>
      <c r="H20" s="861"/>
      <c r="I20" s="461"/>
      <c r="J20" s="461"/>
      <c r="K20" s="457"/>
      <c r="L20" s="457"/>
      <c r="M20" s="457"/>
      <c r="N20" s="457"/>
      <c r="O20" s="457"/>
      <c r="P20" s="457"/>
      <c r="Q20" s="457"/>
    </row>
    <row r="21" spans="1:54" s="467" customFormat="1" x14ac:dyDescent="0.2">
      <c r="A21" s="451" t="s">
        <v>463</v>
      </c>
      <c r="B21" s="862" t="s">
        <v>821</v>
      </c>
      <c r="C21" s="862"/>
      <c r="D21" s="862"/>
      <c r="E21" s="862"/>
      <c r="F21" s="862"/>
      <c r="G21" s="862"/>
      <c r="H21" s="863"/>
      <c r="I21" s="220"/>
      <c r="J21" s="465"/>
      <c r="K21" s="466"/>
      <c r="L21" s="466"/>
      <c r="M21" s="466"/>
      <c r="N21" s="466"/>
      <c r="O21" s="466"/>
      <c r="P21" s="466"/>
      <c r="Q21" s="466"/>
    </row>
    <row r="22" spans="1:54" s="467" customFormat="1" x14ac:dyDescent="0.2">
      <c r="A22" s="468" t="s">
        <v>464</v>
      </c>
      <c r="B22" s="862" t="s">
        <v>794</v>
      </c>
      <c r="C22" s="862"/>
      <c r="D22" s="862"/>
      <c r="E22" s="862"/>
      <c r="F22" s="862"/>
      <c r="G22" s="862"/>
      <c r="H22" s="863"/>
      <c r="I22" s="465"/>
      <c r="J22" s="465"/>
      <c r="K22" s="466"/>
      <c r="L22" s="466"/>
      <c r="M22" s="466"/>
      <c r="N22" s="466"/>
      <c r="O22" s="466"/>
      <c r="P22" s="466"/>
      <c r="Q22" s="466"/>
    </row>
    <row r="23" spans="1:54" s="568" customFormat="1" x14ac:dyDescent="0.2">
      <c r="A23" s="567" t="s">
        <v>484</v>
      </c>
      <c r="B23" s="1014" t="s">
        <v>890</v>
      </c>
      <c r="C23" s="1015"/>
      <c r="D23" s="1015"/>
      <c r="E23" s="1015"/>
      <c r="F23" s="1015"/>
      <c r="G23" s="1015"/>
      <c r="H23" s="1016"/>
      <c r="I23" s="569"/>
      <c r="J23" s="569"/>
    </row>
    <row r="24" spans="1:54" s="467" customFormat="1" ht="16.5" thickBot="1" x14ac:dyDescent="0.25">
      <c r="A24" s="469"/>
      <c r="B24" s="877"/>
      <c r="C24" s="867"/>
      <c r="D24" s="867"/>
      <c r="E24" s="867"/>
      <c r="F24" s="867"/>
      <c r="G24" s="867"/>
      <c r="H24" s="878"/>
      <c r="I24" s="465"/>
      <c r="J24" s="465"/>
      <c r="K24" s="466"/>
      <c r="L24" s="466"/>
      <c r="M24" s="466"/>
      <c r="N24" s="466"/>
      <c r="O24" s="466"/>
      <c r="P24" s="466"/>
      <c r="Q24" s="466"/>
    </row>
    <row r="25" spans="1:54" s="462" customFormat="1" ht="16.5" thickBot="1" x14ac:dyDescent="0.25">
      <c r="A25" s="456"/>
      <c r="B25" s="95"/>
      <c r="C25" s="95"/>
      <c r="D25" s="95"/>
      <c r="E25" s="95"/>
      <c r="F25" s="95"/>
      <c r="G25" s="95"/>
      <c r="H25" s="95"/>
      <c r="I25" s="461"/>
      <c r="J25" s="461"/>
      <c r="K25" s="457"/>
      <c r="L25" s="457"/>
      <c r="M25" s="457"/>
      <c r="N25" s="457"/>
      <c r="O25" s="457"/>
      <c r="P25" s="457"/>
      <c r="Q25" s="457"/>
      <c r="R25" s="457"/>
      <c r="S25" s="457"/>
      <c r="T25" s="457"/>
      <c r="U25" s="457"/>
    </row>
    <row r="26" spans="1:54" s="462" customFormat="1" ht="19.5" thickBot="1" x14ac:dyDescent="0.25">
      <c r="A26" s="448" t="s">
        <v>624</v>
      </c>
      <c r="B26" s="449"/>
      <c r="I26" s="461"/>
      <c r="J26" s="461"/>
      <c r="K26" s="457"/>
      <c r="L26" s="457"/>
      <c r="M26" s="457"/>
      <c r="N26" s="457"/>
      <c r="O26" s="457"/>
      <c r="P26" s="457"/>
      <c r="Q26" s="457"/>
      <c r="R26" s="457"/>
      <c r="S26" s="457"/>
      <c r="T26" s="457"/>
      <c r="U26" s="457"/>
    </row>
    <row r="27" spans="1:54" s="462" customFormat="1" x14ac:dyDescent="0.2">
      <c r="A27" s="223" t="s">
        <v>886</v>
      </c>
      <c r="B27" s="470"/>
      <c r="C27" s="471"/>
      <c r="D27" s="472"/>
      <c r="E27" s="472"/>
      <c r="F27" s="473"/>
      <c r="G27" s="473"/>
      <c r="H27" s="473"/>
      <c r="I27" s="474"/>
      <c r="J27" s="475"/>
      <c r="K27" s="476"/>
      <c r="L27" s="457"/>
      <c r="M27" s="457"/>
      <c r="N27" s="457"/>
      <c r="O27" s="457"/>
      <c r="P27" s="457"/>
      <c r="Q27" s="457"/>
      <c r="R27" s="457"/>
      <c r="S27" s="457"/>
      <c r="T27" s="457"/>
      <c r="U27" s="457"/>
      <c r="V27" s="457"/>
    </row>
    <row r="28" spans="1:54" s="462" customFormat="1" x14ac:dyDescent="0.2">
      <c r="A28" s="96" t="s">
        <v>626</v>
      </c>
      <c r="B28" s="214"/>
      <c r="C28" s="477"/>
      <c r="D28" s="478"/>
      <c r="E28" s="478"/>
      <c r="F28" s="479"/>
      <c r="G28" s="479"/>
      <c r="H28" s="479"/>
      <c r="I28" s="480"/>
      <c r="J28" s="481"/>
      <c r="K28" s="482"/>
      <c r="L28" s="457"/>
      <c r="M28" s="457"/>
      <c r="N28" s="457"/>
      <c r="O28" s="457"/>
      <c r="P28" s="457"/>
      <c r="Q28" s="457"/>
      <c r="R28" s="457"/>
    </row>
    <row r="29" spans="1:54" s="462" customFormat="1" ht="16.5" thickBot="1" x14ac:dyDescent="0.25">
      <c r="A29" s="110" t="s">
        <v>172</v>
      </c>
      <c r="B29" s="483"/>
      <c r="C29" s="484"/>
      <c r="D29" s="485"/>
      <c r="E29" s="485"/>
      <c r="F29" s="486"/>
      <c r="G29" s="486"/>
      <c r="H29" s="486"/>
      <c r="I29" s="487"/>
      <c r="J29" s="488"/>
      <c r="K29" s="489"/>
      <c r="L29" s="457"/>
      <c r="M29" s="457"/>
      <c r="N29" s="457"/>
      <c r="O29" s="457"/>
      <c r="P29" s="457"/>
      <c r="Q29" s="457"/>
      <c r="R29" s="457"/>
      <c r="S29" s="118"/>
      <c r="T29" s="118"/>
      <c r="U29" s="118"/>
      <c r="V29" s="457"/>
      <c r="W29" s="457"/>
      <c r="X29" s="457"/>
    </row>
    <row r="30" spans="1:54" s="491" customFormat="1" ht="32.25" customHeight="1" x14ac:dyDescent="0.2">
      <c r="A30" s="875" t="s">
        <v>627</v>
      </c>
      <c r="B30" s="868" t="s">
        <v>628</v>
      </c>
      <c r="C30" s="868" t="s">
        <v>11</v>
      </c>
      <c r="D30" s="868" t="s">
        <v>12</v>
      </c>
      <c r="E30" s="868" t="s">
        <v>13</v>
      </c>
      <c r="F30" s="868" t="s">
        <v>14</v>
      </c>
      <c r="G30" s="868" t="s">
        <v>15</v>
      </c>
      <c r="H30" s="868" t="s">
        <v>16</v>
      </c>
      <c r="I30" s="868" t="s">
        <v>17</v>
      </c>
      <c r="J30" s="868" t="s">
        <v>18</v>
      </c>
      <c r="K30" s="868" t="s">
        <v>19</v>
      </c>
      <c r="L30" s="868" t="s">
        <v>20</v>
      </c>
      <c r="M30" s="490"/>
      <c r="N30" s="490"/>
      <c r="O30" s="490"/>
      <c r="P30" s="490"/>
      <c r="Q30" s="490"/>
      <c r="R30" s="490"/>
      <c r="S30" s="490"/>
      <c r="T30" s="490"/>
      <c r="U30" s="490"/>
      <c r="V30" s="490"/>
      <c r="W30" s="490"/>
      <c r="X30" s="868" t="s">
        <v>22</v>
      </c>
      <c r="Y30" s="868" t="s">
        <v>23</v>
      </c>
      <c r="Z30" s="868" t="s">
        <v>24</v>
      </c>
      <c r="AA30" s="922" t="s">
        <v>352</v>
      </c>
    </row>
    <row r="31" spans="1:54" s="491" customFormat="1" ht="16.5" thickBot="1" x14ac:dyDescent="0.25">
      <c r="A31" s="876"/>
      <c r="B31" s="869"/>
      <c r="C31" s="869"/>
      <c r="D31" s="869"/>
      <c r="E31" s="869"/>
      <c r="F31" s="869"/>
      <c r="G31" s="872"/>
      <c r="H31" s="869"/>
      <c r="I31" s="869"/>
      <c r="J31" s="869"/>
      <c r="K31" s="869"/>
      <c r="L31" s="869"/>
      <c r="M31" s="492"/>
      <c r="N31" s="492"/>
      <c r="O31" s="492"/>
      <c r="P31" s="492"/>
      <c r="Q31" s="492"/>
      <c r="R31" s="492"/>
      <c r="S31" s="492"/>
      <c r="T31" s="492"/>
      <c r="U31" s="492"/>
      <c r="V31" s="492"/>
      <c r="W31" s="492"/>
      <c r="X31" s="869"/>
      <c r="Y31" s="869"/>
      <c r="Z31" s="869"/>
      <c r="AA31" s="923"/>
    </row>
    <row r="32" spans="1:54" s="136" customFormat="1" x14ac:dyDescent="0.2">
      <c r="A32" s="493"/>
      <c r="B32" s="49"/>
      <c r="C32" s="225"/>
      <c r="D32" s="225"/>
      <c r="E32" s="225"/>
      <c r="F32" s="225"/>
      <c r="G32" s="120"/>
      <c r="H32" s="225"/>
      <c r="I32" s="263"/>
      <c r="J32" s="263"/>
      <c r="K32" s="263"/>
      <c r="L32" s="263"/>
      <c r="M32" s="120"/>
      <c r="N32" s="120"/>
      <c r="O32" s="120"/>
      <c r="P32" s="226"/>
      <c r="Q32" s="226"/>
      <c r="R32" s="226"/>
      <c r="S32" s="120"/>
      <c r="T32" s="120"/>
      <c r="U32" s="120"/>
      <c r="V32" s="120"/>
      <c r="W32" s="120"/>
      <c r="X32" s="227"/>
      <c r="Y32" s="227"/>
      <c r="Z32" s="120"/>
      <c r="AA32" s="121"/>
    </row>
    <row r="33" spans="1:27" s="136" customFormat="1" x14ac:dyDescent="0.2">
      <c r="A33" s="494"/>
      <c r="B33" s="123"/>
      <c r="C33" s="123"/>
      <c r="D33" s="123"/>
      <c r="E33" s="123"/>
      <c r="F33" s="123"/>
      <c r="G33" s="124"/>
      <c r="H33" s="123"/>
      <c r="I33" s="255"/>
      <c r="J33" s="255"/>
      <c r="K33" s="255"/>
      <c r="L33" s="255"/>
      <c r="M33" s="125"/>
      <c r="N33" s="124"/>
      <c r="O33" s="124"/>
      <c r="P33" s="125"/>
      <c r="Q33" s="125"/>
      <c r="R33" s="125"/>
      <c r="S33" s="124"/>
      <c r="T33" s="124"/>
      <c r="U33" s="124"/>
      <c r="V33" s="124"/>
      <c r="W33" s="124"/>
      <c r="X33" s="126"/>
      <c r="Y33" s="126"/>
      <c r="Z33" s="124"/>
      <c r="AA33" s="127"/>
    </row>
    <row r="34" spans="1:27" s="136" customFormat="1" x14ac:dyDescent="0.2">
      <c r="A34" s="494"/>
      <c r="B34" s="123"/>
      <c r="C34" s="123"/>
      <c r="D34" s="123"/>
      <c r="E34" s="123"/>
      <c r="F34" s="123"/>
      <c r="G34" s="124"/>
      <c r="H34" s="123"/>
      <c r="I34" s="255"/>
      <c r="J34" s="255"/>
      <c r="K34" s="255"/>
      <c r="L34" s="255"/>
      <c r="M34" s="125"/>
      <c r="N34" s="124"/>
      <c r="O34" s="124"/>
      <c r="P34" s="125"/>
      <c r="Q34" s="125"/>
      <c r="R34" s="125"/>
      <c r="S34" s="124"/>
      <c r="T34" s="124"/>
      <c r="U34" s="124"/>
      <c r="V34" s="124"/>
      <c r="W34" s="124"/>
      <c r="X34" s="126"/>
      <c r="Y34" s="126"/>
      <c r="Z34" s="124"/>
      <c r="AA34" s="127"/>
    </row>
    <row r="35" spans="1:27" s="136" customFormat="1" x14ac:dyDescent="0.2">
      <c r="A35" s="494"/>
      <c r="B35" s="123"/>
      <c r="C35" s="123"/>
      <c r="D35" s="123"/>
      <c r="E35" s="123"/>
      <c r="F35" s="123"/>
      <c r="G35" s="124"/>
      <c r="H35" s="123"/>
      <c r="I35" s="255"/>
      <c r="J35" s="255"/>
      <c r="K35" s="255"/>
      <c r="L35" s="255"/>
      <c r="M35" s="125"/>
      <c r="N35" s="124"/>
      <c r="O35" s="124"/>
      <c r="P35" s="125"/>
      <c r="Q35" s="125"/>
      <c r="R35" s="125"/>
      <c r="S35" s="124"/>
      <c r="T35" s="124"/>
      <c r="U35" s="124"/>
      <c r="V35" s="124"/>
      <c r="W35" s="124"/>
      <c r="X35" s="126"/>
      <c r="Y35" s="126"/>
      <c r="Z35" s="124"/>
      <c r="AA35" s="127"/>
    </row>
    <row r="36" spans="1:27" s="136" customFormat="1" x14ac:dyDescent="0.2">
      <c r="A36" s="494"/>
      <c r="B36" s="123"/>
      <c r="C36" s="123"/>
      <c r="D36" s="123"/>
      <c r="E36" s="123"/>
      <c r="F36" s="123"/>
      <c r="G36" s="124"/>
      <c r="H36" s="123"/>
      <c r="I36" s="255"/>
      <c r="J36" s="255"/>
      <c r="K36" s="255"/>
      <c r="L36" s="255"/>
      <c r="M36" s="125"/>
      <c r="N36" s="124"/>
      <c r="O36" s="124"/>
      <c r="P36" s="125"/>
      <c r="Q36" s="125"/>
      <c r="R36" s="125"/>
      <c r="S36" s="124"/>
      <c r="T36" s="124"/>
      <c r="U36" s="124"/>
      <c r="V36" s="124"/>
      <c r="W36" s="124"/>
      <c r="X36" s="126"/>
      <c r="Y36" s="126"/>
      <c r="Z36" s="124"/>
      <c r="AA36" s="127"/>
    </row>
    <row r="37" spans="1:27" s="136" customFormat="1" x14ac:dyDescent="0.2">
      <c r="A37" s="494"/>
      <c r="B37" s="123"/>
      <c r="C37" s="123"/>
      <c r="D37" s="123"/>
      <c r="E37" s="123"/>
      <c r="F37" s="123"/>
      <c r="G37" s="124"/>
      <c r="H37" s="123"/>
      <c r="I37" s="255"/>
      <c r="J37" s="255"/>
      <c r="K37" s="255"/>
      <c r="L37" s="255"/>
      <c r="M37" s="125"/>
      <c r="N37" s="124"/>
      <c r="O37" s="124"/>
      <c r="P37" s="125"/>
      <c r="Q37" s="125"/>
      <c r="R37" s="125"/>
      <c r="S37" s="124"/>
      <c r="T37" s="124"/>
      <c r="U37" s="124"/>
      <c r="V37" s="124"/>
      <c r="W37" s="124"/>
      <c r="X37" s="126"/>
      <c r="Y37" s="126"/>
      <c r="Z37" s="124"/>
      <c r="AA37" s="127"/>
    </row>
    <row r="38" spans="1:27" s="136" customFormat="1" x14ac:dyDescent="0.2">
      <c r="A38" s="494"/>
      <c r="B38" s="123"/>
      <c r="C38" s="123"/>
      <c r="D38" s="123"/>
      <c r="E38" s="123"/>
      <c r="F38" s="123"/>
      <c r="G38" s="124"/>
      <c r="H38" s="123"/>
      <c r="I38" s="255"/>
      <c r="J38" s="255"/>
      <c r="K38" s="255"/>
      <c r="L38" s="255"/>
      <c r="M38" s="125"/>
      <c r="N38" s="124"/>
      <c r="O38" s="124"/>
      <c r="P38" s="125"/>
      <c r="Q38" s="125"/>
      <c r="R38" s="125"/>
      <c r="S38" s="124"/>
      <c r="T38" s="124"/>
      <c r="U38" s="124"/>
      <c r="V38" s="124"/>
      <c r="W38" s="124"/>
      <c r="X38" s="126"/>
      <c r="Y38" s="126"/>
      <c r="Z38" s="124"/>
      <c r="AA38" s="127"/>
    </row>
    <row r="39" spans="1:27" s="136" customFormat="1" x14ac:dyDescent="0.2">
      <c r="A39" s="494"/>
      <c r="B39" s="123"/>
      <c r="C39" s="123"/>
      <c r="D39" s="123"/>
      <c r="E39" s="123"/>
      <c r="F39" s="123"/>
      <c r="G39" s="124"/>
      <c r="H39" s="123"/>
      <c r="I39" s="255"/>
      <c r="J39" s="255"/>
      <c r="K39" s="255"/>
      <c r="L39" s="255"/>
      <c r="M39" s="125"/>
      <c r="N39" s="124"/>
      <c r="O39" s="124"/>
      <c r="P39" s="125"/>
      <c r="Q39" s="125"/>
      <c r="R39" s="125"/>
      <c r="S39" s="124"/>
      <c r="T39" s="124"/>
      <c r="U39" s="124"/>
      <c r="V39" s="124"/>
      <c r="W39" s="124"/>
      <c r="X39" s="126"/>
      <c r="Y39" s="126"/>
      <c r="Z39" s="124"/>
      <c r="AA39" s="127"/>
    </row>
    <row r="40" spans="1:27" s="136" customFormat="1" x14ac:dyDescent="0.2">
      <c r="A40" s="494"/>
      <c r="B40" s="123"/>
      <c r="C40" s="123"/>
      <c r="D40" s="123"/>
      <c r="E40" s="123"/>
      <c r="F40" s="123"/>
      <c r="G40" s="124"/>
      <c r="H40" s="123"/>
      <c r="I40" s="255"/>
      <c r="J40" s="255"/>
      <c r="K40" s="255"/>
      <c r="L40" s="255"/>
      <c r="M40" s="125"/>
      <c r="N40" s="124"/>
      <c r="O40" s="124"/>
      <c r="P40" s="125"/>
      <c r="Q40" s="125"/>
      <c r="R40" s="125"/>
      <c r="S40" s="124"/>
      <c r="T40" s="124"/>
      <c r="U40" s="124"/>
      <c r="V40" s="124"/>
      <c r="W40" s="124"/>
      <c r="X40" s="126"/>
      <c r="Y40" s="126"/>
      <c r="Z40" s="124"/>
      <c r="AA40" s="127"/>
    </row>
    <row r="41" spans="1:27" s="136" customFormat="1" x14ac:dyDescent="0.2">
      <c r="A41" s="494"/>
      <c r="B41" s="123"/>
      <c r="C41" s="123"/>
      <c r="D41" s="123"/>
      <c r="E41" s="123"/>
      <c r="F41" s="123"/>
      <c r="G41" s="124"/>
      <c r="H41" s="123"/>
      <c r="I41" s="255"/>
      <c r="J41" s="255"/>
      <c r="K41" s="255"/>
      <c r="L41" s="255"/>
      <c r="M41" s="125"/>
      <c r="N41" s="124"/>
      <c r="O41" s="124"/>
      <c r="P41" s="125"/>
      <c r="Q41" s="125"/>
      <c r="R41" s="125"/>
      <c r="S41" s="124"/>
      <c r="T41" s="124"/>
      <c r="U41" s="124"/>
      <c r="V41" s="124"/>
      <c r="W41" s="124"/>
      <c r="X41" s="126"/>
      <c r="Y41" s="126"/>
      <c r="Z41" s="124"/>
      <c r="AA41" s="127"/>
    </row>
    <row r="42" spans="1:27" s="136" customFormat="1" x14ac:dyDescent="0.2">
      <c r="A42" s="494"/>
      <c r="B42" s="123"/>
      <c r="C42" s="123"/>
      <c r="D42" s="123"/>
      <c r="E42" s="123"/>
      <c r="F42" s="123"/>
      <c r="G42" s="124"/>
      <c r="H42" s="123"/>
      <c r="I42" s="255"/>
      <c r="J42" s="255"/>
      <c r="K42" s="255"/>
      <c r="L42" s="255"/>
      <c r="M42" s="125"/>
      <c r="N42" s="124"/>
      <c r="O42" s="124"/>
      <c r="P42" s="125"/>
      <c r="Q42" s="125"/>
      <c r="R42" s="125"/>
      <c r="S42" s="124"/>
      <c r="T42" s="124"/>
      <c r="U42" s="124"/>
      <c r="V42" s="124"/>
      <c r="W42" s="124"/>
      <c r="X42" s="126"/>
      <c r="Y42" s="126"/>
      <c r="Z42" s="124"/>
      <c r="AA42" s="127"/>
    </row>
    <row r="43" spans="1:27" s="136" customFormat="1" x14ac:dyDescent="0.2">
      <c r="A43" s="494"/>
      <c r="B43" s="123"/>
      <c r="C43" s="123"/>
      <c r="D43" s="123"/>
      <c r="E43" s="123"/>
      <c r="F43" s="123"/>
      <c r="G43" s="124"/>
      <c r="H43" s="123"/>
      <c r="I43" s="255"/>
      <c r="J43" s="255"/>
      <c r="K43" s="255"/>
      <c r="L43" s="255"/>
      <c r="M43" s="125"/>
      <c r="N43" s="124"/>
      <c r="O43" s="124"/>
      <c r="P43" s="125"/>
      <c r="Q43" s="125"/>
      <c r="R43" s="125"/>
      <c r="S43" s="124"/>
      <c r="T43" s="124"/>
      <c r="U43" s="124"/>
      <c r="V43" s="124"/>
      <c r="W43" s="124"/>
      <c r="X43" s="126"/>
      <c r="Y43" s="126"/>
      <c r="Z43" s="124"/>
      <c r="AA43" s="127"/>
    </row>
    <row r="44" spans="1:27" s="136" customFormat="1" x14ac:dyDescent="0.2">
      <c r="A44" s="494"/>
      <c r="B44" s="123"/>
      <c r="C44" s="123"/>
      <c r="D44" s="123"/>
      <c r="E44" s="123"/>
      <c r="F44" s="123"/>
      <c r="G44" s="124"/>
      <c r="H44" s="123"/>
      <c r="I44" s="255"/>
      <c r="J44" s="255"/>
      <c r="K44" s="255"/>
      <c r="L44" s="255"/>
      <c r="M44" s="125"/>
      <c r="N44" s="124"/>
      <c r="O44" s="124"/>
      <c r="P44" s="125"/>
      <c r="Q44" s="125"/>
      <c r="R44" s="125"/>
      <c r="S44" s="124"/>
      <c r="T44" s="124"/>
      <c r="U44" s="124"/>
      <c r="V44" s="124"/>
      <c r="W44" s="124"/>
      <c r="X44" s="126"/>
      <c r="Y44" s="126"/>
      <c r="Z44" s="124"/>
      <c r="AA44" s="127"/>
    </row>
    <row r="45" spans="1:27" s="136" customFormat="1" x14ac:dyDescent="0.2">
      <c r="A45" s="494"/>
      <c r="B45" s="123"/>
      <c r="C45" s="123"/>
      <c r="D45" s="123"/>
      <c r="E45" s="123"/>
      <c r="F45" s="123"/>
      <c r="G45" s="124"/>
      <c r="H45" s="123"/>
      <c r="I45" s="255"/>
      <c r="J45" s="255"/>
      <c r="K45" s="255"/>
      <c r="L45" s="255"/>
      <c r="M45" s="125"/>
      <c r="N45" s="124"/>
      <c r="O45" s="124"/>
      <c r="P45" s="125"/>
      <c r="Q45" s="125"/>
      <c r="R45" s="125"/>
      <c r="S45" s="124"/>
      <c r="T45" s="124"/>
      <c r="U45" s="124"/>
      <c r="V45" s="124"/>
      <c r="W45" s="124"/>
      <c r="X45" s="126"/>
      <c r="Y45" s="126"/>
      <c r="Z45" s="124"/>
      <c r="AA45" s="127"/>
    </row>
    <row r="46" spans="1:27" s="136" customFormat="1" x14ac:dyDescent="0.2">
      <c r="A46" s="494"/>
      <c r="B46" s="123"/>
      <c r="C46" s="123"/>
      <c r="D46" s="123"/>
      <c r="E46" s="123"/>
      <c r="F46" s="123"/>
      <c r="G46" s="124"/>
      <c r="H46" s="123"/>
      <c r="I46" s="255"/>
      <c r="J46" s="255"/>
      <c r="K46" s="255"/>
      <c r="L46" s="255"/>
      <c r="M46" s="125"/>
      <c r="N46" s="124"/>
      <c r="O46" s="124"/>
      <c r="P46" s="125"/>
      <c r="Q46" s="125"/>
      <c r="R46" s="125"/>
      <c r="S46" s="124"/>
      <c r="T46" s="124"/>
      <c r="U46" s="124"/>
      <c r="V46" s="124"/>
      <c r="W46" s="124"/>
      <c r="X46" s="126"/>
      <c r="Y46" s="126"/>
      <c r="Z46" s="124"/>
      <c r="AA46" s="127"/>
    </row>
    <row r="47" spans="1:27" s="136" customFormat="1" x14ac:dyDescent="0.2">
      <c r="A47" s="494"/>
      <c r="B47" s="123"/>
      <c r="C47" s="123"/>
      <c r="D47" s="123"/>
      <c r="E47" s="123"/>
      <c r="F47" s="123"/>
      <c r="G47" s="124"/>
      <c r="H47" s="123"/>
      <c r="I47" s="255"/>
      <c r="J47" s="255"/>
      <c r="K47" s="255"/>
      <c r="L47" s="255"/>
      <c r="M47" s="125"/>
      <c r="N47" s="124"/>
      <c r="O47" s="124"/>
      <c r="P47" s="125"/>
      <c r="Q47" s="125"/>
      <c r="R47" s="125"/>
      <c r="S47" s="124"/>
      <c r="T47" s="124"/>
      <c r="U47" s="124"/>
      <c r="V47" s="124"/>
      <c r="W47" s="124"/>
      <c r="X47" s="126"/>
      <c r="Y47" s="126"/>
      <c r="Z47" s="124"/>
      <c r="AA47" s="127"/>
    </row>
    <row r="48" spans="1:27" s="136" customFormat="1" x14ac:dyDescent="0.2">
      <c r="A48" s="494"/>
      <c r="B48" s="123"/>
      <c r="C48" s="123"/>
      <c r="D48" s="123"/>
      <c r="E48" s="123"/>
      <c r="F48" s="123"/>
      <c r="G48" s="124"/>
      <c r="H48" s="123"/>
      <c r="I48" s="255"/>
      <c r="J48" s="255"/>
      <c r="K48" s="255"/>
      <c r="L48" s="255"/>
      <c r="M48" s="125"/>
      <c r="N48" s="124"/>
      <c r="O48" s="124"/>
      <c r="P48" s="125"/>
      <c r="Q48" s="125"/>
      <c r="R48" s="125"/>
      <c r="S48" s="124"/>
      <c r="T48" s="124"/>
      <c r="U48" s="124"/>
      <c r="V48" s="124"/>
      <c r="W48" s="124"/>
      <c r="X48" s="126"/>
      <c r="Y48" s="126"/>
      <c r="Z48" s="124"/>
      <c r="AA48" s="127"/>
    </row>
    <row r="49" spans="1:29" s="136" customFormat="1" x14ac:dyDescent="0.2">
      <c r="A49" s="494"/>
      <c r="B49" s="123"/>
      <c r="C49" s="123"/>
      <c r="D49" s="123"/>
      <c r="E49" s="123"/>
      <c r="F49" s="123"/>
      <c r="G49" s="124"/>
      <c r="H49" s="123"/>
      <c r="I49" s="255"/>
      <c r="J49" s="255"/>
      <c r="K49" s="255"/>
      <c r="L49" s="255"/>
      <c r="M49" s="125"/>
      <c r="N49" s="124"/>
      <c r="O49" s="124"/>
      <c r="P49" s="125"/>
      <c r="Q49" s="125"/>
      <c r="R49" s="125"/>
      <c r="S49" s="124"/>
      <c r="T49" s="124"/>
      <c r="U49" s="124"/>
      <c r="V49" s="124"/>
      <c r="W49" s="124"/>
      <c r="X49" s="126"/>
      <c r="Y49" s="126"/>
      <c r="Z49" s="124"/>
      <c r="AA49" s="127"/>
    </row>
    <row r="50" spans="1:29" s="136" customFormat="1" x14ac:dyDescent="0.2">
      <c r="A50" s="566"/>
      <c r="B50" s="309"/>
      <c r="C50" s="309"/>
      <c r="D50" s="309"/>
      <c r="E50" s="309"/>
      <c r="F50" s="309"/>
      <c r="G50" s="310"/>
      <c r="H50" s="309"/>
      <c r="I50" s="297"/>
      <c r="J50" s="297"/>
      <c r="K50" s="297"/>
      <c r="L50" s="297"/>
      <c r="M50" s="299"/>
      <c r="N50" s="310"/>
      <c r="O50" s="310"/>
      <c r="P50" s="299"/>
      <c r="Q50" s="299"/>
      <c r="R50" s="299"/>
      <c r="S50" s="310"/>
      <c r="T50" s="310"/>
      <c r="U50" s="310"/>
      <c r="V50" s="310"/>
      <c r="W50" s="310"/>
      <c r="X50" s="311"/>
      <c r="Y50" s="311"/>
      <c r="Z50" s="310"/>
      <c r="AA50" s="312"/>
    </row>
    <row r="51" spans="1:29" s="136" customFormat="1" ht="16.5" thickBot="1" x14ac:dyDescent="0.25">
      <c r="A51" s="495"/>
      <c r="B51" s="128"/>
      <c r="C51" s="128"/>
      <c r="D51" s="128"/>
      <c r="E51" s="128"/>
      <c r="F51" s="128"/>
      <c r="G51" s="129"/>
      <c r="H51" s="128"/>
      <c r="I51" s="256"/>
      <c r="J51" s="256"/>
      <c r="K51" s="256"/>
      <c r="L51" s="256"/>
      <c r="M51" s="129"/>
      <c r="N51" s="129"/>
      <c r="O51" s="129"/>
      <c r="P51" s="130"/>
      <c r="Q51" s="130"/>
      <c r="R51" s="130"/>
      <c r="S51" s="129"/>
      <c r="T51" s="129"/>
      <c r="U51" s="129"/>
      <c r="V51" s="129"/>
      <c r="W51" s="129"/>
      <c r="X51" s="131"/>
      <c r="Y51" s="131"/>
      <c r="Z51" s="129"/>
      <c r="AA51" s="132"/>
    </row>
    <row r="52" spans="1:29" s="73" customFormat="1" x14ac:dyDescent="0.2">
      <c r="A52" s="133"/>
      <c r="B52" s="133"/>
      <c r="C52" s="133"/>
      <c r="D52" s="133"/>
      <c r="E52" s="133"/>
      <c r="F52" s="133"/>
      <c r="G52" s="118"/>
      <c r="H52" s="118"/>
      <c r="I52" s="118"/>
      <c r="J52" s="118"/>
      <c r="K52" s="118"/>
      <c r="L52" s="118"/>
      <c r="M52" s="134"/>
      <c r="N52" s="118"/>
      <c r="O52" s="159"/>
      <c r="P52" s="159"/>
      <c r="Q52" s="159"/>
      <c r="R52" s="159"/>
      <c r="S52" s="159"/>
      <c r="T52" s="159"/>
      <c r="U52" s="159"/>
      <c r="V52" s="159"/>
      <c r="W52" s="466"/>
    </row>
    <row r="53" spans="1:29" s="73" customFormat="1" ht="16.5" thickBot="1" x14ac:dyDescent="0.25">
      <c r="A53" s="133"/>
      <c r="B53" s="133"/>
      <c r="C53" s="133"/>
      <c r="D53" s="133"/>
      <c r="E53" s="133"/>
      <c r="F53" s="133"/>
      <c r="G53" s="118"/>
      <c r="H53" s="118"/>
      <c r="I53" s="118"/>
      <c r="J53" s="118"/>
      <c r="K53" s="118"/>
      <c r="N53" s="118"/>
      <c r="O53" s="159"/>
      <c r="P53" s="159"/>
      <c r="Q53" s="159"/>
      <c r="R53" s="159"/>
      <c r="S53" s="159"/>
      <c r="T53" s="159"/>
      <c r="U53" s="159"/>
      <c r="V53" s="159"/>
      <c r="W53" s="467"/>
    </row>
    <row r="54" spans="1:29" s="73" customFormat="1" ht="16.5" thickBot="1" x14ac:dyDescent="0.25">
      <c r="A54" s="496" t="s">
        <v>25</v>
      </c>
      <c r="B54" s="133"/>
      <c r="C54" s="133"/>
      <c r="D54" s="133"/>
      <c r="E54" s="133"/>
      <c r="F54" s="133"/>
      <c r="G54" s="118"/>
      <c r="H54" s="118"/>
      <c r="I54" s="118"/>
      <c r="J54" s="118"/>
      <c r="K54" s="118"/>
      <c r="M54" s="118"/>
      <c r="N54" s="118"/>
      <c r="O54" s="159"/>
      <c r="P54" s="136"/>
      <c r="Q54" s="136"/>
      <c r="R54" s="136"/>
      <c r="S54" s="466"/>
      <c r="T54" s="466"/>
      <c r="U54" s="466"/>
      <c r="V54" s="466"/>
      <c r="W54" s="159"/>
    </row>
    <row r="55" spans="1:29" s="73" customFormat="1" ht="15.75" customHeight="1" x14ac:dyDescent="0.2">
      <c r="A55" s="875" t="s">
        <v>627</v>
      </c>
      <c r="B55" s="868" t="s">
        <v>628</v>
      </c>
      <c r="C55" s="868" t="s">
        <v>11</v>
      </c>
      <c r="D55" s="868" t="s">
        <v>12</v>
      </c>
      <c r="E55" s="868" t="s">
        <v>13</v>
      </c>
      <c r="F55" s="868" t="s">
        <v>14</v>
      </c>
      <c r="G55" s="868" t="s">
        <v>15</v>
      </c>
      <c r="H55" s="868" t="s">
        <v>16</v>
      </c>
      <c r="I55" s="868" t="s">
        <v>26</v>
      </c>
      <c r="J55" s="868" t="s">
        <v>27</v>
      </c>
      <c r="K55" s="945" t="s">
        <v>295</v>
      </c>
      <c r="L55" s="497" t="s">
        <v>63</v>
      </c>
      <c r="M55" s="498" t="s">
        <v>64</v>
      </c>
      <c r="N55" s="499" t="s">
        <v>65</v>
      </c>
      <c r="O55" s="490"/>
      <c r="P55" s="490"/>
      <c r="Q55" s="490"/>
      <c r="R55" s="490"/>
      <c r="S55" s="490"/>
      <c r="T55" s="490"/>
      <c r="U55" s="490"/>
      <c r="V55" s="490"/>
      <c r="W55" s="490"/>
      <c r="X55" s="868" t="s">
        <v>22</v>
      </c>
      <c r="Y55" s="868" t="s">
        <v>23</v>
      </c>
      <c r="Z55" s="868" t="s">
        <v>24</v>
      </c>
      <c r="AA55" s="922" t="s">
        <v>352</v>
      </c>
    </row>
    <row r="56" spans="1:29" s="73" customFormat="1" ht="31.7" customHeight="1" thickBot="1" x14ac:dyDescent="0.25">
      <c r="A56" s="876"/>
      <c r="B56" s="869"/>
      <c r="C56" s="869"/>
      <c r="D56" s="869"/>
      <c r="E56" s="869"/>
      <c r="F56" s="869"/>
      <c r="G56" s="872"/>
      <c r="H56" s="869"/>
      <c r="I56" s="869"/>
      <c r="J56" s="869"/>
      <c r="K56" s="946"/>
      <c r="L56" s="500" t="s">
        <v>66</v>
      </c>
      <c r="M56" s="501" t="s">
        <v>67</v>
      </c>
      <c r="N56" s="502" t="s">
        <v>68</v>
      </c>
      <c r="O56" s="503"/>
      <c r="P56" s="492"/>
      <c r="Q56" s="492"/>
      <c r="R56" s="492"/>
      <c r="S56" s="492"/>
      <c r="T56" s="492"/>
      <c r="U56" s="492"/>
      <c r="V56" s="492"/>
      <c r="W56" s="492"/>
      <c r="X56" s="869"/>
      <c r="Y56" s="869"/>
      <c r="Z56" s="869"/>
      <c r="AA56" s="923"/>
    </row>
    <row r="57" spans="1:29" s="136" customFormat="1" x14ac:dyDescent="0.2">
      <c r="A57" s="493"/>
      <c r="B57" s="225"/>
      <c r="C57" s="225"/>
      <c r="D57" s="225"/>
      <c r="E57" s="225"/>
      <c r="F57" s="225"/>
      <c r="G57" s="120"/>
      <c r="H57" s="225"/>
      <c r="I57" s="263"/>
      <c r="J57" s="263"/>
      <c r="K57" s="265"/>
      <c r="L57" s="268"/>
      <c r="M57" s="120"/>
      <c r="N57" s="121"/>
      <c r="O57" s="269"/>
      <c r="P57" s="226"/>
      <c r="Q57" s="226"/>
      <c r="R57" s="226"/>
      <c r="S57" s="120"/>
      <c r="T57" s="120"/>
      <c r="U57" s="120"/>
      <c r="V57" s="120"/>
      <c r="W57" s="120"/>
      <c r="X57" s="227"/>
      <c r="Y57" s="227"/>
      <c r="Z57" s="120"/>
      <c r="AA57" s="121"/>
    </row>
    <row r="58" spans="1:29" s="136" customFormat="1" x14ac:dyDescent="0.2">
      <c r="A58" s="494"/>
      <c r="B58" s="123"/>
      <c r="C58" s="123"/>
      <c r="D58" s="123"/>
      <c r="E58" s="123"/>
      <c r="F58" s="123"/>
      <c r="G58" s="124"/>
      <c r="H58" s="123"/>
      <c r="I58" s="255"/>
      <c r="J58" s="255"/>
      <c r="K58" s="266"/>
      <c r="L58" s="259"/>
      <c r="M58" s="124"/>
      <c r="N58" s="127"/>
      <c r="O58" s="248"/>
      <c r="P58" s="125"/>
      <c r="Q58" s="125"/>
      <c r="R58" s="125"/>
      <c r="S58" s="124"/>
      <c r="T58" s="124"/>
      <c r="U58" s="124"/>
      <c r="V58" s="124"/>
      <c r="W58" s="124"/>
      <c r="X58" s="126"/>
      <c r="Y58" s="126"/>
      <c r="Z58" s="124"/>
      <c r="AA58" s="127"/>
    </row>
    <row r="59" spans="1:29" s="136" customFormat="1" x14ac:dyDescent="0.2">
      <c r="A59" s="494"/>
      <c r="B59" s="123"/>
      <c r="C59" s="123"/>
      <c r="D59" s="123"/>
      <c r="E59" s="123"/>
      <c r="F59" s="123"/>
      <c r="G59" s="124"/>
      <c r="H59" s="123"/>
      <c r="I59" s="255"/>
      <c r="J59" s="255"/>
      <c r="K59" s="266"/>
      <c r="L59" s="259"/>
      <c r="M59" s="124"/>
      <c r="N59" s="127"/>
      <c r="O59" s="248"/>
      <c r="P59" s="125"/>
      <c r="Q59" s="125"/>
      <c r="R59" s="125"/>
      <c r="S59" s="124"/>
      <c r="T59" s="124"/>
      <c r="U59" s="124"/>
      <c r="V59" s="124"/>
      <c r="W59" s="124"/>
      <c r="X59" s="126"/>
      <c r="Y59" s="126"/>
      <c r="Z59" s="124"/>
      <c r="AA59" s="127"/>
    </row>
    <row r="60" spans="1:29" s="136" customFormat="1" ht="16.5" thickBot="1" x14ac:dyDescent="0.25">
      <c r="A60" s="495"/>
      <c r="B60" s="128"/>
      <c r="C60" s="128"/>
      <c r="D60" s="128"/>
      <c r="E60" s="128"/>
      <c r="F60" s="128"/>
      <c r="G60" s="129"/>
      <c r="H60" s="128"/>
      <c r="I60" s="256"/>
      <c r="J60" s="256"/>
      <c r="K60" s="267"/>
      <c r="L60" s="137"/>
      <c r="M60" s="129"/>
      <c r="N60" s="132"/>
      <c r="O60" s="137"/>
      <c r="P60" s="129"/>
      <c r="Q60" s="129"/>
      <c r="R60" s="129"/>
      <c r="S60" s="129"/>
      <c r="T60" s="129"/>
      <c r="U60" s="129"/>
      <c r="V60" s="129"/>
      <c r="W60" s="129"/>
      <c r="X60" s="131"/>
      <c r="Y60" s="131"/>
      <c r="Z60" s="129"/>
      <c r="AA60" s="132"/>
    </row>
    <row r="61" spans="1:29" s="73" customFormat="1" x14ac:dyDescent="0.2">
      <c r="A61" s="133"/>
      <c r="B61" s="133"/>
      <c r="C61" s="133"/>
      <c r="D61" s="133"/>
      <c r="E61" s="133"/>
      <c r="F61" s="133"/>
      <c r="G61" s="118"/>
      <c r="H61" s="118"/>
      <c r="I61" s="118"/>
      <c r="J61" s="118"/>
      <c r="K61" s="118"/>
      <c r="L61" s="118"/>
      <c r="M61" s="118"/>
      <c r="N61" s="118"/>
      <c r="O61" s="160"/>
      <c r="P61" s="159"/>
      <c r="Q61" s="159"/>
      <c r="R61" s="159"/>
      <c r="S61" s="136"/>
      <c r="T61" s="136"/>
      <c r="U61" s="136"/>
      <c r="V61" s="136"/>
      <c r="W61" s="136"/>
      <c r="X61" s="118"/>
    </row>
    <row r="62" spans="1:29" s="73" customFormat="1" ht="16.5" thickBot="1" x14ac:dyDescent="0.25">
      <c r="A62" s="133"/>
      <c r="B62" s="133"/>
      <c r="C62" s="133"/>
      <c r="D62" s="133"/>
      <c r="E62" s="133"/>
      <c r="F62" s="133"/>
      <c r="G62" s="118"/>
      <c r="H62" s="118"/>
      <c r="I62" s="118"/>
      <c r="J62" s="118"/>
      <c r="K62" s="118"/>
      <c r="L62" s="118"/>
      <c r="M62" s="118"/>
      <c r="N62" s="118"/>
      <c r="O62" s="160"/>
      <c r="P62" s="159"/>
      <c r="Q62" s="159"/>
      <c r="R62" s="159"/>
      <c r="S62" s="136"/>
      <c r="T62" s="136"/>
      <c r="U62" s="136"/>
      <c r="V62" s="136"/>
      <c r="W62" s="136"/>
      <c r="X62" s="118"/>
    </row>
    <row r="63" spans="1:29" s="73" customFormat="1" ht="16.5" thickBot="1" x14ac:dyDescent="0.25">
      <c r="A63" s="822" t="s">
        <v>307</v>
      </c>
      <c r="B63" s="873"/>
      <c r="C63" s="873"/>
      <c r="D63" s="874"/>
      <c r="E63" s="133"/>
      <c r="F63" s="133"/>
      <c r="G63" s="118"/>
      <c r="H63" s="118"/>
      <c r="I63" s="118"/>
      <c r="J63" s="118"/>
      <c r="K63" s="118"/>
      <c r="L63" s="118"/>
      <c r="M63" s="118"/>
      <c r="N63" s="118"/>
      <c r="O63" s="136"/>
      <c r="P63" s="159"/>
      <c r="Q63" s="159"/>
      <c r="R63" s="159"/>
      <c r="S63" s="466"/>
      <c r="T63" s="466"/>
      <c r="U63" s="466"/>
      <c r="V63" s="466"/>
      <c r="W63" s="159"/>
      <c r="X63" s="118"/>
      <c r="Y63" s="118"/>
    </row>
    <row r="64" spans="1:29" s="73" customFormat="1" ht="15.75" customHeight="1" x14ac:dyDescent="0.2">
      <c r="A64" s="875" t="s">
        <v>627</v>
      </c>
      <c r="B64" s="868" t="s">
        <v>628</v>
      </c>
      <c r="C64" s="868" t="s">
        <v>11</v>
      </c>
      <c r="D64" s="868" t="s">
        <v>12</v>
      </c>
      <c r="E64" s="868" t="s">
        <v>13</v>
      </c>
      <c r="F64" s="868" t="s">
        <v>14</v>
      </c>
      <c r="G64" s="868" t="s">
        <v>15</v>
      </c>
      <c r="H64" s="868" t="s">
        <v>16</v>
      </c>
      <c r="I64" s="868">
        <v>20</v>
      </c>
      <c r="J64" s="868">
        <v>40</v>
      </c>
      <c r="K64" s="868" t="s">
        <v>19</v>
      </c>
      <c r="L64" s="922" t="s">
        <v>20</v>
      </c>
      <c r="M64" s="943" t="s">
        <v>28</v>
      </c>
      <c r="N64" s="504" t="s">
        <v>69</v>
      </c>
      <c r="O64" s="498" t="s">
        <v>64</v>
      </c>
      <c r="P64" s="499" t="s">
        <v>65</v>
      </c>
      <c r="Q64" s="490" t="s">
        <v>147</v>
      </c>
      <c r="R64" s="490" t="s">
        <v>71</v>
      </c>
      <c r="S64" s="490"/>
      <c r="T64" s="490"/>
      <c r="U64" s="490"/>
      <c r="V64" s="490"/>
      <c r="W64" s="490"/>
      <c r="X64" s="490"/>
      <c r="Y64" s="490"/>
      <c r="Z64" s="868" t="s">
        <v>22</v>
      </c>
      <c r="AA64" s="868" t="s">
        <v>23</v>
      </c>
      <c r="AB64" s="868" t="s">
        <v>24</v>
      </c>
      <c r="AC64" s="922" t="s">
        <v>352</v>
      </c>
    </row>
    <row r="65" spans="1:29" s="73" customFormat="1" ht="48" thickBot="1" x14ac:dyDescent="0.25">
      <c r="A65" s="876"/>
      <c r="B65" s="869"/>
      <c r="C65" s="869"/>
      <c r="D65" s="869"/>
      <c r="E65" s="869"/>
      <c r="F65" s="869"/>
      <c r="G65" s="872"/>
      <c r="H65" s="869"/>
      <c r="I65" s="869"/>
      <c r="J65" s="869"/>
      <c r="K65" s="869"/>
      <c r="L65" s="923"/>
      <c r="M65" s="944"/>
      <c r="N65" s="505" t="s">
        <v>70</v>
      </c>
      <c r="O65" s="501" t="s">
        <v>67</v>
      </c>
      <c r="P65" s="502" t="s">
        <v>68</v>
      </c>
      <c r="Q65" s="503" t="s">
        <v>84</v>
      </c>
      <c r="R65" s="492" t="s">
        <v>84</v>
      </c>
      <c r="S65" s="492"/>
      <c r="T65" s="492"/>
      <c r="U65" s="492"/>
      <c r="V65" s="492"/>
      <c r="W65" s="492"/>
      <c r="X65" s="492"/>
      <c r="Y65" s="492"/>
      <c r="Z65" s="924"/>
      <c r="AA65" s="924"/>
      <c r="AB65" s="924"/>
      <c r="AC65" s="923"/>
    </row>
    <row r="66" spans="1:29" s="136" customFormat="1" x14ac:dyDescent="0.2">
      <c r="A66" s="493"/>
      <c r="B66" s="225"/>
      <c r="C66" s="225"/>
      <c r="D66" s="225"/>
      <c r="E66" s="225"/>
      <c r="F66" s="225"/>
      <c r="G66" s="120"/>
      <c r="H66" s="225"/>
      <c r="I66" s="263"/>
      <c r="J66" s="263"/>
      <c r="K66" s="263"/>
      <c r="L66" s="265"/>
      <c r="M66" s="270"/>
      <c r="N66" s="268"/>
      <c r="O66" s="120"/>
      <c r="P66" s="121"/>
      <c r="Q66" s="269"/>
      <c r="R66" s="226"/>
      <c r="S66" s="226"/>
      <c r="T66" s="226"/>
      <c r="U66" s="226"/>
      <c r="V66" s="226"/>
      <c r="W66" s="120"/>
      <c r="X66" s="120"/>
      <c r="Y66" s="120"/>
      <c r="Z66" s="227"/>
      <c r="AA66" s="227"/>
      <c r="AB66" s="120"/>
      <c r="AC66" s="121"/>
    </row>
    <row r="67" spans="1:29" s="136" customFormat="1" x14ac:dyDescent="0.2">
      <c r="A67" s="494"/>
      <c r="B67" s="123"/>
      <c r="C67" s="123"/>
      <c r="D67" s="123"/>
      <c r="E67" s="123"/>
      <c r="F67" s="123"/>
      <c r="G67" s="124"/>
      <c r="H67" s="123"/>
      <c r="I67" s="255"/>
      <c r="J67" s="255"/>
      <c r="K67" s="255"/>
      <c r="L67" s="266"/>
      <c r="M67" s="271"/>
      <c r="N67" s="259"/>
      <c r="O67" s="124"/>
      <c r="P67" s="127"/>
      <c r="Q67" s="248"/>
      <c r="R67" s="125"/>
      <c r="S67" s="125"/>
      <c r="T67" s="125"/>
      <c r="U67" s="125"/>
      <c r="V67" s="125"/>
      <c r="W67" s="124"/>
      <c r="X67" s="124"/>
      <c r="Y67" s="124"/>
      <c r="Z67" s="126"/>
      <c r="AA67" s="126"/>
      <c r="AB67" s="124"/>
      <c r="AC67" s="127"/>
    </row>
    <row r="68" spans="1:29" s="136" customFormat="1" x14ac:dyDescent="0.2">
      <c r="A68" s="494"/>
      <c r="B68" s="123"/>
      <c r="C68" s="123"/>
      <c r="D68" s="123"/>
      <c r="E68" s="123"/>
      <c r="F68" s="123"/>
      <c r="G68" s="124"/>
      <c r="H68" s="123"/>
      <c r="I68" s="255"/>
      <c r="J68" s="255"/>
      <c r="K68" s="255"/>
      <c r="L68" s="266"/>
      <c r="M68" s="271"/>
      <c r="N68" s="259"/>
      <c r="O68" s="124"/>
      <c r="P68" s="127"/>
      <c r="Q68" s="248"/>
      <c r="R68" s="125"/>
      <c r="S68" s="125"/>
      <c r="T68" s="125"/>
      <c r="U68" s="125"/>
      <c r="V68" s="125"/>
      <c r="W68" s="124"/>
      <c r="X68" s="124"/>
      <c r="Y68" s="124"/>
      <c r="Z68" s="126"/>
      <c r="AA68" s="126"/>
      <c r="AB68" s="124"/>
      <c r="AC68" s="127"/>
    </row>
    <row r="69" spans="1:29" s="136" customFormat="1" ht="16.5" thickBot="1" x14ac:dyDescent="0.25">
      <c r="A69" s="495"/>
      <c r="B69" s="128"/>
      <c r="C69" s="128"/>
      <c r="D69" s="128"/>
      <c r="E69" s="128"/>
      <c r="F69" s="128"/>
      <c r="G69" s="129"/>
      <c r="H69" s="128"/>
      <c r="I69" s="256"/>
      <c r="J69" s="256"/>
      <c r="K69" s="256"/>
      <c r="L69" s="267"/>
      <c r="M69" s="161"/>
      <c r="N69" s="137"/>
      <c r="O69" s="129"/>
      <c r="P69" s="132"/>
      <c r="Q69" s="137"/>
      <c r="R69" s="129"/>
      <c r="S69" s="129"/>
      <c r="T69" s="129"/>
      <c r="U69" s="129"/>
      <c r="V69" s="129"/>
      <c r="W69" s="129"/>
      <c r="X69" s="129"/>
      <c r="Y69" s="129"/>
      <c r="Z69" s="131"/>
      <c r="AA69" s="131"/>
      <c r="AB69" s="129"/>
      <c r="AC69" s="132"/>
    </row>
    <row r="70" spans="1:29" s="73" customFormat="1" x14ac:dyDescent="0.2">
      <c r="A70" s="133"/>
      <c r="B70" s="133"/>
      <c r="C70" s="133"/>
      <c r="D70" s="133"/>
      <c r="E70" s="133"/>
      <c r="F70" s="133"/>
      <c r="G70" s="118"/>
      <c r="H70" s="118"/>
      <c r="I70" s="118"/>
      <c r="J70" s="118"/>
      <c r="K70" s="118"/>
      <c r="M70" s="118"/>
      <c r="V70" s="118"/>
      <c r="W70" s="118"/>
    </row>
    <row r="71" spans="1:29" s="73" customFormat="1" x14ac:dyDescent="0.2">
      <c r="A71" s="133"/>
      <c r="B71" s="133"/>
      <c r="C71" s="133"/>
      <c r="D71" s="133"/>
      <c r="E71" s="133"/>
      <c r="F71" s="118"/>
      <c r="G71" s="118"/>
      <c r="H71" s="118"/>
      <c r="I71" s="118"/>
      <c r="J71" s="118"/>
      <c r="K71" s="134"/>
      <c r="L71" s="118"/>
      <c r="M71" s="118"/>
      <c r="N71" s="118"/>
      <c r="S71" s="118"/>
      <c r="T71" s="118"/>
      <c r="U71" s="118"/>
    </row>
    <row r="72" spans="1:29" s="456" customFormat="1" ht="16.5" thickBot="1" x14ac:dyDescent="0.25">
      <c r="A72" s="133"/>
      <c r="B72" s="133"/>
      <c r="C72" s="133"/>
      <c r="D72" s="133"/>
      <c r="E72" s="118"/>
      <c r="F72" s="118"/>
      <c r="G72" s="118"/>
      <c r="H72" s="118"/>
      <c r="I72" s="118"/>
      <c r="J72" s="134"/>
      <c r="K72" s="134"/>
      <c r="L72" s="134"/>
      <c r="M72" s="134"/>
      <c r="R72" s="134"/>
    </row>
    <row r="73" spans="1:29" s="456" customFormat="1" ht="19.5" thickBot="1" x14ac:dyDescent="0.25">
      <c r="A73" s="938" t="s">
        <v>29</v>
      </c>
      <c r="B73" s="939"/>
      <c r="C73" s="940"/>
      <c r="D73" s="133"/>
      <c r="E73" s="133"/>
      <c r="F73" s="118"/>
      <c r="G73" s="118"/>
      <c r="H73" s="118"/>
      <c r="I73" s="118"/>
      <c r="J73" s="118"/>
      <c r="K73" s="134"/>
      <c r="L73" s="134"/>
      <c r="M73" s="134"/>
      <c r="N73" s="134"/>
      <c r="S73" s="134"/>
      <c r="T73" s="134"/>
      <c r="U73" s="134"/>
    </row>
    <row r="74" spans="1:29" s="456" customFormat="1" ht="16.5" thickBot="1" x14ac:dyDescent="0.25">
      <c r="A74" s="800" t="s">
        <v>625</v>
      </c>
      <c r="B74" s="801"/>
      <c r="C74" s="802"/>
      <c r="D74" s="133"/>
      <c r="E74" s="133"/>
      <c r="F74" s="133"/>
      <c r="G74" s="118"/>
      <c r="H74" s="118"/>
      <c r="I74" s="118"/>
      <c r="J74" s="118"/>
      <c r="K74" s="118"/>
      <c r="L74" s="134"/>
      <c r="N74" s="134"/>
      <c r="O74" s="134"/>
      <c r="V74" s="134"/>
    </row>
    <row r="75" spans="1:29" s="456" customFormat="1" x14ac:dyDescent="0.2">
      <c r="A75" s="506" t="s">
        <v>30</v>
      </c>
      <c r="B75" s="507"/>
      <c r="C75" s="508" t="s">
        <v>155</v>
      </c>
      <c r="D75" s="509"/>
      <c r="E75" s="509"/>
      <c r="F75" s="510"/>
      <c r="G75" s="510"/>
      <c r="H75" s="509"/>
      <c r="I75" s="510"/>
      <c r="J75" s="509"/>
      <c r="K75" s="143"/>
      <c r="L75" s="144"/>
      <c r="N75" s="134"/>
      <c r="O75" s="134"/>
      <c r="P75" s="134"/>
    </row>
    <row r="76" spans="1:29" s="456" customFormat="1" x14ac:dyDescent="0.2">
      <c r="A76" s="96" t="s">
        <v>626</v>
      </c>
      <c r="B76" s="511"/>
      <c r="C76" s="511"/>
      <c r="D76" s="512"/>
      <c r="E76" s="512"/>
      <c r="F76" s="215"/>
      <c r="G76" s="215"/>
      <c r="H76" s="512"/>
      <c r="I76" s="215"/>
      <c r="J76" s="512"/>
      <c r="K76" s="149"/>
      <c r="L76" s="150"/>
      <c r="N76" s="134"/>
      <c r="O76" s="134"/>
      <c r="P76" s="134"/>
    </row>
    <row r="77" spans="1:29" s="456" customFormat="1" x14ac:dyDescent="0.2">
      <c r="A77" s="96" t="s">
        <v>173</v>
      </c>
      <c r="B77" s="511"/>
      <c r="C77" s="511"/>
      <c r="D77" s="512"/>
      <c r="E77" s="512"/>
      <c r="F77" s="215"/>
      <c r="G77" s="215"/>
      <c r="H77" s="512"/>
      <c r="I77" s="215"/>
      <c r="J77" s="512"/>
      <c r="K77" s="149"/>
      <c r="L77" s="150"/>
      <c r="N77" s="134"/>
      <c r="O77" s="134"/>
      <c r="P77" s="134"/>
    </row>
    <row r="78" spans="1:29" s="456" customFormat="1" x14ac:dyDescent="0.2">
      <c r="A78" s="96" t="s">
        <v>987</v>
      </c>
      <c r="B78" s="511"/>
      <c r="C78" s="511"/>
      <c r="D78" s="512"/>
      <c r="E78" s="512"/>
      <c r="F78" s="215"/>
      <c r="G78" s="215"/>
      <c r="H78" s="512"/>
      <c r="I78" s="215"/>
      <c r="J78" s="512"/>
      <c r="K78" s="149"/>
      <c r="L78" s="150"/>
      <c r="N78" s="134"/>
      <c r="O78" s="134"/>
      <c r="P78" s="134"/>
    </row>
    <row r="79" spans="1:29" s="456" customFormat="1" ht="16.5" thickBot="1" x14ac:dyDescent="0.25">
      <c r="A79" s="110" t="s">
        <v>988</v>
      </c>
      <c r="B79" s="513"/>
      <c r="C79" s="513"/>
      <c r="D79" s="514"/>
      <c r="E79" s="514"/>
      <c r="F79" s="515"/>
      <c r="G79" s="515"/>
      <c r="H79" s="514"/>
      <c r="I79" s="515"/>
      <c r="J79" s="514"/>
      <c r="K79" s="154"/>
      <c r="L79" s="155"/>
      <c r="N79" s="134"/>
      <c r="O79" s="134"/>
      <c r="P79" s="134"/>
    </row>
    <row r="80" spans="1:29" s="456" customFormat="1" ht="16.5" thickBot="1" x14ac:dyDescent="0.25">
      <c r="A80" s="516"/>
      <c r="B80" s="517"/>
      <c r="C80" s="134"/>
      <c r="D80" s="133"/>
      <c r="E80" s="133"/>
      <c r="F80" s="133"/>
      <c r="G80" s="133"/>
      <c r="H80" s="118"/>
      <c r="I80" s="118"/>
      <c r="J80" s="118"/>
      <c r="K80" s="118"/>
      <c r="L80" s="118"/>
      <c r="M80" s="134"/>
      <c r="O80" s="134"/>
      <c r="P80" s="134"/>
      <c r="Q80" s="118"/>
    </row>
    <row r="81" spans="1:24" s="14" customFormat="1" ht="48" thickBot="1" x14ac:dyDescent="0.25">
      <c r="A81" s="518" t="s">
        <v>31</v>
      </c>
      <c r="B81" s="932" t="s">
        <v>628</v>
      </c>
      <c r="C81" s="933"/>
      <c r="D81" s="934"/>
      <c r="E81" s="519" t="s">
        <v>11</v>
      </c>
      <c r="F81" s="519" t="s">
        <v>14</v>
      </c>
      <c r="G81" s="519" t="s">
        <v>287</v>
      </c>
      <c r="H81" s="519" t="s">
        <v>32</v>
      </c>
      <c r="I81" s="519" t="s">
        <v>16</v>
      </c>
      <c r="J81" s="519" t="s">
        <v>17</v>
      </c>
      <c r="K81" s="519" t="s">
        <v>18</v>
      </c>
      <c r="L81" s="519" t="s">
        <v>19</v>
      </c>
      <c r="M81" s="519" t="s">
        <v>20</v>
      </c>
      <c r="N81" s="520" t="s">
        <v>123</v>
      </c>
      <c r="O81" s="519" t="s">
        <v>96</v>
      </c>
      <c r="P81" s="521" t="s">
        <v>809</v>
      </c>
    </row>
    <row r="82" spans="1:24" s="303" customFormat="1" x14ac:dyDescent="0.2">
      <c r="A82" s="269"/>
      <c r="B82" s="925"/>
      <c r="C82" s="926"/>
      <c r="D82" s="926"/>
      <c r="E82" s="226"/>
      <c r="F82" s="226"/>
      <c r="G82" s="226"/>
      <c r="H82" s="226"/>
      <c r="I82" s="226"/>
      <c r="J82" s="273"/>
      <c r="K82" s="263"/>
      <c r="L82" s="263"/>
      <c r="M82" s="306"/>
      <c r="N82" s="49"/>
      <c r="O82" s="226"/>
      <c r="P82" s="274"/>
      <c r="Q82" s="159"/>
      <c r="R82" s="159"/>
      <c r="S82" s="159"/>
      <c r="T82" s="159"/>
      <c r="U82" s="159"/>
      <c r="V82" s="160"/>
      <c r="W82" s="160"/>
      <c r="X82" s="160"/>
    </row>
    <row r="83" spans="1:24" s="303" customFormat="1" x14ac:dyDescent="0.2">
      <c r="A83" s="248"/>
      <c r="B83" s="927"/>
      <c r="C83" s="928"/>
      <c r="D83" s="928"/>
      <c r="E83" s="125"/>
      <c r="F83" s="125"/>
      <c r="G83" s="125"/>
      <c r="H83" s="125"/>
      <c r="I83" s="125"/>
      <c r="J83" s="275"/>
      <c r="K83" s="255"/>
      <c r="L83" s="255"/>
      <c r="M83" s="307"/>
      <c r="N83" s="21"/>
      <c r="O83" s="125"/>
      <c r="P83" s="276"/>
      <c r="Q83" s="159"/>
      <c r="R83" s="159"/>
      <c r="S83" s="159"/>
      <c r="T83" s="159"/>
      <c r="U83" s="159"/>
      <c r="V83" s="160"/>
      <c r="W83" s="160"/>
      <c r="X83" s="160"/>
    </row>
    <row r="84" spans="1:24" s="303" customFormat="1" x14ac:dyDescent="0.2">
      <c r="A84" s="248"/>
      <c r="B84" s="927"/>
      <c r="C84" s="928"/>
      <c r="D84" s="928"/>
      <c r="E84" s="125"/>
      <c r="F84" s="125"/>
      <c r="G84" s="125"/>
      <c r="H84" s="125"/>
      <c r="I84" s="125"/>
      <c r="J84" s="275"/>
      <c r="K84" s="255"/>
      <c r="L84" s="255"/>
      <c r="M84" s="307"/>
      <c r="N84" s="21"/>
      <c r="O84" s="125"/>
      <c r="P84" s="276"/>
      <c r="Q84" s="159"/>
      <c r="R84" s="159"/>
      <c r="S84" s="159"/>
      <c r="T84" s="159"/>
      <c r="U84" s="159"/>
      <c r="V84" s="160"/>
      <c r="W84" s="160"/>
      <c r="X84" s="160"/>
    </row>
    <row r="85" spans="1:24" s="303" customFormat="1" ht="16.5" thickBot="1" x14ac:dyDescent="0.25">
      <c r="A85" s="304"/>
      <c r="B85" s="912"/>
      <c r="C85" s="913"/>
      <c r="D85" s="913"/>
      <c r="E85" s="130"/>
      <c r="F85" s="130"/>
      <c r="G85" s="130"/>
      <c r="H85" s="130"/>
      <c r="I85" s="130"/>
      <c r="J85" s="258"/>
      <c r="K85" s="256"/>
      <c r="L85" s="256"/>
      <c r="M85" s="305"/>
      <c r="N85" s="29"/>
      <c r="O85" s="129"/>
      <c r="P85" s="132"/>
      <c r="Q85" s="159"/>
      <c r="R85" s="159"/>
      <c r="S85" s="159"/>
      <c r="T85" s="159"/>
      <c r="U85" s="159"/>
      <c r="V85" s="160"/>
      <c r="W85" s="160"/>
      <c r="X85" s="160"/>
    </row>
    <row r="86" spans="1:24" s="456" customFormat="1" x14ac:dyDescent="0.2">
      <c r="A86" s="134"/>
      <c r="B86" s="134"/>
      <c r="C86" s="522"/>
      <c r="D86" s="522"/>
      <c r="E86" s="134"/>
      <c r="F86" s="134"/>
      <c r="G86" s="134"/>
      <c r="H86" s="134"/>
      <c r="I86" s="134"/>
      <c r="J86" s="134"/>
      <c r="K86" s="134"/>
      <c r="L86" s="134"/>
      <c r="M86" s="134"/>
      <c r="O86" s="118"/>
      <c r="P86" s="118"/>
      <c r="Q86" s="118"/>
      <c r="R86" s="118"/>
      <c r="S86" s="118"/>
      <c r="T86" s="118"/>
      <c r="U86" s="118"/>
      <c r="V86" s="134"/>
      <c r="W86" s="134"/>
      <c r="X86" s="134"/>
    </row>
    <row r="87" spans="1:24" s="456" customFormat="1" ht="16.5" thickBot="1" x14ac:dyDescent="0.25">
      <c r="A87" s="133"/>
      <c r="B87" s="133"/>
      <c r="C87" s="133"/>
      <c r="D87" s="133"/>
      <c r="E87" s="133"/>
      <c r="F87" s="133"/>
      <c r="G87" s="133"/>
      <c r="H87" s="133"/>
      <c r="I87" s="118"/>
      <c r="J87" s="118"/>
      <c r="K87" s="118"/>
      <c r="L87" s="118"/>
      <c r="M87" s="118"/>
      <c r="N87" s="134"/>
      <c r="O87" s="134"/>
      <c r="P87" s="134"/>
      <c r="Q87" s="134"/>
      <c r="R87" s="134"/>
      <c r="S87" s="134"/>
      <c r="T87" s="134"/>
      <c r="U87" s="134"/>
      <c r="V87" s="134"/>
      <c r="W87" s="118"/>
    </row>
    <row r="88" spans="1:24" s="456" customFormat="1" ht="19.5" thickBot="1" x14ac:dyDescent="0.25">
      <c r="A88" s="938" t="s">
        <v>34</v>
      </c>
      <c r="B88" s="939"/>
      <c r="C88" s="940"/>
      <c r="D88" s="523"/>
      <c r="E88" s="133"/>
      <c r="F88" s="133"/>
      <c r="G88" s="133"/>
      <c r="H88" s="133"/>
      <c r="I88" s="118"/>
      <c r="J88" s="118"/>
      <c r="K88" s="118"/>
      <c r="L88" s="118"/>
      <c r="M88" s="118"/>
      <c r="N88" s="134"/>
      <c r="O88" s="134"/>
      <c r="P88" s="134"/>
      <c r="Q88" s="134"/>
      <c r="R88" s="134"/>
      <c r="S88" s="134"/>
      <c r="T88" s="134"/>
      <c r="U88" s="134"/>
      <c r="V88" s="134"/>
      <c r="W88" s="118"/>
    </row>
    <row r="89" spans="1:24" s="456" customFormat="1" ht="16.5" thickBot="1" x14ac:dyDescent="0.25">
      <c r="A89" s="800" t="s">
        <v>625</v>
      </c>
      <c r="B89" s="801"/>
      <c r="C89" s="802"/>
      <c r="D89" s="200"/>
      <c r="E89" s="200"/>
      <c r="F89" s="200"/>
      <c r="G89" s="200"/>
      <c r="H89" s="194"/>
      <c r="I89" s="194"/>
      <c r="J89" s="200"/>
      <c r="K89" s="194"/>
      <c r="L89" s="200"/>
      <c r="M89" s="118"/>
      <c r="N89" s="134"/>
      <c r="O89" s="134"/>
      <c r="P89" s="134"/>
      <c r="Q89" s="134"/>
      <c r="R89" s="134"/>
      <c r="S89" s="134"/>
      <c r="T89" s="134"/>
      <c r="U89" s="134"/>
      <c r="V89" s="134"/>
      <c r="W89" s="118"/>
    </row>
    <row r="90" spans="1:24" s="456" customFormat="1" x14ac:dyDescent="0.2">
      <c r="A90" s="506" t="s">
        <v>30</v>
      </c>
      <c r="B90" s="470"/>
      <c r="C90" s="508" t="s">
        <v>155</v>
      </c>
      <c r="D90" s="508"/>
      <c r="E90" s="509"/>
      <c r="F90" s="509"/>
      <c r="G90" s="509"/>
      <c r="H90" s="510"/>
      <c r="I90" s="510"/>
      <c r="J90" s="509"/>
      <c r="K90" s="510"/>
      <c r="L90" s="524"/>
      <c r="M90" s="118"/>
      <c r="N90" s="134"/>
      <c r="O90" s="134"/>
      <c r="P90" s="134"/>
      <c r="Q90" s="134"/>
      <c r="R90" s="134"/>
      <c r="S90" s="134"/>
      <c r="T90" s="134"/>
      <c r="U90" s="134"/>
      <c r="V90" s="134"/>
      <c r="W90" s="118"/>
    </row>
    <row r="91" spans="1:24" s="456" customFormat="1" x14ac:dyDescent="0.2">
      <c r="A91" s="96" t="s">
        <v>35</v>
      </c>
      <c r="B91" s="512"/>
      <c r="C91" s="512"/>
      <c r="D91" s="512"/>
      <c r="E91" s="512"/>
      <c r="F91" s="512"/>
      <c r="G91" s="512"/>
      <c r="H91" s="215"/>
      <c r="I91" s="215"/>
      <c r="J91" s="512"/>
      <c r="K91" s="215"/>
      <c r="L91" s="525"/>
      <c r="M91" s="118"/>
      <c r="N91" s="134"/>
      <c r="O91" s="134"/>
      <c r="P91" s="134"/>
      <c r="Q91" s="134"/>
      <c r="R91" s="134"/>
      <c r="S91" s="134"/>
      <c r="T91" s="134"/>
      <c r="U91" s="134"/>
      <c r="V91" s="134"/>
      <c r="W91" s="118"/>
    </row>
    <row r="92" spans="1:24" s="456" customFormat="1" x14ac:dyDescent="0.2">
      <c r="A92" s="96" t="s">
        <v>174</v>
      </c>
      <c r="B92" s="512"/>
      <c r="C92" s="512"/>
      <c r="D92" s="512"/>
      <c r="E92" s="512"/>
      <c r="F92" s="512"/>
      <c r="G92" s="512"/>
      <c r="H92" s="215"/>
      <c r="I92" s="215"/>
      <c r="J92" s="512"/>
      <c r="K92" s="215"/>
      <c r="L92" s="525"/>
      <c r="M92" s="118"/>
      <c r="N92" s="134"/>
      <c r="O92" s="134"/>
      <c r="P92" s="134"/>
      <c r="Q92" s="134"/>
      <c r="R92" s="134"/>
      <c r="S92" s="134"/>
      <c r="T92" s="134"/>
      <c r="U92" s="134"/>
      <c r="V92" s="134"/>
      <c r="W92" s="118"/>
    </row>
    <row r="93" spans="1:24" s="456" customFormat="1" x14ac:dyDescent="0.2">
      <c r="A93" s="96" t="s">
        <v>987</v>
      </c>
      <c r="B93" s="512"/>
      <c r="C93" s="512"/>
      <c r="D93" s="512"/>
      <c r="E93" s="512"/>
      <c r="F93" s="512"/>
      <c r="G93" s="512"/>
      <c r="H93" s="215"/>
      <c r="I93" s="215"/>
      <c r="J93" s="512"/>
      <c r="K93" s="215"/>
      <c r="L93" s="525"/>
      <c r="M93" s="118"/>
      <c r="N93" s="134"/>
      <c r="O93" s="134"/>
      <c r="P93" s="134"/>
      <c r="Q93" s="134"/>
      <c r="R93" s="134"/>
      <c r="S93" s="134"/>
      <c r="T93" s="134"/>
      <c r="U93" s="134"/>
      <c r="V93" s="134"/>
      <c r="W93" s="118"/>
    </row>
    <row r="94" spans="1:24" s="456" customFormat="1" ht="16.5" thickBot="1" x14ac:dyDescent="0.25">
      <c r="A94" s="110" t="s">
        <v>988</v>
      </c>
      <c r="B94" s="514"/>
      <c r="C94" s="514"/>
      <c r="D94" s="514"/>
      <c r="E94" s="514"/>
      <c r="F94" s="514"/>
      <c r="G94" s="514"/>
      <c r="H94" s="515"/>
      <c r="I94" s="515"/>
      <c r="J94" s="514"/>
      <c r="K94" s="515"/>
      <c r="L94" s="526"/>
      <c r="M94" s="118"/>
      <c r="N94" s="134"/>
      <c r="O94" s="134"/>
      <c r="P94" s="134"/>
      <c r="Q94" s="134"/>
      <c r="R94" s="134"/>
      <c r="S94" s="134"/>
      <c r="T94" s="134"/>
      <c r="U94" s="134"/>
      <c r="V94" s="134"/>
      <c r="W94" s="118"/>
    </row>
    <row r="95" spans="1:24" s="456" customFormat="1" ht="16.5" thickBot="1" x14ac:dyDescent="0.25">
      <c r="A95" s="527"/>
      <c r="E95" s="200"/>
      <c r="F95" s="200"/>
      <c r="G95" s="200"/>
      <c r="H95" s="194"/>
      <c r="I95" s="517"/>
      <c r="J95" s="200"/>
      <c r="K95" s="194"/>
      <c r="L95" s="200"/>
      <c r="M95" s="118"/>
      <c r="N95" s="134"/>
      <c r="O95" s="134"/>
      <c r="P95" s="134"/>
      <c r="Q95" s="134"/>
      <c r="R95" s="118"/>
      <c r="V95" s="528"/>
      <c r="W95" s="528"/>
    </row>
    <row r="96" spans="1:24" s="14" customFormat="1" ht="32.25" thickBot="1" x14ac:dyDescent="0.25">
      <c r="A96" s="518" t="s">
        <v>31</v>
      </c>
      <c r="B96" s="932" t="s">
        <v>13</v>
      </c>
      <c r="C96" s="933"/>
      <c r="D96" s="934"/>
      <c r="E96" s="519" t="s">
        <v>12</v>
      </c>
      <c r="F96" s="519" t="s">
        <v>14</v>
      </c>
      <c r="G96" s="519" t="s">
        <v>276</v>
      </c>
      <c r="H96" s="519" t="s">
        <v>32</v>
      </c>
      <c r="I96" s="519" t="s">
        <v>16</v>
      </c>
      <c r="J96" s="519" t="s">
        <v>17</v>
      </c>
      <c r="K96" s="519" t="s">
        <v>18</v>
      </c>
      <c r="L96" s="519" t="s">
        <v>19</v>
      </c>
      <c r="M96" s="519" t="s">
        <v>20</v>
      </c>
      <c r="N96" s="520" t="s">
        <v>123</v>
      </c>
      <c r="O96" s="519" t="s">
        <v>94</v>
      </c>
      <c r="P96" s="521" t="s">
        <v>807</v>
      </c>
      <c r="W96" s="13"/>
    </row>
    <row r="97" spans="1:23" s="303" customFormat="1" x14ac:dyDescent="0.2">
      <c r="A97" s="269"/>
      <c r="B97" s="925"/>
      <c r="C97" s="926"/>
      <c r="D97" s="926"/>
      <c r="E97" s="226"/>
      <c r="F97" s="226"/>
      <c r="G97" s="226"/>
      <c r="H97" s="226"/>
      <c r="I97" s="226"/>
      <c r="J97" s="263"/>
      <c r="K97" s="263"/>
      <c r="L97" s="263"/>
      <c r="M97" s="263"/>
      <c r="N97" s="49"/>
      <c r="O97" s="226"/>
      <c r="P97" s="274"/>
      <c r="Q97" s="160"/>
      <c r="R97" s="160"/>
      <c r="S97" s="160"/>
      <c r="T97" s="160"/>
      <c r="U97" s="160"/>
      <c r="V97" s="160"/>
      <c r="W97" s="159"/>
    </row>
    <row r="98" spans="1:23" s="303" customFormat="1" x14ac:dyDescent="0.2">
      <c r="A98" s="248"/>
      <c r="B98" s="927"/>
      <c r="C98" s="928"/>
      <c r="D98" s="928"/>
      <c r="E98" s="125"/>
      <c r="F98" s="125"/>
      <c r="G98" s="125"/>
      <c r="H98" s="125"/>
      <c r="I98" s="125"/>
      <c r="J98" s="255"/>
      <c r="K98" s="255"/>
      <c r="L98" s="255"/>
      <c r="M98" s="255"/>
      <c r="N98" s="21"/>
      <c r="O98" s="125"/>
      <c r="P98" s="276"/>
      <c r="Q98" s="160"/>
      <c r="R98" s="160"/>
      <c r="S98" s="160"/>
      <c r="T98" s="160"/>
      <c r="U98" s="160"/>
      <c r="V98" s="160"/>
      <c r="W98" s="159"/>
    </row>
    <row r="99" spans="1:23" s="303" customFormat="1" x14ac:dyDescent="0.2">
      <c r="A99" s="248"/>
      <c r="B99" s="927"/>
      <c r="C99" s="928"/>
      <c r="D99" s="928"/>
      <c r="E99" s="125"/>
      <c r="F99" s="125"/>
      <c r="G99" s="125"/>
      <c r="H99" s="125"/>
      <c r="I99" s="125"/>
      <c r="J99" s="255"/>
      <c r="K99" s="255"/>
      <c r="L99" s="255"/>
      <c r="M99" s="255"/>
      <c r="N99" s="21"/>
      <c r="O99" s="125"/>
      <c r="P99" s="276"/>
      <c r="Q99" s="160"/>
      <c r="R99" s="160"/>
      <c r="S99" s="160"/>
      <c r="T99" s="160"/>
      <c r="U99" s="160"/>
      <c r="V99" s="160"/>
      <c r="W99" s="159"/>
    </row>
    <row r="100" spans="1:23" s="303" customFormat="1" ht="16.5" thickBot="1" x14ac:dyDescent="0.25">
      <c r="A100" s="304"/>
      <c r="B100" s="912"/>
      <c r="C100" s="913"/>
      <c r="D100" s="913"/>
      <c r="E100" s="130"/>
      <c r="F100" s="130"/>
      <c r="G100" s="130"/>
      <c r="H100" s="130"/>
      <c r="I100" s="130"/>
      <c r="J100" s="256"/>
      <c r="K100" s="256"/>
      <c r="L100" s="256"/>
      <c r="M100" s="256"/>
      <c r="N100" s="29"/>
      <c r="O100" s="129"/>
      <c r="P100" s="132"/>
      <c r="Q100" s="160"/>
      <c r="R100" s="160"/>
      <c r="S100" s="160"/>
      <c r="T100" s="160"/>
      <c r="U100" s="160"/>
      <c r="V100" s="160"/>
      <c r="W100" s="159"/>
    </row>
    <row r="101" spans="1:23" s="456" customFormat="1" ht="16.5" thickBot="1" x14ac:dyDescent="0.25">
      <c r="A101" s="133"/>
      <c r="B101" s="133"/>
      <c r="C101" s="133"/>
      <c r="D101" s="133"/>
      <c r="E101" s="133"/>
      <c r="F101" s="133"/>
      <c r="G101" s="133"/>
      <c r="H101" s="118"/>
      <c r="I101" s="118"/>
      <c r="J101" s="118"/>
      <c r="K101" s="118"/>
      <c r="L101" s="118"/>
      <c r="M101" s="134"/>
      <c r="N101" s="134"/>
      <c r="O101" s="134"/>
      <c r="P101" s="134"/>
      <c r="Q101" s="134"/>
      <c r="R101" s="134"/>
      <c r="S101" s="134"/>
      <c r="T101" s="134"/>
      <c r="U101" s="134"/>
      <c r="V101" s="118"/>
    </row>
    <row r="102" spans="1:23" s="73" customFormat="1" ht="16.5" thickBot="1" x14ac:dyDescent="0.25">
      <c r="A102" s="822" t="s">
        <v>36</v>
      </c>
      <c r="B102" s="823"/>
      <c r="C102" s="823"/>
      <c r="D102" s="823"/>
      <c r="E102" s="823"/>
      <c r="F102" s="823"/>
      <c r="G102" s="823"/>
      <c r="H102" s="823"/>
      <c r="I102" s="824"/>
      <c r="J102" s="169"/>
      <c r="K102" s="118"/>
      <c r="L102" s="134"/>
      <c r="M102" s="134"/>
      <c r="N102" s="134"/>
      <c r="O102" s="134"/>
      <c r="P102" s="134"/>
      <c r="Q102" s="134"/>
      <c r="R102" s="134"/>
      <c r="S102" s="118"/>
      <c r="T102" s="118"/>
      <c r="U102" s="118"/>
    </row>
    <row r="103" spans="1:23" s="73" customFormat="1" ht="16.5" thickBot="1" x14ac:dyDescent="0.25">
      <c r="A103" s="935" t="s">
        <v>37</v>
      </c>
      <c r="B103" s="936"/>
      <c r="C103" s="936"/>
      <c r="D103" s="936"/>
      <c r="E103" s="936"/>
      <c r="F103" s="936"/>
      <c r="G103" s="936"/>
      <c r="H103" s="936"/>
      <c r="I103" s="937"/>
      <c r="J103" s="170"/>
      <c r="K103" s="118"/>
      <c r="L103" s="134"/>
      <c r="M103" s="134"/>
      <c r="N103" s="134"/>
      <c r="O103" s="134"/>
      <c r="P103" s="134"/>
      <c r="Q103" s="134"/>
      <c r="R103" s="134"/>
      <c r="S103" s="118"/>
      <c r="T103" s="118"/>
      <c r="U103" s="118"/>
    </row>
    <row r="104" spans="1:23" s="308" customFormat="1" ht="15.75" customHeight="1" thickBot="1" x14ac:dyDescent="0.25">
      <c r="A104" s="665" t="s">
        <v>296</v>
      </c>
      <c r="B104" s="909" t="s">
        <v>1129</v>
      </c>
      <c r="C104" s="910"/>
      <c r="D104" s="910"/>
      <c r="E104" s="910"/>
      <c r="F104" s="910"/>
      <c r="G104" s="910"/>
      <c r="H104" s="910"/>
      <c r="I104" s="911"/>
      <c r="J104" s="171"/>
      <c r="K104" s="172"/>
      <c r="L104" s="173"/>
      <c r="M104" s="173"/>
      <c r="N104" s="173"/>
      <c r="O104" s="173"/>
      <c r="P104" s="173"/>
      <c r="Q104" s="173"/>
      <c r="R104" s="173"/>
      <c r="S104" s="172"/>
      <c r="T104" s="172"/>
      <c r="U104" s="172"/>
    </row>
    <row r="105" spans="1:23" s="73" customFormat="1" ht="16.5" thickBot="1" x14ac:dyDescent="0.25">
      <c r="A105" s="196"/>
      <c r="B105" s="169"/>
      <c r="C105" s="169"/>
      <c r="D105" s="169"/>
      <c r="E105" s="169"/>
      <c r="F105" s="176"/>
      <c r="G105" s="176"/>
      <c r="H105" s="176"/>
      <c r="I105" s="176"/>
      <c r="J105" s="176"/>
      <c r="K105" s="118"/>
      <c r="L105" s="134"/>
      <c r="M105" s="134"/>
      <c r="N105" s="134"/>
      <c r="O105" s="134"/>
      <c r="P105" s="134"/>
      <c r="Q105" s="118"/>
    </row>
    <row r="106" spans="1:23" s="73" customFormat="1" ht="16.5" customHeight="1" thickBot="1" x14ac:dyDescent="0.25">
      <c r="A106" s="917" t="s">
        <v>214</v>
      </c>
      <c r="B106" s="918"/>
      <c r="C106" s="918"/>
      <c r="D106" s="918"/>
      <c r="E106" s="918"/>
      <c r="F106" s="918"/>
      <c r="G106" s="918"/>
      <c r="H106" s="930" t="s">
        <v>226</v>
      </c>
      <c r="I106" s="786" t="s">
        <v>627</v>
      </c>
      <c r="J106" s="786" t="s">
        <v>215</v>
      </c>
      <c r="K106" s="786" t="s">
        <v>23</v>
      </c>
      <c r="L106" s="786" t="s">
        <v>302</v>
      </c>
      <c r="M106" s="788" t="s">
        <v>83</v>
      </c>
      <c r="N106" s="134"/>
      <c r="O106" s="118"/>
      <c r="P106" s="456"/>
      <c r="Q106" s="528"/>
      <c r="R106" s="528"/>
    </row>
    <row r="107" spans="1:23" s="446" customFormat="1" ht="16.5" thickBot="1" x14ac:dyDescent="0.25">
      <c r="A107" s="919" t="s">
        <v>887</v>
      </c>
      <c r="B107" s="920"/>
      <c r="C107" s="920"/>
      <c r="D107" s="920"/>
      <c r="E107" s="920"/>
      <c r="F107" s="920"/>
      <c r="G107" s="921"/>
      <c r="H107" s="931"/>
      <c r="I107" s="908"/>
      <c r="J107" s="908"/>
      <c r="K107" s="908"/>
      <c r="L107" s="908"/>
      <c r="M107" s="929"/>
      <c r="N107" s="177"/>
      <c r="O107" s="177"/>
      <c r="P107" s="177"/>
      <c r="Q107" s="177"/>
      <c r="R107" s="177"/>
    </row>
    <row r="108" spans="1:23" s="446" customFormat="1" ht="15.75" customHeight="1" thickBot="1" x14ac:dyDescent="0.25">
      <c r="A108" s="919" t="s">
        <v>353</v>
      </c>
      <c r="B108" s="920"/>
      <c r="C108" s="920"/>
      <c r="D108" s="920"/>
      <c r="E108" s="920"/>
      <c r="F108" s="920"/>
      <c r="G108" s="921"/>
      <c r="H108" s="959"/>
      <c r="I108" s="787"/>
      <c r="J108" s="787"/>
      <c r="K108" s="787"/>
      <c r="L108" s="787"/>
      <c r="M108" s="789"/>
      <c r="N108" s="177"/>
      <c r="O108" s="177"/>
      <c r="P108" s="177"/>
      <c r="Q108" s="177"/>
      <c r="R108" s="177"/>
    </row>
    <row r="109" spans="1:23" s="136" customFormat="1" x14ac:dyDescent="0.2">
      <c r="A109" s="178" t="s">
        <v>234</v>
      </c>
      <c r="B109" s="942" t="str">
        <f>IF($A109="","",VLOOKUP($A109,Listes!$A$3:$C$193,2,FALSE))</f>
        <v>Bunker Adjustment Factor</v>
      </c>
      <c r="C109" s="942"/>
      <c r="D109" s="942"/>
      <c r="E109" s="941" t="s">
        <v>51</v>
      </c>
      <c r="F109" s="941"/>
      <c r="G109" s="941"/>
      <c r="H109" s="658"/>
      <c r="I109" s="529"/>
      <c r="J109" s="529"/>
      <c r="K109" s="529"/>
      <c r="L109" s="529"/>
      <c r="M109" s="530"/>
      <c r="N109" s="160"/>
      <c r="O109" s="160"/>
      <c r="P109" s="160"/>
      <c r="Q109" s="160"/>
      <c r="R109" s="159"/>
    </row>
    <row r="110" spans="1:23" s="136" customFormat="1" ht="15.75" customHeight="1" x14ac:dyDescent="0.2">
      <c r="A110" s="182" t="s">
        <v>1324</v>
      </c>
      <c r="B110" s="813" t="str">
        <f>IF($A110="","",VLOOKUP($A110,Listes!$A$3:$C$193,2,FALSE))</f>
        <v>Export BL Documentation Fee - Brazil only</v>
      </c>
      <c r="C110" s="813"/>
      <c r="D110" s="813"/>
      <c r="E110" s="814" t="s">
        <v>51</v>
      </c>
      <c r="F110" s="814"/>
      <c r="G110" s="814"/>
      <c r="H110" s="657"/>
      <c r="I110" s="531"/>
      <c r="J110" s="531"/>
      <c r="K110" s="531"/>
      <c r="L110" s="531"/>
      <c r="M110" s="532"/>
      <c r="N110" s="160"/>
      <c r="O110" s="160"/>
      <c r="P110" s="160"/>
      <c r="Q110" s="160"/>
      <c r="R110" s="159"/>
    </row>
    <row r="111" spans="1:23" s="136" customFormat="1" ht="15.75" customHeight="1" x14ac:dyDescent="0.2">
      <c r="A111" s="182" t="s">
        <v>557</v>
      </c>
      <c r="B111" s="813" t="str">
        <f>IF($A111="","",VLOOKUP($A111,Listes!$A$3:$C$193,2,FALSE))</f>
        <v>Cargo Facility Charge</v>
      </c>
      <c r="C111" s="813"/>
      <c r="D111" s="813"/>
      <c r="E111" s="814" t="s">
        <v>51</v>
      </c>
      <c r="F111" s="814"/>
      <c r="G111" s="814"/>
      <c r="H111" s="657"/>
      <c r="I111" s="531"/>
      <c r="J111" s="531"/>
      <c r="K111" s="531"/>
      <c r="L111" s="531"/>
      <c r="M111" s="532"/>
      <c r="N111" s="160"/>
      <c r="O111" s="160"/>
      <c r="P111" s="160"/>
      <c r="Q111" s="160"/>
      <c r="R111" s="159"/>
    </row>
    <row r="112" spans="1:23" s="136" customFormat="1" ht="15.75" customHeight="1" x14ac:dyDescent="0.2">
      <c r="A112" s="182" t="s">
        <v>1105</v>
      </c>
      <c r="B112" s="813" t="str">
        <f>IF($A112="","",VLOOKUP($A112,Listes!$A$3:$C$193,2,FALSE))</f>
        <v>Chassis Administration Fee On-Carriage</v>
      </c>
      <c r="C112" s="813"/>
      <c r="D112" s="813"/>
      <c r="E112" s="814" t="s">
        <v>51</v>
      </c>
      <c r="F112" s="814"/>
      <c r="G112" s="814"/>
      <c r="H112" s="657"/>
      <c r="I112" s="531"/>
      <c r="J112" s="531"/>
      <c r="K112" s="531"/>
      <c r="L112" s="531"/>
      <c r="M112" s="532"/>
      <c r="N112" s="160"/>
      <c r="O112" s="160"/>
      <c r="P112" s="160"/>
      <c r="Q112" s="160"/>
      <c r="R112" s="159"/>
    </row>
    <row r="113" spans="1:18" s="136" customFormat="1" ht="15.75" customHeight="1" x14ac:dyDescent="0.2">
      <c r="A113" s="182" t="s">
        <v>551</v>
      </c>
      <c r="B113" s="813" t="str">
        <f>IF($A113="","",VLOOKUP($A113,Listes!$A$3:$C$193,2,FALSE))</f>
        <v>Chassis Provision Charge</v>
      </c>
      <c r="C113" s="813"/>
      <c r="D113" s="813"/>
      <c r="E113" s="814" t="s">
        <v>51</v>
      </c>
      <c r="F113" s="814"/>
      <c r="G113" s="814"/>
      <c r="H113" s="657"/>
      <c r="I113" s="531"/>
      <c r="J113" s="531"/>
      <c r="K113" s="531"/>
      <c r="L113" s="531"/>
      <c r="M113" s="532"/>
      <c r="N113" s="160"/>
      <c r="O113" s="160"/>
      <c r="P113" s="160"/>
      <c r="Q113" s="160"/>
      <c r="R113" s="159"/>
    </row>
    <row r="114" spans="1:18" s="136" customFormat="1" ht="15.75" customHeight="1" x14ac:dyDescent="0.2">
      <c r="A114" s="182" t="s">
        <v>263</v>
      </c>
      <c r="B114" s="813" t="str">
        <f>IF($A114="","",VLOOKUP($A114,Listes!$A$3:$C$193,2,FALSE))</f>
        <v>Carrier Security Charge</v>
      </c>
      <c r="C114" s="813"/>
      <c r="D114" s="813"/>
      <c r="E114" s="814" t="s">
        <v>51</v>
      </c>
      <c r="F114" s="814"/>
      <c r="G114" s="814"/>
      <c r="H114" s="657"/>
      <c r="I114" s="531"/>
      <c r="J114" s="531"/>
      <c r="K114" s="531"/>
      <c r="L114" s="531"/>
      <c r="M114" s="532"/>
      <c r="N114" s="160"/>
      <c r="O114" s="160"/>
      <c r="P114" s="160"/>
      <c r="Q114" s="160"/>
      <c r="R114" s="159"/>
    </row>
    <row r="115" spans="1:18" s="136" customFormat="1" ht="15.75" customHeight="1" x14ac:dyDescent="0.2">
      <c r="A115" s="182" t="s">
        <v>1262</v>
      </c>
      <c r="B115" s="813" t="str">
        <f>IF($A115="","",VLOOKUP($A115,Listes!$A$3:$C$193,2,FALSE))</f>
        <v>Container Maintenance Charge Destination</v>
      </c>
      <c r="C115" s="813"/>
      <c r="D115" s="813"/>
      <c r="E115" s="814" t="s">
        <v>51</v>
      </c>
      <c r="F115" s="814"/>
      <c r="G115" s="814"/>
      <c r="H115" s="657"/>
      <c r="I115" s="531"/>
      <c r="J115" s="531"/>
      <c r="K115" s="531"/>
      <c r="L115" s="531"/>
      <c r="M115" s="532"/>
      <c r="N115" s="160"/>
      <c r="O115" s="160"/>
      <c r="P115" s="160"/>
      <c r="Q115" s="160"/>
      <c r="R115" s="159"/>
    </row>
    <row r="116" spans="1:18" s="136" customFormat="1" ht="15.75" customHeight="1" x14ac:dyDescent="0.2">
      <c r="A116" s="182" t="s">
        <v>312</v>
      </c>
      <c r="B116" s="813" t="str">
        <f>IF($A116="","",VLOOKUP($A116,Listes!$A$3:$C$193,2,FALSE))</f>
        <v>Chassis Usage Charge (Carrier-haulage)</v>
      </c>
      <c r="C116" s="813"/>
      <c r="D116" s="813"/>
      <c r="E116" s="814" t="s">
        <v>51</v>
      </c>
      <c r="F116" s="814"/>
      <c r="G116" s="814"/>
      <c r="H116" s="657"/>
      <c r="I116" s="531"/>
      <c r="J116" s="531"/>
      <c r="K116" s="531"/>
      <c r="L116" s="531" t="s">
        <v>508</v>
      </c>
      <c r="M116" s="532"/>
      <c r="N116" s="160"/>
      <c r="O116" s="160"/>
      <c r="P116" s="160"/>
      <c r="Q116" s="160"/>
      <c r="R116" s="159"/>
    </row>
    <row r="117" spans="1:18" s="136" customFormat="1" ht="15.75" customHeight="1" x14ac:dyDescent="0.2">
      <c r="A117" s="182" t="s">
        <v>312</v>
      </c>
      <c r="B117" s="813" t="str">
        <f>IF($A117="","",VLOOKUP($A117,Listes!$A$3:$C$193,2,FALSE))</f>
        <v>Chassis Usage Charge (Carrier-haulage)</v>
      </c>
      <c r="C117" s="813"/>
      <c r="D117" s="813"/>
      <c r="E117" s="814" t="s">
        <v>51</v>
      </c>
      <c r="F117" s="814"/>
      <c r="G117" s="814"/>
      <c r="H117" s="657"/>
      <c r="I117" s="531"/>
      <c r="J117" s="531"/>
      <c r="K117" s="531"/>
      <c r="L117" s="531" t="s">
        <v>560</v>
      </c>
      <c r="M117" s="532"/>
      <c r="N117" s="160"/>
      <c r="O117" s="160"/>
      <c r="P117" s="160"/>
      <c r="Q117" s="160"/>
      <c r="R117" s="159"/>
    </row>
    <row r="118" spans="1:18" s="136" customFormat="1" ht="15.75" customHeight="1" x14ac:dyDescent="0.2">
      <c r="A118" s="182" t="s">
        <v>312</v>
      </c>
      <c r="B118" s="813" t="str">
        <f>IF($A118="","",VLOOKUP($A118,Listes!$A$3:$C$193,2,FALSE))</f>
        <v>Chassis Usage Charge (Carrier-haulage)</v>
      </c>
      <c r="C118" s="813"/>
      <c r="D118" s="813"/>
      <c r="E118" s="814" t="s">
        <v>51</v>
      </c>
      <c r="F118" s="814"/>
      <c r="G118" s="814"/>
      <c r="H118" s="657"/>
      <c r="I118" s="531"/>
      <c r="J118" s="531"/>
      <c r="K118" s="531"/>
      <c r="L118" s="531" t="s">
        <v>510</v>
      </c>
      <c r="M118" s="532"/>
      <c r="N118" s="160"/>
      <c r="O118" s="160"/>
      <c r="P118" s="160"/>
      <c r="Q118" s="160"/>
      <c r="R118" s="159"/>
    </row>
    <row r="119" spans="1:18" s="136" customFormat="1" ht="15.75" customHeight="1" x14ac:dyDescent="0.2">
      <c r="A119" s="182" t="s">
        <v>312</v>
      </c>
      <c r="B119" s="813" t="str">
        <f>IF($A119="","",VLOOKUP($A119,Listes!$A$3:$C$193,2,FALSE))</f>
        <v>Chassis Usage Charge (Carrier-haulage)</v>
      </c>
      <c r="C119" s="813"/>
      <c r="D119" s="813"/>
      <c r="E119" s="814" t="s">
        <v>51</v>
      </c>
      <c r="F119" s="814"/>
      <c r="G119" s="814"/>
      <c r="H119" s="657"/>
      <c r="I119" s="531"/>
      <c r="J119" s="531"/>
      <c r="K119" s="531"/>
      <c r="L119" s="531" t="s">
        <v>492</v>
      </c>
      <c r="M119" s="532"/>
      <c r="N119" s="160"/>
      <c r="O119" s="160"/>
      <c r="P119" s="160"/>
      <c r="Q119" s="160"/>
      <c r="R119" s="159"/>
    </row>
    <row r="120" spans="1:18" s="136" customFormat="1" ht="15.75" customHeight="1" x14ac:dyDescent="0.2">
      <c r="A120" s="182" t="s">
        <v>312</v>
      </c>
      <c r="B120" s="813" t="str">
        <f>IF($A120="","",VLOOKUP($A120,Listes!$A$3:$C$193,2,FALSE))</f>
        <v>Chassis Usage Charge (Carrier-haulage)</v>
      </c>
      <c r="C120" s="813"/>
      <c r="D120" s="813"/>
      <c r="E120" s="814" t="s">
        <v>51</v>
      </c>
      <c r="F120" s="814"/>
      <c r="G120" s="814"/>
      <c r="H120" s="657"/>
      <c r="I120" s="531"/>
      <c r="J120" s="531"/>
      <c r="K120" s="531"/>
      <c r="L120" s="531" t="s">
        <v>509</v>
      </c>
      <c r="M120" s="532"/>
      <c r="N120" s="160"/>
      <c r="O120" s="160"/>
      <c r="P120" s="160"/>
      <c r="Q120" s="160"/>
      <c r="R120" s="159"/>
    </row>
    <row r="121" spans="1:18" s="136" customFormat="1" ht="15.75" customHeight="1" x14ac:dyDescent="0.2">
      <c r="A121" s="182" t="s">
        <v>312</v>
      </c>
      <c r="B121" s="960" t="str">
        <f>IF($A121="","",VLOOKUP($A121,Listes!$A$3:$C$193,2,FALSE))</f>
        <v>Chassis Usage Charge (Carrier-haulage)</v>
      </c>
      <c r="C121" s="961"/>
      <c r="D121" s="962"/>
      <c r="E121" s="963" t="s">
        <v>51</v>
      </c>
      <c r="F121" s="964"/>
      <c r="G121" s="965"/>
      <c r="H121" s="657"/>
      <c r="I121" s="531"/>
      <c r="J121" s="531"/>
      <c r="K121" s="531"/>
      <c r="L121" s="531" t="s">
        <v>507</v>
      </c>
      <c r="M121" s="532"/>
      <c r="N121" s="160"/>
      <c r="O121" s="160"/>
      <c r="P121" s="160"/>
      <c r="Q121" s="160"/>
      <c r="R121" s="159"/>
    </row>
    <row r="122" spans="1:18" s="136" customFormat="1" ht="15.75" customHeight="1" x14ac:dyDescent="0.2">
      <c r="A122" s="182" t="s">
        <v>230</v>
      </c>
      <c r="B122" s="813" t="str">
        <f>IF($A122="","",VLOOKUP($A122,Listes!$A$3:$C$193,2,FALSE))</f>
        <v>Destination THC / Destination Receiving Charge</v>
      </c>
      <c r="C122" s="813"/>
      <c r="D122" s="813"/>
      <c r="E122" s="814" t="s">
        <v>53</v>
      </c>
      <c r="F122" s="814"/>
      <c r="G122" s="814"/>
      <c r="H122" s="657"/>
      <c r="I122" s="531"/>
      <c r="J122" s="531"/>
      <c r="K122" s="531"/>
      <c r="L122" s="531"/>
      <c r="M122" s="532"/>
      <c r="N122" s="160"/>
      <c r="O122" s="160"/>
      <c r="P122" s="160"/>
      <c r="Q122" s="160"/>
      <c r="R122" s="159"/>
    </row>
    <row r="123" spans="1:18" s="136" customFormat="1" ht="15.75" customHeight="1" x14ac:dyDescent="0.2">
      <c r="A123" s="182" t="s">
        <v>1081</v>
      </c>
      <c r="B123" s="813" t="str">
        <f>IF($A123="","",VLOOKUP($A123,Listes!$A$3:$C$193,2,FALSE))</f>
        <v>Equipment Imbalance Surcharge at Origin</v>
      </c>
      <c r="C123" s="813"/>
      <c r="D123" s="813"/>
      <c r="E123" s="814" t="s">
        <v>51</v>
      </c>
      <c r="F123" s="814"/>
      <c r="G123" s="814"/>
      <c r="H123" s="657"/>
      <c r="I123" s="531"/>
      <c r="J123" s="531"/>
      <c r="K123" s="531"/>
      <c r="L123" s="531"/>
      <c r="M123" s="532"/>
      <c r="N123" s="160"/>
      <c r="O123" s="160"/>
      <c r="P123" s="160"/>
      <c r="Q123" s="160"/>
      <c r="R123" s="159"/>
    </row>
    <row r="124" spans="1:18" s="136" customFormat="1" ht="15.75" customHeight="1" x14ac:dyDescent="0.2">
      <c r="A124" s="182" t="s">
        <v>1082</v>
      </c>
      <c r="B124" s="813" t="str">
        <f>IF($A124="","",VLOOKUP($A124,Listes!$A$3:$C$193,2,FALSE))</f>
        <v>Equipment Imbalance Surcharge at Destination</v>
      </c>
      <c r="C124" s="813"/>
      <c r="D124" s="813"/>
      <c r="E124" s="814" t="s">
        <v>51</v>
      </c>
      <c r="F124" s="814"/>
      <c r="G124" s="814"/>
      <c r="H124" s="657"/>
      <c r="I124" s="531"/>
      <c r="J124" s="531"/>
      <c r="K124" s="531"/>
      <c r="L124" s="531"/>
      <c r="M124" s="532"/>
      <c r="N124" s="160"/>
      <c r="O124" s="160"/>
      <c r="P124" s="160"/>
      <c r="Q124" s="160"/>
      <c r="R124" s="159"/>
    </row>
    <row r="125" spans="1:18" s="136" customFormat="1" ht="15.75" customHeight="1" x14ac:dyDescent="0.2">
      <c r="A125" s="182" t="s">
        <v>470</v>
      </c>
      <c r="B125" s="813" t="str">
        <f>IF($A125="","",VLOOKUP($A125,Listes!$A$3:$C$193,2,FALSE))</f>
        <v>Emergency Terminal Congestion Surcharge / Emergency Port Surcharge</v>
      </c>
      <c r="C125" s="813"/>
      <c r="D125" s="813"/>
      <c r="E125" s="814" t="s">
        <v>51</v>
      </c>
      <c r="F125" s="814"/>
      <c r="G125" s="814"/>
      <c r="H125" s="657"/>
      <c r="I125" s="531"/>
      <c r="J125" s="531"/>
      <c r="K125" s="531"/>
      <c r="L125" s="531"/>
      <c r="M125" s="532"/>
      <c r="N125" s="160"/>
      <c r="O125" s="160"/>
      <c r="P125" s="160"/>
      <c r="Q125" s="160"/>
      <c r="R125" s="159"/>
    </row>
    <row r="126" spans="1:18" s="136" customFormat="1" ht="15.75" customHeight="1" x14ac:dyDescent="0.2">
      <c r="A126" s="182" t="s">
        <v>874</v>
      </c>
      <c r="B126" s="813" t="str">
        <f>IF($A126="","",VLOOKUP($A126,Listes!$A$3:$C$193,2,FALSE))</f>
        <v>Export Documentation Fees - Carrier</v>
      </c>
      <c r="C126" s="813"/>
      <c r="D126" s="813"/>
      <c r="E126" s="814" t="s">
        <v>51</v>
      </c>
      <c r="F126" s="814"/>
      <c r="G126" s="814"/>
      <c r="H126" s="657"/>
      <c r="I126" s="531"/>
      <c r="J126" s="531"/>
      <c r="K126" s="531"/>
      <c r="L126" s="531"/>
      <c r="M126" s="532"/>
      <c r="N126" s="160"/>
      <c r="O126" s="160"/>
      <c r="P126" s="160"/>
      <c r="Q126" s="160"/>
      <c r="R126" s="159"/>
    </row>
    <row r="127" spans="1:18" s="136" customFormat="1" ht="15.75" customHeight="1" x14ac:dyDescent="0.2">
      <c r="A127" s="182" t="s">
        <v>854</v>
      </c>
      <c r="B127" s="813" t="str">
        <f>IF($A127="","",VLOOKUP($A127,Listes!$A$3:$C$193,2,FALSE))</f>
        <v>Export Declaration Surcharge</v>
      </c>
      <c r="C127" s="813"/>
      <c r="D127" s="813"/>
      <c r="E127" s="814" t="s">
        <v>51</v>
      </c>
      <c r="F127" s="814"/>
      <c r="G127" s="814"/>
      <c r="H127" s="657"/>
      <c r="I127" s="531"/>
      <c r="J127" s="531"/>
      <c r="K127" s="531"/>
      <c r="L127" s="531"/>
      <c r="M127" s="532"/>
      <c r="N127" s="160"/>
      <c r="O127" s="160"/>
      <c r="P127" s="160"/>
      <c r="Q127" s="160"/>
      <c r="R127" s="159"/>
    </row>
    <row r="128" spans="1:18" s="136" customFormat="1" ht="15.75" customHeight="1" x14ac:dyDescent="0.2">
      <c r="A128" s="182" t="s">
        <v>98</v>
      </c>
      <c r="B128" s="813" t="str">
        <f>IF($A128="","",VLOOKUP($A128,Listes!$A$3:$C$193,2,FALSE))</f>
        <v>FAS Terms Landing Charge</v>
      </c>
      <c r="C128" s="813"/>
      <c r="D128" s="813"/>
      <c r="E128" s="814" t="s">
        <v>51</v>
      </c>
      <c r="F128" s="814"/>
      <c r="G128" s="814"/>
      <c r="H128" s="657"/>
      <c r="I128" s="531"/>
      <c r="J128" s="531"/>
      <c r="K128" s="531"/>
      <c r="L128" s="531"/>
      <c r="M128" s="532"/>
      <c r="N128" s="160"/>
      <c r="O128" s="160"/>
      <c r="P128" s="160"/>
      <c r="Q128" s="160"/>
      <c r="R128" s="159"/>
    </row>
    <row r="129" spans="1:18" s="136" customFormat="1" ht="15.75" customHeight="1" x14ac:dyDescent="0.2">
      <c r="A129" s="182" t="s">
        <v>581</v>
      </c>
      <c r="B129" s="813" t="str">
        <f>IF($A129="","",VLOOKUP($A129,Listes!$A$3:$C$193,2,FALSE))</f>
        <v>Genset Surcharge</v>
      </c>
      <c r="C129" s="813"/>
      <c r="D129" s="813"/>
      <c r="E129" s="814" t="s">
        <v>51</v>
      </c>
      <c r="F129" s="814"/>
      <c r="G129" s="814"/>
      <c r="H129" s="657"/>
      <c r="I129" s="531"/>
      <c r="J129" s="531"/>
      <c r="K129" s="531"/>
      <c r="L129" s="531"/>
      <c r="M129" s="532"/>
      <c r="N129" s="160"/>
      <c r="O129" s="160"/>
      <c r="P129" s="160"/>
      <c r="Q129" s="160"/>
      <c r="R129" s="159"/>
    </row>
    <row r="130" spans="1:18" s="136" customFormat="1" ht="15.75" customHeight="1" x14ac:dyDescent="0.2">
      <c r="A130" s="182" t="s">
        <v>82</v>
      </c>
      <c r="B130" s="813" t="str">
        <f>IF($A130="","",VLOOKUP($A130,Listes!$A$3:$C$193,2,FALSE))</f>
        <v>General Rate Increase</v>
      </c>
      <c r="C130" s="813"/>
      <c r="D130" s="813"/>
      <c r="E130" s="814" t="s">
        <v>51</v>
      </c>
      <c r="F130" s="814"/>
      <c r="G130" s="814"/>
      <c r="H130" s="657"/>
      <c r="I130" s="531"/>
      <c r="J130" s="531"/>
      <c r="K130" s="531"/>
      <c r="L130" s="531"/>
      <c r="M130" s="532"/>
      <c r="N130" s="160"/>
      <c r="O130" s="160"/>
      <c r="P130" s="160"/>
      <c r="Q130" s="160"/>
      <c r="R130" s="159"/>
    </row>
    <row r="131" spans="1:18" s="136" customFormat="1" ht="15.75" customHeight="1" x14ac:dyDescent="0.2">
      <c r="A131" s="182" t="s">
        <v>260</v>
      </c>
      <c r="B131" s="813" t="str">
        <f>IF($A131="","",VLOOKUP($A131,Listes!$A$3:$C$193,2,FALSE))</f>
        <v>Hazardous Fees (Ocean)</v>
      </c>
      <c r="C131" s="813"/>
      <c r="D131" s="813"/>
      <c r="E131" s="814" t="s">
        <v>51</v>
      </c>
      <c r="F131" s="814"/>
      <c r="G131" s="814"/>
      <c r="H131" s="657"/>
      <c r="I131" s="531"/>
      <c r="J131" s="531"/>
      <c r="K131" s="531"/>
      <c r="L131" s="531"/>
      <c r="M131" s="532"/>
      <c r="N131" s="160"/>
      <c r="O131" s="160"/>
      <c r="P131" s="160"/>
      <c r="Q131" s="160"/>
      <c r="R131" s="159"/>
    </row>
    <row r="132" spans="1:18" s="136" customFormat="1" ht="15.75" customHeight="1" x14ac:dyDescent="0.2">
      <c r="A132" s="182" t="s">
        <v>898</v>
      </c>
      <c r="B132" s="813" t="str">
        <f>IF($A132="","",VLOOKUP($A132,Listes!$A$3:$C$193,2,FALSE))</f>
        <v>Oncarriage Additional Intermodal Door Delivery Surcharge</v>
      </c>
      <c r="C132" s="813"/>
      <c r="D132" s="813"/>
      <c r="E132" s="814" t="s">
        <v>51</v>
      </c>
      <c r="F132" s="814"/>
      <c r="G132" s="814"/>
      <c r="H132" s="657"/>
      <c r="I132" s="531"/>
      <c r="J132" s="531"/>
      <c r="K132" s="531"/>
      <c r="L132" s="531"/>
      <c r="M132" s="532"/>
      <c r="N132" s="160"/>
      <c r="O132" s="160"/>
      <c r="P132" s="160"/>
      <c r="Q132" s="160"/>
      <c r="R132" s="159"/>
    </row>
    <row r="133" spans="1:18" s="136" customFormat="1" ht="15.75" customHeight="1" x14ac:dyDescent="0.2">
      <c r="A133" s="182" t="s">
        <v>1290</v>
      </c>
      <c r="B133" s="813" t="str">
        <f>IF($A133="","",VLOOKUP($A133,Listes!$A$3:$C$193,2,FALSE))</f>
        <v>Local Port Charge Destination Sanitary Fee</v>
      </c>
      <c r="C133" s="813"/>
      <c r="D133" s="813"/>
      <c r="E133" s="814" t="s">
        <v>51</v>
      </c>
      <c r="F133" s="814"/>
      <c r="G133" s="814"/>
      <c r="H133" s="675"/>
      <c r="I133" s="531"/>
      <c r="J133" s="531"/>
      <c r="K133" s="531"/>
      <c r="L133" s="531"/>
      <c r="M133" s="532"/>
      <c r="N133" s="160"/>
      <c r="O133" s="160"/>
      <c r="P133" s="160"/>
      <c r="Q133" s="160"/>
      <c r="R133" s="159"/>
    </row>
    <row r="134" spans="1:18" s="136" customFormat="1" ht="15.75" customHeight="1" x14ac:dyDescent="0.2">
      <c r="A134" s="182" t="s">
        <v>1292</v>
      </c>
      <c r="B134" s="813" t="str">
        <f>IF($A134="","",VLOOKUP($A134,Listes!$A$3:$C$193,2,FALSE))</f>
        <v>Local Port Charge Origin Sanitary Fee</v>
      </c>
      <c r="C134" s="813"/>
      <c r="D134" s="813"/>
      <c r="E134" s="814" t="s">
        <v>51</v>
      </c>
      <c r="F134" s="814"/>
      <c r="G134" s="814"/>
      <c r="H134" s="675"/>
      <c r="I134" s="531"/>
      <c r="J134" s="531"/>
      <c r="K134" s="531"/>
      <c r="L134" s="531"/>
      <c r="M134" s="532"/>
      <c r="N134" s="160"/>
      <c r="O134" s="160"/>
      <c r="P134" s="160"/>
      <c r="Q134" s="160"/>
      <c r="R134" s="159"/>
    </row>
    <row r="135" spans="1:18" s="136" customFormat="1" ht="15.75" customHeight="1" x14ac:dyDescent="0.2">
      <c r="A135" s="182" t="s">
        <v>199</v>
      </c>
      <c r="B135" s="813" t="str">
        <f>IF($A135="","",VLOOKUP($A135,Listes!$A$3:$C$193,2,FALSE))</f>
        <v>Low Sulfur Surcharge</v>
      </c>
      <c r="C135" s="813"/>
      <c r="D135" s="813"/>
      <c r="E135" s="814" t="s">
        <v>53</v>
      </c>
      <c r="F135" s="814"/>
      <c r="G135" s="814"/>
      <c r="H135" s="657"/>
      <c r="I135" s="531"/>
      <c r="J135" s="531"/>
      <c r="K135" s="531"/>
      <c r="L135" s="531"/>
      <c r="M135" s="532"/>
      <c r="N135" s="160"/>
      <c r="O135" s="160"/>
      <c r="P135" s="160"/>
      <c r="Q135" s="160"/>
      <c r="R135" s="159"/>
    </row>
    <row r="136" spans="1:18" s="136" customFormat="1" ht="15.75" customHeight="1" x14ac:dyDescent="0.2">
      <c r="A136" s="182" t="s">
        <v>1124</v>
      </c>
      <c r="B136" s="813" t="str">
        <f>IF($A136="","",VLOOKUP($A136,Listes!$A$3:$C$193,2,FALSE))</f>
        <v>Low Sulfur Surcharge IMO2020</v>
      </c>
      <c r="C136" s="813"/>
      <c r="D136" s="813"/>
      <c r="E136" s="814" t="s">
        <v>53</v>
      </c>
      <c r="F136" s="814"/>
      <c r="G136" s="814"/>
      <c r="H136" s="667"/>
      <c r="I136" s="531"/>
      <c r="J136" s="531"/>
      <c r="K136" s="531"/>
      <c r="L136" s="531"/>
      <c r="M136" s="532"/>
      <c r="N136" s="160"/>
      <c r="O136" s="160"/>
      <c r="P136" s="160"/>
      <c r="Q136" s="160"/>
      <c r="R136" s="159"/>
    </row>
    <row r="137" spans="1:18" s="136" customFormat="1" x14ac:dyDescent="0.2">
      <c r="A137" s="182" t="s">
        <v>1059</v>
      </c>
      <c r="B137" s="813" t="str">
        <f>IF($A137="","",VLOOKUP($A137,Listes!$A$3:$C$193,2,FALSE))</f>
        <v>On-Carriage Emergency Inland Fuel Surcharge</v>
      </c>
      <c r="C137" s="813"/>
      <c r="D137" s="813"/>
      <c r="E137" s="814" t="s">
        <v>51</v>
      </c>
      <c r="F137" s="814"/>
      <c r="G137" s="814"/>
      <c r="H137" s="657"/>
      <c r="I137" s="531"/>
      <c r="J137" s="531"/>
      <c r="K137" s="531"/>
      <c r="L137" s="531"/>
      <c r="M137" s="532"/>
      <c r="N137" s="160"/>
      <c r="O137" s="160"/>
      <c r="P137" s="160"/>
      <c r="Q137" s="160"/>
      <c r="R137" s="159"/>
    </row>
    <row r="138" spans="1:18" s="136" customFormat="1" ht="31.5" x14ac:dyDescent="0.2">
      <c r="A138" s="182" t="s">
        <v>1088</v>
      </c>
      <c r="B138" s="813" t="str">
        <f>IF($A138="","",VLOOKUP($A138,Listes!$A$3:$C$193,2,FALSE))</f>
        <v>On-Carriage Emergency Intermodal Surcharge</v>
      </c>
      <c r="C138" s="813"/>
      <c r="D138" s="813"/>
      <c r="E138" s="814" t="s">
        <v>51</v>
      </c>
      <c r="F138" s="814"/>
      <c r="G138" s="814"/>
      <c r="H138" s="657"/>
      <c r="I138" s="531"/>
      <c r="J138" s="531"/>
      <c r="K138" s="531"/>
      <c r="L138" s="531"/>
      <c r="M138" s="532"/>
      <c r="N138" s="160"/>
      <c r="O138" s="160"/>
      <c r="P138" s="160"/>
      <c r="Q138" s="160"/>
      <c r="R138" s="159"/>
    </row>
    <row r="139" spans="1:18" s="136" customFormat="1" ht="15.75" customHeight="1" x14ac:dyDescent="0.2">
      <c r="A139" s="182" t="s">
        <v>497</v>
      </c>
      <c r="B139" s="813" t="str">
        <f>IF($A139="","",VLOOKUP($A139,Listes!$A$3:$C$193,2,FALSE))</f>
        <v>Inland Hazardous Charge Oncarriage</v>
      </c>
      <c r="C139" s="813"/>
      <c r="D139" s="813"/>
      <c r="E139" s="814" t="s">
        <v>51</v>
      </c>
      <c r="F139" s="814"/>
      <c r="G139" s="814"/>
      <c r="H139" s="657"/>
      <c r="I139" s="531"/>
      <c r="J139" s="531"/>
      <c r="K139" s="531"/>
      <c r="L139" s="531"/>
      <c r="M139" s="532"/>
      <c r="N139" s="160"/>
      <c r="O139" s="160"/>
      <c r="P139" s="160"/>
      <c r="Q139" s="160"/>
      <c r="R139" s="159"/>
    </row>
    <row r="140" spans="1:18" s="136" customFormat="1" ht="15.75" customHeight="1" x14ac:dyDescent="0.2">
      <c r="A140" s="182" t="s">
        <v>89</v>
      </c>
      <c r="B140" s="813" t="str">
        <f>IF($A140="","",VLOOKUP($A140,Listes!$A$3:$C$193,2,FALSE))</f>
        <v>Origin THC / Origin Receiving Charge</v>
      </c>
      <c r="C140" s="813"/>
      <c r="D140" s="813"/>
      <c r="E140" s="814" t="s">
        <v>51</v>
      </c>
      <c r="F140" s="814"/>
      <c r="G140" s="814"/>
      <c r="H140" s="657"/>
      <c r="I140" s="531"/>
      <c r="J140" s="531"/>
      <c r="K140" s="531"/>
      <c r="L140" s="531"/>
      <c r="M140" s="532"/>
      <c r="N140" s="160"/>
      <c r="O140" s="160"/>
      <c r="P140" s="160"/>
      <c r="Q140" s="160"/>
      <c r="R140" s="159"/>
    </row>
    <row r="141" spans="1:18" s="136" customFormat="1" ht="15.75" customHeight="1" x14ac:dyDescent="0.2">
      <c r="A141" s="365" t="s">
        <v>97</v>
      </c>
      <c r="B141" s="813" t="str">
        <f>IF($A141="","",VLOOKUP($A141,Listes!$A$3:$C$193,2,FALSE))</f>
        <v>Panama Canal Surcharge</v>
      </c>
      <c r="C141" s="813"/>
      <c r="D141" s="813"/>
      <c r="E141" s="814" t="s">
        <v>51</v>
      </c>
      <c r="F141" s="814"/>
      <c r="G141" s="814"/>
      <c r="H141" s="366"/>
      <c r="I141" s="535"/>
      <c r="J141" s="535"/>
      <c r="K141" s="535"/>
      <c r="L141" s="535"/>
      <c r="M141" s="536"/>
      <c r="N141" s="160"/>
      <c r="O141" s="160"/>
      <c r="P141" s="160"/>
      <c r="Q141" s="160"/>
      <c r="R141" s="159"/>
    </row>
    <row r="142" spans="1:18" s="136" customFormat="1" ht="15.75" customHeight="1" x14ac:dyDescent="0.2">
      <c r="A142" s="365" t="s">
        <v>1257</v>
      </c>
      <c r="B142" s="813" t="str">
        <f>IF($A142="","",VLOOKUP($A142,Listes!$A$3:$C$193,2,FALSE))</f>
        <v>Panama Canal Adj Factor</v>
      </c>
      <c r="C142" s="813"/>
      <c r="D142" s="813"/>
      <c r="E142" s="814" t="s">
        <v>51</v>
      </c>
      <c r="F142" s="814"/>
      <c r="G142" s="814"/>
      <c r="H142" s="366"/>
      <c r="I142" s="535"/>
      <c r="J142" s="535"/>
      <c r="K142" s="535"/>
      <c r="L142" s="535"/>
      <c r="M142" s="536"/>
      <c r="N142" s="160"/>
      <c r="O142" s="160"/>
      <c r="P142" s="160"/>
      <c r="Q142" s="160"/>
      <c r="R142" s="159"/>
    </row>
    <row r="143" spans="1:18" s="136" customFormat="1" ht="15.75" customHeight="1" x14ac:dyDescent="0.2">
      <c r="A143" s="365" t="s">
        <v>210</v>
      </c>
      <c r="B143" s="813" t="str">
        <f>IF($A143="","",VLOOKUP($A143,Listes!$A$3:$C$193,2,FALSE))</f>
        <v>Panama Canal Lock Improvement Surcharge</v>
      </c>
      <c r="C143" s="813"/>
      <c r="D143" s="813"/>
      <c r="E143" s="814" t="s">
        <v>51</v>
      </c>
      <c r="F143" s="814"/>
      <c r="G143" s="814"/>
      <c r="H143" s="366"/>
      <c r="I143" s="535"/>
      <c r="J143" s="535"/>
      <c r="K143" s="535"/>
      <c r="L143" s="535"/>
      <c r="M143" s="536"/>
      <c r="N143" s="160"/>
      <c r="O143" s="160"/>
      <c r="P143" s="160"/>
      <c r="Q143" s="160"/>
      <c r="R143" s="159"/>
    </row>
    <row r="144" spans="1:18" s="136" customFormat="1" ht="13.5" customHeight="1" x14ac:dyDescent="0.2">
      <c r="A144" s="365" t="s">
        <v>1374</v>
      </c>
      <c r="B144" s="813" t="str">
        <f>IF($A144="","",VLOOKUP($A144,Listes!$A$3:$C$193,2,FALSE))</f>
        <v>Port Access Fee Origin</v>
      </c>
      <c r="C144" s="813"/>
      <c r="D144" s="813"/>
      <c r="E144" s="814" t="s">
        <v>51</v>
      </c>
      <c r="F144" s="814"/>
      <c r="G144" s="814"/>
      <c r="H144" s="366"/>
      <c r="I144" s="535"/>
      <c r="J144" s="535"/>
      <c r="K144" s="535"/>
      <c r="L144" s="535"/>
      <c r="M144" s="536"/>
      <c r="N144" s="160"/>
      <c r="O144" s="160"/>
      <c r="P144" s="160"/>
      <c r="Q144" s="160"/>
      <c r="R144" s="159"/>
    </row>
    <row r="145" spans="1:18" s="136" customFormat="1" ht="15.75" customHeight="1" x14ac:dyDescent="0.2">
      <c r="A145" s="365" t="s">
        <v>832</v>
      </c>
      <c r="B145" s="813" t="str">
        <f>IF($A145="","",VLOOKUP($A145,Listes!$A$3:$C$193,2,FALSE))</f>
        <v>Port Congestion Surcharge Destination</v>
      </c>
      <c r="C145" s="813"/>
      <c r="D145" s="813"/>
      <c r="E145" s="814" t="s">
        <v>51</v>
      </c>
      <c r="F145" s="814"/>
      <c r="G145" s="814"/>
      <c r="H145" s="366"/>
      <c r="I145" s="535"/>
      <c r="J145" s="535"/>
      <c r="K145" s="535"/>
      <c r="L145" s="535"/>
      <c r="M145" s="536"/>
      <c r="N145" s="160"/>
      <c r="O145" s="160"/>
      <c r="P145" s="160"/>
      <c r="Q145" s="160"/>
      <c r="R145" s="159"/>
    </row>
    <row r="146" spans="1:18" s="136" customFormat="1" ht="15.75" customHeight="1" x14ac:dyDescent="0.2">
      <c r="A146" s="365" t="s">
        <v>829</v>
      </c>
      <c r="B146" s="813" t="str">
        <f>IF($A146="","",VLOOKUP($A146,Listes!$A$3:$C$193,2,FALSE))</f>
        <v>Port Congestion Surcharge Origin</v>
      </c>
      <c r="C146" s="813"/>
      <c r="D146" s="813"/>
      <c r="E146" s="814" t="s">
        <v>51</v>
      </c>
      <c r="F146" s="814"/>
      <c r="G146" s="814"/>
      <c r="H146" s="366"/>
      <c r="I146" s="535"/>
      <c r="J146" s="535"/>
      <c r="K146" s="535"/>
      <c r="L146" s="535"/>
      <c r="M146" s="536"/>
      <c r="N146" s="160"/>
      <c r="O146" s="160"/>
      <c r="P146" s="160"/>
      <c r="Q146" s="160"/>
      <c r="R146" s="159"/>
    </row>
    <row r="147" spans="1:18" s="136" customFormat="1" ht="15.75" customHeight="1" x14ac:dyDescent="0.2">
      <c r="A147" s="365" t="s">
        <v>500</v>
      </c>
      <c r="B147" s="813" t="str">
        <f>IF($A147="","",VLOOKUP($A147,Listes!$A$3:$C$193,2,FALSE))</f>
        <v>Inland Hazardous Charge Precarriage</v>
      </c>
      <c r="C147" s="813"/>
      <c r="D147" s="813"/>
      <c r="E147" s="814" t="s">
        <v>51</v>
      </c>
      <c r="F147" s="814"/>
      <c r="G147" s="814"/>
      <c r="H147" s="366"/>
      <c r="I147" s="535"/>
      <c r="J147" s="535"/>
      <c r="K147" s="535"/>
      <c r="L147" s="535"/>
      <c r="M147" s="536"/>
      <c r="N147" s="160"/>
      <c r="O147" s="160"/>
      <c r="P147" s="160"/>
      <c r="Q147" s="160"/>
      <c r="R147" s="159"/>
    </row>
    <row r="148" spans="1:18" s="136" customFormat="1" ht="15.75" customHeight="1" x14ac:dyDescent="0.2">
      <c r="A148" s="365" t="s">
        <v>87</v>
      </c>
      <c r="B148" s="813" t="str">
        <f>IF($A148="","",VLOOKUP($A148,Listes!$A$3:$C$193,2,FALSE))</f>
        <v>Peak Season</v>
      </c>
      <c r="C148" s="813"/>
      <c r="D148" s="813"/>
      <c r="E148" s="814" t="s">
        <v>51</v>
      </c>
      <c r="F148" s="814"/>
      <c r="G148" s="814"/>
      <c r="H148" s="366"/>
      <c r="I148" s="535"/>
      <c r="J148" s="535"/>
      <c r="K148" s="535"/>
      <c r="L148" s="535"/>
      <c r="M148" s="536"/>
      <c r="N148" s="160"/>
      <c r="O148" s="160"/>
      <c r="P148" s="160"/>
      <c r="Q148" s="160"/>
      <c r="R148" s="159"/>
    </row>
    <row r="149" spans="1:18" s="136" customFormat="1" ht="15.75" customHeight="1" x14ac:dyDescent="0.2">
      <c r="A149" s="365" t="s">
        <v>259</v>
      </c>
      <c r="B149" s="813" t="str">
        <f>IF($A149="","",VLOOKUP($A149,Listes!$A$3:$C$193,2,FALSE))</f>
        <v>Reefer</v>
      </c>
      <c r="C149" s="813"/>
      <c r="D149" s="813"/>
      <c r="E149" s="814" t="s">
        <v>51</v>
      </c>
      <c r="F149" s="814"/>
      <c r="G149" s="814"/>
      <c r="H149" s="366"/>
      <c r="I149" s="535"/>
      <c r="J149" s="535"/>
      <c r="K149" s="535"/>
      <c r="L149" s="535"/>
      <c r="M149" s="536"/>
      <c r="N149" s="160"/>
      <c r="O149" s="160"/>
      <c r="P149" s="160"/>
      <c r="Q149" s="160"/>
      <c r="R149" s="159"/>
    </row>
    <row r="150" spans="1:18" s="136" customFormat="1" ht="15.75" customHeight="1" x14ac:dyDescent="0.2">
      <c r="A150" s="365" t="s">
        <v>817</v>
      </c>
      <c r="B150" s="813" t="str">
        <f>IF($A150="","",VLOOKUP($A150,Listes!$A$3:$C$193,2,FALSE))</f>
        <v>Reefer PTI</v>
      </c>
      <c r="C150" s="813"/>
      <c r="D150" s="813"/>
      <c r="E150" s="814" t="s">
        <v>51</v>
      </c>
      <c r="F150" s="814"/>
      <c r="G150" s="814"/>
      <c r="H150" s="366"/>
      <c r="I150" s="535"/>
      <c r="J150" s="535"/>
      <c r="K150" s="535"/>
      <c r="L150" s="535"/>
      <c r="M150" s="536"/>
      <c r="N150" s="160"/>
      <c r="O150" s="160"/>
      <c r="P150" s="160"/>
      <c r="Q150" s="160"/>
      <c r="R150" s="159"/>
    </row>
    <row r="151" spans="1:18" s="136" customFormat="1" ht="15.75" customHeight="1" x14ac:dyDescent="0.2">
      <c r="A151" s="365" t="s">
        <v>291</v>
      </c>
      <c r="B151" s="960" t="str">
        <f>IF($A151="","",VLOOKUP($A151,Listes!$A$3:$C$193,2,FALSE))</f>
        <v>River plate &amp; EIF Surcharge / Congo River Surcharge</v>
      </c>
      <c r="C151" s="961"/>
      <c r="D151" s="962"/>
      <c r="E151" s="963" t="s">
        <v>51</v>
      </c>
      <c r="F151" s="964"/>
      <c r="G151" s="965"/>
      <c r="H151" s="366"/>
      <c r="I151" s="535"/>
      <c r="J151" s="535"/>
      <c r="K151" s="535"/>
      <c r="L151" s="535"/>
      <c r="M151" s="536"/>
      <c r="N151" s="160"/>
      <c r="O151" s="160"/>
      <c r="P151" s="160"/>
      <c r="Q151" s="160"/>
      <c r="R151" s="159"/>
    </row>
    <row r="152" spans="1:18" s="136" customFormat="1" ht="15.75" customHeight="1" x14ac:dyDescent="0.2">
      <c r="A152" s="365" t="s">
        <v>278</v>
      </c>
      <c r="B152" s="813" t="str">
        <f>IF($A152="","",VLOOKUP($A152,Listes!$A$3:$C$193,2,FALSE))</f>
        <v>Destination Terminal Security Charge</v>
      </c>
      <c r="C152" s="813"/>
      <c r="D152" s="813"/>
      <c r="E152" s="814" t="s">
        <v>51</v>
      </c>
      <c r="F152" s="814"/>
      <c r="G152" s="814"/>
      <c r="H152" s="366"/>
      <c r="I152" s="535"/>
      <c r="J152" s="535"/>
      <c r="K152" s="535"/>
      <c r="L152" s="535"/>
      <c r="M152" s="536"/>
      <c r="N152" s="160"/>
      <c r="O152" s="160"/>
      <c r="P152" s="160"/>
      <c r="Q152" s="160"/>
      <c r="R152" s="159"/>
    </row>
    <row r="153" spans="1:18" s="136" customFormat="1" ht="15.75" customHeight="1" x14ac:dyDescent="0.2">
      <c r="A153" s="365" t="s">
        <v>277</v>
      </c>
      <c r="B153" s="813" t="str">
        <f>IF($A153="","",VLOOKUP($A153,Listes!$A$3:$C$193,2,FALSE))</f>
        <v>Origin Terminal Security Charge</v>
      </c>
      <c r="C153" s="813"/>
      <c r="D153" s="813"/>
      <c r="E153" s="814" t="s">
        <v>51</v>
      </c>
      <c r="F153" s="814"/>
      <c r="G153" s="814"/>
      <c r="H153" s="366"/>
      <c r="I153" s="535"/>
      <c r="J153" s="535"/>
      <c r="K153" s="535"/>
      <c r="L153" s="535"/>
      <c r="M153" s="536"/>
      <c r="N153" s="160"/>
      <c r="O153" s="160"/>
      <c r="P153" s="160"/>
      <c r="Q153" s="160"/>
      <c r="R153" s="159"/>
    </row>
    <row r="154" spans="1:18" s="136" customFormat="1" ht="15.75" customHeight="1" x14ac:dyDescent="0.2">
      <c r="A154" s="365" t="s">
        <v>1051</v>
      </c>
      <c r="B154" s="813" t="str">
        <f>IF($A154="","",VLOOKUP($A154,Listes!$A$3:$C$193,2,FALSE))</f>
        <v>Terminal Gate In Fee</v>
      </c>
      <c r="C154" s="813"/>
      <c r="D154" s="813"/>
      <c r="E154" s="814" t="s">
        <v>51</v>
      </c>
      <c r="F154" s="814"/>
      <c r="G154" s="814"/>
      <c r="H154" s="366"/>
      <c r="I154" s="535"/>
      <c r="J154" s="535"/>
      <c r="K154" s="535"/>
      <c r="L154" s="535"/>
      <c r="M154" s="536"/>
      <c r="N154" s="160"/>
      <c r="O154" s="160"/>
      <c r="P154" s="160"/>
      <c r="Q154" s="160"/>
      <c r="R154" s="159"/>
    </row>
    <row r="155" spans="1:18" s="136" customFormat="1" ht="31.5" x14ac:dyDescent="0.2">
      <c r="A155" s="365" t="s">
        <v>367</v>
      </c>
      <c r="B155" s="813" t="str">
        <f>IF($A155="","",VLOOKUP($A155,Listes!$A$3:$C$193,2,FALSE))</f>
        <v>Tri-Axle / Super Chassis Oncarriage Surcharge</v>
      </c>
      <c r="C155" s="813"/>
      <c r="D155" s="813"/>
      <c r="E155" s="814" t="s">
        <v>51</v>
      </c>
      <c r="F155" s="814"/>
      <c r="G155" s="814"/>
      <c r="H155" s="366"/>
      <c r="I155" s="535"/>
      <c r="J155" s="535"/>
      <c r="K155" s="535"/>
      <c r="L155" s="535"/>
      <c r="M155" s="536"/>
      <c r="N155" s="160"/>
      <c r="O155" s="160"/>
      <c r="P155" s="160"/>
      <c r="Q155" s="160"/>
      <c r="R155" s="159"/>
    </row>
    <row r="156" spans="1:18" s="136" customFormat="1" ht="15.75" customHeight="1" x14ac:dyDescent="0.2">
      <c r="A156" s="365" t="s">
        <v>742</v>
      </c>
      <c r="B156" s="813" t="str">
        <f>IF($A156="","",VLOOKUP($A156,Listes!$A$3:$C$193,2,FALSE))</f>
        <v>Wharfage (Destination)</v>
      </c>
      <c r="C156" s="813"/>
      <c r="D156" s="813"/>
      <c r="E156" s="814" t="s">
        <v>51</v>
      </c>
      <c r="F156" s="814"/>
      <c r="G156" s="814"/>
      <c r="H156" s="366"/>
      <c r="I156" s="535"/>
      <c r="J156" s="535"/>
      <c r="K156" s="535"/>
      <c r="L156" s="535"/>
      <c r="M156" s="536"/>
      <c r="N156" s="160"/>
      <c r="O156" s="160"/>
      <c r="P156" s="160"/>
      <c r="Q156" s="160"/>
      <c r="R156" s="159"/>
    </row>
    <row r="157" spans="1:18" s="136" customFormat="1" ht="16.5" thickBot="1" x14ac:dyDescent="0.25">
      <c r="A157" s="185" t="s">
        <v>870</v>
      </c>
      <c r="B157" s="998" t="str">
        <f>IF($A157="","",VLOOKUP($A157,Listes!$A$3:$C$193,2,FALSE))</f>
        <v>Scanning by Customs, incl other examination charges</v>
      </c>
      <c r="C157" s="999"/>
      <c r="D157" s="1000"/>
      <c r="E157" s="815" t="s">
        <v>51</v>
      </c>
      <c r="F157" s="815"/>
      <c r="G157" s="815"/>
      <c r="H157" s="659"/>
      <c r="I157" s="533"/>
      <c r="J157" s="533"/>
      <c r="K157" s="533"/>
      <c r="L157" s="533"/>
      <c r="M157" s="534"/>
      <c r="N157" s="160"/>
      <c r="O157" s="160"/>
      <c r="P157" s="160"/>
      <c r="Q157" s="160"/>
      <c r="R157" s="159"/>
    </row>
    <row r="158" spans="1:18" s="73" customFormat="1" ht="16.5" thickBot="1" x14ac:dyDescent="0.25">
      <c r="A158" s="995" t="s">
        <v>216</v>
      </c>
      <c r="B158" s="996"/>
      <c r="C158" s="996"/>
      <c r="D158" s="996"/>
      <c r="E158" s="997"/>
      <c r="F158" s="997"/>
      <c r="G158" s="997"/>
      <c r="H158" s="997"/>
      <c r="I158" s="853"/>
      <c r="J158" s="169"/>
      <c r="K158" s="118"/>
      <c r="L158" s="134"/>
      <c r="M158" s="134"/>
      <c r="N158" s="134"/>
      <c r="O158" s="134"/>
      <c r="P158" s="134"/>
      <c r="Q158" s="118"/>
    </row>
    <row r="159" spans="1:18" s="73" customFormat="1" ht="16.5" thickBot="1" x14ac:dyDescent="0.25">
      <c r="A159" s="849" t="s">
        <v>597</v>
      </c>
      <c r="B159" s="833"/>
      <c r="C159" s="833"/>
      <c r="D159" s="833"/>
      <c r="E159" s="833"/>
      <c r="F159" s="833"/>
      <c r="G159" s="833"/>
      <c r="H159" s="833"/>
      <c r="I159" s="834"/>
      <c r="J159" s="169"/>
      <c r="K159" s="134"/>
      <c r="L159" s="134"/>
      <c r="M159" s="134"/>
      <c r="N159" s="134"/>
      <c r="O159" s="118"/>
    </row>
    <row r="160" spans="1:18" s="73" customFormat="1" ht="16.5" thickBot="1" x14ac:dyDescent="0.25">
      <c r="A160" s="187"/>
      <c r="B160" s="187"/>
      <c r="C160" s="188"/>
      <c r="D160" s="189"/>
      <c r="E160" s="170"/>
      <c r="F160" s="170"/>
      <c r="G160" s="170"/>
      <c r="H160" s="170"/>
      <c r="I160" s="170"/>
      <c r="J160" s="189"/>
      <c r="K160" s="169"/>
      <c r="L160" s="118"/>
      <c r="M160" s="134"/>
      <c r="N160" s="134"/>
      <c r="O160" s="134"/>
      <c r="P160" s="134"/>
      <c r="Q160" s="134"/>
      <c r="R160" s="118"/>
    </row>
    <row r="161" spans="1:23" s="73" customFormat="1" ht="15.6" customHeight="1" x14ac:dyDescent="0.2">
      <c r="A161" s="830" t="s">
        <v>523</v>
      </c>
      <c r="B161" s="831"/>
      <c r="C161" s="831"/>
      <c r="D161" s="831"/>
      <c r="E161" s="842" t="s">
        <v>288</v>
      </c>
      <c r="F161" s="842">
        <v>20</v>
      </c>
      <c r="G161" s="842">
        <v>40</v>
      </c>
      <c r="H161" s="842" t="s">
        <v>19</v>
      </c>
      <c r="I161" s="842" t="s">
        <v>20</v>
      </c>
      <c r="J161" s="848" t="s">
        <v>297</v>
      </c>
      <c r="K161" s="848" t="s">
        <v>33</v>
      </c>
      <c r="L161" s="846" t="s">
        <v>217</v>
      </c>
      <c r="M161" s="189"/>
      <c r="N161" s="134"/>
      <c r="O161" s="134"/>
      <c r="P161" s="134"/>
      <c r="Q161" s="134"/>
      <c r="R161" s="134"/>
      <c r="S161" s="134"/>
      <c r="T161" s="134"/>
      <c r="U161" s="134"/>
    </row>
    <row r="162" spans="1:23" s="73" customFormat="1" x14ac:dyDescent="0.2">
      <c r="A162" s="537" t="s">
        <v>218</v>
      </c>
      <c r="B162" s="538" t="s">
        <v>11</v>
      </c>
      <c r="C162" s="538" t="s">
        <v>12</v>
      </c>
      <c r="D162" s="538" t="s">
        <v>219</v>
      </c>
      <c r="E162" s="843"/>
      <c r="F162" s="843"/>
      <c r="G162" s="843"/>
      <c r="H162" s="843"/>
      <c r="I162" s="843"/>
      <c r="J162" s="843"/>
      <c r="K162" s="843"/>
      <c r="L162" s="847"/>
      <c r="M162" s="189"/>
      <c r="N162" s="134"/>
      <c r="O162" s="134"/>
      <c r="P162" s="134"/>
      <c r="Q162" s="134"/>
      <c r="R162" s="134"/>
      <c r="S162" s="134"/>
      <c r="T162" s="134"/>
      <c r="U162" s="134"/>
    </row>
    <row r="163" spans="1:23" s="136" customFormat="1" x14ac:dyDescent="0.2">
      <c r="A163" s="539"/>
      <c r="B163" s="540"/>
      <c r="C163" s="540"/>
      <c r="D163" s="540"/>
      <c r="E163" s="540"/>
      <c r="F163" s="255"/>
      <c r="G163" s="255"/>
      <c r="H163" s="255"/>
      <c r="I163" s="255"/>
      <c r="J163" s="540"/>
      <c r="K163" s="21"/>
      <c r="L163" s="541"/>
      <c r="M163" s="190"/>
      <c r="N163" s="160"/>
      <c r="O163" s="160"/>
      <c r="P163" s="160"/>
      <c r="Q163" s="160"/>
      <c r="R163" s="160"/>
      <c r="S163" s="160"/>
      <c r="T163" s="160"/>
      <c r="U163" s="160"/>
    </row>
    <row r="164" spans="1:23" s="136" customFormat="1" x14ac:dyDescent="0.2">
      <c r="A164" s="542"/>
      <c r="B164" s="540"/>
      <c r="C164" s="540"/>
      <c r="D164" s="540"/>
      <c r="E164" s="540"/>
      <c r="F164" s="255"/>
      <c r="G164" s="255"/>
      <c r="H164" s="255"/>
      <c r="I164" s="255"/>
      <c r="J164" s="24"/>
      <c r="K164" s="21"/>
      <c r="L164" s="25"/>
      <c r="M164" s="191"/>
      <c r="N164" s="160"/>
      <c r="O164" s="160"/>
      <c r="P164" s="160"/>
      <c r="Q164" s="160"/>
      <c r="R164" s="160"/>
      <c r="S164" s="160"/>
      <c r="T164" s="160"/>
      <c r="U164" s="160"/>
    </row>
    <row r="165" spans="1:23" s="136" customFormat="1" x14ac:dyDescent="0.2">
      <c r="A165" s="542"/>
      <c r="B165" s="540"/>
      <c r="C165" s="540"/>
      <c r="D165" s="540"/>
      <c r="E165" s="540"/>
      <c r="F165" s="255"/>
      <c r="G165" s="255"/>
      <c r="H165" s="255"/>
      <c r="I165" s="255"/>
      <c r="J165" s="24"/>
      <c r="K165" s="21"/>
      <c r="L165" s="25"/>
      <c r="M165" s="191"/>
      <c r="N165" s="160"/>
      <c r="O165" s="160"/>
      <c r="P165" s="160"/>
      <c r="Q165" s="160"/>
      <c r="R165" s="160"/>
      <c r="S165" s="160"/>
      <c r="T165" s="160"/>
      <c r="U165" s="160"/>
    </row>
    <row r="166" spans="1:23" s="136" customFormat="1" ht="16.5" thickBot="1" x14ac:dyDescent="0.25">
      <c r="A166" s="543"/>
      <c r="B166" s="544"/>
      <c r="C166" s="544"/>
      <c r="D166" s="544"/>
      <c r="E166" s="544"/>
      <c r="F166" s="256"/>
      <c r="G166" s="256"/>
      <c r="H166" s="256"/>
      <c r="I166" s="256"/>
      <c r="J166" s="28"/>
      <c r="K166" s="29"/>
      <c r="L166" s="30"/>
      <c r="M166" s="191"/>
      <c r="N166" s="160"/>
      <c r="O166" s="160"/>
      <c r="P166" s="160"/>
      <c r="Q166" s="160"/>
      <c r="R166" s="160"/>
      <c r="S166" s="160"/>
      <c r="T166" s="160"/>
      <c r="U166" s="160"/>
    </row>
    <row r="167" spans="1:23" s="136" customFormat="1" x14ac:dyDescent="0.2">
      <c r="A167" s="173"/>
      <c r="B167" s="545"/>
      <c r="C167" s="545"/>
      <c r="D167" s="545"/>
      <c r="E167" s="545"/>
      <c r="F167" s="545"/>
      <c r="G167" s="545"/>
      <c r="H167" s="545"/>
      <c r="I167" s="545"/>
      <c r="J167" s="33"/>
      <c r="K167" s="33"/>
      <c r="L167" s="34"/>
      <c r="M167" s="191"/>
      <c r="N167" s="160"/>
      <c r="O167" s="160"/>
      <c r="P167" s="160"/>
      <c r="Q167" s="160"/>
      <c r="R167" s="160"/>
      <c r="S167" s="160"/>
      <c r="T167" s="160"/>
      <c r="U167" s="160"/>
    </row>
    <row r="168" spans="1:23" s="73" customFormat="1" ht="15.6" customHeight="1" x14ac:dyDescent="0.2">
      <c r="A168" s="841" t="s">
        <v>596</v>
      </c>
      <c r="B168" s="840"/>
      <c r="C168" s="840"/>
      <c r="D168" s="840"/>
      <c r="E168" s="840" t="s">
        <v>288</v>
      </c>
      <c r="F168" s="840">
        <v>20</v>
      </c>
      <c r="G168" s="840">
        <v>40</v>
      </c>
      <c r="H168" s="840" t="s">
        <v>19</v>
      </c>
      <c r="I168" s="840" t="s">
        <v>20</v>
      </c>
      <c r="J168" s="845" t="s">
        <v>297</v>
      </c>
      <c r="K168" s="845" t="s">
        <v>33</v>
      </c>
      <c r="L168" s="844" t="s">
        <v>217</v>
      </c>
      <c r="M168" s="844" t="s">
        <v>23</v>
      </c>
      <c r="N168" s="169"/>
      <c r="O168" s="118"/>
      <c r="P168" s="134"/>
      <c r="Q168" s="134"/>
      <c r="R168" s="134"/>
      <c r="S168" s="134"/>
      <c r="T168" s="134"/>
      <c r="U168" s="134"/>
      <c r="V168" s="134"/>
      <c r="W168" s="134"/>
    </row>
    <row r="169" spans="1:23" s="73" customFormat="1" x14ac:dyDescent="0.2">
      <c r="A169" s="546" t="s">
        <v>218</v>
      </c>
      <c r="B169" s="546" t="s">
        <v>11</v>
      </c>
      <c r="C169" s="546" t="s">
        <v>12</v>
      </c>
      <c r="D169" s="546" t="s">
        <v>219</v>
      </c>
      <c r="E169" s="840"/>
      <c r="F169" s="840"/>
      <c r="G169" s="840"/>
      <c r="H169" s="840"/>
      <c r="I169" s="840"/>
      <c r="J169" s="840"/>
      <c r="K169" s="840"/>
      <c r="L169" s="844"/>
      <c r="M169" s="844"/>
      <c r="N169" s="169"/>
      <c r="O169" s="118"/>
      <c r="P169" s="134"/>
      <c r="Q169" s="134"/>
      <c r="R169" s="134"/>
      <c r="S169" s="134"/>
      <c r="T169" s="134"/>
      <c r="U169" s="134"/>
      <c r="V169" s="134"/>
      <c r="W169" s="134"/>
    </row>
    <row r="170" spans="1:23" s="136" customFormat="1" x14ac:dyDescent="0.2">
      <c r="A170" s="372"/>
      <c r="B170" s="547"/>
      <c r="C170" s="547"/>
      <c r="D170" s="547"/>
      <c r="E170" s="547"/>
      <c r="F170" s="368"/>
      <c r="G170" s="368"/>
      <c r="H170" s="368"/>
      <c r="I170" s="368"/>
      <c r="J170" s="369"/>
      <c r="K170" s="370"/>
      <c r="L170" s="548"/>
      <c r="M170" s="548"/>
      <c r="N170" s="192"/>
      <c r="O170" s="159"/>
      <c r="P170" s="160"/>
      <c r="Q170" s="160"/>
      <c r="R170" s="160"/>
      <c r="S170" s="160"/>
      <c r="T170" s="160"/>
      <c r="U170" s="160"/>
      <c r="V170" s="160"/>
      <c r="W170" s="160"/>
    </row>
    <row r="171" spans="1:23" s="136" customFormat="1" x14ac:dyDescent="0.2">
      <c r="A171" s="372"/>
      <c r="B171" s="547"/>
      <c r="C171" s="547"/>
      <c r="D171" s="547"/>
      <c r="E171" s="547"/>
      <c r="F171" s="368"/>
      <c r="G171" s="368"/>
      <c r="H171" s="368"/>
      <c r="I171" s="368"/>
      <c r="J171" s="369"/>
      <c r="K171" s="370"/>
      <c r="L171" s="548"/>
      <c r="M171" s="548"/>
      <c r="N171" s="192"/>
      <c r="O171" s="159"/>
      <c r="P171" s="160"/>
      <c r="Q171" s="160"/>
      <c r="R171" s="160"/>
      <c r="S171" s="160"/>
      <c r="T171" s="160"/>
      <c r="U171" s="160"/>
      <c r="V171" s="160"/>
      <c r="W171" s="160"/>
    </row>
    <row r="172" spans="1:23" s="136" customFormat="1" x14ac:dyDescent="0.2">
      <c r="A172" s="372"/>
      <c r="B172" s="547"/>
      <c r="C172" s="547"/>
      <c r="D172" s="547"/>
      <c r="E172" s="547"/>
      <c r="F172" s="368"/>
      <c r="G172" s="368"/>
      <c r="H172" s="368"/>
      <c r="I172" s="368"/>
      <c r="J172" s="369"/>
      <c r="K172" s="370"/>
      <c r="L172" s="548"/>
      <c r="M172" s="548"/>
      <c r="N172" s="192"/>
      <c r="O172" s="159"/>
      <c r="P172" s="160"/>
      <c r="Q172" s="160"/>
      <c r="R172" s="160"/>
      <c r="S172" s="160"/>
      <c r="T172" s="160"/>
      <c r="U172" s="160"/>
      <c r="V172" s="160"/>
      <c r="W172" s="160"/>
    </row>
    <row r="173" spans="1:23" s="136" customFormat="1" x14ac:dyDescent="0.2">
      <c r="A173" s="372"/>
      <c r="B173" s="547"/>
      <c r="C173" s="547"/>
      <c r="D173" s="547"/>
      <c r="E173" s="547"/>
      <c r="F173" s="368"/>
      <c r="G173" s="368"/>
      <c r="H173" s="368"/>
      <c r="I173" s="368"/>
      <c r="J173" s="369"/>
      <c r="K173" s="370"/>
      <c r="L173" s="373"/>
      <c r="M173" s="373"/>
      <c r="N173" s="191"/>
      <c r="O173" s="159"/>
      <c r="P173" s="160"/>
      <c r="Q173" s="160"/>
      <c r="R173" s="160"/>
      <c r="S173" s="160"/>
      <c r="T173" s="160"/>
      <c r="U173" s="160"/>
      <c r="V173" s="160"/>
      <c r="W173" s="160"/>
    </row>
    <row r="174" spans="1:23" s="73" customFormat="1" x14ac:dyDescent="0.2">
      <c r="A174" s="456"/>
      <c r="B174" s="549"/>
      <c r="C174" s="549"/>
      <c r="D174" s="549"/>
      <c r="E174" s="549"/>
      <c r="F174" s="194"/>
      <c r="G174" s="522"/>
      <c r="H174" s="195"/>
      <c r="I174" s="195"/>
      <c r="J174" s="176"/>
      <c r="K174" s="118"/>
      <c r="L174" s="134"/>
      <c r="M174" s="134"/>
      <c r="N174" s="134"/>
      <c r="O174" s="134"/>
      <c r="P174" s="134"/>
      <c r="Q174" s="134"/>
    </row>
    <row r="175" spans="1:23" s="456" customFormat="1" ht="16.5" thickBot="1" x14ac:dyDescent="0.25">
      <c r="A175" s="196"/>
      <c r="B175" s="197"/>
      <c r="C175" s="198"/>
      <c r="D175" s="198"/>
      <c r="E175" s="169"/>
      <c r="F175" s="176"/>
      <c r="G175" s="176"/>
      <c r="H175" s="176"/>
      <c r="I175" s="176"/>
      <c r="J175" s="170"/>
      <c r="K175" s="118"/>
      <c r="L175" s="134"/>
      <c r="M175" s="134"/>
      <c r="N175" s="134"/>
      <c r="O175" s="134"/>
      <c r="P175" s="134"/>
      <c r="Q175" s="134"/>
      <c r="R175" s="134"/>
      <c r="S175" s="118"/>
      <c r="T175" s="118"/>
      <c r="U175" s="118"/>
    </row>
    <row r="176" spans="1:23" s="456" customFormat="1" ht="16.5" thickBot="1" x14ac:dyDescent="0.25">
      <c r="A176" s="822" t="s">
        <v>220</v>
      </c>
      <c r="B176" s="823"/>
      <c r="C176" s="823"/>
      <c r="D176" s="823"/>
      <c r="E176" s="824"/>
      <c r="F176" s="176"/>
      <c r="G176" s="176"/>
      <c r="H176" s="176"/>
      <c r="I176" s="176"/>
      <c r="J176" s="170"/>
      <c r="K176" s="118"/>
      <c r="L176" s="134"/>
      <c r="M176" s="134"/>
      <c r="N176" s="134"/>
      <c r="O176" s="134"/>
      <c r="P176" s="134"/>
      <c r="Q176" s="134"/>
      <c r="R176" s="134"/>
      <c r="S176" s="118"/>
      <c r="T176" s="118"/>
      <c r="U176" s="118"/>
    </row>
    <row r="177" spans="1:21" s="73" customFormat="1" ht="16.5" thickBot="1" x14ac:dyDescent="0.25">
      <c r="A177" s="550"/>
      <c r="B177" s="456"/>
      <c r="C177" s="456"/>
      <c r="D177" s="456"/>
      <c r="E177" s="456"/>
      <c r="F177" s="194"/>
      <c r="G177" s="456"/>
      <c r="H177" s="200"/>
      <c r="I177" s="194"/>
      <c r="J177" s="194"/>
      <c r="K177" s="118"/>
      <c r="L177" s="134"/>
      <c r="M177" s="134"/>
      <c r="N177" s="134"/>
      <c r="O177" s="134"/>
      <c r="P177" s="134"/>
      <c r="Q177" s="134"/>
      <c r="R177" s="134"/>
      <c r="S177" s="118"/>
      <c r="T177" s="118"/>
      <c r="U177" s="118"/>
    </row>
    <row r="178" spans="1:21" s="73" customFormat="1" ht="16.5" thickBot="1" x14ac:dyDescent="0.25">
      <c r="A178" s="825" t="s">
        <v>221</v>
      </c>
      <c r="B178" s="838"/>
      <c r="C178" s="838"/>
      <c r="D178" s="838"/>
      <c r="E178" s="838"/>
      <c r="F178" s="839"/>
      <c r="G178" s="456"/>
      <c r="H178" s="200"/>
      <c r="I178" s="194"/>
      <c r="J178" s="194"/>
      <c r="K178" s="118"/>
      <c r="L178" s="134"/>
      <c r="M178" s="134"/>
      <c r="N178" s="134"/>
      <c r="O178" s="134"/>
      <c r="P178" s="134"/>
      <c r="Q178" s="134"/>
      <c r="R178" s="134"/>
      <c r="S178" s="118"/>
      <c r="T178" s="118"/>
      <c r="U178" s="118"/>
    </row>
    <row r="179" spans="1:21" s="73" customFormat="1" ht="16.5" customHeight="1" x14ac:dyDescent="0.2">
      <c r="A179" s="835" t="s">
        <v>222</v>
      </c>
      <c r="B179" s="836"/>
      <c r="C179" s="836"/>
      <c r="D179" s="836"/>
      <c r="E179" s="836"/>
      <c r="F179" s="837"/>
      <c r="G179" s="456"/>
      <c r="H179" s="201"/>
      <c r="I179" s="170"/>
      <c r="J179" s="170"/>
      <c r="K179" s="118"/>
      <c r="L179" s="134"/>
      <c r="M179" s="134"/>
      <c r="N179" s="134"/>
      <c r="O179" s="134"/>
      <c r="P179" s="134"/>
      <c r="Q179" s="134"/>
      <c r="R179" s="134"/>
      <c r="S179" s="118"/>
      <c r="T179" s="118"/>
      <c r="U179" s="118"/>
    </row>
    <row r="180" spans="1:21" ht="16.5" thickBot="1" x14ac:dyDescent="0.25">
      <c r="A180" s="832" t="s">
        <v>223</v>
      </c>
      <c r="B180" s="833"/>
      <c r="C180" s="833"/>
      <c r="D180" s="833"/>
      <c r="E180" s="833"/>
      <c r="F180" s="834"/>
      <c r="G180" s="176"/>
      <c r="H180" s="176"/>
      <c r="I180" s="176"/>
      <c r="J180" s="169"/>
      <c r="K180" s="169"/>
      <c r="L180" s="169"/>
      <c r="M180" s="169"/>
      <c r="N180" s="169"/>
      <c r="O180" s="169"/>
      <c r="P180" s="169"/>
      <c r="Q180" s="169"/>
      <c r="R180" s="169"/>
      <c r="S180" s="169"/>
      <c r="T180" s="169"/>
      <c r="U180" s="169"/>
    </row>
    <row r="181" spans="1:21" x14ac:dyDescent="0.2">
      <c r="A181" s="551" t="s">
        <v>224</v>
      </c>
      <c r="B181" s="450" t="s">
        <v>225</v>
      </c>
      <c r="C181" s="552" t="s">
        <v>226</v>
      </c>
      <c r="D181" s="553" t="s">
        <v>227</v>
      </c>
      <c r="E181" s="176"/>
      <c r="F181" s="176"/>
      <c r="G181" s="176"/>
      <c r="H181" s="169"/>
      <c r="I181" s="169"/>
      <c r="J181" s="169"/>
      <c r="K181" s="169"/>
      <c r="L181" s="169"/>
      <c r="M181" s="169"/>
      <c r="N181" s="169"/>
      <c r="O181" s="169"/>
      <c r="P181" s="169"/>
      <c r="Q181" s="169"/>
      <c r="R181" s="169"/>
    </row>
    <row r="182" spans="1:21" s="192" customFormat="1" x14ac:dyDescent="0.2">
      <c r="A182" s="203"/>
      <c r="B182" s="204" t="s">
        <v>344</v>
      </c>
      <c r="C182" s="205" t="s">
        <v>417</v>
      </c>
      <c r="D182" s="206">
        <v>1</v>
      </c>
      <c r="E182" s="191"/>
      <c r="F182" s="191"/>
      <c r="G182" s="191"/>
    </row>
    <row r="183" spans="1:21" s="192" customFormat="1" x14ac:dyDescent="0.2">
      <c r="A183" s="203"/>
      <c r="B183" s="204" t="s">
        <v>344</v>
      </c>
      <c r="C183" s="205" t="s">
        <v>418</v>
      </c>
      <c r="D183" s="206">
        <v>1.2</v>
      </c>
      <c r="E183" s="191"/>
      <c r="F183" s="191"/>
      <c r="G183" s="191"/>
    </row>
    <row r="184" spans="1:21" s="192" customFormat="1" ht="16.5" thickBot="1" x14ac:dyDescent="0.25">
      <c r="A184" s="207"/>
      <c r="B184" s="208"/>
      <c r="C184" s="209"/>
      <c r="D184" s="210"/>
      <c r="E184" s="191"/>
      <c r="F184" s="191"/>
      <c r="G184" s="191"/>
    </row>
    <row r="185" spans="1:21" ht="16.5" thickBot="1" x14ac:dyDescent="0.25"/>
    <row r="186" spans="1:21" s="73" customFormat="1" ht="16.5" thickBot="1" x14ac:dyDescent="0.25">
      <c r="A186" s="822" t="s">
        <v>228</v>
      </c>
      <c r="B186" s="823"/>
      <c r="C186" s="823"/>
      <c r="D186" s="823"/>
      <c r="E186" s="823"/>
      <c r="F186" s="823"/>
      <c r="G186" s="823"/>
      <c r="H186" s="823"/>
      <c r="I186" s="824"/>
      <c r="J186" s="169"/>
      <c r="K186" s="118"/>
      <c r="L186" s="134"/>
      <c r="M186" s="134"/>
      <c r="N186" s="134"/>
      <c r="O186" s="134"/>
      <c r="P186" s="134"/>
      <c r="Q186" s="134"/>
      <c r="R186" s="134"/>
      <c r="S186" s="118"/>
      <c r="T186" s="118"/>
      <c r="U186" s="118"/>
    </row>
    <row r="187" spans="1:21" s="73" customFormat="1" x14ac:dyDescent="0.2">
      <c r="A187" s="554" t="s">
        <v>229</v>
      </c>
      <c r="B187" s="213"/>
      <c r="C187" s="214"/>
      <c r="D187" s="214"/>
      <c r="E187" s="214"/>
      <c r="F187" s="214"/>
      <c r="G187" s="215"/>
      <c r="H187" s="216"/>
      <c r="I187" s="217"/>
      <c r="J187" s="170"/>
      <c r="K187" s="118"/>
      <c r="L187" s="134"/>
      <c r="M187" s="134"/>
      <c r="N187" s="134"/>
      <c r="O187" s="134"/>
      <c r="P187" s="134"/>
      <c r="Q187" s="134"/>
      <c r="R187" s="134"/>
      <c r="S187" s="118"/>
      <c r="T187" s="118"/>
      <c r="U187" s="118"/>
    </row>
    <row r="188" spans="1:21" s="218" customFormat="1" ht="116.25" customHeight="1" x14ac:dyDescent="0.2">
      <c r="A188" s="281" t="s">
        <v>473</v>
      </c>
      <c r="B188" s="1017" t="s">
        <v>892</v>
      </c>
      <c r="C188" s="1018"/>
      <c r="D188" s="1018"/>
      <c r="E188" s="1018"/>
      <c r="F188" s="1018"/>
      <c r="G188" s="1018"/>
      <c r="H188" s="1018"/>
      <c r="I188" s="1019"/>
    </row>
    <row r="189" spans="1:21" s="218" customFormat="1" x14ac:dyDescent="0.2">
      <c r="A189" s="281"/>
      <c r="B189" s="816"/>
      <c r="C189" s="817"/>
      <c r="D189" s="817"/>
      <c r="E189" s="817"/>
      <c r="F189" s="817"/>
      <c r="G189" s="817"/>
      <c r="H189" s="817"/>
      <c r="I189" s="818"/>
    </row>
    <row r="190" spans="1:21" s="218" customFormat="1" x14ac:dyDescent="0.2">
      <c r="A190" s="281"/>
      <c r="B190" s="816"/>
      <c r="C190" s="817"/>
      <c r="D190" s="817"/>
      <c r="E190" s="817"/>
      <c r="F190" s="817"/>
      <c r="G190" s="817"/>
      <c r="H190" s="817"/>
      <c r="I190" s="818"/>
    </row>
    <row r="191" spans="1:21" s="218" customFormat="1" x14ac:dyDescent="0.2">
      <c r="A191" s="281"/>
      <c r="B191" s="816"/>
      <c r="C191" s="817"/>
      <c r="D191" s="817"/>
      <c r="E191" s="817"/>
      <c r="F191" s="817"/>
      <c r="G191" s="817"/>
      <c r="H191" s="817"/>
      <c r="I191" s="818"/>
    </row>
    <row r="192" spans="1:21" s="218" customFormat="1" x14ac:dyDescent="0.2">
      <c r="A192" s="281"/>
      <c r="B192" s="816"/>
      <c r="C192" s="817"/>
      <c r="D192" s="817"/>
      <c r="E192" s="817"/>
      <c r="F192" s="817"/>
      <c r="G192" s="817"/>
      <c r="H192" s="817"/>
      <c r="I192" s="818"/>
    </row>
    <row r="193" spans="1:9" s="218" customFormat="1" x14ac:dyDescent="0.2">
      <c r="A193" s="281"/>
      <c r="B193" s="816"/>
      <c r="C193" s="817"/>
      <c r="D193" s="817"/>
      <c r="E193" s="817"/>
      <c r="F193" s="817"/>
      <c r="G193" s="817"/>
      <c r="H193" s="817"/>
      <c r="I193" s="818"/>
    </row>
    <row r="194" spans="1:9" s="218" customFormat="1" x14ac:dyDescent="0.2">
      <c r="A194" s="281"/>
      <c r="B194" s="816"/>
      <c r="C194" s="817"/>
      <c r="D194" s="817"/>
      <c r="E194" s="817"/>
      <c r="F194" s="817"/>
      <c r="G194" s="817"/>
      <c r="H194" s="817"/>
      <c r="I194" s="818"/>
    </row>
    <row r="195" spans="1:9" s="218" customFormat="1" x14ac:dyDescent="0.2">
      <c r="A195" s="281"/>
      <c r="B195" s="816"/>
      <c r="C195" s="817"/>
      <c r="D195" s="817"/>
      <c r="E195" s="817"/>
      <c r="F195" s="817"/>
      <c r="G195" s="817"/>
      <c r="H195" s="817"/>
      <c r="I195" s="818"/>
    </row>
    <row r="196" spans="1:9" s="218" customFormat="1" x14ac:dyDescent="0.2">
      <c r="A196" s="281"/>
      <c r="B196" s="816"/>
      <c r="C196" s="817"/>
      <c r="D196" s="817"/>
      <c r="E196" s="817"/>
      <c r="F196" s="817"/>
      <c r="G196" s="817"/>
      <c r="H196" s="817"/>
      <c r="I196" s="818"/>
    </row>
    <row r="197" spans="1:9" s="218" customFormat="1" x14ac:dyDescent="0.2">
      <c r="A197" s="281"/>
      <c r="B197" s="816"/>
      <c r="C197" s="817"/>
      <c r="D197" s="817"/>
      <c r="E197" s="817"/>
      <c r="F197" s="817"/>
      <c r="G197" s="817"/>
      <c r="H197" s="817"/>
      <c r="I197" s="818"/>
    </row>
    <row r="198" spans="1:9" s="218" customFormat="1" x14ac:dyDescent="0.2">
      <c r="A198" s="281"/>
      <c r="B198" s="816"/>
      <c r="C198" s="817"/>
      <c r="D198" s="817"/>
      <c r="E198" s="817"/>
      <c r="F198" s="817"/>
      <c r="G198" s="817"/>
      <c r="H198" s="817"/>
      <c r="I198" s="818"/>
    </row>
    <row r="199" spans="1:9" s="218" customFormat="1" x14ac:dyDescent="0.2">
      <c r="A199" s="281"/>
      <c r="B199" s="816"/>
      <c r="C199" s="817"/>
      <c r="D199" s="817"/>
      <c r="E199" s="817"/>
      <c r="F199" s="817"/>
      <c r="G199" s="817"/>
      <c r="H199" s="817"/>
      <c r="I199" s="818"/>
    </row>
    <row r="200" spans="1:9" s="218" customFormat="1" x14ac:dyDescent="0.2">
      <c r="A200" s="281"/>
      <c r="B200" s="816"/>
      <c r="C200" s="817"/>
      <c r="D200" s="817"/>
      <c r="E200" s="817"/>
      <c r="F200" s="817"/>
      <c r="G200" s="817"/>
      <c r="H200" s="817"/>
      <c r="I200" s="818"/>
    </row>
    <row r="201" spans="1:9" s="218" customFormat="1" ht="16.5" thickBot="1" x14ac:dyDescent="0.25">
      <c r="A201" s="282"/>
      <c r="B201" s="819"/>
      <c r="C201" s="820"/>
      <c r="D201" s="820"/>
      <c r="E201" s="820"/>
      <c r="F201" s="820"/>
      <c r="G201" s="820"/>
      <c r="H201" s="820"/>
      <c r="I201" s="821"/>
    </row>
    <row r="203" spans="1:9" s="218" customFormat="1" x14ac:dyDescent="0.2">
      <c r="F203" s="337"/>
      <c r="G203" s="337"/>
      <c r="H203" s="337"/>
      <c r="I203" s="337"/>
    </row>
    <row r="204" spans="1:9" s="218" customFormat="1" ht="16.5" thickBot="1" x14ac:dyDescent="0.25">
      <c r="F204" s="337"/>
      <c r="G204" s="337"/>
      <c r="H204" s="337"/>
      <c r="I204" s="337"/>
    </row>
    <row r="205" spans="1:9" s="218" customFormat="1" ht="16.5" thickBot="1" x14ac:dyDescent="0.25">
      <c r="A205" s="825" t="s">
        <v>3</v>
      </c>
      <c r="B205" s="826"/>
      <c r="F205" s="337"/>
      <c r="G205" s="337"/>
      <c r="H205" s="337"/>
      <c r="I205" s="337"/>
    </row>
    <row r="206" spans="1:9" s="347" customFormat="1" ht="16.5" thickBot="1" x14ac:dyDescent="0.25">
      <c r="A206" s="338"/>
      <c r="B206" s="338"/>
      <c r="F206" s="348"/>
      <c r="G206" s="348"/>
      <c r="H206" s="348"/>
      <c r="I206" s="348"/>
    </row>
    <row r="207" spans="1:9" s="218" customFormat="1" ht="15.75" customHeight="1" thickBot="1" x14ac:dyDescent="0.25">
      <c r="A207" s="800" t="s">
        <v>2</v>
      </c>
      <c r="B207" s="801"/>
      <c r="C207" s="801"/>
      <c r="D207" s="801"/>
      <c r="E207" s="801"/>
      <c r="F207" s="801"/>
      <c r="G207" s="802"/>
      <c r="H207" s="337"/>
      <c r="I207" s="337"/>
    </row>
    <row r="208" spans="1:9" s="347" customFormat="1" ht="15.75" customHeight="1" thickBot="1" x14ac:dyDescent="0.25">
      <c r="A208" s="338"/>
      <c r="B208" s="338"/>
      <c r="C208" s="338"/>
      <c r="D208" s="338"/>
      <c r="E208" s="338"/>
      <c r="F208" s="338"/>
      <c r="G208" s="338"/>
      <c r="H208" s="348"/>
      <c r="I208" s="348"/>
    </row>
    <row r="209" spans="1:31" s="218" customFormat="1" ht="15.75" customHeight="1" thickBot="1" x14ac:dyDescent="0.25">
      <c r="A209" s="807" t="s">
        <v>1</v>
      </c>
      <c r="B209" s="808"/>
      <c r="C209" s="808"/>
      <c r="D209" s="808"/>
      <c r="E209" s="809"/>
      <c r="F209" s="339"/>
      <c r="G209" s="339"/>
      <c r="H209" s="337"/>
      <c r="I209" s="337"/>
    </row>
    <row r="210" spans="1:31" s="218" customFormat="1" x14ac:dyDescent="0.2">
      <c r="A210" s="803" t="s">
        <v>627</v>
      </c>
      <c r="B210" s="805" t="s">
        <v>888</v>
      </c>
      <c r="C210" s="786" t="s">
        <v>0</v>
      </c>
      <c r="D210" s="786" t="s">
        <v>609</v>
      </c>
      <c r="E210" s="805" t="s">
        <v>889</v>
      </c>
      <c r="F210" s="786" t="s">
        <v>436</v>
      </c>
      <c r="G210" s="786" t="s">
        <v>421</v>
      </c>
      <c r="H210" s="786" t="s">
        <v>628</v>
      </c>
      <c r="I210" s="786" t="s">
        <v>11</v>
      </c>
      <c r="J210" s="786" t="s">
        <v>12</v>
      </c>
      <c r="K210" s="786" t="s">
        <v>13</v>
      </c>
      <c r="L210" s="786" t="s">
        <v>449</v>
      </c>
      <c r="M210" s="786" t="s">
        <v>610</v>
      </c>
      <c r="N210" s="788"/>
    </row>
    <row r="211" spans="1:31" s="218" customFormat="1" ht="32.25" customHeight="1" thickBot="1" x14ac:dyDescent="0.25">
      <c r="A211" s="804"/>
      <c r="B211" s="806"/>
      <c r="C211" s="787"/>
      <c r="D211" s="787"/>
      <c r="E211" s="806"/>
      <c r="F211" s="787"/>
      <c r="G211" s="787"/>
      <c r="H211" s="787"/>
      <c r="I211" s="787"/>
      <c r="J211" s="787"/>
      <c r="K211" s="787"/>
      <c r="L211" s="787"/>
      <c r="M211" s="787"/>
      <c r="N211" s="789"/>
    </row>
    <row r="212" spans="1:31" s="218" customFormat="1" x14ac:dyDescent="0.2">
      <c r="A212" s="344"/>
      <c r="B212" s="340"/>
      <c r="C212" s="394"/>
      <c r="D212" s="340"/>
      <c r="E212" s="340"/>
      <c r="F212" s="340"/>
      <c r="G212" s="340"/>
      <c r="H212" s="340"/>
      <c r="I212" s="340"/>
      <c r="J212" s="340"/>
      <c r="K212" s="340"/>
      <c r="L212" s="661"/>
      <c r="M212" s="810"/>
      <c r="N212" s="811"/>
    </row>
    <row r="213" spans="1:31" s="218" customFormat="1" x14ac:dyDescent="0.2">
      <c r="A213" s="345"/>
      <c r="B213" s="341"/>
      <c r="C213" s="392"/>
      <c r="D213" s="341"/>
      <c r="E213" s="341"/>
      <c r="F213" s="341"/>
      <c r="G213" s="341"/>
      <c r="H213" s="341"/>
      <c r="I213" s="341"/>
      <c r="J213" s="341"/>
      <c r="K213" s="341"/>
      <c r="L213" s="662"/>
      <c r="M213" s="790"/>
      <c r="N213" s="791"/>
    </row>
    <row r="214" spans="1:31" s="218" customFormat="1" x14ac:dyDescent="0.2">
      <c r="A214" s="345"/>
      <c r="B214" s="341"/>
      <c r="C214" s="392"/>
      <c r="D214" s="341"/>
      <c r="E214" s="341"/>
      <c r="F214" s="341"/>
      <c r="G214" s="341"/>
      <c r="H214" s="341"/>
      <c r="I214" s="341"/>
      <c r="J214" s="341"/>
      <c r="K214" s="341"/>
      <c r="L214" s="662"/>
      <c r="M214" s="790"/>
      <c r="N214" s="791"/>
    </row>
    <row r="215" spans="1:31" s="218" customFormat="1" x14ac:dyDescent="0.2">
      <c r="A215" s="345"/>
      <c r="B215" s="341"/>
      <c r="C215" s="392"/>
      <c r="D215" s="341"/>
      <c r="E215" s="341"/>
      <c r="F215" s="341"/>
      <c r="G215" s="341"/>
      <c r="H215" s="341"/>
      <c r="I215" s="341"/>
      <c r="J215" s="341"/>
      <c r="K215" s="341"/>
      <c r="L215" s="662"/>
      <c r="M215" s="790"/>
      <c r="N215" s="791"/>
    </row>
    <row r="216" spans="1:31" s="218" customFormat="1" x14ac:dyDescent="0.2">
      <c r="A216" s="345"/>
      <c r="B216" s="341"/>
      <c r="C216" s="392"/>
      <c r="D216" s="341"/>
      <c r="E216" s="341"/>
      <c r="F216" s="341"/>
      <c r="G216" s="341"/>
      <c r="H216" s="341"/>
      <c r="I216" s="341"/>
      <c r="J216" s="341"/>
      <c r="K216" s="341"/>
      <c r="L216" s="662"/>
      <c r="M216" s="790"/>
      <c r="N216" s="791"/>
    </row>
    <row r="217" spans="1:31" s="218" customFormat="1" ht="16.5" thickBot="1" x14ac:dyDescent="0.25">
      <c r="A217" s="346"/>
      <c r="B217" s="342"/>
      <c r="C217" s="336"/>
      <c r="D217" s="342"/>
      <c r="E217" s="342"/>
      <c r="F217" s="342"/>
      <c r="G217" s="342"/>
      <c r="H217" s="342"/>
      <c r="I217" s="342"/>
      <c r="J217" s="342"/>
      <c r="K217" s="342"/>
      <c r="L217" s="663"/>
      <c r="M217" s="794"/>
      <c r="N217" s="795"/>
    </row>
    <row r="218" spans="1:31" s="218" customFormat="1" x14ac:dyDescent="0.2">
      <c r="F218" s="337"/>
      <c r="G218" s="337"/>
      <c r="H218" s="337"/>
      <c r="I218" s="337"/>
    </row>
    <row r="219" spans="1:31" s="218" customFormat="1" ht="16.5" thickBot="1" x14ac:dyDescent="0.25">
      <c r="F219" s="337"/>
      <c r="G219" s="337"/>
      <c r="H219" s="337"/>
      <c r="I219" s="337"/>
    </row>
    <row r="220" spans="1:31" s="218" customFormat="1" ht="16.5" thickBot="1" x14ac:dyDescent="0.25">
      <c r="A220" s="800" t="s">
        <v>790</v>
      </c>
      <c r="B220" s="801"/>
      <c r="C220" s="801"/>
      <c r="D220" s="801"/>
      <c r="E220" s="801"/>
      <c r="F220" s="801"/>
      <c r="G220" s="802"/>
      <c r="H220" s="337"/>
      <c r="I220" s="337"/>
    </row>
    <row r="221" spans="1:31" s="192" customFormat="1" ht="16.5" thickBot="1" x14ac:dyDescent="0.25">
      <c r="F221" s="191"/>
      <c r="G221" s="191"/>
      <c r="H221" s="191"/>
      <c r="I221" s="191"/>
    </row>
    <row r="222" spans="1:31" s="218" customFormat="1" ht="16.5" thickBot="1" x14ac:dyDescent="0.25">
      <c r="A222" s="807" t="s">
        <v>1</v>
      </c>
      <c r="B222" s="808"/>
      <c r="C222" s="808"/>
      <c r="D222" s="808"/>
      <c r="E222" s="808"/>
      <c r="F222" s="808"/>
      <c r="G222" s="808"/>
      <c r="H222" s="809"/>
      <c r="I222" s="337"/>
    </row>
    <row r="223" spans="1:31" s="1187" customFormat="1" ht="16.5" customHeight="1" thickBot="1" x14ac:dyDescent="0.25">
      <c r="A223" s="803" t="s">
        <v>627</v>
      </c>
      <c r="B223" s="805" t="s">
        <v>888</v>
      </c>
      <c r="C223" s="786" t="s">
        <v>0</v>
      </c>
      <c r="D223" s="786" t="s">
        <v>609</v>
      </c>
      <c r="E223" s="805" t="s">
        <v>889</v>
      </c>
      <c r="F223" s="971" t="s">
        <v>42</v>
      </c>
      <c r="G223" s="1165" t="s">
        <v>789</v>
      </c>
      <c r="H223" s="1163"/>
      <c r="I223" s="1163"/>
      <c r="J223" s="1163"/>
      <c r="K223" s="1163"/>
      <c r="L223" s="1163"/>
      <c r="M223" s="1163"/>
      <c r="N223" s="1163"/>
      <c r="O223" s="1163"/>
      <c r="P223" s="1163"/>
      <c r="Q223" s="1163"/>
      <c r="R223" s="1163"/>
      <c r="S223" s="1163"/>
      <c r="T223" s="1163"/>
      <c r="U223" s="1163"/>
      <c r="V223" s="1164"/>
      <c r="W223" s="930" t="s">
        <v>436</v>
      </c>
      <c r="X223" s="786" t="s">
        <v>421</v>
      </c>
      <c r="Y223" s="786" t="s">
        <v>628</v>
      </c>
      <c r="Z223" s="786" t="s">
        <v>11</v>
      </c>
      <c r="AA223" s="786" t="s">
        <v>12</v>
      </c>
      <c r="AB223" s="786" t="s">
        <v>13</v>
      </c>
      <c r="AC223" s="786" t="s">
        <v>449</v>
      </c>
      <c r="AD223" s="971" t="s">
        <v>610</v>
      </c>
      <c r="AE223" s="1161"/>
    </row>
    <row r="224" spans="1:31" s="1187" customFormat="1" ht="47.25" customHeight="1" thickBot="1" x14ac:dyDescent="0.25">
      <c r="A224" s="804"/>
      <c r="B224" s="806"/>
      <c r="C224" s="787"/>
      <c r="D224" s="787"/>
      <c r="E224" s="806"/>
      <c r="F224" s="787"/>
      <c r="G224" s="1204" t="s">
        <v>432</v>
      </c>
      <c r="H224" s="1204" t="s">
        <v>1380</v>
      </c>
      <c r="I224" s="1200" t="s">
        <v>1381</v>
      </c>
      <c r="J224" s="1200" t="s">
        <v>1382</v>
      </c>
      <c r="K224" s="1200" t="s">
        <v>433</v>
      </c>
      <c r="L224" s="1200" t="s">
        <v>1383</v>
      </c>
      <c r="M224" s="1200" t="s">
        <v>1386</v>
      </c>
      <c r="N224" s="1200" t="s">
        <v>1387</v>
      </c>
      <c r="O224" s="1200" t="s">
        <v>434</v>
      </c>
      <c r="P224" s="1200" t="s">
        <v>1384</v>
      </c>
      <c r="Q224" s="1200" t="s">
        <v>1388</v>
      </c>
      <c r="R224" s="1200" t="s">
        <v>1389</v>
      </c>
      <c r="S224" s="1200" t="s">
        <v>435</v>
      </c>
      <c r="T224" s="1200" t="s">
        <v>1385</v>
      </c>
      <c r="U224" s="1200" t="s">
        <v>1390</v>
      </c>
      <c r="V224" s="1200" t="s">
        <v>1391</v>
      </c>
      <c r="W224" s="787"/>
      <c r="X224" s="787"/>
      <c r="Y224" s="787"/>
      <c r="Z224" s="787"/>
      <c r="AA224" s="787"/>
      <c r="AB224" s="787"/>
      <c r="AC224" s="787"/>
      <c r="AD224" s="972"/>
      <c r="AE224" s="1162"/>
    </row>
    <row r="225" spans="1:31" s="1187" customFormat="1" x14ac:dyDescent="0.2">
      <c r="A225" s="1194"/>
      <c r="B225" s="1191"/>
      <c r="C225" s="1189"/>
      <c r="D225" s="1191"/>
      <c r="E225" s="1191"/>
      <c r="F225" s="1197"/>
      <c r="G225" s="1191"/>
      <c r="H225" s="1191"/>
      <c r="I225" s="1191"/>
      <c r="J225" s="1191"/>
      <c r="K225" s="1191"/>
      <c r="L225" s="1191"/>
      <c r="M225" s="1191"/>
      <c r="N225" s="1191"/>
      <c r="O225" s="1191"/>
      <c r="P225" s="1191"/>
      <c r="Q225" s="1191"/>
      <c r="R225" s="1191"/>
      <c r="S225" s="1191"/>
      <c r="T225" s="1191"/>
      <c r="U225" s="1191"/>
      <c r="V225" s="1191"/>
      <c r="W225" s="1191"/>
      <c r="X225" s="1191"/>
      <c r="Y225" s="1191"/>
      <c r="Z225" s="1191"/>
      <c r="AA225" s="1191"/>
      <c r="AB225" s="1191"/>
      <c r="AC225" s="1201"/>
      <c r="AD225" s="796"/>
      <c r="AE225" s="797"/>
    </row>
    <row r="226" spans="1:31" s="1187" customFormat="1" x14ac:dyDescent="0.2">
      <c r="A226" s="1195"/>
      <c r="B226" s="1192"/>
      <c r="C226" s="1188"/>
      <c r="D226" s="1192"/>
      <c r="E226" s="1192"/>
      <c r="F226" s="1198"/>
      <c r="G226" s="1192"/>
      <c r="H226" s="1192"/>
      <c r="I226" s="1192"/>
      <c r="J226" s="1192"/>
      <c r="K226" s="1192"/>
      <c r="L226" s="1192"/>
      <c r="M226" s="1192"/>
      <c r="N226" s="1192"/>
      <c r="O226" s="1192"/>
      <c r="P226" s="1192"/>
      <c r="Q226" s="1192"/>
      <c r="R226" s="1192"/>
      <c r="S226" s="1192"/>
      <c r="T226" s="1192"/>
      <c r="U226" s="1192"/>
      <c r="V226" s="1192"/>
      <c r="W226" s="1192"/>
      <c r="X226" s="1192"/>
      <c r="Y226" s="1192"/>
      <c r="Z226" s="1192"/>
      <c r="AA226" s="1192"/>
      <c r="AB226" s="1192"/>
      <c r="AC226" s="1202"/>
      <c r="AD226" s="798"/>
      <c r="AE226" s="799"/>
    </row>
    <row r="227" spans="1:31" s="1187" customFormat="1" x14ac:dyDescent="0.2">
      <c r="A227" s="1195"/>
      <c r="B227" s="1192"/>
      <c r="C227" s="1188"/>
      <c r="D227" s="1192"/>
      <c r="E227" s="1192"/>
      <c r="F227" s="1198"/>
      <c r="G227" s="1192"/>
      <c r="H227" s="1192"/>
      <c r="I227" s="1192"/>
      <c r="J227" s="1192"/>
      <c r="K227" s="1192"/>
      <c r="L227" s="1192"/>
      <c r="M227" s="1192"/>
      <c r="N227" s="1192"/>
      <c r="O227" s="1192"/>
      <c r="P227" s="1192"/>
      <c r="Q227" s="1192"/>
      <c r="R227" s="1192"/>
      <c r="S227" s="1192"/>
      <c r="T227" s="1192"/>
      <c r="U227" s="1192"/>
      <c r="V227" s="1192"/>
      <c r="W227" s="1192"/>
      <c r="X227" s="1192"/>
      <c r="Y227" s="1192"/>
      <c r="Z227" s="1192"/>
      <c r="AA227" s="1192"/>
      <c r="AB227" s="1192"/>
      <c r="AC227" s="1202"/>
      <c r="AD227" s="798"/>
      <c r="AE227" s="799"/>
    </row>
    <row r="228" spans="1:31" s="1187" customFormat="1" x14ac:dyDescent="0.2">
      <c r="A228" s="1195"/>
      <c r="B228" s="1192"/>
      <c r="C228" s="1188"/>
      <c r="D228" s="1192"/>
      <c r="E228" s="1192"/>
      <c r="F228" s="1198"/>
      <c r="G228" s="1192"/>
      <c r="H228" s="1192"/>
      <c r="I228" s="1192"/>
      <c r="J228" s="1192"/>
      <c r="K228" s="1192"/>
      <c r="L228" s="1192"/>
      <c r="M228" s="1192"/>
      <c r="N228" s="1192"/>
      <c r="O228" s="1192"/>
      <c r="P228" s="1192"/>
      <c r="Q228" s="1192"/>
      <c r="R228" s="1192"/>
      <c r="S228" s="1192"/>
      <c r="T228" s="1192"/>
      <c r="U228" s="1192"/>
      <c r="V228" s="1192"/>
      <c r="W228" s="1192"/>
      <c r="X228" s="1192"/>
      <c r="Y228" s="1192"/>
      <c r="Z228" s="1192"/>
      <c r="AA228" s="1192"/>
      <c r="AB228" s="1192"/>
      <c r="AC228" s="1202"/>
      <c r="AD228" s="798"/>
      <c r="AE228" s="799"/>
    </row>
    <row r="229" spans="1:31" s="1187" customFormat="1" x14ac:dyDescent="0.2">
      <c r="A229" s="1195"/>
      <c r="B229" s="1192"/>
      <c r="C229" s="1188"/>
      <c r="D229" s="1192"/>
      <c r="E229" s="1192"/>
      <c r="F229" s="1198"/>
      <c r="G229" s="1192"/>
      <c r="H229" s="1192"/>
      <c r="I229" s="1192"/>
      <c r="J229" s="1192"/>
      <c r="K229" s="1192"/>
      <c r="L229" s="1192"/>
      <c r="M229" s="1192"/>
      <c r="N229" s="1192"/>
      <c r="O229" s="1192"/>
      <c r="P229" s="1192"/>
      <c r="Q229" s="1192"/>
      <c r="R229" s="1192"/>
      <c r="S229" s="1192"/>
      <c r="T229" s="1192"/>
      <c r="U229" s="1192"/>
      <c r="V229" s="1192"/>
      <c r="W229" s="1192"/>
      <c r="X229" s="1192"/>
      <c r="Y229" s="1192"/>
      <c r="Z229" s="1192"/>
      <c r="AA229" s="1192"/>
      <c r="AB229" s="1192"/>
      <c r="AC229" s="1202"/>
      <c r="AD229" s="798"/>
      <c r="AE229" s="799"/>
    </row>
    <row r="230" spans="1:31" s="1187" customFormat="1" ht="16.5" thickBot="1" x14ac:dyDescent="0.25">
      <c r="A230" s="1196"/>
      <c r="B230" s="1193"/>
      <c r="C230" s="1190"/>
      <c r="D230" s="1193"/>
      <c r="E230" s="1193"/>
      <c r="F230" s="1199"/>
      <c r="G230" s="1193"/>
      <c r="H230" s="1193"/>
      <c r="I230" s="1193"/>
      <c r="J230" s="1193"/>
      <c r="K230" s="1193"/>
      <c r="L230" s="1193"/>
      <c r="M230" s="1193"/>
      <c r="N230" s="1193"/>
      <c r="O230" s="1193"/>
      <c r="P230" s="1193"/>
      <c r="Q230" s="1193"/>
      <c r="R230" s="1193"/>
      <c r="S230" s="1193"/>
      <c r="T230" s="1193"/>
      <c r="U230" s="1193"/>
      <c r="V230" s="1193"/>
      <c r="W230" s="1193"/>
      <c r="X230" s="1193"/>
      <c r="Y230" s="1193"/>
      <c r="Z230" s="1193"/>
      <c r="AA230" s="1193"/>
      <c r="AB230" s="1193"/>
      <c r="AC230" s="1203"/>
      <c r="AD230" s="792"/>
      <c r="AE230" s="793"/>
    </row>
    <row r="231" spans="1:31" s="218" customFormat="1" x14ac:dyDescent="0.2">
      <c r="F231" s="337"/>
      <c r="G231" s="337"/>
      <c r="H231" s="337"/>
      <c r="I231" s="337"/>
    </row>
    <row r="232" spans="1:31" s="218" customFormat="1" x14ac:dyDescent="0.2">
      <c r="F232" s="337"/>
      <c r="G232" s="337"/>
      <c r="H232" s="337"/>
      <c r="I232" s="337"/>
    </row>
    <row r="233" spans="1:31" s="218" customFormat="1" ht="16.5" thickBot="1" x14ac:dyDescent="0.25">
      <c r="F233" s="337"/>
      <c r="G233" s="337"/>
      <c r="H233" s="337"/>
      <c r="I233" s="337"/>
    </row>
    <row r="234" spans="1:31" ht="16.5" thickBot="1" x14ac:dyDescent="0.25">
      <c r="A234" s="555" t="s">
        <v>454</v>
      </c>
      <c r="B234" s="556" t="s">
        <v>455</v>
      </c>
    </row>
    <row r="235" spans="1:31" x14ac:dyDescent="0.2">
      <c r="A235" s="450" t="s">
        <v>456</v>
      </c>
      <c r="B235" s="557" t="s">
        <v>51</v>
      </c>
    </row>
    <row r="236" spans="1:31" x14ac:dyDescent="0.2">
      <c r="A236" s="558" t="s">
        <v>65</v>
      </c>
      <c r="B236" s="559" t="s">
        <v>51</v>
      </c>
    </row>
    <row r="237" spans="1:31" x14ac:dyDescent="0.2">
      <c r="A237" s="558" t="s">
        <v>257</v>
      </c>
      <c r="B237" s="559" t="s">
        <v>51</v>
      </c>
    </row>
    <row r="238" spans="1:31" x14ac:dyDescent="0.2">
      <c r="A238" s="558" t="s">
        <v>258</v>
      </c>
      <c r="B238" s="559" t="s">
        <v>51</v>
      </c>
    </row>
    <row r="239" spans="1:31" x14ac:dyDescent="0.2">
      <c r="A239" s="558" t="s">
        <v>259</v>
      </c>
      <c r="B239" s="559" t="s">
        <v>53</v>
      </c>
    </row>
    <row r="240" spans="1:31" x14ac:dyDescent="0.2">
      <c r="A240" s="558" t="s">
        <v>281</v>
      </c>
      <c r="B240" s="559" t="s">
        <v>53</v>
      </c>
    </row>
    <row r="241" spans="1:9" x14ac:dyDescent="0.2">
      <c r="A241" s="560" t="s">
        <v>279</v>
      </c>
      <c r="B241" s="559" t="s">
        <v>53</v>
      </c>
    </row>
    <row r="242" spans="1:9" x14ac:dyDescent="0.2">
      <c r="A242" s="560" t="s">
        <v>457</v>
      </c>
      <c r="B242" s="559" t="s">
        <v>53</v>
      </c>
      <c r="F242" s="69"/>
      <c r="G242" s="69"/>
      <c r="H242" s="69"/>
      <c r="I242" s="69"/>
    </row>
    <row r="243" spans="1:9" ht="16.5" thickBot="1" x14ac:dyDescent="0.25">
      <c r="A243" s="561" t="s">
        <v>460</v>
      </c>
      <c r="B243" s="562" t="s">
        <v>51</v>
      </c>
      <c r="F243" s="69"/>
      <c r="G243" s="69"/>
      <c r="H243" s="69"/>
      <c r="I243" s="69"/>
    </row>
  </sheetData>
  <sheetProtection formatCells="0" formatColumns="0" formatRows="0" insertColumns="0" insertRows="0" deleteColumns="0" deleteRows="0" sort="0" autoFilter="0"/>
  <autoFilter ref="A30:AB30" xr:uid="{00000000-0009-0000-0000-00001B000000}"/>
  <sortState xmlns:xlrd2="http://schemas.microsoft.com/office/spreadsheetml/2017/richdata2" ref="A106:A151">
    <sortCondition ref="A105"/>
  </sortState>
  <dataConsolidate>
    <dataRefs count="2">
      <dataRef ref="B9" sheet="APPENDIX B-1  (FE - USWC)"/>
      <dataRef ref="A14:A18" sheet="APPENDIX B-1  (FE - USWC)"/>
    </dataRefs>
  </dataConsolidate>
  <mergeCells count="295">
    <mergeCell ref="AD227:AE227"/>
    <mergeCell ref="AD228:AE228"/>
    <mergeCell ref="AD229:AE229"/>
    <mergeCell ref="AD230:AE230"/>
    <mergeCell ref="X223:X224"/>
    <mergeCell ref="Y223:Y224"/>
    <mergeCell ref="Z223:Z224"/>
    <mergeCell ref="AA223:AA224"/>
    <mergeCell ref="AB223:AB224"/>
    <mergeCell ref="AC223:AC224"/>
    <mergeCell ref="AD223:AE224"/>
    <mergeCell ref="AD225:AE225"/>
    <mergeCell ref="AD226:AE226"/>
    <mergeCell ref="E144:G144"/>
    <mergeCell ref="E137:G137"/>
    <mergeCell ref="B116:D116"/>
    <mergeCell ref="E116:G116"/>
    <mergeCell ref="B117:D117"/>
    <mergeCell ref="E117:G117"/>
    <mergeCell ref="B119:D119"/>
    <mergeCell ref="E119:G119"/>
    <mergeCell ref="B122:D122"/>
    <mergeCell ref="E122:G122"/>
    <mergeCell ref="B121:D121"/>
    <mergeCell ref="E121:G121"/>
    <mergeCell ref="B126:D126"/>
    <mergeCell ref="E126:G126"/>
    <mergeCell ref="B118:D118"/>
    <mergeCell ref="E118:G118"/>
    <mergeCell ref="E142:G142"/>
    <mergeCell ref="B150:D150"/>
    <mergeCell ref="E150:G150"/>
    <mergeCell ref="B151:D151"/>
    <mergeCell ref="B145:D145"/>
    <mergeCell ref="E145:G145"/>
    <mergeCell ref="B142:D142"/>
    <mergeCell ref="M168:M169"/>
    <mergeCell ref="A176:E176"/>
    <mergeCell ref="A178:F178"/>
    <mergeCell ref="E151:G151"/>
    <mergeCell ref="B149:D149"/>
    <mergeCell ref="E149:G149"/>
    <mergeCell ref="B143:D143"/>
    <mergeCell ref="E143:G143"/>
    <mergeCell ref="B152:D152"/>
    <mergeCell ref="E152:G152"/>
    <mergeCell ref="B153:D153"/>
    <mergeCell ref="E153:G153"/>
    <mergeCell ref="B156:D156"/>
    <mergeCell ref="E156:G156"/>
    <mergeCell ref="B157:D157"/>
    <mergeCell ref="E157:G157"/>
    <mergeCell ref="A159:I159"/>
    <mergeCell ref="A158:I158"/>
    <mergeCell ref="B154:D154"/>
    <mergeCell ref="E154:G154"/>
    <mergeCell ref="B155:D155"/>
    <mergeCell ref="E155:G155"/>
    <mergeCell ref="B191:I191"/>
    <mergeCell ref="B192:I192"/>
    <mergeCell ref="B193:I193"/>
    <mergeCell ref="B194:I194"/>
    <mergeCell ref="B195:I195"/>
    <mergeCell ref="B188:I188"/>
    <mergeCell ref="B189:I189"/>
    <mergeCell ref="B190:I190"/>
    <mergeCell ref="A180:F180"/>
    <mergeCell ref="A186:I186"/>
    <mergeCell ref="A179:F179"/>
    <mergeCell ref="B196:I196"/>
    <mergeCell ref="B197:I197"/>
    <mergeCell ref="B198:I198"/>
    <mergeCell ref="B199:I199"/>
    <mergeCell ref="M216:N216"/>
    <mergeCell ref="M217:N217"/>
    <mergeCell ref="B200:I200"/>
    <mergeCell ref="B201:I201"/>
    <mergeCell ref="A205:B205"/>
    <mergeCell ref="A207:G207"/>
    <mergeCell ref="A209:E209"/>
    <mergeCell ref="A210:A211"/>
    <mergeCell ref="B210:B211"/>
    <mergeCell ref="J210:J211"/>
    <mergeCell ref="K210:K211"/>
    <mergeCell ref="M210:N211"/>
    <mergeCell ref="M212:N212"/>
    <mergeCell ref="M213:N213"/>
    <mergeCell ref="M214:N214"/>
    <mergeCell ref="I210:I211"/>
    <mergeCell ref="C210:C211"/>
    <mergeCell ref="D210:D211"/>
    <mergeCell ref="M215:N215"/>
    <mergeCell ref="E210:E211"/>
    <mergeCell ref="F210:F211"/>
    <mergeCell ref="G210:G211"/>
    <mergeCell ref="H210:H211"/>
    <mergeCell ref="L210:L211"/>
    <mergeCell ref="A220:G220"/>
    <mergeCell ref="A222:H222"/>
    <mergeCell ref="A223:A224"/>
    <mergeCell ref="B223:B224"/>
    <mergeCell ref="C223:C224"/>
    <mergeCell ref="D223:D224"/>
    <mergeCell ref="E223:E224"/>
    <mergeCell ref="F223:F224"/>
    <mergeCell ref="G223:V223"/>
    <mergeCell ref="W223:W224"/>
    <mergeCell ref="L161:L162"/>
    <mergeCell ref="A168:D168"/>
    <mergeCell ref="E168:E169"/>
    <mergeCell ref="F168:F169"/>
    <mergeCell ref="G168:G169"/>
    <mergeCell ref="H168:H169"/>
    <mergeCell ref="I168:I169"/>
    <mergeCell ref="J161:J162"/>
    <mergeCell ref="K161:K162"/>
    <mergeCell ref="A161:D161"/>
    <mergeCell ref="E161:E162"/>
    <mergeCell ref="F161:F162"/>
    <mergeCell ref="G161:G162"/>
    <mergeCell ref="H161:H162"/>
    <mergeCell ref="I161:I162"/>
    <mergeCell ref="J168:J169"/>
    <mergeCell ref="K168:K169"/>
    <mergeCell ref="L168:L169"/>
    <mergeCell ref="B146:D146"/>
    <mergeCell ref="E146:G146"/>
    <mergeCell ref="B148:D148"/>
    <mergeCell ref="E148:G148"/>
    <mergeCell ref="B147:D147"/>
    <mergeCell ref="E147:G147"/>
    <mergeCell ref="E129:G129"/>
    <mergeCell ref="B120:D120"/>
    <mergeCell ref="E120:G120"/>
    <mergeCell ref="B125:D125"/>
    <mergeCell ref="E125:G125"/>
    <mergeCell ref="B141:D141"/>
    <mergeCell ref="E141:G141"/>
    <mergeCell ref="B130:D130"/>
    <mergeCell ref="E130:G130"/>
    <mergeCell ref="B131:D131"/>
    <mergeCell ref="E131:G131"/>
    <mergeCell ref="B132:D132"/>
    <mergeCell ref="E132:G132"/>
    <mergeCell ref="B135:D135"/>
    <mergeCell ref="E135:G135"/>
    <mergeCell ref="B140:D140"/>
    <mergeCell ref="E140:G140"/>
    <mergeCell ref="B144:D144"/>
    <mergeCell ref="B114:D114"/>
    <mergeCell ref="E114:G114"/>
    <mergeCell ref="B127:D127"/>
    <mergeCell ref="E127:G127"/>
    <mergeCell ref="B124:D124"/>
    <mergeCell ref="E124:G124"/>
    <mergeCell ref="B123:D123"/>
    <mergeCell ref="E123:G123"/>
    <mergeCell ref="B139:D139"/>
    <mergeCell ref="E139:G139"/>
    <mergeCell ref="B128:D128"/>
    <mergeCell ref="E128:G128"/>
    <mergeCell ref="B129:D129"/>
    <mergeCell ref="B133:D133"/>
    <mergeCell ref="E133:G133"/>
    <mergeCell ref="B134:D134"/>
    <mergeCell ref="E134:G134"/>
    <mergeCell ref="B136:D136"/>
    <mergeCell ref="E136:G136"/>
    <mergeCell ref="B115:D115"/>
    <mergeCell ref="E115:G115"/>
    <mergeCell ref="B138:D138"/>
    <mergeCell ref="E138:G138"/>
    <mergeCell ref="B137:D137"/>
    <mergeCell ref="A106:G106"/>
    <mergeCell ref="H106:H108"/>
    <mergeCell ref="I106:I108"/>
    <mergeCell ref="M106:M108"/>
    <mergeCell ref="A107:G107"/>
    <mergeCell ref="A108:G108"/>
    <mergeCell ref="B113:D113"/>
    <mergeCell ref="E113:G113"/>
    <mergeCell ref="J106:J108"/>
    <mergeCell ref="K106:K108"/>
    <mergeCell ref="L106:L108"/>
    <mergeCell ref="B109:D109"/>
    <mergeCell ref="E109:G109"/>
    <mergeCell ref="B112:D112"/>
    <mergeCell ref="E112:G112"/>
    <mergeCell ref="B110:D110"/>
    <mergeCell ref="E110:G110"/>
    <mergeCell ref="B111:D111"/>
    <mergeCell ref="E111:G111"/>
    <mergeCell ref="A103:I103"/>
    <mergeCell ref="B104:I104"/>
    <mergeCell ref="B98:D98"/>
    <mergeCell ref="B99:D99"/>
    <mergeCell ref="B100:D100"/>
    <mergeCell ref="A102:I102"/>
    <mergeCell ref="B85:D85"/>
    <mergeCell ref="A88:C88"/>
    <mergeCell ref="A89:C89"/>
    <mergeCell ref="B97:D97"/>
    <mergeCell ref="B83:D83"/>
    <mergeCell ref="B84:D84"/>
    <mergeCell ref="L64:L65"/>
    <mergeCell ref="M64:M65"/>
    <mergeCell ref="Z64:Z65"/>
    <mergeCell ref="AA64:AA65"/>
    <mergeCell ref="AB64:AB65"/>
    <mergeCell ref="AC64:AC65"/>
    <mergeCell ref="B96:D96"/>
    <mergeCell ref="K64:K65"/>
    <mergeCell ref="I64:I65"/>
    <mergeCell ref="J64:J65"/>
    <mergeCell ref="F64:F65"/>
    <mergeCell ref="G64:G65"/>
    <mergeCell ref="H64:H65"/>
    <mergeCell ref="A73:C73"/>
    <mergeCell ref="A74:C74"/>
    <mergeCell ref="B81:D81"/>
    <mergeCell ref="B82:D82"/>
    <mergeCell ref="Z30:Z31"/>
    <mergeCell ref="AA30:AA31"/>
    <mergeCell ref="X30:X31"/>
    <mergeCell ref="X55:X56"/>
    <mergeCell ref="J30:J31"/>
    <mergeCell ref="K30:K31"/>
    <mergeCell ref="D30:D31"/>
    <mergeCell ref="E30:E31"/>
    <mergeCell ref="F30:F31"/>
    <mergeCell ref="I55:I56"/>
    <mergeCell ref="L30:L31"/>
    <mergeCell ref="E55:E56"/>
    <mergeCell ref="Z55:Z56"/>
    <mergeCell ref="AA55:AA56"/>
    <mergeCell ref="L16:M16"/>
    <mergeCell ref="Y55:Y56"/>
    <mergeCell ref="J55:J56"/>
    <mergeCell ref="K55:K56"/>
    <mergeCell ref="F55:F56"/>
    <mergeCell ref="G30:G31"/>
    <mergeCell ref="H30:H31"/>
    <mergeCell ref="G55:G56"/>
    <mergeCell ref="H55:H56"/>
    <mergeCell ref="I30:I31"/>
    <mergeCell ref="Y30:Y31"/>
    <mergeCell ref="B17:I17"/>
    <mergeCell ref="J17:K17"/>
    <mergeCell ref="L17:M17"/>
    <mergeCell ref="B20:H20"/>
    <mergeCell ref="B21:H21"/>
    <mergeCell ref="B24:H24"/>
    <mergeCell ref="B22:H22"/>
    <mergeCell ref="B23:H23"/>
    <mergeCell ref="B30:B31"/>
    <mergeCell ref="C30:C31"/>
    <mergeCell ref="L15:M15"/>
    <mergeCell ref="A1:B1"/>
    <mergeCell ref="C1:F1"/>
    <mergeCell ref="A2:B2"/>
    <mergeCell ref="C2:F2"/>
    <mergeCell ref="A3:B3"/>
    <mergeCell ref="C3:F3"/>
    <mergeCell ref="A4:B4"/>
    <mergeCell ref="C4:F4"/>
    <mergeCell ref="A5:B5"/>
    <mergeCell ref="C7:F7"/>
    <mergeCell ref="A8:B8"/>
    <mergeCell ref="B13:I13"/>
    <mergeCell ref="J15:K15"/>
    <mergeCell ref="L13:M13"/>
    <mergeCell ref="B14:I14"/>
    <mergeCell ref="J14:K14"/>
    <mergeCell ref="L14:M14"/>
    <mergeCell ref="B15:I15"/>
    <mergeCell ref="C5:F5"/>
    <mergeCell ref="C8:F8"/>
    <mergeCell ref="A12:J12"/>
    <mergeCell ref="J13:K13"/>
    <mergeCell ref="A6:B6"/>
    <mergeCell ref="C6:F6"/>
    <mergeCell ref="A7:B7"/>
    <mergeCell ref="B16:I16"/>
    <mergeCell ref="J16:K16"/>
    <mergeCell ref="A30:A31"/>
    <mergeCell ref="A63:D63"/>
    <mergeCell ref="A64:A65"/>
    <mergeCell ref="B64:B65"/>
    <mergeCell ref="C64:C65"/>
    <mergeCell ref="D64:D65"/>
    <mergeCell ref="E64:E65"/>
    <mergeCell ref="A55:A56"/>
    <mergeCell ref="B55:B56"/>
    <mergeCell ref="C55:C56"/>
    <mergeCell ref="D55:D56"/>
  </mergeCells>
  <dataValidations count="33">
    <dataValidation type="list" allowBlank="1" showInputMessage="1" showErrorMessage="1" sqref="B235:B243" xr:uid="{00000000-0002-0000-1B00-000000000000}">
      <formula1>Autom</formula1>
    </dataValidation>
    <dataValidation type="list" showInputMessage="1" showErrorMessage="1" sqref="C212:C217 C225:C230" xr:uid="{00000000-0002-0000-1B00-000001000000}">
      <formula1>IF($B212="I",DDTARIFFUS,DDTARIFF)</formula1>
    </dataValidation>
    <dataValidation type="list" allowBlank="1" showInputMessage="1" showErrorMessage="1" sqref="B212:B217 B225:B230" xr:uid="{00000000-0002-0000-1B00-000002000000}">
      <formula1>EXPIMP</formula1>
    </dataValidation>
    <dataValidation type="list" allowBlank="1" showInputMessage="1" showErrorMessage="1" sqref="F212:F217 W225:W230" xr:uid="{00000000-0002-0000-1B00-000003000000}">
      <formula1>EQTYPE</formula1>
    </dataValidation>
    <dataValidation type="list" allowBlank="1" showInputMessage="1" showErrorMessage="1" sqref="G212:G217 X225:X230" xr:uid="{00000000-0002-0000-1B00-000004000000}">
      <formula1>OPREEFER</formula1>
    </dataValidation>
    <dataValidation type="list" allowBlank="1" showInputMessage="1" showErrorMessage="1" sqref="F225:F230" xr:uid="{CD50F4E5-5D26-4829-8725-FCFC8E863A81}">
      <formula1>CURRENCY</formula1>
    </dataValidation>
    <dataValidation type="whole" allowBlank="1" showInputMessage="1" showErrorMessage="1" error="Only whole numbers can be entered into this field" sqref="D212:D217 D225:D230" xr:uid="{00000000-0002-0000-1B00-000006000000}">
      <formula1>1</formula1>
      <formula2>99</formula2>
    </dataValidation>
    <dataValidation type="list" showInputMessage="1" showErrorMessage="1" sqref="E212:E217 E225:E230" xr:uid="{00000000-0002-0000-1B00-000007000000}">
      <formula1>DAYS</formula1>
    </dataValidation>
    <dataValidation type="whole" allowBlank="1" showInputMessage="1" showErrorMessage="1" error="Only whole numbers may be entered into this field_x000a_" sqref="G225:G230 S225:S230 O225:O230 K225:K230" xr:uid="{60B84DFF-3D9C-40F0-9337-530C39308935}">
      <formula1>1</formula1>
      <formula2>99</formula2>
    </dataValidation>
    <dataValidation type="decimal" allowBlank="1" showInputMessage="1" showErrorMessage="1" error="Only numbers may be entered into this field" sqref="H225:J230 L225:N230 P225:R230 T225:V230" xr:uid="{F37C9AB9-02B6-4FFB-AEAD-474A9189026E}">
      <formula1>1</formula1>
      <formula2>1000000000</formula2>
    </dataValidation>
    <dataValidation type="list" showInputMessage="1" showErrorMessage="1" sqref="K163:K166 K170:K173 N97:N100 A66:A69 A57:A60 N82:N85 A32:A51" xr:uid="{00000000-0002-0000-1B00-00000A000000}">
      <formula1>$A$14:$A$18</formula1>
    </dataValidation>
    <dataValidation type="list" allowBlank="1" showInputMessage="1" showErrorMessage="1" sqref="J163:J166 J170:J173" xr:uid="{00000000-0002-0000-1B00-00000B000000}">
      <formula1>GRIPSS</formula1>
    </dataValidation>
    <dataValidation type="decimal" allowBlank="1" showInputMessage="1" showErrorMessage="1" sqref="F170:I173 F163:I166 I66:L69 J97:M100 I57:K60 I32:L51" xr:uid="{00000000-0002-0000-1B00-00000C000000}">
      <formula1>0</formula1>
      <formula2>999999999999999</formula2>
    </dataValidation>
    <dataValidation type="list" allowBlank="1" showInputMessage="1" showErrorMessage="1" sqref="E163:E166 E170:E173" xr:uid="{00000000-0002-0000-1B00-00000D000000}">
      <formula1>GRIPSS_EQ</formula1>
    </dataValidation>
    <dataValidation type="list" showInputMessage="1" showErrorMessage="1" sqref="A212:A217 A225:A230" xr:uid="{00000000-0002-0000-1B00-00000E000000}">
      <formula1>BULLET</formula1>
    </dataValidation>
    <dataValidation type="date" allowBlank="1" showInputMessage="1" showErrorMessage="1" sqref="X32:Y51 J109:K157" xr:uid="{00000000-0002-0000-1B00-00000F000000}">
      <formula1>10101</formula1>
      <formula2>311299</formula2>
    </dataValidation>
    <dataValidation type="list" showDropDown="1" showErrorMessage="1" sqref="O81:P81 O96:P96" xr:uid="{00000000-0002-0000-1B00-000010000000}">
      <formula1>Charges</formula1>
    </dataValidation>
    <dataValidation type="list" allowBlank="1" showInputMessage="1" showErrorMessage="1" sqref="O82:P85 O97:P100" xr:uid="{00000000-0002-0000-1B00-000011000000}">
      <formula1 xml:space="preserve"> droppull</formula1>
    </dataValidation>
    <dataValidation type="list" allowBlank="1" showInputMessage="1" showErrorMessage="1" sqref="L57:L60 G97:G100 N57:N60 P66:P69 G82:G85" xr:uid="{00000000-0002-0000-1B00-000012000000}">
      <formula1>YesNo</formula1>
    </dataValidation>
    <dataValidation type="list" allowBlank="1" showInputMessage="1" showErrorMessage="1" sqref="M66:M69" xr:uid="{00000000-0002-0000-1B00-000013000000}">
      <formula1>Equip</formula1>
    </dataValidation>
    <dataValidation type="list" allowBlank="1" showInputMessage="1" showErrorMessage="1" sqref="F82:F85 F97:F100" xr:uid="{00000000-0002-0000-1B00-000014000000}">
      <formula1>ArbMode</formula1>
    </dataValidation>
    <dataValidation type="list" allowBlank="1" showInputMessage="1" showErrorMessage="1" sqref="G57:G60 G66:G69 G32:G51" xr:uid="{00000000-0002-0000-1B00-000015000000}">
      <formula1>SDD</formula1>
    </dataValidation>
    <dataValidation type="list" allowBlank="1" showInputMessage="1" showErrorMessage="1" sqref="M31:W31 Q65:Y65" xr:uid="{00000000-0002-0000-1B00-000016000000}">
      <formula1>Container</formula1>
    </dataValidation>
    <dataValidation type="list" allowBlank="1" showInputMessage="1" showErrorMessage="1" sqref="O56:W56" xr:uid="{00000000-0002-0000-1B00-000017000000}">
      <formula1>Reefer</formula1>
    </dataValidation>
    <dataValidation type="list" allowBlank="1" showInputMessage="1" showErrorMessage="1" sqref="F57:F60 F66:F69 F32:F51" xr:uid="{00000000-0002-0000-1B00-000018000000}">
      <formula1>Mode</formula1>
    </dataValidation>
    <dataValidation type="list" allowBlank="1" showInputMessage="1" showErrorMessage="1" sqref="M57:M60 O66:O69" xr:uid="{00000000-0002-0000-1B00-000019000000}">
      <formula1>ShipperOwn</formula1>
    </dataValidation>
    <dataValidation type="list" allowBlank="1" showInputMessage="1" showErrorMessage="1" sqref="N66:N69" xr:uid="{00000000-0002-0000-1B00-00001A000000}">
      <formula1>OOG</formula1>
    </dataValidation>
    <dataValidation type="list" allowBlank="1" showErrorMessage="1" sqref="Q64:Y64 M30:W30 O55:W55" xr:uid="{00000000-0002-0000-1B00-00001B000000}">
      <formula1>Exceptions</formula1>
    </dataValidation>
    <dataValidation type="list" allowBlank="1" showInputMessage="1" showErrorMessage="1" sqref="AA57:AA60 AC66:AC69 AA32:AA51" xr:uid="{00000000-0002-0000-1B00-00001C000000}">
      <formula1>CST</formula1>
    </dataValidation>
    <dataValidation type="list" allowBlank="1" showInputMessage="1" showErrorMessage="1" sqref="I109:I157" xr:uid="{00000000-0002-0000-1B00-00001D000000}">
      <formula1>$A$14:$A$18</formula1>
    </dataValidation>
    <dataValidation type="list" allowBlank="1" showErrorMessage="1" sqref="A109:A157" xr:uid="{00000000-0002-0000-1B00-00001E000000}">
      <formula1>Charges</formula1>
    </dataValidation>
    <dataValidation allowBlank="1" showInputMessage="1" showErrorMessage="1" promptTitle="Acceptable Values:" prompt="- Applicable _x000a_- Not applicable _x000a_- Included_x000a_- Amount and OSPF for cases of fixed per D40 OSPF_x000a_    (example-  &quot;375 OSPF&quot;)" sqref="E109:G157" xr:uid="{00000000-0002-0000-1B00-00001F000000}"/>
    <dataValidation type="list" allowBlank="1" showInputMessage="1" showErrorMessage="1" errorTitle="Pick up the list" promptTitle="Blank = ALL" sqref="H109:H157" xr:uid="{00000000-0002-0000-1B00-000020000000}">
      <formula1>Type_note2</formula1>
    </dataValidation>
  </dataValidations>
  <pageMargins left="0.25" right="0.25" top="0.25" bottom="0.25" header="0.5" footer="0"/>
  <pageSetup scale="27" fitToHeight="0" orientation="landscape" r:id="rId1"/>
  <headerFooter alignWithMargins="0"/>
  <rowBreaks count="1" manualBreakCount="1">
    <brk id="104" max="16383" man="1"/>
  </rowBreaks>
  <legacyDrawing r:id="rId2"/>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6">
    <tabColor indexed="12"/>
    <pageSetUpPr fitToPage="1"/>
  </sheetPr>
  <dimension ref="A1:BB239"/>
  <sheetViews>
    <sheetView showGridLines="0" topLeftCell="A202" zoomScale="75" zoomScaleNormal="75" zoomScaleSheetLayoutView="75" workbookViewId="0">
      <selection activeCell="G219" sqref="A219:XFD226"/>
    </sheetView>
  </sheetViews>
  <sheetFormatPr defaultColWidth="9.140625" defaultRowHeight="15.75" x14ac:dyDescent="0.2"/>
  <cols>
    <col min="1" max="1" width="25.140625" style="69" customWidth="1"/>
    <col min="2" max="2" width="18.5703125" style="69" customWidth="1"/>
    <col min="3" max="3" width="18.28515625" style="69" customWidth="1"/>
    <col min="4" max="4" width="37.42578125" style="69" bestFit="1" customWidth="1"/>
    <col min="5" max="5" width="19.28515625" style="69" customWidth="1"/>
    <col min="6" max="6" width="12.140625" style="211" customWidth="1"/>
    <col min="7" max="8" width="17.42578125" style="211" customWidth="1"/>
    <col min="9" max="9" width="17.7109375" style="211" customWidth="1"/>
    <col min="10" max="10" width="17.85546875" style="69" customWidth="1"/>
    <col min="11" max="11" width="16.5703125" style="69" customWidth="1"/>
    <col min="12" max="12" width="23.5703125" style="69" customWidth="1"/>
    <col min="13" max="13" width="17.28515625" style="69" customWidth="1"/>
    <col min="14" max="14" width="17.7109375" style="69" customWidth="1"/>
    <col min="15" max="16" width="16.5703125" style="69" customWidth="1"/>
    <col min="17" max="17" width="17.5703125" style="69" customWidth="1"/>
    <col min="18" max="18" width="15.85546875" style="69" customWidth="1"/>
    <col min="19" max="19" width="16.7109375" style="69" customWidth="1"/>
    <col min="20" max="20" width="16.5703125" style="69" customWidth="1"/>
    <col min="21" max="21" width="16.7109375" style="69" customWidth="1"/>
    <col min="22" max="22" width="17.5703125" style="69" customWidth="1"/>
    <col min="23" max="23" width="18" style="69" customWidth="1"/>
    <col min="24" max="24" width="12.7109375" style="69" customWidth="1"/>
    <col min="25" max="25" width="16.85546875" style="69" customWidth="1"/>
    <col min="26" max="26" width="9.7109375" style="69" customWidth="1"/>
    <col min="27" max="27" width="14.140625" style="69" customWidth="1"/>
    <col min="28" max="28" width="9.7109375" style="69" customWidth="1"/>
    <col min="29" max="29" width="14.140625" style="69" customWidth="1"/>
    <col min="30" max="16384" width="9.140625" style="69"/>
  </cols>
  <sheetData>
    <row r="1" spans="1:54" x14ac:dyDescent="0.2">
      <c r="A1" s="835" t="s">
        <v>511</v>
      </c>
      <c r="B1" s="837"/>
      <c r="C1" s="902" t="str">
        <f>Cover!B1</f>
        <v>22-XXXX</v>
      </c>
      <c r="D1" s="903"/>
      <c r="E1" s="903"/>
      <c r="F1" s="904"/>
      <c r="G1" s="69"/>
      <c r="H1" s="69"/>
      <c r="I1" s="69"/>
    </row>
    <row r="2" spans="1:54" x14ac:dyDescent="0.2">
      <c r="A2" s="885" t="s">
        <v>1236</v>
      </c>
      <c r="B2" s="886"/>
      <c r="C2" s="887"/>
      <c r="D2" s="888"/>
      <c r="E2" s="888"/>
      <c r="F2" s="889"/>
      <c r="G2" s="69"/>
      <c r="H2" s="69"/>
      <c r="I2" s="69"/>
    </row>
    <row r="3" spans="1:54" x14ac:dyDescent="0.2">
      <c r="A3" s="885" t="s">
        <v>522</v>
      </c>
      <c r="B3" s="886"/>
      <c r="C3" s="905">
        <f>Cover!B2</f>
        <v>0</v>
      </c>
      <c r="D3" s="906"/>
      <c r="E3" s="906"/>
      <c r="F3" s="907"/>
      <c r="G3" s="69"/>
      <c r="H3" s="69"/>
      <c r="I3" s="69"/>
    </row>
    <row r="4" spans="1:54" x14ac:dyDescent="0.2">
      <c r="A4" s="885" t="s">
        <v>1229</v>
      </c>
      <c r="B4" s="886"/>
      <c r="C4" s="884">
        <f>Cover!B7</f>
        <v>0</v>
      </c>
      <c r="D4" s="817"/>
      <c r="E4" s="817"/>
      <c r="F4" s="818"/>
      <c r="G4" s="69"/>
      <c r="H4" s="69"/>
      <c r="I4" s="69"/>
    </row>
    <row r="5" spans="1:54" x14ac:dyDescent="0.2">
      <c r="A5" s="885" t="s">
        <v>528</v>
      </c>
      <c r="B5" s="886"/>
      <c r="C5" s="887" t="s">
        <v>847</v>
      </c>
      <c r="D5" s="888"/>
      <c r="E5" s="888"/>
      <c r="F5" s="889"/>
      <c r="G5" s="69"/>
      <c r="H5" s="69"/>
      <c r="I5" s="69"/>
    </row>
    <row r="6" spans="1:54" ht="15.75" customHeight="1" x14ac:dyDescent="0.2">
      <c r="A6" s="885" t="s">
        <v>512</v>
      </c>
      <c r="B6" s="886"/>
      <c r="C6" s="887" t="s">
        <v>849</v>
      </c>
      <c r="D6" s="888"/>
      <c r="E6" s="888"/>
      <c r="F6" s="889"/>
      <c r="G6" s="69"/>
      <c r="H6" s="69"/>
      <c r="I6" s="69"/>
    </row>
    <row r="7" spans="1:54" ht="15.75" customHeight="1" x14ac:dyDescent="0.2">
      <c r="A7" s="885" t="s">
        <v>612</v>
      </c>
      <c r="B7" s="886"/>
      <c r="C7" s="887" t="s">
        <v>848</v>
      </c>
      <c r="D7" s="888"/>
      <c r="E7" s="888"/>
      <c r="F7" s="889"/>
      <c r="G7" s="69"/>
      <c r="H7" s="69"/>
      <c r="I7" s="69"/>
    </row>
    <row r="8" spans="1:54" ht="2.25" customHeight="1" thickBot="1" x14ac:dyDescent="0.25">
      <c r="A8" s="900"/>
      <c r="B8" s="901"/>
      <c r="C8" s="894"/>
      <c r="D8" s="895"/>
      <c r="E8" s="895"/>
      <c r="F8" s="896"/>
      <c r="G8" s="69"/>
      <c r="H8" s="69"/>
      <c r="I8" s="69"/>
    </row>
    <row r="9" spans="1:54" s="73" customFormat="1" x14ac:dyDescent="0.2">
      <c r="A9" s="442">
        <v>39</v>
      </c>
      <c r="B9" s="443" t="s">
        <v>615</v>
      </c>
      <c r="D9" s="444"/>
      <c r="E9" s="444"/>
      <c r="F9" s="445"/>
    </row>
    <row r="10" spans="1:54" s="73" customFormat="1" ht="16.5" thickBot="1" x14ac:dyDescent="0.25">
      <c r="A10" s="446"/>
      <c r="D10" s="444"/>
      <c r="E10" s="444"/>
      <c r="F10" s="445"/>
      <c r="G10" s="447"/>
      <c r="H10" s="444"/>
      <c r="I10" s="444"/>
      <c r="J10" s="444"/>
    </row>
    <row r="11" spans="1:54" ht="19.5" thickBot="1" x14ac:dyDescent="0.25">
      <c r="A11" s="448" t="s">
        <v>613</v>
      </c>
      <c r="B11" s="449"/>
      <c r="C11" s="73"/>
      <c r="D11" s="444"/>
      <c r="E11" s="444"/>
      <c r="F11" s="445"/>
      <c r="G11" s="447"/>
      <c r="H11" s="444"/>
      <c r="I11" s="444"/>
      <c r="J11" s="444"/>
    </row>
    <row r="12" spans="1:54" s="78" customFormat="1" ht="16.5" thickBot="1" x14ac:dyDescent="0.25">
      <c r="A12" s="897" t="s">
        <v>616</v>
      </c>
      <c r="B12" s="898"/>
      <c r="C12" s="898"/>
      <c r="D12" s="898"/>
      <c r="E12" s="898"/>
      <c r="F12" s="898"/>
      <c r="G12" s="898"/>
      <c r="H12" s="898"/>
      <c r="I12" s="898"/>
      <c r="J12" s="899"/>
    </row>
    <row r="13" spans="1:54" ht="17.25" customHeight="1" x14ac:dyDescent="0.2">
      <c r="A13" s="450" t="s">
        <v>617</v>
      </c>
      <c r="B13" s="881" t="s">
        <v>618</v>
      </c>
      <c r="C13" s="881"/>
      <c r="D13" s="881"/>
      <c r="E13" s="881"/>
      <c r="F13" s="881"/>
      <c r="G13" s="881"/>
      <c r="H13" s="881"/>
      <c r="I13" s="881"/>
      <c r="J13" s="882" t="s">
        <v>622</v>
      </c>
      <c r="K13" s="883"/>
      <c r="L13" s="890" t="s">
        <v>623</v>
      </c>
      <c r="M13" s="891"/>
      <c r="N13" s="350" t="s">
        <v>4</v>
      </c>
    </row>
    <row r="14" spans="1:54" s="81" customFormat="1" x14ac:dyDescent="0.2">
      <c r="A14" s="451"/>
      <c r="B14" s="862"/>
      <c r="C14" s="892"/>
      <c r="D14" s="892"/>
      <c r="E14" s="892"/>
      <c r="F14" s="892"/>
      <c r="G14" s="892"/>
      <c r="H14" s="892"/>
      <c r="I14" s="892"/>
      <c r="J14" s="870"/>
      <c r="K14" s="855"/>
      <c r="L14" s="893"/>
      <c r="M14" s="871"/>
      <c r="N14" s="349" t="str">
        <f>IF($A14&gt;0,$A14,"")</f>
        <v/>
      </c>
    </row>
    <row r="15" spans="1:54" s="453" customFormat="1" x14ac:dyDescent="0.2">
      <c r="A15" s="452"/>
      <c r="B15" s="879"/>
      <c r="C15" s="880"/>
      <c r="D15" s="880"/>
      <c r="E15" s="880"/>
      <c r="F15" s="880"/>
      <c r="G15" s="880"/>
      <c r="H15" s="880"/>
      <c r="I15" s="880"/>
      <c r="J15" s="870"/>
      <c r="K15" s="855"/>
      <c r="L15" s="870"/>
      <c r="M15" s="871"/>
      <c r="N15" s="349" t="str">
        <f>IF($A15&gt;0,$A15,"")</f>
        <v/>
      </c>
      <c r="BB15" s="81"/>
    </row>
    <row r="16" spans="1:54" s="453" customFormat="1" x14ac:dyDescent="0.2">
      <c r="A16" s="452"/>
      <c r="B16" s="879"/>
      <c r="C16" s="880"/>
      <c r="D16" s="880"/>
      <c r="E16" s="880"/>
      <c r="F16" s="880"/>
      <c r="G16" s="880"/>
      <c r="H16" s="880"/>
      <c r="I16" s="880"/>
      <c r="J16" s="870"/>
      <c r="K16" s="855"/>
      <c r="L16" s="870"/>
      <c r="M16" s="871"/>
      <c r="N16" s="349" t="str">
        <f>IF($A16&gt;0,$A16,"")</f>
        <v/>
      </c>
      <c r="BB16" s="81"/>
    </row>
    <row r="17" spans="1:54" s="453" customFormat="1" ht="16.5" thickBot="1" x14ac:dyDescent="0.25">
      <c r="A17" s="454"/>
      <c r="B17" s="864"/>
      <c r="C17" s="865"/>
      <c r="D17" s="865"/>
      <c r="E17" s="865"/>
      <c r="F17" s="865"/>
      <c r="G17" s="865"/>
      <c r="H17" s="865"/>
      <c r="I17" s="865"/>
      <c r="J17" s="866"/>
      <c r="K17" s="867"/>
      <c r="L17" s="857"/>
      <c r="M17" s="858"/>
      <c r="N17" s="349" t="str">
        <f>IF($A17&gt;0,$A17,"")</f>
        <v/>
      </c>
      <c r="BB17" s="81"/>
    </row>
    <row r="18" spans="1:54" s="462" customFormat="1" ht="16.5" thickBot="1" x14ac:dyDescent="0.25">
      <c r="A18" s="455"/>
      <c r="B18" s="456"/>
      <c r="C18" s="457"/>
      <c r="D18" s="458"/>
      <c r="E18" s="458"/>
      <c r="F18" s="459"/>
      <c r="G18" s="459"/>
      <c r="H18" s="460"/>
      <c r="I18" s="461"/>
      <c r="J18" s="461"/>
      <c r="K18" s="457"/>
      <c r="L18" s="457"/>
      <c r="M18" s="457"/>
      <c r="N18" s="349" t="str">
        <f>IF($A18&gt;0,$A18,"")</f>
        <v/>
      </c>
      <c r="O18" s="457"/>
      <c r="P18" s="457"/>
      <c r="Q18" s="457"/>
      <c r="BB18" s="81"/>
    </row>
    <row r="19" spans="1:54" s="462" customFormat="1" ht="19.5" thickBot="1" x14ac:dyDescent="0.25">
      <c r="A19" s="448" t="s">
        <v>419</v>
      </c>
      <c r="B19" s="463"/>
      <c r="I19" s="461"/>
      <c r="J19" s="461"/>
      <c r="K19" s="457"/>
      <c r="L19" s="457"/>
      <c r="M19" s="457"/>
      <c r="N19" s="457"/>
      <c r="O19" s="457"/>
      <c r="P19" s="457"/>
      <c r="Q19" s="457"/>
    </row>
    <row r="20" spans="1:54" s="462" customFormat="1" x14ac:dyDescent="0.2">
      <c r="A20" s="464" t="s">
        <v>419</v>
      </c>
      <c r="B20" s="859" t="s">
        <v>618</v>
      </c>
      <c r="C20" s="860"/>
      <c r="D20" s="860"/>
      <c r="E20" s="860"/>
      <c r="F20" s="860"/>
      <c r="G20" s="860"/>
      <c r="H20" s="861"/>
      <c r="I20" s="461"/>
      <c r="J20" s="461"/>
      <c r="K20" s="457"/>
      <c r="L20" s="457"/>
      <c r="M20" s="457"/>
      <c r="N20" s="457"/>
      <c r="O20" s="457"/>
      <c r="P20" s="457"/>
      <c r="Q20" s="457"/>
    </row>
    <row r="21" spans="1:54" s="467" customFormat="1" x14ac:dyDescent="0.2">
      <c r="A21" s="451"/>
      <c r="B21" s="862"/>
      <c r="C21" s="862"/>
      <c r="D21" s="862"/>
      <c r="E21" s="862"/>
      <c r="F21" s="862"/>
      <c r="G21" s="862"/>
      <c r="H21" s="863"/>
      <c r="I21" s="220"/>
      <c r="J21" s="465"/>
      <c r="K21" s="466"/>
      <c r="L21" s="466"/>
      <c r="M21" s="466"/>
      <c r="N21" s="466"/>
      <c r="O21" s="466"/>
      <c r="P21" s="466"/>
      <c r="Q21" s="466"/>
    </row>
    <row r="22" spans="1:54" s="467" customFormat="1" x14ac:dyDescent="0.2">
      <c r="A22" s="468"/>
      <c r="B22" s="862"/>
      <c r="C22" s="862"/>
      <c r="D22" s="862"/>
      <c r="E22" s="862"/>
      <c r="F22" s="862"/>
      <c r="G22" s="862"/>
      <c r="H22" s="863"/>
      <c r="I22" s="465"/>
      <c r="J22" s="465"/>
      <c r="K22" s="466"/>
      <c r="L22" s="466"/>
      <c r="M22" s="466"/>
      <c r="N22" s="466"/>
      <c r="O22" s="466"/>
      <c r="P22" s="466"/>
      <c r="Q22" s="466"/>
    </row>
    <row r="23" spans="1:54" s="467" customFormat="1" x14ac:dyDescent="0.2">
      <c r="A23" s="468"/>
      <c r="B23" s="854"/>
      <c r="C23" s="855"/>
      <c r="D23" s="855"/>
      <c r="E23" s="855"/>
      <c r="F23" s="855"/>
      <c r="G23" s="855"/>
      <c r="H23" s="856"/>
      <c r="I23" s="465"/>
      <c r="J23" s="465"/>
      <c r="K23" s="466"/>
      <c r="L23" s="466"/>
      <c r="M23" s="466"/>
      <c r="N23" s="466"/>
      <c r="O23" s="466"/>
      <c r="P23" s="466"/>
      <c r="Q23" s="466"/>
    </row>
    <row r="24" spans="1:54" s="467" customFormat="1" ht="16.5" thickBot="1" x14ac:dyDescent="0.25">
      <c r="A24" s="469"/>
      <c r="B24" s="877"/>
      <c r="C24" s="867"/>
      <c r="D24" s="867"/>
      <c r="E24" s="867"/>
      <c r="F24" s="867"/>
      <c r="G24" s="867"/>
      <c r="H24" s="878"/>
      <c r="I24" s="465"/>
      <c r="J24" s="465"/>
      <c r="K24" s="466"/>
      <c r="L24" s="466"/>
      <c r="M24" s="466"/>
      <c r="N24" s="466"/>
      <c r="O24" s="466"/>
      <c r="P24" s="466"/>
      <c r="Q24" s="466"/>
    </row>
    <row r="25" spans="1:54" s="462" customFormat="1" ht="16.5" thickBot="1" x14ac:dyDescent="0.25">
      <c r="A25" s="456"/>
      <c r="B25" s="95"/>
      <c r="C25" s="95"/>
      <c r="D25" s="95"/>
      <c r="E25" s="95"/>
      <c r="F25" s="95"/>
      <c r="G25" s="95"/>
      <c r="H25" s="95"/>
      <c r="I25" s="461"/>
      <c r="J25" s="461"/>
      <c r="K25" s="457"/>
      <c r="L25" s="457"/>
      <c r="M25" s="457"/>
      <c r="N25" s="457"/>
      <c r="O25" s="457"/>
      <c r="P25" s="457"/>
      <c r="Q25" s="457"/>
      <c r="R25" s="457"/>
      <c r="S25" s="457"/>
      <c r="T25" s="457"/>
      <c r="U25" s="457"/>
    </row>
    <row r="26" spans="1:54" s="462" customFormat="1" ht="19.5" thickBot="1" x14ac:dyDescent="0.25">
      <c r="A26" s="448" t="s">
        <v>624</v>
      </c>
      <c r="B26" s="449"/>
      <c r="I26" s="461"/>
      <c r="J26" s="461"/>
      <c r="K26" s="457"/>
      <c r="L26" s="457"/>
      <c r="M26" s="457"/>
      <c r="N26" s="457"/>
      <c r="O26" s="457"/>
      <c r="P26" s="457"/>
      <c r="Q26" s="457"/>
      <c r="R26" s="457"/>
      <c r="S26" s="457"/>
      <c r="T26" s="457"/>
      <c r="U26" s="457"/>
    </row>
    <row r="27" spans="1:54" s="462" customFormat="1" x14ac:dyDescent="0.2">
      <c r="A27" s="223" t="s">
        <v>886</v>
      </c>
      <c r="B27" s="470"/>
      <c r="C27" s="471"/>
      <c r="D27" s="472"/>
      <c r="E27" s="472"/>
      <c r="F27" s="473"/>
      <c r="G27" s="473"/>
      <c r="H27" s="473"/>
      <c r="I27" s="474"/>
      <c r="J27" s="475"/>
      <c r="K27" s="476"/>
      <c r="L27" s="457"/>
      <c r="M27" s="457"/>
      <c r="N27" s="457"/>
      <c r="O27" s="457"/>
      <c r="P27" s="457"/>
      <c r="Q27" s="457"/>
      <c r="R27" s="457"/>
      <c r="S27" s="457"/>
      <c r="T27" s="457"/>
      <c r="U27" s="457"/>
      <c r="V27" s="457"/>
    </row>
    <row r="28" spans="1:54" s="462" customFormat="1" x14ac:dyDescent="0.2">
      <c r="A28" s="96" t="s">
        <v>626</v>
      </c>
      <c r="B28" s="214"/>
      <c r="C28" s="477"/>
      <c r="D28" s="478"/>
      <c r="E28" s="478"/>
      <c r="F28" s="479"/>
      <c r="G28" s="479"/>
      <c r="H28" s="479"/>
      <c r="I28" s="480"/>
      <c r="J28" s="481"/>
      <c r="K28" s="482"/>
      <c r="L28" s="457"/>
      <c r="M28" s="457"/>
      <c r="N28" s="457"/>
      <c r="O28" s="457"/>
      <c r="P28" s="457"/>
      <c r="Q28" s="457"/>
      <c r="R28" s="457"/>
    </row>
    <row r="29" spans="1:54" s="462" customFormat="1" ht="16.5" thickBot="1" x14ac:dyDescent="0.25">
      <c r="A29" s="110" t="s">
        <v>172</v>
      </c>
      <c r="B29" s="483"/>
      <c r="C29" s="484"/>
      <c r="D29" s="485"/>
      <c r="E29" s="485"/>
      <c r="F29" s="486"/>
      <c r="G29" s="486"/>
      <c r="H29" s="486"/>
      <c r="I29" s="487"/>
      <c r="J29" s="488"/>
      <c r="K29" s="489"/>
      <c r="L29" s="457"/>
      <c r="M29" s="457"/>
      <c r="N29" s="457"/>
      <c r="O29" s="457"/>
      <c r="P29" s="457"/>
      <c r="Q29" s="457"/>
      <c r="R29" s="457"/>
      <c r="S29" s="118"/>
      <c r="T29" s="118"/>
      <c r="U29" s="118"/>
      <c r="V29" s="457"/>
      <c r="W29" s="457"/>
      <c r="X29" s="457"/>
    </row>
    <row r="30" spans="1:54" s="491" customFormat="1" ht="32.25" customHeight="1" x14ac:dyDescent="0.2">
      <c r="A30" s="875" t="s">
        <v>627</v>
      </c>
      <c r="B30" s="868" t="s">
        <v>628</v>
      </c>
      <c r="C30" s="868" t="s">
        <v>11</v>
      </c>
      <c r="D30" s="868" t="s">
        <v>12</v>
      </c>
      <c r="E30" s="868" t="s">
        <v>13</v>
      </c>
      <c r="F30" s="868" t="s">
        <v>14</v>
      </c>
      <c r="G30" s="868" t="s">
        <v>15</v>
      </c>
      <c r="H30" s="868" t="s">
        <v>16</v>
      </c>
      <c r="I30" s="868" t="s">
        <v>17</v>
      </c>
      <c r="J30" s="868" t="s">
        <v>18</v>
      </c>
      <c r="K30" s="868" t="s">
        <v>19</v>
      </c>
      <c r="L30" s="868" t="s">
        <v>20</v>
      </c>
      <c r="M30" s="490"/>
      <c r="N30" s="490"/>
      <c r="O30" s="490"/>
      <c r="P30" s="490"/>
      <c r="Q30" s="490"/>
      <c r="R30" s="490"/>
      <c r="S30" s="490"/>
      <c r="T30" s="490"/>
      <c r="U30" s="490"/>
      <c r="V30" s="490"/>
      <c r="W30" s="490"/>
      <c r="X30" s="868" t="s">
        <v>22</v>
      </c>
      <c r="Y30" s="868" t="s">
        <v>23</v>
      </c>
      <c r="Z30" s="868" t="s">
        <v>24</v>
      </c>
      <c r="AA30" s="922" t="s">
        <v>352</v>
      </c>
    </row>
    <row r="31" spans="1:54" s="491" customFormat="1" ht="16.5" thickBot="1" x14ac:dyDescent="0.25">
      <c r="A31" s="876"/>
      <c r="B31" s="869"/>
      <c r="C31" s="869"/>
      <c r="D31" s="869"/>
      <c r="E31" s="869"/>
      <c r="F31" s="869"/>
      <c r="G31" s="872"/>
      <c r="H31" s="869"/>
      <c r="I31" s="869"/>
      <c r="J31" s="869"/>
      <c r="K31" s="869"/>
      <c r="L31" s="869"/>
      <c r="M31" s="492"/>
      <c r="N31" s="492"/>
      <c r="O31" s="492"/>
      <c r="P31" s="492"/>
      <c r="Q31" s="492"/>
      <c r="R31" s="492"/>
      <c r="S31" s="492"/>
      <c r="T31" s="492"/>
      <c r="U31" s="492"/>
      <c r="V31" s="492"/>
      <c r="W31" s="492"/>
      <c r="X31" s="869"/>
      <c r="Y31" s="869"/>
      <c r="Z31" s="869"/>
      <c r="AA31" s="923"/>
    </row>
    <row r="32" spans="1:54" s="136" customFormat="1" x14ac:dyDescent="0.2">
      <c r="A32" s="493"/>
      <c r="B32" s="49"/>
      <c r="C32" s="225"/>
      <c r="D32" s="225"/>
      <c r="E32" s="225"/>
      <c r="F32" s="225"/>
      <c r="G32" s="120"/>
      <c r="H32" s="225"/>
      <c r="I32" s="263"/>
      <c r="J32" s="263"/>
      <c r="K32" s="263"/>
      <c r="L32" s="263"/>
      <c r="M32" s="120"/>
      <c r="N32" s="120"/>
      <c r="O32" s="120"/>
      <c r="P32" s="226"/>
      <c r="Q32" s="226"/>
      <c r="R32" s="226"/>
      <c r="S32" s="120"/>
      <c r="T32" s="120"/>
      <c r="U32" s="120"/>
      <c r="V32" s="120"/>
      <c r="W32" s="120"/>
      <c r="X32" s="227"/>
      <c r="Y32" s="227"/>
      <c r="Z32" s="120"/>
      <c r="AA32" s="121"/>
    </row>
    <row r="33" spans="1:27" s="136" customFormat="1" x14ac:dyDescent="0.2">
      <c r="A33" s="494"/>
      <c r="B33" s="123"/>
      <c r="C33" s="123"/>
      <c r="D33" s="123"/>
      <c r="E33" s="123"/>
      <c r="F33" s="123"/>
      <c r="G33" s="124"/>
      <c r="H33" s="123"/>
      <c r="I33" s="255"/>
      <c r="J33" s="255"/>
      <c r="K33" s="255"/>
      <c r="L33" s="255"/>
      <c r="M33" s="125"/>
      <c r="N33" s="124"/>
      <c r="O33" s="124"/>
      <c r="P33" s="125"/>
      <c r="Q33" s="125"/>
      <c r="R33" s="125"/>
      <c r="S33" s="124"/>
      <c r="T33" s="124"/>
      <c r="U33" s="124"/>
      <c r="V33" s="124"/>
      <c r="W33" s="124"/>
      <c r="X33" s="126"/>
      <c r="Y33" s="126"/>
      <c r="Z33" s="124"/>
      <c r="AA33" s="127"/>
    </row>
    <row r="34" spans="1:27" s="136" customFormat="1" x14ac:dyDescent="0.2">
      <c r="A34" s="494"/>
      <c r="B34" s="123"/>
      <c r="C34" s="123"/>
      <c r="D34" s="123"/>
      <c r="E34" s="123"/>
      <c r="F34" s="123"/>
      <c r="G34" s="124"/>
      <c r="H34" s="123"/>
      <c r="I34" s="255"/>
      <c r="J34" s="255"/>
      <c r="K34" s="255"/>
      <c r="L34" s="255"/>
      <c r="M34" s="125"/>
      <c r="N34" s="124"/>
      <c r="O34" s="124"/>
      <c r="P34" s="125"/>
      <c r="Q34" s="125"/>
      <c r="R34" s="125"/>
      <c r="S34" s="124"/>
      <c r="T34" s="124"/>
      <c r="U34" s="124"/>
      <c r="V34" s="124"/>
      <c r="W34" s="124"/>
      <c r="X34" s="126"/>
      <c r="Y34" s="126"/>
      <c r="Z34" s="124"/>
      <c r="AA34" s="127"/>
    </row>
    <row r="35" spans="1:27" s="136" customFormat="1" x14ac:dyDescent="0.2">
      <c r="A35" s="494"/>
      <c r="B35" s="123"/>
      <c r="C35" s="123"/>
      <c r="D35" s="123"/>
      <c r="E35" s="123"/>
      <c r="F35" s="123"/>
      <c r="G35" s="124"/>
      <c r="H35" s="123"/>
      <c r="I35" s="255"/>
      <c r="J35" s="255"/>
      <c r="K35" s="255"/>
      <c r="L35" s="255"/>
      <c r="M35" s="125"/>
      <c r="N35" s="124"/>
      <c r="O35" s="124"/>
      <c r="P35" s="125"/>
      <c r="Q35" s="125"/>
      <c r="R35" s="125"/>
      <c r="S35" s="124"/>
      <c r="T35" s="124"/>
      <c r="U35" s="124"/>
      <c r="V35" s="124"/>
      <c r="W35" s="124"/>
      <c r="X35" s="126"/>
      <c r="Y35" s="126"/>
      <c r="Z35" s="124"/>
      <c r="AA35" s="127"/>
    </row>
    <row r="36" spans="1:27" s="136" customFormat="1" x14ac:dyDescent="0.2">
      <c r="A36" s="494"/>
      <c r="B36" s="123"/>
      <c r="C36" s="123"/>
      <c r="D36" s="123"/>
      <c r="E36" s="123"/>
      <c r="F36" s="123"/>
      <c r="G36" s="124"/>
      <c r="H36" s="123"/>
      <c r="I36" s="255"/>
      <c r="J36" s="255"/>
      <c r="K36" s="255"/>
      <c r="L36" s="255"/>
      <c r="M36" s="125"/>
      <c r="N36" s="124"/>
      <c r="O36" s="124"/>
      <c r="P36" s="125"/>
      <c r="Q36" s="125"/>
      <c r="R36" s="125"/>
      <c r="S36" s="124"/>
      <c r="T36" s="124"/>
      <c r="U36" s="124"/>
      <c r="V36" s="124"/>
      <c r="W36" s="124"/>
      <c r="X36" s="126"/>
      <c r="Y36" s="126"/>
      <c r="Z36" s="124"/>
      <c r="AA36" s="127"/>
    </row>
    <row r="37" spans="1:27" s="136" customFormat="1" x14ac:dyDescent="0.2">
      <c r="A37" s="494"/>
      <c r="B37" s="123"/>
      <c r="C37" s="123"/>
      <c r="D37" s="123"/>
      <c r="E37" s="123"/>
      <c r="F37" s="123"/>
      <c r="G37" s="124"/>
      <c r="H37" s="123"/>
      <c r="I37" s="255"/>
      <c r="J37" s="255"/>
      <c r="K37" s="255"/>
      <c r="L37" s="255"/>
      <c r="M37" s="125"/>
      <c r="N37" s="124"/>
      <c r="O37" s="124"/>
      <c r="P37" s="125"/>
      <c r="Q37" s="125"/>
      <c r="R37" s="125"/>
      <c r="S37" s="124"/>
      <c r="T37" s="124"/>
      <c r="U37" s="124"/>
      <c r="V37" s="124"/>
      <c r="W37" s="124"/>
      <c r="X37" s="126"/>
      <c r="Y37" s="126"/>
      <c r="Z37" s="124"/>
      <c r="AA37" s="127"/>
    </row>
    <row r="38" spans="1:27" s="136" customFormat="1" x14ac:dyDescent="0.2">
      <c r="A38" s="494"/>
      <c r="B38" s="123"/>
      <c r="C38" s="123"/>
      <c r="D38" s="123"/>
      <c r="E38" s="123"/>
      <c r="F38" s="123"/>
      <c r="G38" s="124"/>
      <c r="H38" s="123"/>
      <c r="I38" s="255"/>
      <c r="J38" s="255"/>
      <c r="K38" s="255"/>
      <c r="L38" s="255"/>
      <c r="M38" s="125"/>
      <c r="N38" s="124"/>
      <c r="O38" s="124"/>
      <c r="P38" s="125"/>
      <c r="Q38" s="125"/>
      <c r="R38" s="125"/>
      <c r="S38" s="124"/>
      <c r="T38" s="124"/>
      <c r="U38" s="124"/>
      <c r="V38" s="124"/>
      <c r="W38" s="124"/>
      <c r="X38" s="126"/>
      <c r="Y38" s="126"/>
      <c r="Z38" s="124"/>
      <c r="AA38" s="127"/>
    </row>
    <row r="39" spans="1:27" s="136" customFormat="1" x14ac:dyDescent="0.2">
      <c r="A39" s="494"/>
      <c r="B39" s="123"/>
      <c r="C39" s="123"/>
      <c r="D39" s="123"/>
      <c r="E39" s="123"/>
      <c r="F39" s="123"/>
      <c r="G39" s="124"/>
      <c r="H39" s="123"/>
      <c r="I39" s="255"/>
      <c r="J39" s="255"/>
      <c r="K39" s="255"/>
      <c r="L39" s="255"/>
      <c r="M39" s="125"/>
      <c r="N39" s="124"/>
      <c r="O39" s="124"/>
      <c r="P39" s="125"/>
      <c r="Q39" s="125"/>
      <c r="R39" s="125"/>
      <c r="S39" s="124"/>
      <c r="T39" s="124"/>
      <c r="U39" s="124"/>
      <c r="V39" s="124"/>
      <c r="W39" s="124"/>
      <c r="X39" s="126"/>
      <c r="Y39" s="126"/>
      <c r="Z39" s="124"/>
      <c r="AA39" s="127"/>
    </row>
    <row r="40" spans="1:27" s="136" customFormat="1" x14ac:dyDescent="0.2">
      <c r="A40" s="494"/>
      <c r="B40" s="123"/>
      <c r="C40" s="123"/>
      <c r="D40" s="123"/>
      <c r="E40" s="123"/>
      <c r="F40" s="123"/>
      <c r="G40" s="124"/>
      <c r="H40" s="123"/>
      <c r="I40" s="255"/>
      <c r="J40" s="255"/>
      <c r="K40" s="255"/>
      <c r="L40" s="255"/>
      <c r="M40" s="125"/>
      <c r="N40" s="124"/>
      <c r="O40" s="124"/>
      <c r="P40" s="125"/>
      <c r="Q40" s="125"/>
      <c r="R40" s="125"/>
      <c r="S40" s="124"/>
      <c r="T40" s="124"/>
      <c r="U40" s="124"/>
      <c r="V40" s="124"/>
      <c r="W40" s="124"/>
      <c r="X40" s="126"/>
      <c r="Y40" s="126"/>
      <c r="Z40" s="124"/>
      <c r="AA40" s="127"/>
    </row>
    <row r="41" spans="1:27" s="136" customFormat="1" x14ac:dyDescent="0.2">
      <c r="A41" s="494"/>
      <c r="B41" s="123"/>
      <c r="C41" s="123"/>
      <c r="D41" s="123"/>
      <c r="E41" s="123"/>
      <c r="F41" s="123"/>
      <c r="G41" s="124"/>
      <c r="H41" s="123"/>
      <c r="I41" s="255"/>
      <c r="J41" s="255"/>
      <c r="K41" s="255"/>
      <c r="L41" s="255"/>
      <c r="M41" s="125"/>
      <c r="N41" s="124"/>
      <c r="O41" s="124"/>
      <c r="P41" s="125"/>
      <c r="Q41" s="125"/>
      <c r="R41" s="125"/>
      <c r="S41" s="124"/>
      <c r="T41" s="124"/>
      <c r="U41" s="124"/>
      <c r="V41" s="124"/>
      <c r="W41" s="124"/>
      <c r="X41" s="126"/>
      <c r="Y41" s="126"/>
      <c r="Z41" s="124"/>
      <c r="AA41" s="127"/>
    </row>
    <row r="42" spans="1:27" s="136" customFormat="1" x14ac:dyDescent="0.2">
      <c r="A42" s="494"/>
      <c r="B42" s="123"/>
      <c r="C42" s="123"/>
      <c r="D42" s="123"/>
      <c r="E42" s="123"/>
      <c r="F42" s="123"/>
      <c r="G42" s="124"/>
      <c r="H42" s="123"/>
      <c r="I42" s="255"/>
      <c r="J42" s="255"/>
      <c r="K42" s="255"/>
      <c r="L42" s="255"/>
      <c r="M42" s="125"/>
      <c r="N42" s="124"/>
      <c r="O42" s="124"/>
      <c r="P42" s="125"/>
      <c r="Q42" s="125"/>
      <c r="R42" s="125"/>
      <c r="S42" s="124"/>
      <c r="T42" s="124"/>
      <c r="U42" s="124"/>
      <c r="V42" s="124"/>
      <c r="W42" s="124"/>
      <c r="X42" s="126"/>
      <c r="Y42" s="126"/>
      <c r="Z42" s="124"/>
      <c r="AA42" s="127"/>
    </row>
    <row r="43" spans="1:27" s="136" customFormat="1" x14ac:dyDescent="0.2">
      <c r="A43" s="494"/>
      <c r="B43" s="123"/>
      <c r="C43" s="123"/>
      <c r="D43" s="123"/>
      <c r="E43" s="123"/>
      <c r="F43" s="123"/>
      <c r="G43" s="124"/>
      <c r="H43" s="123"/>
      <c r="I43" s="255"/>
      <c r="J43" s="255"/>
      <c r="K43" s="255"/>
      <c r="L43" s="255"/>
      <c r="M43" s="125"/>
      <c r="N43" s="124"/>
      <c r="O43" s="124"/>
      <c r="P43" s="125"/>
      <c r="Q43" s="125"/>
      <c r="R43" s="125"/>
      <c r="S43" s="124"/>
      <c r="T43" s="124"/>
      <c r="U43" s="124"/>
      <c r="V43" s="124"/>
      <c r="W43" s="124"/>
      <c r="X43" s="126"/>
      <c r="Y43" s="126"/>
      <c r="Z43" s="124"/>
      <c r="AA43" s="127"/>
    </row>
    <row r="44" spans="1:27" s="136" customFormat="1" x14ac:dyDescent="0.2">
      <c r="A44" s="494"/>
      <c r="B44" s="123"/>
      <c r="C44" s="123"/>
      <c r="D44" s="123"/>
      <c r="E44" s="123"/>
      <c r="F44" s="123"/>
      <c r="G44" s="124"/>
      <c r="H44" s="123"/>
      <c r="I44" s="255"/>
      <c r="J44" s="255"/>
      <c r="K44" s="255"/>
      <c r="L44" s="255"/>
      <c r="M44" s="125"/>
      <c r="N44" s="124"/>
      <c r="O44" s="124"/>
      <c r="P44" s="125"/>
      <c r="Q44" s="125"/>
      <c r="R44" s="125"/>
      <c r="S44" s="124"/>
      <c r="T44" s="124"/>
      <c r="U44" s="124"/>
      <c r="V44" s="124"/>
      <c r="W44" s="124"/>
      <c r="X44" s="126"/>
      <c r="Y44" s="126"/>
      <c r="Z44" s="124"/>
      <c r="AA44" s="127"/>
    </row>
    <row r="45" spans="1:27" s="136" customFormat="1" x14ac:dyDescent="0.2">
      <c r="A45" s="494"/>
      <c r="B45" s="123"/>
      <c r="C45" s="123"/>
      <c r="D45" s="123"/>
      <c r="E45" s="123"/>
      <c r="F45" s="123"/>
      <c r="G45" s="124"/>
      <c r="H45" s="123"/>
      <c r="I45" s="255"/>
      <c r="J45" s="255"/>
      <c r="K45" s="255"/>
      <c r="L45" s="255"/>
      <c r="M45" s="125"/>
      <c r="N45" s="124"/>
      <c r="O45" s="124"/>
      <c r="P45" s="125"/>
      <c r="Q45" s="125"/>
      <c r="R45" s="125"/>
      <c r="S45" s="124"/>
      <c r="T45" s="124"/>
      <c r="U45" s="124"/>
      <c r="V45" s="124"/>
      <c r="W45" s="124"/>
      <c r="X45" s="126"/>
      <c r="Y45" s="126"/>
      <c r="Z45" s="124"/>
      <c r="AA45" s="127"/>
    </row>
    <row r="46" spans="1:27" s="136" customFormat="1" x14ac:dyDescent="0.2">
      <c r="A46" s="494"/>
      <c r="B46" s="123"/>
      <c r="C46" s="123"/>
      <c r="D46" s="123"/>
      <c r="E46" s="123"/>
      <c r="F46" s="123"/>
      <c r="G46" s="124"/>
      <c r="H46" s="123"/>
      <c r="I46" s="255"/>
      <c r="J46" s="255"/>
      <c r="K46" s="255"/>
      <c r="L46" s="255"/>
      <c r="M46" s="125"/>
      <c r="N46" s="124"/>
      <c r="O46" s="124"/>
      <c r="P46" s="125"/>
      <c r="Q46" s="125"/>
      <c r="R46" s="125"/>
      <c r="S46" s="124"/>
      <c r="T46" s="124"/>
      <c r="U46" s="124"/>
      <c r="V46" s="124"/>
      <c r="W46" s="124"/>
      <c r="X46" s="126"/>
      <c r="Y46" s="126"/>
      <c r="Z46" s="124"/>
      <c r="AA46" s="127"/>
    </row>
    <row r="47" spans="1:27" s="136" customFormat="1" x14ac:dyDescent="0.2">
      <c r="A47" s="494"/>
      <c r="B47" s="123"/>
      <c r="C47" s="123"/>
      <c r="D47" s="123"/>
      <c r="E47" s="123"/>
      <c r="F47" s="123"/>
      <c r="G47" s="124"/>
      <c r="H47" s="123"/>
      <c r="I47" s="255"/>
      <c r="J47" s="255"/>
      <c r="K47" s="255"/>
      <c r="L47" s="255"/>
      <c r="M47" s="125"/>
      <c r="N47" s="124"/>
      <c r="O47" s="124"/>
      <c r="P47" s="125"/>
      <c r="Q47" s="125"/>
      <c r="R47" s="125"/>
      <c r="S47" s="124"/>
      <c r="T47" s="124"/>
      <c r="U47" s="124"/>
      <c r="V47" s="124"/>
      <c r="W47" s="124"/>
      <c r="X47" s="126"/>
      <c r="Y47" s="126"/>
      <c r="Z47" s="124"/>
      <c r="AA47" s="127"/>
    </row>
    <row r="48" spans="1:27" s="136" customFormat="1" x14ac:dyDescent="0.2">
      <c r="A48" s="494"/>
      <c r="B48" s="123"/>
      <c r="C48" s="123"/>
      <c r="D48" s="123"/>
      <c r="E48" s="123"/>
      <c r="F48" s="123"/>
      <c r="G48" s="124"/>
      <c r="H48" s="123"/>
      <c r="I48" s="255"/>
      <c r="J48" s="255"/>
      <c r="K48" s="255"/>
      <c r="L48" s="255"/>
      <c r="M48" s="125"/>
      <c r="N48" s="124"/>
      <c r="O48" s="124"/>
      <c r="P48" s="125"/>
      <c r="Q48" s="125"/>
      <c r="R48" s="125"/>
      <c r="S48" s="124"/>
      <c r="T48" s="124"/>
      <c r="U48" s="124"/>
      <c r="V48" s="124"/>
      <c r="W48" s="124"/>
      <c r="X48" s="126"/>
      <c r="Y48" s="126"/>
      <c r="Z48" s="124"/>
      <c r="AA48" s="127"/>
    </row>
    <row r="49" spans="1:29" s="136" customFormat="1" x14ac:dyDescent="0.2">
      <c r="A49" s="494"/>
      <c r="B49" s="123"/>
      <c r="C49" s="123"/>
      <c r="D49" s="123"/>
      <c r="E49" s="123"/>
      <c r="F49" s="123"/>
      <c r="G49" s="124"/>
      <c r="H49" s="123"/>
      <c r="I49" s="255"/>
      <c r="J49" s="255"/>
      <c r="K49" s="255"/>
      <c r="L49" s="255"/>
      <c r="M49" s="125"/>
      <c r="N49" s="124"/>
      <c r="O49" s="124"/>
      <c r="P49" s="125"/>
      <c r="Q49" s="125"/>
      <c r="R49" s="125"/>
      <c r="S49" s="124"/>
      <c r="T49" s="124"/>
      <c r="U49" s="124"/>
      <c r="V49" s="124"/>
      <c r="W49" s="124"/>
      <c r="X49" s="126"/>
      <c r="Y49" s="126"/>
      <c r="Z49" s="124"/>
      <c r="AA49" s="127"/>
    </row>
    <row r="50" spans="1:29" s="136" customFormat="1" x14ac:dyDescent="0.2">
      <c r="A50" s="566"/>
      <c r="B50" s="309"/>
      <c r="C50" s="309"/>
      <c r="D50" s="309"/>
      <c r="E50" s="309"/>
      <c r="F50" s="309"/>
      <c r="G50" s="310"/>
      <c r="H50" s="309"/>
      <c r="I50" s="297"/>
      <c r="J50" s="297"/>
      <c r="K50" s="297"/>
      <c r="L50" s="297"/>
      <c r="M50" s="299"/>
      <c r="N50" s="310"/>
      <c r="O50" s="310"/>
      <c r="P50" s="299"/>
      <c r="Q50" s="299"/>
      <c r="R50" s="299"/>
      <c r="S50" s="310"/>
      <c r="T50" s="310"/>
      <c r="U50" s="310"/>
      <c r="V50" s="310"/>
      <c r="W50" s="310"/>
      <c r="X50" s="311"/>
      <c r="Y50" s="311"/>
      <c r="Z50" s="310"/>
      <c r="AA50" s="312"/>
    </row>
    <row r="51" spans="1:29" s="136" customFormat="1" ht="16.5" thickBot="1" x14ac:dyDescent="0.25">
      <c r="A51" s="495"/>
      <c r="B51" s="128"/>
      <c r="C51" s="128"/>
      <c r="D51" s="128"/>
      <c r="E51" s="128"/>
      <c r="F51" s="128"/>
      <c r="G51" s="129"/>
      <c r="H51" s="128"/>
      <c r="I51" s="256"/>
      <c r="J51" s="256"/>
      <c r="K51" s="256"/>
      <c r="L51" s="256"/>
      <c r="M51" s="129"/>
      <c r="N51" s="129"/>
      <c r="O51" s="129"/>
      <c r="P51" s="130"/>
      <c r="Q51" s="130"/>
      <c r="R51" s="130"/>
      <c r="S51" s="129"/>
      <c r="T51" s="129"/>
      <c r="U51" s="129"/>
      <c r="V51" s="129"/>
      <c r="W51" s="129"/>
      <c r="X51" s="131"/>
      <c r="Y51" s="131"/>
      <c r="Z51" s="129"/>
      <c r="AA51" s="132"/>
    </row>
    <row r="52" spans="1:29" s="73" customFormat="1" x14ac:dyDescent="0.2">
      <c r="A52" s="133"/>
      <c r="B52" s="133"/>
      <c r="C52" s="133"/>
      <c r="D52" s="133"/>
      <c r="E52" s="133"/>
      <c r="F52" s="133"/>
      <c r="G52" s="118"/>
      <c r="H52" s="118"/>
      <c r="I52" s="118"/>
      <c r="J52" s="118"/>
      <c r="K52" s="118"/>
      <c r="L52" s="118"/>
      <c r="M52" s="134"/>
      <c r="N52" s="118"/>
      <c r="O52" s="159"/>
      <c r="P52" s="159"/>
      <c r="Q52" s="159"/>
      <c r="R52" s="159"/>
      <c r="S52" s="159"/>
      <c r="T52" s="159"/>
      <c r="U52" s="159"/>
      <c r="V52" s="159"/>
      <c r="W52" s="466"/>
    </row>
    <row r="53" spans="1:29" s="73" customFormat="1" ht="16.5" thickBot="1" x14ac:dyDescent="0.25">
      <c r="A53" s="133"/>
      <c r="B53" s="133"/>
      <c r="C53" s="133"/>
      <c r="D53" s="133"/>
      <c r="E53" s="133"/>
      <c r="F53" s="133"/>
      <c r="G53" s="118"/>
      <c r="H53" s="118"/>
      <c r="I53" s="118"/>
      <c r="J53" s="118"/>
      <c r="K53" s="118"/>
      <c r="N53" s="118"/>
      <c r="O53" s="159"/>
      <c r="P53" s="159"/>
      <c r="Q53" s="159"/>
      <c r="R53" s="159"/>
      <c r="S53" s="159"/>
      <c r="T53" s="159"/>
      <c r="U53" s="159"/>
      <c r="V53" s="159"/>
      <c r="W53" s="467"/>
    </row>
    <row r="54" spans="1:29" s="73" customFormat="1" ht="16.5" thickBot="1" x14ac:dyDescent="0.25">
      <c r="A54" s="496" t="s">
        <v>25</v>
      </c>
      <c r="B54" s="133"/>
      <c r="C54" s="133"/>
      <c r="D54" s="133"/>
      <c r="E54" s="133"/>
      <c r="F54" s="133"/>
      <c r="G54" s="118"/>
      <c r="H54" s="118"/>
      <c r="I54" s="118"/>
      <c r="J54" s="118"/>
      <c r="K54" s="118"/>
      <c r="M54" s="118"/>
      <c r="N54" s="118"/>
      <c r="O54" s="159"/>
      <c r="P54" s="136"/>
      <c r="Q54" s="136"/>
      <c r="R54" s="136"/>
      <c r="S54" s="466"/>
      <c r="T54" s="466"/>
      <c r="U54" s="466"/>
      <c r="V54" s="466"/>
      <c r="W54" s="159"/>
    </row>
    <row r="55" spans="1:29" s="73" customFormat="1" ht="15.75" customHeight="1" x14ac:dyDescent="0.2">
      <c r="A55" s="875" t="s">
        <v>627</v>
      </c>
      <c r="B55" s="868" t="s">
        <v>628</v>
      </c>
      <c r="C55" s="868" t="s">
        <v>11</v>
      </c>
      <c r="D55" s="868" t="s">
        <v>12</v>
      </c>
      <c r="E55" s="868" t="s">
        <v>13</v>
      </c>
      <c r="F55" s="868" t="s">
        <v>14</v>
      </c>
      <c r="G55" s="868" t="s">
        <v>15</v>
      </c>
      <c r="H55" s="868" t="s">
        <v>16</v>
      </c>
      <c r="I55" s="868" t="s">
        <v>26</v>
      </c>
      <c r="J55" s="868" t="s">
        <v>27</v>
      </c>
      <c r="K55" s="945" t="s">
        <v>295</v>
      </c>
      <c r="L55" s="497" t="s">
        <v>63</v>
      </c>
      <c r="M55" s="498" t="s">
        <v>64</v>
      </c>
      <c r="N55" s="499" t="s">
        <v>65</v>
      </c>
      <c r="O55" s="490"/>
      <c r="P55" s="490"/>
      <c r="Q55" s="490"/>
      <c r="R55" s="490"/>
      <c r="S55" s="490"/>
      <c r="T55" s="490"/>
      <c r="U55" s="490"/>
      <c r="V55" s="490"/>
      <c r="W55" s="490"/>
      <c r="X55" s="868" t="s">
        <v>22</v>
      </c>
      <c r="Y55" s="868" t="s">
        <v>23</v>
      </c>
      <c r="Z55" s="868" t="s">
        <v>24</v>
      </c>
      <c r="AA55" s="922" t="s">
        <v>352</v>
      </c>
    </row>
    <row r="56" spans="1:29" s="73" customFormat="1" ht="31.7" customHeight="1" thickBot="1" x14ac:dyDescent="0.25">
      <c r="A56" s="876"/>
      <c r="B56" s="869"/>
      <c r="C56" s="869"/>
      <c r="D56" s="869"/>
      <c r="E56" s="869"/>
      <c r="F56" s="869"/>
      <c r="G56" s="872"/>
      <c r="H56" s="869"/>
      <c r="I56" s="869"/>
      <c r="J56" s="869"/>
      <c r="K56" s="946"/>
      <c r="L56" s="500" t="s">
        <v>66</v>
      </c>
      <c r="M56" s="501" t="s">
        <v>67</v>
      </c>
      <c r="N56" s="502" t="s">
        <v>68</v>
      </c>
      <c r="O56" s="503"/>
      <c r="P56" s="492"/>
      <c r="Q56" s="492"/>
      <c r="R56" s="492"/>
      <c r="S56" s="492"/>
      <c r="T56" s="492"/>
      <c r="U56" s="492"/>
      <c r="V56" s="492"/>
      <c r="W56" s="492"/>
      <c r="X56" s="869"/>
      <c r="Y56" s="869"/>
      <c r="Z56" s="869"/>
      <c r="AA56" s="923"/>
    </row>
    <row r="57" spans="1:29" s="136" customFormat="1" x14ac:dyDescent="0.2">
      <c r="A57" s="493"/>
      <c r="B57" s="225"/>
      <c r="C57" s="225"/>
      <c r="D57" s="225"/>
      <c r="E57" s="225"/>
      <c r="F57" s="225"/>
      <c r="G57" s="120"/>
      <c r="H57" s="225"/>
      <c r="I57" s="263"/>
      <c r="J57" s="263"/>
      <c r="K57" s="265"/>
      <c r="L57" s="268"/>
      <c r="M57" s="120"/>
      <c r="N57" s="121"/>
      <c r="O57" s="269"/>
      <c r="P57" s="226"/>
      <c r="Q57" s="226"/>
      <c r="R57" s="226"/>
      <c r="S57" s="120"/>
      <c r="T57" s="120"/>
      <c r="U57" s="120"/>
      <c r="V57" s="120"/>
      <c r="W57" s="120"/>
      <c r="X57" s="227"/>
      <c r="Y57" s="227"/>
      <c r="Z57" s="120"/>
      <c r="AA57" s="121"/>
    </row>
    <row r="58" spans="1:29" s="136" customFormat="1" x14ac:dyDescent="0.2">
      <c r="A58" s="494"/>
      <c r="B58" s="123"/>
      <c r="C58" s="123"/>
      <c r="D58" s="123"/>
      <c r="E58" s="123"/>
      <c r="F58" s="123"/>
      <c r="G58" s="124"/>
      <c r="H58" s="123"/>
      <c r="I58" s="255"/>
      <c r="J58" s="255"/>
      <c r="K58" s="266"/>
      <c r="L58" s="259"/>
      <c r="M58" s="124"/>
      <c r="N58" s="127"/>
      <c r="O58" s="248"/>
      <c r="P58" s="125"/>
      <c r="Q58" s="125"/>
      <c r="R58" s="125"/>
      <c r="S58" s="124"/>
      <c r="T58" s="124"/>
      <c r="U58" s="124"/>
      <c r="V58" s="124"/>
      <c r="W58" s="124"/>
      <c r="X58" s="126"/>
      <c r="Y58" s="126"/>
      <c r="Z58" s="124"/>
      <c r="AA58" s="127"/>
    </row>
    <row r="59" spans="1:29" s="136" customFormat="1" x14ac:dyDescent="0.2">
      <c r="A59" s="494"/>
      <c r="B59" s="123"/>
      <c r="C59" s="123"/>
      <c r="D59" s="123"/>
      <c r="E59" s="123"/>
      <c r="F59" s="123"/>
      <c r="G59" s="124"/>
      <c r="H59" s="123"/>
      <c r="I59" s="255"/>
      <c r="J59" s="255"/>
      <c r="K59" s="266"/>
      <c r="L59" s="259"/>
      <c r="M59" s="124"/>
      <c r="N59" s="127"/>
      <c r="O59" s="248"/>
      <c r="P59" s="125"/>
      <c r="Q59" s="125"/>
      <c r="R59" s="125"/>
      <c r="S59" s="124"/>
      <c r="T59" s="124"/>
      <c r="U59" s="124"/>
      <c r="V59" s="124"/>
      <c r="W59" s="124"/>
      <c r="X59" s="126"/>
      <c r="Y59" s="126"/>
      <c r="Z59" s="124"/>
      <c r="AA59" s="127"/>
    </row>
    <row r="60" spans="1:29" s="136" customFormat="1" ht="16.5" thickBot="1" x14ac:dyDescent="0.25">
      <c r="A60" s="495"/>
      <c r="B60" s="128"/>
      <c r="C60" s="128"/>
      <c r="D60" s="128"/>
      <c r="E60" s="128"/>
      <c r="F60" s="128"/>
      <c r="G60" s="129"/>
      <c r="H60" s="128"/>
      <c r="I60" s="256"/>
      <c r="J60" s="256"/>
      <c r="K60" s="267"/>
      <c r="L60" s="137"/>
      <c r="M60" s="129"/>
      <c r="N60" s="132"/>
      <c r="O60" s="137"/>
      <c r="P60" s="129"/>
      <c r="Q60" s="129"/>
      <c r="R60" s="129"/>
      <c r="S60" s="129"/>
      <c r="T60" s="129"/>
      <c r="U60" s="129"/>
      <c r="V60" s="129"/>
      <c r="W60" s="129"/>
      <c r="X60" s="131"/>
      <c r="Y60" s="131"/>
      <c r="Z60" s="129"/>
      <c r="AA60" s="132"/>
    </row>
    <row r="61" spans="1:29" s="73" customFormat="1" x14ac:dyDescent="0.2">
      <c r="A61" s="133"/>
      <c r="B61" s="133"/>
      <c r="C61" s="133"/>
      <c r="D61" s="133"/>
      <c r="E61" s="133"/>
      <c r="F61" s="133"/>
      <c r="G61" s="118"/>
      <c r="H61" s="118"/>
      <c r="I61" s="118"/>
      <c r="J61" s="118"/>
      <c r="K61" s="118"/>
      <c r="L61" s="118"/>
      <c r="M61" s="118"/>
      <c r="N61" s="118"/>
      <c r="O61" s="160"/>
      <c r="P61" s="159"/>
      <c r="Q61" s="159"/>
      <c r="R61" s="159"/>
      <c r="S61" s="136"/>
      <c r="T61" s="136"/>
      <c r="U61" s="136"/>
      <c r="V61" s="136"/>
      <c r="W61" s="136"/>
      <c r="X61" s="118"/>
    </row>
    <row r="62" spans="1:29" s="73" customFormat="1" ht="16.5" thickBot="1" x14ac:dyDescent="0.25">
      <c r="A62" s="133"/>
      <c r="B62" s="133"/>
      <c r="C62" s="133"/>
      <c r="D62" s="133"/>
      <c r="E62" s="133"/>
      <c r="F62" s="133"/>
      <c r="G62" s="118"/>
      <c r="H62" s="118"/>
      <c r="I62" s="118"/>
      <c r="J62" s="118"/>
      <c r="K62" s="118"/>
      <c r="L62" s="118"/>
      <c r="M62" s="118"/>
      <c r="N62" s="118"/>
      <c r="O62" s="160"/>
      <c r="P62" s="159"/>
      <c r="Q62" s="159"/>
      <c r="R62" s="159"/>
      <c r="S62" s="136"/>
      <c r="T62" s="136"/>
      <c r="U62" s="136"/>
      <c r="V62" s="136"/>
      <c r="W62" s="136"/>
      <c r="X62" s="118"/>
    </row>
    <row r="63" spans="1:29" s="73" customFormat="1" ht="16.5" thickBot="1" x14ac:dyDescent="0.25">
      <c r="A63" s="822" t="s">
        <v>307</v>
      </c>
      <c r="B63" s="873"/>
      <c r="C63" s="873"/>
      <c r="D63" s="874"/>
      <c r="E63" s="133"/>
      <c r="F63" s="133"/>
      <c r="G63" s="118"/>
      <c r="H63" s="118"/>
      <c r="I63" s="118"/>
      <c r="J63" s="118"/>
      <c r="K63" s="118"/>
      <c r="L63" s="118"/>
      <c r="M63" s="118"/>
      <c r="N63" s="118"/>
      <c r="O63" s="136"/>
      <c r="P63" s="159"/>
      <c r="Q63" s="159"/>
      <c r="R63" s="159"/>
      <c r="S63" s="466"/>
      <c r="T63" s="466"/>
      <c r="U63" s="466"/>
      <c r="V63" s="466"/>
      <c r="W63" s="159"/>
      <c r="X63" s="118"/>
      <c r="Y63" s="118"/>
    </row>
    <row r="64" spans="1:29" s="73" customFormat="1" ht="15.75" customHeight="1" x14ac:dyDescent="0.2">
      <c r="A64" s="875" t="s">
        <v>627</v>
      </c>
      <c r="B64" s="868" t="s">
        <v>628</v>
      </c>
      <c r="C64" s="868" t="s">
        <v>11</v>
      </c>
      <c r="D64" s="868" t="s">
        <v>12</v>
      </c>
      <c r="E64" s="868" t="s">
        <v>13</v>
      </c>
      <c r="F64" s="868" t="s">
        <v>14</v>
      </c>
      <c r="G64" s="868" t="s">
        <v>15</v>
      </c>
      <c r="H64" s="868" t="s">
        <v>16</v>
      </c>
      <c r="I64" s="868">
        <v>20</v>
      </c>
      <c r="J64" s="868">
        <v>40</v>
      </c>
      <c r="K64" s="868" t="s">
        <v>19</v>
      </c>
      <c r="L64" s="922" t="s">
        <v>20</v>
      </c>
      <c r="M64" s="943" t="s">
        <v>28</v>
      </c>
      <c r="N64" s="504" t="s">
        <v>69</v>
      </c>
      <c r="O64" s="498" t="s">
        <v>64</v>
      </c>
      <c r="P64" s="499" t="s">
        <v>65</v>
      </c>
      <c r="Q64" s="490" t="s">
        <v>147</v>
      </c>
      <c r="R64" s="490" t="s">
        <v>71</v>
      </c>
      <c r="S64" s="490"/>
      <c r="T64" s="490"/>
      <c r="U64" s="490"/>
      <c r="V64" s="490"/>
      <c r="W64" s="490"/>
      <c r="X64" s="490"/>
      <c r="Y64" s="490"/>
      <c r="Z64" s="868" t="s">
        <v>22</v>
      </c>
      <c r="AA64" s="868" t="s">
        <v>23</v>
      </c>
      <c r="AB64" s="868" t="s">
        <v>24</v>
      </c>
      <c r="AC64" s="922" t="s">
        <v>352</v>
      </c>
    </row>
    <row r="65" spans="1:29" s="73" customFormat="1" ht="48" thickBot="1" x14ac:dyDescent="0.25">
      <c r="A65" s="876"/>
      <c r="B65" s="869"/>
      <c r="C65" s="869"/>
      <c r="D65" s="869"/>
      <c r="E65" s="869"/>
      <c r="F65" s="869"/>
      <c r="G65" s="872"/>
      <c r="H65" s="869"/>
      <c r="I65" s="869"/>
      <c r="J65" s="869"/>
      <c r="K65" s="869"/>
      <c r="L65" s="923"/>
      <c r="M65" s="944"/>
      <c r="N65" s="505" t="s">
        <v>70</v>
      </c>
      <c r="O65" s="501" t="s">
        <v>67</v>
      </c>
      <c r="P65" s="502" t="s">
        <v>68</v>
      </c>
      <c r="Q65" s="503" t="s">
        <v>84</v>
      </c>
      <c r="R65" s="492" t="s">
        <v>84</v>
      </c>
      <c r="S65" s="492"/>
      <c r="T65" s="492"/>
      <c r="U65" s="492"/>
      <c r="V65" s="492"/>
      <c r="W65" s="492"/>
      <c r="X65" s="492"/>
      <c r="Y65" s="492"/>
      <c r="Z65" s="924"/>
      <c r="AA65" s="924"/>
      <c r="AB65" s="924"/>
      <c r="AC65" s="923"/>
    </row>
    <row r="66" spans="1:29" s="136" customFormat="1" x14ac:dyDescent="0.2">
      <c r="A66" s="493"/>
      <c r="B66" s="225"/>
      <c r="C66" s="225"/>
      <c r="D66" s="225"/>
      <c r="E66" s="225"/>
      <c r="F66" s="225"/>
      <c r="G66" s="120"/>
      <c r="H66" s="225"/>
      <c r="I66" s="263"/>
      <c r="J66" s="263"/>
      <c r="K66" s="263"/>
      <c r="L66" s="265"/>
      <c r="M66" s="270"/>
      <c r="N66" s="268"/>
      <c r="O66" s="120"/>
      <c r="P66" s="121"/>
      <c r="Q66" s="269"/>
      <c r="R66" s="226"/>
      <c r="S66" s="226"/>
      <c r="T66" s="226"/>
      <c r="U66" s="226"/>
      <c r="V66" s="226"/>
      <c r="W66" s="120"/>
      <c r="X66" s="120"/>
      <c r="Y66" s="120"/>
      <c r="Z66" s="227"/>
      <c r="AA66" s="227"/>
      <c r="AB66" s="120"/>
      <c r="AC66" s="121"/>
    </row>
    <row r="67" spans="1:29" s="136" customFormat="1" x14ac:dyDescent="0.2">
      <c r="A67" s="494"/>
      <c r="B67" s="123"/>
      <c r="C67" s="123"/>
      <c r="D67" s="123"/>
      <c r="E67" s="123"/>
      <c r="F67" s="123"/>
      <c r="G67" s="124"/>
      <c r="H67" s="123"/>
      <c r="I67" s="255"/>
      <c r="J67" s="255"/>
      <c r="K67" s="255"/>
      <c r="L67" s="266"/>
      <c r="M67" s="271"/>
      <c r="N67" s="259"/>
      <c r="O67" s="124"/>
      <c r="P67" s="127"/>
      <c r="Q67" s="248"/>
      <c r="R67" s="125"/>
      <c r="S67" s="125"/>
      <c r="T67" s="125"/>
      <c r="U67" s="125"/>
      <c r="V67" s="125"/>
      <c r="W67" s="124"/>
      <c r="X67" s="124"/>
      <c r="Y67" s="124"/>
      <c r="Z67" s="126"/>
      <c r="AA67" s="126"/>
      <c r="AB67" s="124"/>
      <c r="AC67" s="127"/>
    </row>
    <row r="68" spans="1:29" s="136" customFormat="1" x14ac:dyDescent="0.2">
      <c r="A68" s="494"/>
      <c r="B68" s="123"/>
      <c r="C68" s="123"/>
      <c r="D68" s="123"/>
      <c r="E68" s="123"/>
      <c r="F68" s="123"/>
      <c r="G68" s="124"/>
      <c r="H68" s="123"/>
      <c r="I68" s="255"/>
      <c r="J68" s="255"/>
      <c r="K68" s="255"/>
      <c r="L68" s="266"/>
      <c r="M68" s="271"/>
      <c r="N68" s="259"/>
      <c r="O68" s="124"/>
      <c r="P68" s="127"/>
      <c r="Q68" s="248"/>
      <c r="R68" s="125"/>
      <c r="S68" s="125"/>
      <c r="T68" s="125"/>
      <c r="U68" s="125"/>
      <c r="V68" s="125"/>
      <c r="W68" s="124"/>
      <c r="X68" s="124"/>
      <c r="Y68" s="124"/>
      <c r="Z68" s="126"/>
      <c r="AA68" s="126"/>
      <c r="AB68" s="124"/>
      <c r="AC68" s="127"/>
    </row>
    <row r="69" spans="1:29" s="136" customFormat="1" ht="16.5" thickBot="1" x14ac:dyDescent="0.25">
      <c r="A69" s="495"/>
      <c r="B69" s="128"/>
      <c r="C69" s="128"/>
      <c r="D69" s="128"/>
      <c r="E69" s="128"/>
      <c r="F69" s="128"/>
      <c r="G69" s="129"/>
      <c r="H69" s="128"/>
      <c r="I69" s="256"/>
      <c r="J69" s="256"/>
      <c r="K69" s="256"/>
      <c r="L69" s="267"/>
      <c r="M69" s="161"/>
      <c r="N69" s="137"/>
      <c r="O69" s="129"/>
      <c r="P69" s="132"/>
      <c r="Q69" s="137"/>
      <c r="R69" s="129"/>
      <c r="S69" s="129"/>
      <c r="T69" s="129"/>
      <c r="U69" s="129"/>
      <c r="V69" s="129"/>
      <c r="W69" s="129"/>
      <c r="X69" s="129"/>
      <c r="Y69" s="129"/>
      <c r="Z69" s="131"/>
      <c r="AA69" s="131"/>
      <c r="AB69" s="129"/>
      <c r="AC69" s="132"/>
    </row>
    <row r="70" spans="1:29" s="73" customFormat="1" x14ac:dyDescent="0.2">
      <c r="A70" s="133"/>
      <c r="B70" s="133"/>
      <c r="C70" s="133"/>
      <c r="D70" s="133"/>
      <c r="E70" s="133"/>
      <c r="F70" s="133"/>
      <c r="G70" s="118"/>
      <c r="H70" s="118"/>
      <c r="I70" s="118"/>
      <c r="J70" s="118"/>
      <c r="K70" s="118"/>
      <c r="M70" s="118"/>
      <c r="V70" s="118"/>
      <c r="W70" s="118"/>
    </row>
    <row r="71" spans="1:29" s="73" customFormat="1" x14ac:dyDescent="0.2">
      <c r="A71" s="133"/>
      <c r="B71" s="133"/>
      <c r="C71" s="133"/>
      <c r="D71" s="133"/>
      <c r="E71" s="133"/>
      <c r="F71" s="118"/>
      <c r="G71" s="118"/>
      <c r="H71" s="118"/>
      <c r="I71" s="118"/>
      <c r="J71" s="118"/>
      <c r="K71" s="134"/>
      <c r="L71" s="118"/>
      <c r="M71" s="118"/>
      <c r="N71" s="118"/>
      <c r="S71" s="118"/>
      <c r="T71" s="118"/>
      <c r="U71" s="118"/>
    </row>
    <row r="72" spans="1:29" s="456" customFormat="1" ht="16.5" thickBot="1" x14ac:dyDescent="0.25">
      <c r="A72" s="133"/>
      <c r="B72" s="133"/>
      <c r="C72" s="133"/>
      <c r="D72" s="133"/>
      <c r="E72" s="118"/>
      <c r="F72" s="118"/>
      <c r="G72" s="118"/>
      <c r="H72" s="118"/>
      <c r="I72" s="118"/>
      <c r="J72" s="134"/>
      <c r="K72" s="134"/>
      <c r="L72" s="134"/>
      <c r="M72" s="134"/>
      <c r="R72" s="134"/>
    </row>
    <row r="73" spans="1:29" s="456" customFormat="1" ht="19.5" thickBot="1" x14ac:dyDescent="0.25">
      <c r="A73" s="938" t="s">
        <v>29</v>
      </c>
      <c r="B73" s="939"/>
      <c r="C73" s="940"/>
      <c r="D73" s="133"/>
      <c r="E73" s="133"/>
      <c r="F73" s="118"/>
      <c r="G73" s="118"/>
      <c r="H73" s="118"/>
      <c r="I73" s="118"/>
      <c r="J73" s="118"/>
      <c r="K73" s="134"/>
      <c r="L73" s="134"/>
      <c r="M73" s="134"/>
      <c r="N73" s="134"/>
      <c r="S73" s="134"/>
      <c r="T73" s="134"/>
      <c r="U73" s="134"/>
    </row>
    <row r="74" spans="1:29" s="456" customFormat="1" ht="16.5" thickBot="1" x14ac:dyDescent="0.25">
      <c r="A74" s="800" t="s">
        <v>625</v>
      </c>
      <c r="B74" s="801"/>
      <c r="C74" s="802"/>
      <c r="D74" s="133"/>
      <c r="E74" s="133"/>
      <c r="F74" s="133"/>
      <c r="G74" s="118"/>
      <c r="H74" s="118"/>
      <c r="I74" s="118"/>
      <c r="J74" s="118"/>
      <c r="K74" s="118"/>
      <c r="L74" s="134"/>
      <c r="N74" s="134"/>
      <c r="O74" s="134"/>
      <c r="V74" s="134"/>
    </row>
    <row r="75" spans="1:29" s="456" customFormat="1" x14ac:dyDescent="0.2">
      <c r="A75" s="506" t="s">
        <v>30</v>
      </c>
      <c r="B75" s="507"/>
      <c r="C75" s="508" t="s">
        <v>155</v>
      </c>
      <c r="D75" s="509"/>
      <c r="E75" s="509"/>
      <c r="F75" s="510"/>
      <c r="G75" s="510"/>
      <c r="H75" s="509"/>
      <c r="I75" s="510"/>
      <c r="J75" s="509"/>
      <c r="K75" s="143"/>
      <c r="L75" s="144"/>
      <c r="N75" s="134"/>
      <c r="O75" s="134"/>
      <c r="P75" s="134"/>
    </row>
    <row r="76" spans="1:29" s="456" customFormat="1" x14ac:dyDescent="0.2">
      <c r="A76" s="96" t="s">
        <v>626</v>
      </c>
      <c r="B76" s="511"/>
      <c r="C76" s="511"/>
      <c r="D76" s="512"/>
      <c r="E76" s="512"/>
      <c r="F76" s="215"/>
      <c r="G76" s="215"/>
      <c r="H76" s="512"/>
      <c r="I76" s="215"/>
      <c r="J76" s="512"/>
      <c r="K76" s="149"/>
      <c r="L76" s="150"/>
      <c r="N76" s="134"/>
      <c r="O76" s="134"/>
      <c r="P76" s="134"/>
    </row>
    <row r="77" spans="1:29" s="456" customFormat="1" x14ac:dyDescent="0.2">
      <c r="A77" s="96" t="s">
        <v>173</v>
      </c>
      <c r="B77" s="511"/>
      <c r="C77" s="511"/>
      <c r="D77" s="512"/>
      <c r="E77" s="512"/>
      <c r="F77" s="215"/>
      <c r="G77" s="215"/>
      <c r="H77" s="512"/>
      <c r="I77" s="215"/>
      <c r="J77" s="512"/>
      <c r="K77" s="149"/>
      <c r="L77" s="150"/>
      <c r="N77" s="134"/>
      <c r="O77" s="134"/>
      <c r="P77" s="134"/>
    </row>
    <row r="78" spans="1:29" s="456" customFormat="1" x14ac:dyDescent="0.2">
      <c r="A78" s="96" t="s">
        <v>987</v>
      </c>
      <c r="B78" s="511"/>
      <c r="C78" s="511"/>
      <c r="D78" s="512"/>
      <c r="E78" s="512"/>
      <c r="F78" s="215"/>
      <c r="G78" s="215"/>
      <c r="H78" s="512"/>
      <c r="I78" s="215"/>
      <c r="J78" s="512"/>
      <c r="K78" s="149"/>
      <c r="L78" s="150"/>
      <c r="N78" s="134"/>
      <c r="O78" s="134"/>
      <c r="P78" s="134"/>
    </row>
    <row r="79" spans="1:29" s="456" customFormat="1" ht="16.5" thickBot="1" x14ac:dyDescent="0.25">
      <c r="A79" s="110" t="s">
        <v>988</v>
      </c>
      <c r="B79" s="513"/>
      <c r="C79" s="513"/>
      <c r="D79" s="514"/>
      <c r="E79" s="514"/>
      <c r="F79" s="515"/>
      <c r="G79" s="515"/>
      <c r="H79" s="514"/>
      <c r="I79" s="515"/>
      <c r="J79" s="514"/>
      <c r="K79" s="154"/>
      <c r="L79" s="155"/>
      <c r="N79" s="134"/>
      <c r="O79" s="134"/>
      <c r="P79" s="134"/>
    </row>
    <row r="80" spans="1:29" s="456" customFormat="1" ht="16.5" thickBot="1" x14ac:dyDescent="0.25">
      <c r="A80" s="516"/>
      <c r="B80" s="517"/>
      <c r="C80" s="134"/>
      <c r="D80" s="133"/>
      <c r="E80" s="133"/>
      <c r="F80" s="133"/>
      <c r="G80" s="133"/>
      <c r="H80" s="118"/>
      <c r="I80" s="118"/>
      <c r="J80" s="118"/>
      <c r="K80" s="118"/>
      <c r="L80" s="118"/>
      <c r="M80" s="134"/>
      <c r="O80" s="134"/>
      <c r="P80" s="134"/>
      <c r="Q80" s="118"/>
    </row>
    <row r="81" spans="1:24" s="14" customFormat="1" ht="48" thickBot="1" x14ac:dyDescent="0.25">
      <c r="A81" s="518" t="s">
        <v>31</v>
      </c>
      <c r="B81" s="932" t="s">
        <v>628</v>
      </c>
      <c r="C81" s="933"/>
      <c r="D81" s="934"/>
      <c r="E81" s="519" t="s">
        <v>11</v>
      </c>
      <c r="F81" s="519" t="s">
        <v>14</v>
      </c>
      <c r="G81" s="519" t="s">
        <v>287</v>
      </c>
      <c r="H81" s="519" t="s">
        <v>32</v>
      </c>
      <c r="I81" s="519" t="s">
        <v>16</v>
      </c>
      <c r="J81" s="519" t="s">
        <v>17</v>
      </c>
      <c r="K81" s="519" t="s">
        <v>18</v>
      </c>
      <c r="L81" s="519" t="s">
        <v>19</v>
      </c>
      <c r="M81" s="519" t="s">
        <v>20</v>
      </c>
      <c r="N81" s="520" t="s">
        <v>123</v>
      </c>
      <c r="O81" s="519" t="s">
        <v>96</v>
      </c>
      <c r="P81" s="521" t="s">
        <v>809</v>
      </c>
    </row>
    <row r="82" spans="1:24" s="303" customFormat="1" x14ac:dyDescent="0.2">
      <c r="A82" s="269"/>
      <c r="B82" s="925"/>
      <c r="C82" s="926"/>
      <c r="D82" s="926"/>
      <c r="E82" s="226"/>
      <c r="F82" s="226"/>
      <c r="G82" s="226"/>
      <c r="H82" s="226"/>
      <c r="I82" s="226"/>
      <c r="J82" s="273"/>
      <c r="K82" s="263"/>
      <c r="L82" s="263"/>
      <c r="M82" s="306"/>
      <c r="N82" s="49"/>
      <c r="O82" s="226"/>
      <c r="P82" s="274"/>
      <c r="Q82" s="159"/>
      <c r="R82" s="159"/>
      <c r="S82" s="159"/>
      <c r="T82" s="159"/>
      <c r="U82" s="159"/>
      <c r="V82" s="160"/>
      <c r="W82" s="160"/>
      <c r="X82" s="160"/>
    </row>
    <row r="83" spans="1:24" s="303" customFormat="1" x14ac:dyDescent="0.2">
      <c r="A83" s="248"/>
      <c r="B83" s="927"/>
      <c r="C83" s="928"/>
      <c r="D83" s="928"/>
      <c r="E83" s="125"/>
      <c r="F83" s="125"/>
      <c r="G83" s="125"/>
      <c r="H83" s="125"/>
      <c r="I83" s="125"/>
      <c r="J83" s="275"/>
      <c r="K83" s="255"/>
      <c r="L83" s="255"/>
      <c r="M83" s="307"/>
      <c r="N83" s="21"/>
      <c r="O83" s="125"/>
      <c r="P83" s="276"/>
      <c r="Q83" s="159"/>
      <c r="R83" s="159"/>
      <c r="S83" s="159"/>
      <c r="T83" s="159"/>
      <c r="U83" s="159"/>
      <c r="V83" s="160"/>
      <c r="W83" s="160"/>
      <c r="X83" s="160"/>
    </row>
    <row r="84" spans="1:24" s="303" customFormat="1" x14ac:dyDescent="0.2">
      <c r="A84" s="248"/>
      <c r="B84" s="927"/>
      <c r="C84" s="928"/>
      <c r="D84" s="928"/>
      <c r="E84" s="125"/>
      <c r="F84" s="125"/>
      <c r="G84" s="125"/>
      <c r="H84" s="125"/>
      <c r="I84" s="125"/>
      <c r="J84" s="275"/>
      <c r="K84" s="255"/>
      <c r="L84" s="255"/>
      <c r="M84" s="307"/>
      <c r="N84" s="21"/>
      <c r="O84" s="125"/>
      <c r="P84" s="276"/>
      <c r="Q84" s="159"/>
      <c r="R84" s="159"/>
      <c r="S84" s="159"/>
      <c r="T84" s="159"/>
      <c r="U84" s="159"/>
      <c r="V84" s="160"/>
      <c r="W84" s="160"/>
      <c r="X84" s="160"/>
    </row>
    <row r="85" spans="1:24" s="303" customFormat="1" ht="16.5" thickBot="1" x14ac:dyDescent="0.25">
      <c r="A85" s="304"/>
      <c r="B85" s="912"/>
      <c r="C85" s="913"/>
      <c r="D85" s="913"/>
      <c r="E85" s="130"/>
      <c r="F85" s="130"/>
      <c r="G85" s="130"/>
      <c r="H85" s="130"/>
      <c r="I85" s="130"/>
      <c r="J85" s="258"/>
      <c r="K85" s="256"/>
      <c r="L85" s="256"/>
      <c r="M85" s="305"/>
      <c r="N85" s="29"/>
      <c r="O85" s="129"/>
      <c r="P85" s="132"/>
      <c r="Q85" s="159"/>
      <c r="R85" s="159"/>
      <c r="S85" s="159"/>
      <c r="T85" s="159"/>
      <c r="U85" s="159"/>
      <c r="V85" s="160"/>
      <c r="W85" s="160"/>
      <c r="X85" s="160"/>
    </row>
    <row r="86" spans="1:24" s="456" customFormat="1" x14ac:dyDescent="0.2">
      <c r="A86" s="134"/>
      <c r="B86" s="134"/>
      <c r="C86" s="522"/>
      <c r="D86" s="522"/>
      <c r="E86" s="134"/>
      <c r="F86" s="134"/>
      <c r="G86" s="134"/>
      <c r="H86" s="134"/>
      <c r="I86" s="134"/>
      <c r="J86" s="134"/>
      <c r="K86" s="134"/>
      <c r="L86" s="134"/>
      <c r="M86" s="134"/>
      <c r="O86" s="118"/>
      <c r="P86" s="118"/>
      <c r="Q86" s="118"/>
      <c r="R86" s="118"/>
      <c r="S86" s="118"/>
      <c r="T86" s="118"/>
      <c r="U86" s="118"/>
      <c r="V86" s="134"/>
      <c r="W86" s="134"/>
      <c r="X86" s="134"/>
    </row>
    <row r="87" spans="1:24" s="456" customFormat="1" ht="16.5" thickBot="1" x14ac:dyDescent="0.25">
      <c r="A87" s="133"/>
      <c r="B87" s="133"/>
      <c r="C87" s="133"/>
      <c r="D87" s="133"/>
      <c r="E87" s="133"/>
      <c r="F87" s="133"/>
      <c r="G87" s="133"/>
      <c r="H87" s="133"/>
      <c r="I87" s="118"/>
      <c r="J87" s="118"/>
      <c r="K87" s="118"/>
      <c r="L87" s="118"/>
      <c r="M87" s="118"/>
      <c r="N87" s="134"/>
      <c r="O87" s="134"/>
      <c r="P87" s="134"/>
      <c r="Q87" s="134"/>
      <c r="R87" s="134"/>
      <c r="S87" s="134"/>
      <c r="T87" s="134"/>
      <c r="U87" s="134"/>
      <c r="V87" s="134"/>
      <c r="W87" s="118"/>
    </row>
    <row r="88" spans="1:24" s="456" customFormat="1" ht="19.5" thickBot="1" x14ac:dyDescent="0.25">
      <c r="A88" s="938" t="s">
        <v>34</v>
      </c>
      <c r="B88" s="939"/>
      <c r="C88" s="940"/>
      <c r="D88" s="523"/>
      <c r="E88" s="133"/>
      <c r="F88" s="133"/>
      <c r="G88" s="133"/>
      <c r="H88" s="133"/>
      <c r="I88" s="118"/>
      <c r="J88" s="118"/>
      <c r="K88" s="118"/>
      <c r="L88" s="118"/>
      <c r="M88" s="118"/>
      <c r="N88" s="134"/>
      <c r="O88" s="134"/>
      <c r="P88" s="134"/>
      <c r="Q88" s="134"/>
      <c r="R88" s="134"/>
      <c r="S88" s="134"/>
      <c r="T88" s="134"/>
      <c r="U88" s="134"/>
      <c r="V88" s="134"/>
      <c r="W88" s="118"/>
    </row>
    <row r="89" spans="1:24" s="456" customFormat="1" ht="16.5" thickBot="1" x14ac:dyDescent="0.25">
      <c r="A89" s="800" t="s">
        <v>625</v>
      </c>
      <c r="B89" s="801"/>
      <c r="C89" s="802"/>
      <c r="D89" s="200"/>
      <c r="E89" s="200"/>
      <c r="F89" s="200"/>
      <c r="G89" s="200"/>
      <c r="H89" s="194"/>
      <c r="I89" s="194"/>
      <c r="J89" s="200"/>
      <c r="K89" s="194"/>
      <c r="L89" s="200"/>
      <c r="M89" s="118"/>
      <c r="N89" s="134"/>
      <c r="O89" s="134"/>
      <c r="P89" s="134"/>
      <c r="Q89" s="134"/>
      <c r="R89" s="134"/>
      <c r="S89" s="134"/>
      <c r="T89" s="134"/>
      <c r="U89" s="134"/>
      <c r="V89" s="134"/>
      <c r="W89" s="118"/>
    </row>
    <row r="90" spans="1:24" s="456" customFormat="1" x14ac:dyDescent="0.2">
      <c r="A90" s="506" t="s">
        <v>30</v>
      </c>
      <c r="B90" s="470"/>
      <c r="C90" s="508" t="s">
        <v>155</v>
      </c>
      <c r="D90" s="508"/>
      <c r="E90" s="509"/>
      <c r="F90" s="509"/>
      <c r="G90" s="509"/>
      <c r="H90" s="510"/>
      <c r="I90" s="510"/>
      <c r="J90" s="509"/>
      <c r="K90" s="510"/>
      <c r="L90" s="524"/>
      <c r="M90" s="118"/>
      <c r="N90" s="134"/>
      <c r="O90" s="134"/>
      <c r="P90" s="134"/>
      <c r="Q90" s="134"/>
      <c r="R90" s="134"/>
      <c r="S90" s="134"/>
      <c r="T90" s="134"/>
      <c r="U90" s="134"/>
      <c r="V90" s="134"/>
      <c r="W90" s="118"/>
    </row>
    <row r="91" spans="1:24" s="456" customFormat="1" x14ac:dyDescent="0.2">
      <c r="A91" s="96" t="s">
        <v>35</v>
      </c>
      <c r="B91" s="512"/>
      <c r="C91" s="512"/>
      <c r="D91" s="512"/>
      <c r="E91" s="512"/>
      <c r="F91" s="512"/>
      <c r="G91" s="512"/>
      <c r="H91" s="215"/>
      <c r="I91" s="215"/>
      <c r="J91" s="512"/>
      <c r="K91" s="215"/>
      <c r="L91" s="525"/>
      <c r="M91" s="118"/>
      <c r="N91" s="134"/>
      <c r="O91" s="134"/>
      <c r="P91" s="134"/>
      <c r="Q91" s="134"/>
      <c r="R91" s="134"/>
      <c r="S91" s="134"/>
      <c r="T91" s="134"/>
      <c r="U91" s="134"/>
      <c r="V91" s="134"/>
      <c r="W91" s="118"/>
    </row>
    <row r="92" spans="1:24" s="456" customFormat="1" x14ac:dyDescent="0.2">
      <c r="A92" s="96" t="s">
        <v>174</v>
      </c>
      <c r="B92" s="512"/>
      <c r="C92" s="512"/>
      <c r="D92" s="512"/>
      <c r="E92" s="512"/>
      <c r="F92" s="512"/>
      <c r="G92" s="512"/>
      <c r="H92" s="215"/>
      <c r="I92" s="215"/>
      <c r="J92" s="512"/>
      <c r="K92" s="215"/>
      <c r="L92" s="525"/>
      <c r="M92" s="118"/>
      <c r="N92" s="134"/>
      <c r="O92" s="134"/>
      <c r="P92" s="134"/>
      <c r="Q92" s="134"/>
      <c r="R92" s="134"/>
      <c r="S92" s="134"/>
      <c r="T92" s="134"/>
      <c r="U92" s="134"/>
      <c r="V92" s="134"/>
      <c r="W92" s="118"/>
    </row>
    <row r="93" spans="1:24" s="456" customFormat="1" x14ac:dyDescent="0.2">
      <c r="A93" s="96" t="s">
        <v>987</v>
      </c>
      <c r="B93" s="512"/>
      <c r="C93" s="512"/>
      <c r="D93" s="512"/>
      <c r="E93" s="512"/>
      <c r="F93" s="512"/>
      <c r="G93" s="512"/>
      <c r="H93" s="215"/>
      <c r="I93" s="215"/>
      <c r="J93" s="512"/>
      <c r="K93" s="215"/>
      <c r="L93" s="525"/>
      <c r="M93" s="118"/>
      <c r="N93" s="134"/>
      <c r="O93" s="134"/>
      <c r="P93" s="134"/>
      <c r="Q93" s="134"/>
      <c r="R93" s="134"/>
      <c r="S93" s="134"/>
      <c r="T93" s="134"/>
      <c r="U93" s="134"/>
      <c r="V93" s="134"/>
      <c r="W93" s="118"/>
    </row>
    <row r="94" spans="1:24" s="456" customFormat="1" ht="16.5" thickBot="1" x14ac:dyDescent="0.25">
      <c r="A94" s="110" t="s">
        <v>988</v>
      </c>
      <c r="B94" s="514"/>
      <c r="C94" s="514"/>
      <c r="D94" s="514"/>
      <c r="E94" s="514"/>
      <c r="F94" s="514"/>
      <c r="G94" s="514"/>
      <c r="H94" s="515"/>
      <c r="I94" s="515"/>
      <c r="J94" s="514"/>
      <c r="K94" s="515"/>
      <c r="L94" s="526"/>
      <c r="M94" s="118"/>
      <c r="N94" s="134"/>
      <c r="O94" s="134"/>
      <c r="P94" s="134"/>
      <c r="Q94" s="134"/>
      <c r="R94" s="134"/>
      <c r="S94" s="134"/>
      <c r="T94" s="134"/>
      <c r="U94" s="134"/>
      <c r="V94" s="134"/>
      <c r="W94" s="118"/>
    </row>
    <row r="95" spans="1:24" s="456" customFormat="1" ht="16.5" thickBot="1" x14ac:dyDescent="0.25">
      <c r="A95" s="527"/>
      <c r="E95" s="200"/>
      <c r="F95" s="200"/>
      <c r="G95" s="200"/>
      <c r="H95" s="194"/>
      <c r="I95" s="517"/>
      <c r="J95" s="200"/>
      <c r="K95" s="194"/>
      <c r="L95" s="200"/>
      <c r="M95" s="118"/>
      <c r="N95" s="134"/>
      <c r="O95" s="134"/>
      <c r="P95" s="134"/>
      <c r="Q95" s="134"/>
      <c r="R95" s="118"/>
      <c r="V95" s="528"/>
      <c r="W95" s="528"/>
    </row>
    <row r="96" spans="1:24" s="14" customFormat="1" ht="32.25" thickBot="1" x14ac:dyDescent="0.25">
      <c r="A96" s="518" t="s">
        <v>31</v>
      </c>
      <c r="B96" s="932" t="s">
        <v>13</v>
      </c>
      <c r="C96" s="933"/>
      <c r="D96" s="934"/>
      <c r="E96" s="519" t="s">
        <v>12</v>
      </c>
      <c r="F96" s="519" t="s">
        <v>14</v>
      </c>
      <c r="G96" s="519" t="s">
        <v>276</v>
      </c>
      <c r="H96" s="519" t="s">
        <v>32</v>
      </c>
      <c r="I96" s="519" t="s">
        <v>16</v>
      </c>
      <c r="J96" s="519" t="s">
        <v>17</v>
      </c>
      <c r="K96" s="519" t="s">
        <v>18</v>
      </c>
      <c r="L96" s="519" t="s">
        <v>19</v>
      </c>
      <c r="M96" s="519" t="s">
        <v>20</v>
      </c>
      <c r="N96" s="520" t="s">
        <v>123</v>
      </c>
      <c r="O96" s="519" t="s">
        <v>94</v>
      </c>
      <c r="P96" s="521" t="s">
        <v>807</v>
      </c>
      <c r="W96" s="13"/>
    </row>
    <row r="97" spans="1:23" s="303" customFormat="1" x14ac:dyDescent="0.2">
      <c r="A97" s="269"/>
      <c r="B97" s="925"/>
      <c r="C97" s="926"/>
      <c r="D97" s="926"/>
      <c r="E97" s="226"/>
      <c r="F97" s="226"/>
      <c r="G97" s="226"/>
      <c r="H97" s="226"/>
      <c r="I97" s="226"/>
      <c r="J97" s="263"/>
      <c r="K97" s="263"/>
      <c r="L97" s="263"/>
      <c r="M97" s="263"/>
      <c r="N97" s="49"/>
      <c r="O97" s="226"/>
      <c r="P97" s="274"/>
      <c r="Q97" s="160"/>
      <c r="R97" s="160"/>
      <c r="S97" s="160"/>
      <c r="T97" s="160"/>
      <c r="U97" s="160"/>
      <c r="V97" s="160"/>
      <c r="W97" s="159"/>
    </row>
    <row r="98" spans="1:23" s="303" customFormat="1" x14ac:dyDescent="0.2">
      <c r="A98" s="248"/>
      <c r="B98" s="927"/>
      <c r="C98" s="928"/>
      <c r="D98" s="928"/>
      <c r="E98" s="125"/>
      <c r="F98" s="125"/>
      <c r="G98" s="125"/>
      <c r="H98" s="125"/>
      <c r="I98" s="125"/>
      <c r="J98" s="255"/>
      <c r="K98" s="255"/>
      <c r="L98" s="255"/>
      <c r="M98" s="255"/>
      <c r="N98" s="21"/>
      <c r="O98" s="125"/>
      <c r="P98" s="276"/>
      <c r="Q98" s="160"/>
      <c r="R98" s="160"/>
      <c r="S98" s="160"/>
      <c r="T98" s="160"/>
      <c r="U98" s="160"/>
      <c r="V98" s="160"/>
      <c r="W98" s="159"/>
    </row>
    <row r="99" spans="1:23" s="303" customFormat="1" x14ac:dyDescent="0.2">
      <c r="A99" s="248"/>
      <c r="B99" s="927"/>
      <c r="C99" s="928"/>
      <c r="D99" s="928"/>
      <c r="E99" s="125"/>
      <c r="F99" s="125"/>
      <c r="G99" s="125"/>
      <c r="H99" s="125"/>
      <c r="I99" s="125"/>
      <c r="J99" s="255"/>
      <c r="K99" s="255"/>
      <c r="L99" s="255"/>
      <c r="M99" s="255"/>
      <c r="N99" s="21"/>
      <c r="O99" s="125"/>
      <c r="P99" s="276"/>
      <c r="Q99" s="160"/>
      <c r="R99" s="160"/>
      <c r="S99" s="160"/>
      <c r="T99" s="160"/>
      <c r="U99" s="160"/>
      <c r="V99" s="160"/>
      <c r="W99" s="159"/>
    </row>
    <row r="100" spans="1:23" s="303" customFormat="1" ht="16.5" thickBot="1" x14ac:dyDescent="0.25">
      <c r="A100" s="304"/>
      <c r="B100" s="912"/>
      <c r="C100" s="913"/>
      <c r="D100" s="913"/>
      <c r="E100" s="130"/>
      <c r="F100" s="130"/>
      <c r="G100" s="130"/>
      <c r="H100" s="130"/>
      <c r="I100" s="130"/>
      <c r="J100" s="256"/>
      <c r="K100" s="256"/>
      <c r="L100" s="256"/>
      <c r="M100" s="256"/>
      <c r="N100" s="29"/>
      <c r="O100" s="129"/>
      <c r="P100" s="132"/>
      <c r="Q100" s="160"/>
      <c r="R100" s="160"/>
      <c r="S100" s="160"/>
      <c r="T100" s="160"/>
      <c r="U100" s="160"/>
      <c r="V100" s="160"/>
      <c r="W100" s="159"/>
    </row>
    <row r="101" spans="1:23" s="456" customFormat="1" ht="16.5" thickBot="1" x14ac:dyDescent="0.25">
      <c r="A101" s="133"/>
      <c r="B101" s="133"/>
      <c r="C101" s="133"/>
      <c r="D101" s="133"/>
      <c r="E101" s="133"/>
      <c r="F101" s="133"/>
      <c r="G101" s="133"/>
      <c r="H101" s="118"/>
      <c r="I101" s="118"/>
      <c r="J101" s="118"/>
      <c r="K101" s="118"/>
      <c r="L101" s="118"/>
      <c r="M101" s="134"/>
      <c r="N101" s="134"/>
      <c r="O101" s="134"/>
      <c r="P101" s="134"/>
      <c r="Q101" s="134"/>
      <c r="R101" s="134"/>
      <c r="S101" s="134"/>
      <c r="T101" s="134"/>
      <c r="U101" s="134"/>
      <c r="V101" s="118"/>
    </row>
    <row r="102" spans="1:23" s="73" customFormat="1" ht="16.5" thickBot="1" x14ac:dyDescent="0.25">
      <c r="A102" s="822" t="s">
        <v>36</v>
      </c>
      <c r="B102" s="823"/>
      <c r="C102" s="823"/>
      <c r="D102" s="823"/>
      <c r="E102" s="823"/>
      <c r="F102" s="823"/>
      <c r="G102" s="823"/>
      <c r="H102" s="823"/>
      <c r="I102" s="824"/>
      <c r="J102" s="169"/>
      <c r="K102" s="118"/>
      <c r="L102" s="134"/>
      <c r="M102" s="134"/>
      <c r="N102" s="134"/>
      <c r="O102" s="134"/>
      <c r="P102" s="134"/>
      <c r="Q102" s="134"/>
      <c r="R102" s="134"/>
      <c r="S102" s="118"/>
      <c r="T102" s="118"/>
      <c r="U102" s="118"/>
    </row>
    <row r="103" spans="1:23" s="73" customFormat="1" ht="16.5" thickBot="1" x14ac:dyDescent="0.25">
      <c r="A103" s="935" t="s">
        <v>37</v>
      </c>
      <c r="B103" s="936"/>
      <c r="C103" s="936"/>
      <c r="D103" s="936"/>
      <c r="E103" s="936"/>
      <c r="F103" s="936"/>
      <c r="G103" s="936"/>
      <c r="H103" s="936"/>
      <c r="I103" s="937"/>
      <c r="J103" s="170"/>
      <c r="K103" s="118"/>
      <c r="L103" s="134"/>
      <c r="M103" s="134"/>
      <c r="N103" s="134"/>
      <c r="O103" s="134"/>
      <c r="P103" s="134"/>
      <c r="Q103" s="134"/>
      <c r="R103" s="134"/>
      <c r="S103" s="118"/>
      <c r="T103" s="118"/>
      <c r="U103" s="118"/>
    </row>
    <row r="104" spans="1:23" s="308" customFormat="1" ht="15.75" customHeight="1" thickBot="1" x14ac:dyDescent="0.25">
      <c r="A104" s="665" t="s">
        <v>296</v>
      </c>
      <c r="B104" s="909" t="s">
        <v>1129</v>
      </c>
      <c r="C104" s="910"/>
      <c r="D104" s="910"/>
      <c r="E104" s="910"/>
      <c r="F104" s="910"/>
      <c r="G104" s="910"/>
      <c r="H104" s="910"/>
      <c r="I104" s="911"/>
      <c r="J104" s="171"/>
      <c r="K104" s="172"/>
      <c r="L104" s="173"/>
      <c r="M104" s="173"/>
      <c r="N104" s="173"/>
      <c r="O104" s="173"/>
      <c r="P104" s="173"/>
      <c r="Q104" s="173"/>
      <c r="R104" s="173"/>
      <c r="S104" s="172"/>
      <c r="T104" s="172"/>
      <c r="U104" s="172"/>
    </row>
    <row r="105" spans="1:23" s="73" customFormat="1" ht="16.5" thickBot="1" x14ac:dyDescent="0.25">
      <c r="A105" s="196"/>
      <c r="B105" s="169"/>
      <c r="C105" s="169"/>
      <c r="D105" s="169"/>
      <c r="E105" s="169"/>
      <c r="F105" s="176"/>
      <c r="G105" s="176"/>
      <c r="H105" s="176"/>
      <c r="I105" s="176"/>
      <c r="J105" s="176"/>
      <c r="K105" s="118"/>
      <c r="L105" s="134"/>
      <c r="M105" s="134"/>
      <c r="N105" s="134"/>
      <c r="O105" s="134"/>
      <c r="P105" s="134"/>
      <c r="Q105" s="118"/>
    </row>
    <row r="106" spans="1:23" s="73" customFormat="1" ht="16.5" customHeight="1" thickBot="1" x14ac:dyDescent="0.25">
      <c r="A106" s="917" t="s">
        <v>214</v>
      </c>
      <c r="B106" s="918"/>
      <c r="C106" s="918"/>
      <c r="D106" s="918"/>
      <c r="E106" s="918"/>
      <c r="F106" s="918"/>
      <c r="G106" s="918"/>
      <c r="H106" s="930" t="s">
        <v>226</v>
      </c>
      <c r="I106" s="786" t="s">
        <v>627</v>
      </c>
      <c r="J106" s="786" t="s">
        <v>215</v>
      </c>
      <c r="K106" s="786" t="s">
        <v>23</v>
      </c>
      <c r="L106" s="786" t="s">
        <v>302</v>
      </c>
      <c r="M106" s="788" t="s">
        <v>83</v>
      </c>
      <c r="N106" s="134"/>
      <c r="O106" s="118"/>
      <c r="P106" s="456"/>
      <c r="Q106" s="528"/>
      <c r="R106" s="528"/>
    </row>
    <row r="107" spans="1:23" s="446" customFormat="1" ht="16.5" thickBot="1" x14ac:dyDescent="0.25">
      <c r="A107" s="919" t="s">
        <v>887</v>
      </c>
      <c r="B107" s="920"/>
      <c r="C107" s="920"/>
      <c r="D107" s="920"/>
      <c r="E107" s="920"/>
      <c r="F107" s="920"/>
      <c r="G107" s="921"/>
      <c r="H107" s="931"/>
      <c r="I107" s="908"/>
      <c r="J107" s="908"/>
      <c r="K107" s="908"/>
      <c r="L107" s="908"/>
      <c r="M107" s="929"/>
      <c r="N107" s="177"/>
      <c r="O107" s="177"/>
      <c r="P107" s="177"/>
      <c r="Q107" s="177"/>
      <c r="R107" s="177"/>
    </row>
    <row r="108" spans="1:23" s="446" customFormat="1" ht="15.75" customHeight="1" thickBot="1" x14ac:dyDescent="0.25">
      <c r="A108" s="919" t="s">
        <v>353</v>
      </c>
      <c r="B108" s="920"/>
      <c r="C108" s="920"/>
      <c r="D108" s="920"/>
      <c r="E108" s="920"/>
      <c r="F108" s="920"/>
      <c r="G108" s="921"/>
      <c r="H108" s="959"/>
      <c r="I108" s="787"/>
      <c r="J108" s="787"/>
      <c r="K108" s="787"/>
      <c r="L108" s="787"/>
      <c r="M108" s="789"/>
      <c r="N108" s="177"/>
      <c r="O108" s="177"/>
      <c r="P108" s="177"/>
      <c r="Q108" s="177"/>
      <c r="R108" s="177"/>
    </row>
    <row r="109" spans="1:23" s="136" customFormat="1" x14ac:dyDescent="0.2">
      <c r="A109" s="178" t="s">
        <v>234</v>
      </c>
      <c r="B109" s="942" t="str">
        <f>IF($A109="","",VLOOKUP($A109,Listes!$A$3:$C$193,2,FALSE))</f>
        <v>Bunker Adjustment Factor</v>
      </c>
      <c r="C109" s="942"/>
      <c r="D109" s="942"/>
      <c r="E109" s="941" t="s">
        <v>51</v>
      </c>
      <c r="F109" s="941"/>
      <c r="G109" s="941"/>
      <c r="H109" s="658"/>
      <c r="I109" s="529"/>
      <c r="J109" s="529"/>
      <c r="K109" s="529"/>
      <c r="L109" s="529"/>
      <c r="M109" s="530"/>
      <c r="N109" s="160"/>
      <c r="O109" s="160"/>
      <c r="P109" s="160"/>
      <c r="Q109" s="160"/>
      <c r="R109" s="159"/>
    </row>
    <row r="110" spans="1:23" s="136" customFormat="1" ht="15.75" customHeight="1" x14ac:dyDescent="0.2">
      <c r="A110" s="182" t="s">
        <v>1325</v>
      </c>
      <c r="B110" s="813" t="str">
        <f>IF($A110="","",VLOOKUP($A110,Listes!$A$3:$C$193,2,FALSE))</f>
        <v>Import BL Documentation Fee - Brazil only</v>
      </c>
      <c r="C110" s="813"/>
      <c r="D110" s="813"/>
      <c r="E110" s="814" t="s">
        <v>51</v>
      </c>
      <c r="F110" s="814"/>
      <c r="G110" s="814"/>
      <c r="H110" s="657"/>
      <c r="I110" s="531"/>
      <c r="J110" s="531"/>
      <c r="K110" s="531"/>
      <c r="L110" s="531"/>
      <c r="M110" s="532"/>
      <c r="N110" s="160"/>
      <c r="O110" s="160"/>
      <c r="P110" s="160"/>
      <c r="Q110" s="160"/>
      <c r="R110" s="159"/>
    </row>
    <row r="111" spans="1:23" s="136" customFormat="1" ht="15.75" customHeight="1" x14ac:dyDescent="0.2">
      <c r="A111" s="182" t="s">
        <v>1103</v>
      </c>
      <c r="B111" s="813" t="str">
        <f>IF($A111="","",VLOOKUP($A111,Listes!$A$3:$C$193,2,FALSE))</f>
        <v>Chassis Administration Fee Pre-Carriage</v>
      </c>
      <c r="C111" s="813"/>
      <c r="D111" s="813"/>
      <c r="E111" s="814" t="s">
        <v>51</v>
      </c>
      <c r="F111" s="814"/>
      <c r="G111" s="814"/>
      <c r="H111" s="657"/>
      <c r="I111" s="531"/>
      <c r="J111" s="531"/>
      <c r="K111" s="531"/>
      <c r="L111" s="531"/>
      <c r="M111" s="532"/>
      <c r="N111" s="160"/>
      <c r="O111" s="160"/>
      <c r="P111" s="160"/>
      <c r="Q111" s="160"/>
      <c r="R111" s="159"/>
    </row>
    <row r="112" spans="1:23" s="136" customFormat="1" ht="15.75" customHeight="1" x14ac:dyDescent="0.2">
      <c r="A112" s="182" t="s">
        <v>551</v>
      </c>
      <c r="B112" s="813" t="str">
        <f>IF($A112="","",VLOOKUP($A112,Listes!$A$3:$C$193,2,FALSE))</f>
        <v>Chassis Provision Charge</v>
      </c>
      <c r="C112" s="813"/>
      <c r="D112" s="813"/>
      <c r="E112" s="814" t="s">
        <v>51</v>
      </c>
      <c r="F112" s="814"/>
      <c r="G112" s="814"/>
      <c r="H112" s="657"/>
      <c r="I112" s="531"/>
      <c r="J112" s="531"/>
      <c r="K112" s="531"/>
      <c r="L112" s="531"/>
      <c r="M112" s="532"/>
      <c r="N112" s="160"/>
      <c r="O112" s="160"/>
      <c r="P112" s="160"/>
      <c r="Q112" s="160"/>
      <c r="R112" s="159"/>
    </row>
    <row r="113" spans="1:18" s="136" customFormat="1" ht="15.75" customHeight="1" x14ac:dyDescent="0.2">
      <c r="A113" s="182" t="s">
        <v>263</v>
      </c>
      <c r="B113" s="813" t="str">
        <f>IF($A113="","",VLOOKUP($A113,Listes!$A$3:$C$193,2,FALSE))</f>
        <v>Carrier Security Charge</v>
      </c>
      <c r="C113" s="813"/>
      <c r="D113" s="813"/>
      <c r="E113" s="814" t="s">
        <v>51</v>
      </c>
      <c r="F113" s="814"/>
      <c r="G113" s="814"/>
      <c r="H113" s="657"/>
      <c r="I113" s="531"/>
      <c r="J113" s="531"/>
      <c r="K113" s="531"/>
      <c r="L113" s="531"/>
      <c r="M113" s="532"/>
      <c r="N113" s="160"/>
      <c r="O113" s="160"/>
      <c r="P113" s="160"/>
      <c r="Q113" s="160"/>
      <c r="R113" s="159"/>
    </row>
    <row r="114" spans="1:18" s="136" customFormat="1" ht="15.75" customHeight="1" x14ac:dyDescent="0.2">
      <c r="A114" s="182" t="s">
        <v>1262</v>
      </c>
      <c r="B114" s="813" t="str">
        <f>IF($A114="","",VLOOKUP($A114,Listes!$A$3:$C$193,2,FALSE))</f>
        <v>Container Maintenance Charge Destination</v>
      </c>
      <c r="C114" s="813"/>
      <c r="D114" s="813"/>
      <c r="E114" s="814" t="s">
        <v>51</v>
      </c>
      <c r="F114" s="814"/>
      <c r="G114" s="814"/>
      <c r="H114" s="657"/>
      <c r="I114" s="531"/>
      <c r="J114" s="531"/>
      <c r="K114" s="531"/>
      <c r="L114" s="531"/>
      <c r="M114" s="532"/>
      <c r="N114" s="160"/>
      <c r="O114" s="160"/>
      <c r="P114" s="160"/>
      <c r="Q114" s="160"/>
      <c r="R114" s="159"/>
    </row>
    <row r="115" spans="1:18" s="136" customFormat="1" ht="15.75" customHeight="1" x14ac:dyDescent="0.2">
      <c r="A115" s="182" t="s">
        <v>312</v>
      </c>
      <c r="B115" s="813" t="str">
        <f>IF($A115="","",VLOOKUP($A115,Listes!$A$3:$C$193,2,FALSE))</f>
        <v>Chassis Usage Charge (Carrier-haulage)</v>
      </c>
      <c r="C115" s="813"/>
      <c r="D115" s="813"/>
      <c r="E115" s="814" t="s">
        <v>51</v>
      </c>
      <c r="F115" s="814"/>
      <c r="G115" s="814"/>
      <c r="H115" s="657"/>
      <c r="I115" s="531"/>
      <c r="J115" s="531"/>
      <c r="K115" s="531"/>
      <c r="L115" s="531" t="s">
        <v>508</v>
      </c>
      <c r="M115" s="532"/>
      <c r="N115" s="160"/>
      <c r="O115" s="160"/>
      <c r="P115" s="160"/>
      <c r="Q115" s="160"/>
      <c r="R115" s="159"/>
    </row>
    <row r="116" spans="1:18" s="136" customFormat="1" ht="15.75" customHeight="1" x14ac:dyDescent="0.2">
      <c r="A116" s="182" t="s">
        <v>312</v>
      </c>
      <c r="B116" s="813" t="str">
        <f>IF($A116="","",VLOOKUP($A116,Listes!$A$3:$C$193,2,FALSE))</f>
        <v>Chassis Usage Charge (Carrier-haulage)</v>
      </c>
      <c r="C116" s="813"/>
      <c r="D116" s="813"/>
      <c r="E116" s="814" t="s">
        <v>51</v>
      </c>
      <c r="F116" s="814"/>
      <c r="G116" s="814"/>
      <c r="H116" s="657"/>
      <c r="I116" s="531"/>
      <c r="J116" s="531"/>
      <c r="K116" s="531"/>
      <c r="L116" s="531" t="s">
        <v>560</v>
      </c>
      <c r="M116" s="532"/>
      <c r="N116" s="160"/>
      <c r="O116" s="160"/>
      <c r="P116" s="160"/>
      <c r="Q116" s="160"/>
      <c r="R116" s="159"/>
    </row>
    <row r="117" spans="1:18" s="136" customFormat="1" ht="15.75" customHeight="1" x14ac:dyDescent="0.2">
      <c r="A117" s="182" t="s">
        <v>312</v>
      </c>
      <c r="B117" s="813" t="str">
        <f>IF($A117="","",VLOOKUP($A117,Listes!$A$3:$C$193,2,FALSE))</f>
        <v>Chassis Usage Charge (Carrier-haulage)</v>
      </c>
      <c r="C117" s="813"/>
      <c r="D117" s="813"/>
      <c r="E117" s="814" t="s">
        <v>51</v>
      </c>
      <c r="F117" s="814"/>
      <c r="G117" s="814"/>
      <c r="H117" s="657"/>
      <c r="I117" s="531"/>
      <c r="J117" s="531"/>
      <c r="K117" s="531"/>
      <c r="L117" s="531" t="s">
        <v>510</v>
      </c>
      <c r="M117" s="532"/>
      <c r="N117" s="160"/>
      <c r="O117" s="160"/>
      <c r="P117" s="160"/>
      <c r="Q117" s="160"/>
      <c r="R117" s="159"/>
    </row>
    <row r="118" spans="1:18" s="136" customFormat="1" ht="15.75" customHeight="1" x14ac:dyDescent="0.2">
      <c r="A118" s="182" t="s">
        <v>312</v>
      </c>
      <c r="B118" s="813" t="str">
        <f>IF($A118="","",VLOOKUP($A118,Listes!$A$3:$C$193,2,FALSE))</f>
        <v>Chassis Usage Charge (Carrier-haulage)</v>
      </c>
      <c r="C118" s="813"/>
      <c r="D118" s="813"/>
      <c r="E118" s="814" t="s">
        <v>51</v>
      </c>
      <c r="F118" s="814"/>
      <c r="G118" s="814"/>
      <c r="H118" s="657"/>
      <c r="I118" s="531"/>
      <c r="J118" s="531"/>
      <c r="K118" s="531"/>
      <c r="L118" s="531" t="s">
        <v>492</v>
      </c>
      <c r="M118" s="532"/>
      <c r="N118" s="160"/>
      <c r="O118" s="160"/>
      <c r="P118" s="160"/>
      <c r="Q118" s="160"/>
      <c r="R118" s="159"/>
    </row>
    <row r="119" spans="1:18" s="136" customFormat="1" ht="15.75" customHeight="1" x14ac:dyDescent="0.2">
      <c r="A119" s="182" t="s">
        <v>312</v>
      </c>
      <c r="B119" s="813" t="str">
        <f>IF($A119="","",VLOOKUP($A119,Listes!$A$3:$C$193,2,FALSE))</f>
        <v>Chassis Usage Charge (Carrier-haulage)</v>
      </c>
      <c r="C119" s="813"/>
      <c r="D119" s="813"/>
      <c r="E119" s="814" t="s">
        <v>51</v>
      </c>
      <c r="F119" s="814"/>
      <c r="G119" s="814"/>
      <c r="H119" s="657"/>
      <c r="I119" s="531"/>
      <c r="J119" s="531"/>
      <c r="K119" s="531"/>
      <c r="L119" s="531" t="s">
        <v>509</v>
      </c>
      <c r="M119" s="532"/>
      <c r="N119" s="160"/>
      <c r="O119" s="160"/>
      <c r="P119" s="160"/>
      <c r="Q119" s="160"/>
      <c r="R119" s="159"/>
    </row>
    <row r="120" spans="1:18" s="136" customFormat="1" ht="15.75" customHeight="1" x14ac:dyDescent="0.2">
      <c r="A120" s="182" t="s">
        <v>312</v>
      </c>
      <c r="B120" s="813" t="str">
        <f>IF($A120="","",VLOOKUP($A120,Listes!$A$3:$C$193,2,FALSE))</f>
        <v>Chassis Usage Charge (Carrier-haulage)</v>
      </c>
      <c r="C120" s="813"/>
      <c r="D120" s="813"/>
      <c r="E120" s="814" t="s">
        <v>51</v>
      </c>
      <c r="F120" s="814"/>
      <c r="G120" s="814"/>
      <c r="H120" s="657"/>
      <c r="I120" s="531"/>
      <c r="J120" s="531"/>
      <c r="K120" s="531"/>
      <c r="L120" s="531" t="s">
        <v>507</v>
      </c>
      <c r="M120" s="532"/>
      <c r="N120" s="160"/>
      <c r="O120" s="160"/>
      <c r="P120" s="160"/>
      <c r="Q120" s="160"/>
      <c r="R120" s="159"/>
    </row>
    <row r="121" spans="1:18" s="136" customFormat="1" ht="15.75" customHeight="1" x14ac:dyDescent="0.2">
      <c r="A121" s="182" t="s">
        <v>230</v>
      </c>
      <c r="B121" s="960" t="str">
        <f>IF($A121="","",VLOOKUP($A121,Listes!$A$3:$C$193,2,FALSE))</f>
        <v>Destination THC / Destination Receiving Charge</v>
      </c>
      <c r="C121" s="961"/>
      <c r="D121" s="962"/>
      <c r="E121" s="963" t="s">
        <v>51</v>
      </c>
      <c r="F121" s="964"/>
      <c r="G121" s="965"/>
      <c r="H121" s="657"/>
      <c r="I121" s="531"/>
      <c r="J121" s="531"/>
      <c r="K121" s="531"/>
      <c r="L121" s="531"/>
      <c r="M121" s="532"/>
      <c r="N121" s="160"/>
      <c r="O121" s="160"/>
      <c r="P121" s="160"/>
      <c r="Q121" s="160"/>
      <c r="R121" s="159"/>
    </row>
    <row r="122" spans="1:18" s="136" customFormat="1" ht="15.75" customHeight="1" x14ac:dyDescent="0.2">
      <c r="A122" s="182" t="s">
        <v>1081</v>
      </c>
      <c r="B122" s="813" t="str">
        <f>IF($A122="","",VLOOKUP($A122,Listes!$A$3:$C$193,2,FALSE))</f>
        <v>Equipment Imbalance Surcharge at Origin</v>
      </c>
      <c r="C122" s="813"/>
      <c r="D122" s="813"/>
      <c r="E122" s="814" t="s">
        <v>51</v>
      </c>
      <c r="F122" s="814"/>
      <c r="G122" s="814"/>
      <c r="H122" s="657"/>
      <c r="I122" s="531"/>
      <c r="J122" s="531"/>
      <c r="K122" s="531"/>
      <c r="L122" s="531"/>
      <c r="M122" s="532"/>
      <c r="N122" s="160"/>
      <c r="O122" s="160"/>
      <c r="P122" s="160"/>
      <c r="Q122" s="160"/>
      <c r="R122" s="159"/>
    </row>
    <row r="123" spans="1:18" s="136" customFormat="1" ht="15.75" customHeight="1" x14ac:dyDescent="0.2">
      <c r="A123" s="182" t="s">
        <v>1082</v>
      </c>
      <c r="B123" s="813" t="str">
        <f>IF($A123="","",VLOOKUP($A123,Listes!$A$3:$C$193,2,FALSE))</f>
        <v>Equipment Imbalance Surcharge at Destination</v>
      </c>
      <c r="C123" s="813"/>
      <c r="D123" s="813"/>
      <c r="E123" s="814" t="s">
        <v>51</v>
      </c>
      <c r="F123" s="814"/>
      <c r="G123" s="814"/>
      <c r="H123" s="657"/>
      <c r="I123" s="531"/>
      <c r="J123" s="531"/>
      <c r="K123" s="531"/>
      <c r="L123" s="531"/>
      <c r="M123" s="532"/>
      <c r="N123" s="160"/>
      <c r="O123" s="160"/>
      <c r="P123" s="160"/>
      <c r="Q123" s="160"/>
      <c r="R123" s="159"/>
    </row>
    <row r="124" spans="1:18" s="136" customFormat="1" ht="15.75" customHeight="1" x14ac:dyDescent="0.2">
      <c r="A124" s="182" t="s">
        <v>470</v>
      </c>
      <c r="B124" s="813" t="str">
        <f>IF($A124="","",VLOOKUP($A124,Listes!$A$3:$C$193,2,FALSE))</f>
        <v>Emergency Terminal Congestion Surcharge / Emergency Port Surcharge</v>
      </c>
      <c r="C124" s="813"/>
      <c r="D124" s="813"/>
      <c r="E124" s="814" t="s">
        <v>51</v>
      </c>
      <c r="F124" s="814"/>
      <c r="G124" s="814"/>
      <c r="H124" s="657"/>
      <c r="I124" s="531"/>
      <c r="J124" s="531"/>
      <c r="K124" s="531"/>
      <c r="L124" s="531"/>
      <c r="M124" s="532"/>
      <c r="N124" s="160"/>
      <c r="O124" s="160"/>
      <c r="P124" s="160"/>
      <c r="Q124" s="160"/>
      <c r="R124" s="159"/>
    </row>
    <row r="125" spans="1:18" s="136" customFormat="1" ht="15.75" customHeight="1" x14ac:dyDescent="0.2">
      <c r="A125" s="182" t="s">
        <v>874</v>
      </c>
      <c r="B125" s="813" t="str">
        <f>IF($A125="","",VLOOKUP($A125,Listes!$A$3:$C$193,2,FALSE))</f>
        <v>Export Documentation Fees - Carrier</v>
      </c>
      <c r="C125" s="813"/>
      <c r="D125" s="813"/>
      <c r="E125" s="814" t="s">
        <v>51</v>
      </c>
      <c r="F125" s="814"/>
      <c r="G125" s="814"/>
      <c r="H125" s="657"/>
      <c r="I125" s="531"/>
      <c r="J125" s="531"/>
      <c r="K125" s="531"/>
      <c r="L125" s="531"/>
      <c r="M125" s="532"/>
      <c r="N125" s="160"/>
      <c r="O125" s="160"/>
      <c r="P125" s="160"/>
      <c r="Q125" s="160"/>
      <c r="R125" s="159"/>
    </row>
    <row r="126" spans="1:18" s="136" customFormat="1" ht="15.75" customHeight="1" x14ac:dyDescent="0.2">
      <c r="A126" s="182" t="s">
        <v>854</v>
      </c>
      <c r="B126" s="813" t="str">
        <f>IF($A126="","",VLOOKUP($A126,Listes!$A$3:$C$193,2,FALSE))</f>
        <v>Export Declaration Surcharge</v>
      </c>
      <c r="C126" s="813"/>
      <c r="D126" s="813"/>
      <c r="E126" s="814" t="s">
        <v>51</v>
      </c>
      <c r="F126" s="814"/>
      <c r="G126" s="814"/>
      <c r="H126" s="657"/>
      <c r="I126" s="531"/>
      <c r="J126" s="531"/>
      <c r="K126" s="531"/>
      <c r="L126" s="531"/>
      <c r="M126" s="532"/>
      <c r="N126" s="160"/>
      <c r="O126" s="160"/>
      <c r="P126" s="160"/>
      <c r="Q126" s="160"/>
      <c r="R126" s="159"/>
    </row>
    <row r="127" spans="1:18" s="136" customFormat="1" ht="15.75" customHeight="1" x14ac:dyDescent="0.2">
      <c r="A127" s="182" t="s">
        <v>98</v>
      </c>
      <c r="B127" s="813" t="str">
        <f>IF($A127="","",VLOOKUP($A127,Listes!$A$3:$C$193,2,FALSE))</f>
        <v>FAS Terms Landing Charge</v>
      </c>
      <c r="C127" s="813"/>
      <c r="D127" s="813"/>
      <c r="E127" s="814" t="s">
        <v>51</v>
      </c>
      <c r="F127" s="814"/>
      <c r="G127" s="814"/>
      <c r="H127" s="657"/>
      <c r="I127" s="531"/>
      <c r="J127" s="531"/>
      <c r="K127" s="531"/>
      <c r="L127" s="531"/>
      <c r="M127" s="532"/>
      <c r="N127" s="160"/>
      <c r="O127" s="160"/>
      <c r="P127" s="160"/>
      <c r="Q127" s="160"/>
      <c r="R127" s="159"/>
    </row>
    <row r="128" spans="1:18" s="136" customFormat="1" ht="15.75" customHeight="1" x14ac:dyDescent="0.2">
      <c r="A128" s="182" t="s">
        <v>82</v>
      </c>
      <c r="B128" s="813" t="str">
        <f>IF($A128="","",VLOOKUP($A128,Listes!$A$3:$C$193,2,FALSE))</f>
        <v>General Rate Increase</v>
      </c>
      <c r="C128" s="813"/>
      <c r="D128" s="813"/>
      <c r="E128" s="814" t="s">
        <v>51</v>
      </c>
      <c r="F128" s="814"/>
      <c r="G128" s="814"/>
      <c r="H128" s="657"/>
      <c r="I128" s="531"/>
      <c r="J128" s="531"/>
      <c r="K128" s="531"/>
      <c r="L128" s="531"/>
      <c r="M128" s="532"/>
      <c r="N128" s="160"/>
      <c r="O128" s="160"/>
      <c r="P128" s="160"/>
      <c r="Q128" s="160"/>
      <c r="R128" s="159"/>
    </row>
    <row r="129" spans="1:18" s="136" customFormat="1" ht="15.75" customHeight="1" x14ac:dyDescent="0.2">
      <c r="A129" s="182" t="s">
        <v>260</v>
      </c>
      <c r="B129" s="813" t="str">
        <f>IF($A129="","",VLOOKUP($A129,Listes!$A$3:$C$193,2,FALSE))</f>
        <v>Hazardous Fees (Ocean)</v>
      </c>
      <c r="C129" s="813"/>
      <c r="D129" s="813"/>
      <c r="E129" s="814" t="s">
        <v>51</v>
      </c>
      <c r="F129" s="814"/>
      <c r="G129" s="814"/>
      <c r="H129" s="657"/>
      <c r="I129" s="531"/>
      <c r="J129" s="531"/>
      <c r="K129" s="531"/>
      <c r="L129" s="531"/>
      <c r="M129" s="532"/>
      <c r="N129" s="160"/>
      <c r="O129" s="160"/>
      <c r="P129" s="160"/>
      <c r="Q129" s="160"/>
      <c r="R129" s="159"/>
    </row>
    <row r="130" spans="1:18" s="136" customFormat="1" ht="15.75" customHeight="1" x14ac:dyDescent="0.2">
      <c r="A130" s="182" t="s">
        <v>877</v>
      </c>
      <c r="B130" s="813" t="str">
        <f>IF($A130="","",VLOOKUP($A130,Listes!$A$3:$C$193,2,FALSE))</f>
        <v>Import Documentation / BL fee - Carrier</v>
      </c>
      <c r="C130" s="813"/>
      <c r="D130" s="813"/>
      <c r="E130" s="814" t="s">
        <v>51</v>
      </c>
      <c r="F130" s="814"/>
      <c r="G130" s="814"/>
      <c r="H130" s="687"/>
      <c r="I130" s="531"/>
      <c r="J130" s="531"/>
      <c r="K130" s="531"/>
      <c r="L130" s="531"/>
      <c r="M130" s="532"/>
      <c r="N130" s="160"/>
      <c r="O130" s="160"/>
      <c r="P130" s="160"/>
      <c r="Q130" s="160"/>
      <c r="R130" s="159"/>
    </row>
    <row r="131" spans="1:18" s="136" customFormat="1" ht="15.75" customHeight="1" x14ac:dyDescent="0.2">
      <c r="A131" s="182" t="s">
        <v>1290</v>
      </c>
      <c r="B131" s="813" t="str">
        <f>IF($A131="","",VLOOKUP($A131,Listes!$A$3:$C$193,2,FALSE))</f>
        <v>Local Port Charge Destination Sanitary Fee</v>
      </c>
      <c r="C131" s="813"/>
      <c r="D131" s="813"/>
      <c r="E131" s="814" t="s">
        <v>51</v>
      </c>
      <c r="F131" s="814"/>
      <c r="G131" s="814"/>
      <c r="H131" s="675"/>
      <c r="I131" s="531"/>
      <c r="J131" s="531"/>
      <c r="K131" s="531"/>
      <c r="L131" s="531"/>
      <c r="M131" s="532"/>
      <c r="N131" s="160"/>
      <c r="O131" s="160"/>
      <c r="P131" s="160"/>
      <c r="Q131" s="160"/>
      <c r="R131" s="159"/>
    </row>
    <row r="132" spans="1:18" s="136" customFormat="1" ht="15.75" customHeight="1" x14ac:dyDescent="0.2">
      <c r="A132" s="182" t="s">
        <v>1292</v>
      </c>
      <c r="B132" s="813" t="str">
        <f>IF($A132="","",VLOOKUP($A132,Listes!$A$3:$C$193,2,FALSE))</f>
        <v>Local Port Charge Origin Sanitary Fee</v>
      </c>
      <c r="C132" s="813"/>
      <c r="D132" s="813"/>
      <c r="E132" s="814" t="s">
        <v>51</v>
      </c>
      <c r="F132" s="814"/>
      <c r="G132" s="814"/>
      <c r="H132" s="675"/>
      <c r="I132" s="531"/>
      <c r="J132" s="531"/>
      <c r="K132" s="531"/>
      <c r="L132" s="531"/>
      <c r="M132" s="532"/>
      <c r="N132" s="160"/>
      <c r="O132" s="160"/>
      <c r="P132" s="160"/>
      <c r="Q132" s="160"/>
      <c r="R132" s="159"/>
    </row>
    <row r="133" spans="1:18" s="136" customFormat="1" ht="15.75" customHeight="1" x14ac:dyDescent="0.2">
      <c r="A133" s="182" t="s">
        <v>199</v>
      </c>
      <c r="B133" s="813" t="str">
        <f>IF($A133="","",VLOOKUP($A133,Listes!$A$3:$C$193,2,FALSE))</f>
        <v>Low Sulfur Surcharge</v>
      </c>
      <c r="C133" s="813"/>
      <c r="D133" s="813"/>
      <c r="E133" s="814" t="s">
        <v>53</v>
      </c>
      <c r="F133" s="814"/>
      <c r="G133" s="814"/>
      <c r="H133" s="657"/>
      <c r="I133" s="531"/>
      <c r="J133" s="531"/>
      <c r="K133" s="531"/>
      <c r="L133" s="531"/>
      <c r="M133" s="532"/>
      <c r="N133" s="160"/>
      <c r="O133" s="160"/>
      <c r="P133" s="160"/>
      <c r="Q133" s="160"/>
      <c r="R133" s="159"/>
    </row>
    <row r="134" spans="1:18" s="136" customFormat="1" ht="15.75" customHeight="1" x14ac:dyDescent="0.2">
      <c r="A134" s="182" t="s">
        <v>1124</v>
      </c>
      <c r="B134" s="813" t="str">
        <f>IF($A134="","",VLOOKUP($A134,Listes!$A$3:$C$193,2,FALSE))</f>
        <v>Low Sulfur Surcharge IMO2020</v>
      </c>
      <c r="C134" s="813"/>
      <c r="D134" s="813"/>
      <c r="E134" s="814" t="s">
        <v>53</v>
      </c>
      <c r="F134" s="814"/>
      <c r="G134" s="814"/>
      <c r="H134" s="667"/>
      <c r="I134" s="531"/>
      <c r="J134" s="531"/>
      <c r="K134" s="531"/>
      <c r="L134" s="531"/>
      <c r="M134" s="532"/>
      <c r="N134" s="160"/>
      <c r="O134" s="160"/>
      <c r="P134" s="160"/>
      <c r="Q134" s="160"/>
      <c r="R134" s="159"/>
    </row>
    <row r="135" spans="1:18" s="136" customFormat="1" x14ac:dyDescent="0.2">
      <c r="A135" s="182" t="s">
        <v>1059</v>
      </c>
      <c r="B135" s="813" t="str">
        <f>IF($A135="","",VLOOKUP($A135,Listes!$A$3:$C$193,2,FALSE))</f>
        <v>On-Carriage Emergency Inland Fuel Surcharge</v>
      </c>
      <c r="C135" s="813"/>
      <c r="D135" s="813"/>
      <c r="E135" s="814" t="s">
        <v>51</v>
      </c>
      <c r="F135" s="814"/>
      <c r="G135" s="814"/>
      <c r="H135" s="657"/>
      <c r="I135" s="531"/>
      <c r="J135" s="531"/>
      <c r="K135" s="531"/>
      <c r="L135" s="531"/>
      <c r="M135" s="532"/>
      <c r="N135" s="160"/>
      <c r="O135" s="160"/>
      <c r="P135" s="160"/>
      <c r="Q135" s="160"/>
      <c r="R135" s="159"/>
    </row>
    <row r="136" spans="1:18" s="136" customFormat="1" ht="15.75" customHeight="1" x14ac:dyDescent="0.2">
      <c r="A136" s="182" t="s">
        <v>497</v>
      </c>
      <c r="B136" s="813" t="str">
        <f>IF($A136="","",VLOOKUP($A136,Listes!$A$3:$C$193,2,FALSE))</f>
        <v>Inland Hazardous Charge Oncarriage</v>
      </c>
      <c r="C136" s="813"/>
      <c r="D136" s="813"/>
      <c r="E136" s="814" t="s">
        <v>51</v>
      </c>
      <c r="F136" s="814"/>
      <c r="G136" s="814"/>
      <c r="H136" s="657"/>
      <c r="I136" s="531"/>
      <c r="J136" s="531"/>
      <c r="K136" s="531"/>
      <c r="L136" s="531"/>
      <c r="M136" s="532"/>
      <c r="N136" s="160"/>
      <c r="O136" s="160"/>
      <c r="P136" s="160"/>
      <c r="Q136" s="160"/>
      <c r="R136" s="159"/>
    </row>
    <row r="137" spans="1:18" s="136" customFormat="1" ht="15.75" customHeight="1" x14ac:dyDescent="0.2">
      <c r="A137" s="182" t="s">
        <v>89</v>
      </c>
      <c r="B137" s="813" t="str">
        <f>IF($A137="","",VLOOKUP($A137,Listes!$A$3:$C$193,2,FALSE))</f>
        <v>Origin THC / Origin Receiving Charge</v>
      </c>
      <c r="C137" s="813"/>
      <c r="D137" s="813"/>
      <c r="E137" s="814" t="s">
        <v>51</v>
      </c>
      <c r="F137" s="814"/>
      <c r="G137" s="814"/>
      <c r="H137" s="657"/>
      <c r="I137" s="531"/>
      <c r="J137" s="531"/>
      <c r="K137" s="531"/>
      <c r="L137" s="531"/>
      <c r="M137" s="532"/>
      <c r="N137" s="160"/>
      <c r="O137" s="160"/>
      <c r="P137" s="160"/>
      <c r="Q137" s="160"/>
      <c r="R137" s="159"/>
    </row>
    <row r="138" spans="1:18" s="136" customFormat="1" ht="15.75" customHeight="1" x14ac:dyDescent="0.2">
      <c r="A138" s="182" t="s">
        <v>97</v>
      </c>
      <c r="B138" s="813" t="str">
        <f>IF($A138="","",VLOOKUP($A138,Listes!$A$3:$C$193,2,FALSE))</f>
        <v>Panama Canal Surcharge</v>
      </c>
      <c r="C138" s="813"/>
      <c r="D138" s="813"/>
      <c r="E138" s="814" t="s">
        <v>51</v>
      </c>
      <c r="F138" s="814"/>
      <c r="G138" s="814"/>
      <c r="H138" s="657"/>
      <c r="I138" s="531"/>
      <c r="J138" s="531"/>
      <c r="K138" s="531"/>
      <c r="L138" s="531"/>
      <c r="M138" s="532"/>
      <c r="N138" s="160"/>
      <c r="O138" s="160"/>
      <c r="P138" s="160"/>
      <c r="Q138" s="160"/>
      <c r="R138" s="159"/>
    </row>
    <row r="139" spans="1:18" s="136" customFormat="1" ht="15.75" customHeight="1" x14ac:dyDescent="0.2">
      <c r="A139" s="365" t="s">
        <v>210</v>
      </c>
      <c r="B139" s="813" t="str">
        <f>IF($A139="","",VLOOKUP($A139,Listes!$A$3:$C$193,2,FALSE))</f>
        <v>Panama Canal Lock Improvement Surcharge</v>
      </c>
      <c r="C139" s="813"/>
      <c r="D139" s="813"/>
      <c r="E139" s="814" t="s">
        <v>51</v>
      </c>
      <c r="F139" s="814"/>
      <c r="G139" s="814"/>
      <c r="H139" s="366"/>
      <c r="I139" s="535"/>
      <c r="J139" s="535"/>
      <c r="K139" s="535"/>
      <c r="L139" s="535"/>
      <c r="M139" s="536"/>
      <c r="N139" s="160"/>
      <c r="O139" s="160"/>
      <c r="P139" s="160"/>
      <c r="Q139" s="160"/>
      <c r="R139" s="159"/>
    </row>
    <row r="140" spans="1:18" s="136" customFormat="1" ht="33.75" customHeight="1" x14ac:dyDescent="0.2">
      <c r="A140" s="365" t="s">
        <v>1375</v>
      </c>
      <c r="B140" s="813" t="str">
        <f>IF($A140="","",VLOOKUP($A140,Listes!$A$3:$C$193,2,FALSE))</f>
        <v>Port Access Fee Destination</v>
      </c>
      <c r="C140" s="813"/>
      <c r="D140" s="813"/>
      <c r="E140" s="814" t="s">
        <v>51</v>
      </c>
      <c r="F140" s="814"/>
      <c r="G140" s="814"/>
      <c r="H140" s="366"/>
      <c r="I140" s="535"/>
      <c r="J140" s="535"/>
      <c r="K140" s="535"/>
      <c r="L140" s="535"/>
      <c r="M140" s="536"/>
      <c r="N140" s="160"/>
      <c r="O140" s="160"/>
      <c r="P140" s="160"/>
      <c r="Q140" s="160"/>
      <c r="R140" s="159"/>
    </row>
    <row r="141" spans="1:18" s="136" customFormat="1" ht="15.75" customHeight="1" x14ac:dyDescent="0.2">
      <c r="A141" s="365" t="s">
        <v>832</v>
      </c>
      <c r="B141" s="813" t="str">
        <f>IF($A141="","",VLOOKUP($A141,Listes!$A$3:$C$193,2,FALSE))</f>
        <v>Port Congestion Surcharge Destination</v>
      </c>
      <c r="C141" s="813"/>
      <c r="D141" s="813"/>
      <c r="E141" s="814" t="s">
        <v>51</v>
      </c>
      <c r="F141" s="814"/>
      <c r="G141" s="814"/>
      <c r="H141" s="366"/>
      <c r="I141" s="535"/>
      <c r="J141" s="535"/>
      <c r="K141" s="535"/>
      <c r="L141" s="535"/>
      <c r="M141" s="536"/>
      <c r="N141" s="160"/>
      <c r="O141" s="160"/>
      <c r="P141" s="160"/>
      <c r="Q141" s="160"/>
      <c r="R141" s="159"/>
    </row>
    <row r="142" spans="1:18" s="136" customFormat="1" ht="15.75" customHeight="1" x14ac:dyDescent="0.2">
      <c r="A142" s="365" t="s">
        <v>829</v>
      </c>
      <c r="B142" s="813" t="str">
        <f>IF($A142="","",VLOOKUP($A142,Listes!$A$3:$C$193,2,FALSE))</f>
        <v>Port Congestion Surcharge Origin</v>
      </c>
      <c r="C142" s="813"/>
      <c r="D142" s="813"/>
      <c r="E142" s="814" t="s">
        <v>51</v>
      </c>
      <c r="F142" s="814"/>
      <c r="G142" s="814"/>
      <c r="H142" s="366"/>
      <c r="I142" s="535"/>
      <c r="J142" s="535"/>
      <c r="K142" s="535"/>
      <c r="L142" s="535"/>
      <c r="M142" s="536"/>
      <c r="N142" s="160"/>
      <c r="O142" s="160"/>
      <c r="P142" s="160"/>
      <c r="Q142" s="160"/>
      <c r="R142" s="159"/>
    </row>
    <row r="143" spans="1:18" s="136" customFormat="1" x14ac:dyDescent="0.2">
      <c r="A143" s="182" t="s">
        <v>1060</v>
      </c>
      <c r="B143" s="813" t="str">
        <f>IF($A143="","",VLOOKUP($A143,Listes!$A$3:$C$193,2,FALSE))</f>
        <v>Pre-Carriage Emergency Inland Fuel Surcharge</v>
      </c>
      <c r="C143" s="813"/>
      <c r="D143" s="813"/>
      <c r="E143" s="814" t="s">
        <v>51</v>
      </c>
      <c r="F143" s="814"/>
      <c r="G143" s="814"/>
      <c r="H143" s="657"/>
      <c r="I143" s="531"/>
      <c r="J143" s="531"/>
      <c r="K143" s="531"/>
      <c r="L143" s="531"/>
      <c r="M143" s="532"/>
      <c r="N143" s="160"/>
      <c r="O143" s="160"/>
      <c r="P143" s="160"/>
      <c r="Q143" s="160"/>
      <c r="R143" s="159"/>
    </row>
    <row r="144" spans="1:18" s="136" customFormat="1" ht="31.5" x14ac:dyDescent="0.2">
      <c r="A144" s="182" t="s">
        <v>1046</v>
      </c>
      <c r="B144" s="813" t="str">
        <f>IF($A144="","",VLOOKUP($A144,Listes!$A$3:$C$193,2,FALSE))</f>
        <v>Pre-Carriage Emergency Intermodal Surcharge</v>
      </c>
      <c r="C144" s="813"/>
      <c r="D144" s="813"/>
      <c r="E144" s="814" t="s">
        <v>51</v>
      </c>
      <c r="F144" s="814"/>
      <c r="G144" s="814"/>
      <c r="H144" s="657"/>
      <c r="I144" s="531"/>
      <c r="J144" s="531"/>
      <c r="K144" s="531"/>
      <c r="L144" s="531"/>
      <c r="M144" s="532"/>
      <c r="N144" s="160"/>
      <c r="O144" s="160"/>
      <c r="P144" s="160"/>
      <c r="Q144" s="160"/>
      <c r="R144" s="159"/>
    </row>
    <row r="145" spans="1:21" s="136" customFormat="1" ht="15.75" customHeight="1" x14ac:dyDescent="0.2">
      <c r="A145" s="365" t="s">
        <v>500</v>
      </c>
      <c r="B145" s="813" t="str">
        <f>IF($A145="","",VLOOKUP($A145,Listes!$A$3:$C$193,2,FALSE))</f>
        <v>Inland Hazardous Charge Precarriage</v>
      </c>
      <c r="C145" s="813"/>
      <c r="D145" s="813"/>
      <c r="E145" s="814" t="s">
        <v>51</v>
      </c>
      <c r="F145" s="814"/>
      <c r="G145" s="814"/>
      <c r="H145" s="366"/>
      <c r="I145" s="535"/>
      <c r="J145" s="535"/>
      <c r="K145" s="535"/>
      <c r="L145" s="535"/>
      <c r="M145" s="536"/>
      <c r="N145" s="160"/>
      <c r="O145" s="160"/>
      <c r="P145" s="160"/>
      <c r="Q145" s="160"/>
      <c r="R145" s="159"/>
    </row>
    <row r="146" spans="1:21" s="136" customFormat="1" ht="15.75" customHeight="1" x14ac:dyDescent="0.2">
      <c r="A146" s="365" t="s">
        <v>87</v>
      </c>
      <c r="B146" s="813" t="str">
        <f>IF($A146="","",VLOOKUP($A146,Listes!$A$3:$C$193,2,FALSE))</f>
        <v>Peak Season</v>
      </c>
      <c r="C146" s="813"/>
      <c r="D146" s="813"/>
      <c r="E146" s="814" t="s">
        <v>51</v>
      </c>
      <c r="F146" s="814"/>
      <c r="G146" s="814"/>
      <c r="H146" s="366"/>
      <c r="I146" s="535"/>
      <c r="J146" s="535"/>
      <c r="K146" s="535"/>
      <c r="L146" s="535"/>
      <c r="M146" s="536"/>
      <c r="N146" s="160"/>
      <c r="O146" s="160"/>
      <c r="P146" s="160"/>
      <c r="Q146" s="160"/>
      <c r="R146" s="159"/>
    </row>
    <row r="147" spans="1:21" s="136" customFormat="1" ht="15.75" customHeight="1" x14ac:dyDescent="0.2">
      <c r="A147" s="365" t="s">
        <v>259</v>
      </c>
      <c r="B147" s="813" t="str">
        <f>IF($A147="","",VLOOKUP($A147,Listes!$A$3:$C$193,2,FALSE))</f>
        <v>Reefer</v>
      </c>
      <c r="C147" s="813"/>
      <c r="D147" s="813"/>
      <c r="E147" s="814" t="s">
        <v>51</v>
      </c>
      <c r="F147" s="814"/>
      <c r="G147" s="814"/>
      <c r="H147" s="366"/>
      <c r="I147" s="535"/>
      <c r="J147" s="535"/>
      <c r="K147" s="535"/>
      <c r="L147" s="535"/>
      <c r="M147" s="536"/>
      <c r="N147" s="160"/>
      <c r="O147" s="160"/>
      <c r="P147" s="160"/>
      <c r="Q147" s="160"/>
      <c r="R147" s="159"/>
    </row>
    <row r="148" spans="1:21" s="136" customFormat="1" ht="15.75" customHeight="1" x14ac:dyDescent="0.2">
      <c r="A148" s="365" t="s">
        <v>817</v>
      </c>
      <c r="B148" s="960" t="str">
        <f>IF($A148="","",VLOOKUP($A148,Listes!$A$3:$C$193,2,FALSE))</f>
        <v>Reefer PTI</v>
      </c>
      <c r="C148" s="961"/>
      <c r="D148" s="962"/>
      <c r="E148" s="963" t="s">
        <v>51</v>
      </c>
      <c r="F148" s="964"/>
      <c r="G148" s="965"/>
      <c r="H148" s="366"/>
      <c r="I148" s="535"/>
      <c r="J148" s="535"/>
      <c r="K148" s="535"/>
      <c r="L148" s="535"/>
      <c r="M148" s="536"/>
      <c r="N148" s="160"/>
      <c r="O148" s="160"/>
      <c r="P148" s="160"/>
      <c r="Q148" s="160"/>
      <c r="R148" s="159"/>
    </row>
    <row r="149" spans="1:21" s="136" customFormat="1" ht="15.75" customHeight="1" x14ac:dyDescent="0.2">
      <c r="A149" s="365" t="s">
        <v>291</v>
      </c>
      <c r="B149" s="813" t="str">
        <f>IF($A149="","",VLOOKUP($A149,Listes!$A$3:$C$193,2,FALSE))</f>
        <v>River plate &amp; EIF Surcharge / Congo River Surcharge</v>
      </c>
      <c r="C149" s="813"/>
      <c r="D149" s="813"/>
      <c r="E149" s="814" t="s">
        <v>51</v>
      </c>
      <c r="F149" s="814"/>
      <c r="G149" s="814"/>
      <c r="H149" s="366"/>
      <c r="I149" s="535"/>
      <c r="J149" s="535"/>
      <c r="K149" s="535"/>
      <c r="L149" s="535"/>
      <c r="M149" s="536"/>
      <c r="N149" s="160"/>
      <c r="O149" s="160"/>
      <c r="P149" s="160"/>
      <c r="Q149" s="160"/>
      <c r="R149" s="159"/>
    </row>
    <row r="150" spans="1:21" s="136" customFormat="1" ht="15.75" customHeight="1" x14ac:dyDescent="0.2">
      <c r="A150" s="365" t="s">
        <v>278</v>
      </c>
      <c r="B150" s="813" t="str">
        <f>IF($A150="","",VLOOKUP($A150,Listes!$A$3:$C$193,2,FALSE))</f>
        <v>Destination Terminal Security Charge</v>
      </c>
      <c r="C150" s="813"/>
      <c r="D150" s="813"/>
      <c r="E150" s="814" t="s">
        <v>51</v>
      </c>
      <c r="F150" s="814"/>
      <c r="G150" s="814"/>
      <c r="H150" s="366"/>
      <c r="I150" s="535"/>
      <c r="J150" s="535"/>
      <c r="K150" s="535"/>
      <c r="L150" s="535"/>
      <c r="M150" s="536"/>
      <c r="N150" s="160"/>
      <c r="O150" s="160"/>
      <c r="P150" s="160"/>
      <c r="Q150" s="160"/>
      <c r="R150" s="159"/>
    </row>
    <row r="151" spans="1:21" s="136" customFormat="1" ht="15.75" customHeight="1" x14ac:dyDescent="0.2">
      <c r="A151" s="365" t="s">
        <v>277</v>
      </c>
      <c r="B151" s="813" t="str">
        <f>IF($A151="","",VLOOKUP($A151,Listes!$A$3:$C$193,2,FALSE))</f>
        <v>Origin Terminal Security Charge</v>
      </c>
      <c r="C151" s="813"/>
      <c r="D151" s="813"/>
      <c r="E151" s="814" t="s">
        <v>51</v>
      </c>
      <c r="F151" s="814"/>
      <c r="G151" s="814"/>
      <c r="H151" s="366"/>
      <c r="I151" s="535"/>
      <c r="J151" s="535"/>
      <c r="K151" s="535"/>
      <c r="L151" s="535"/>
      <c r="M151" s="536"/>
      <c r="N151" s="160"/>
      <c r="O151" s="160"/>
      <c r="P151" s="160"/>
      <c r="Q151" s="160"/>
      <c r="R151" s="159"/>
    </row>
    <row r="152" spans="1:21" s="136" customFormat="1" ht="31.5" x14ac:dyDescent="0.2">
      <c r="A152" s="365" t="s">
        <v>368</v>
      </c>
      <c r="B152" s="813" t="str">
        <f>IF($A152="","",VLOOKUP($A152,Listes!$A$3:$C$193,2,FALSE))</f>
        <v>Tri-Axle / Super Chassis Precarriage Surcharge</v>
      </c>
      <c r="C152" s="813"/>
      <c r="D152" s="813"/>
      <c r="E152" s="814" t="s">
        <v>51</v>
      </c>
      <c r="F152" s="814"/>
      <c r="G152" s="814"/>
      <c r="H152" s="366"/>
      <c r="I152" s="535"/>
      <c r="J152" s="535"/>
      <c r="K152" s="535"/>
      <c r="L152" s="535"/>
      <c r="M152" s="536"/>
      <c r="N152" s="160"/>
      <c r="O152" s="160"/>
      <c r="P152" s="160"/>
      <c r="Q152" s="160"/>
      <c r="R152" s="159"/>
    </row>
    <row r="153" spans="1:21" s="136" customFormat="1" ht="16.5" thickBot="1" x14ac:dyDescent="0.25">
      <c r="A153" s="185" t="s">
        <v>870</v>
      </c>
      <c r="B153" s="998" t="str">
        <f>IF($A153="","",VLOOKUP($A153,Listes!$A$3:$C$193,2,FALSE))</f>
        <v>Scanning by Customs, incl other examination charges</v>
      </c>
      <c r="C153" s="999"/>
      <c r="D153" s="1000"/>
      <c r="E153" s="815" t="s">
        <v>51</v>
      </c>
      <c r="F153" s="815"/>
      <c r="G153" s="815"/>
      <c r="H153" s="659"/>
      <c r="I153" s="533"/>
      <c r="J153" s="533"/>
      <c r="K153" s="533"/>
      <c r="L153" s="533"/>
      <c r="M153" s="534"/>
      <c r="N153" s="160"/>
      <c r="O153" s="160"/>
      <c r="P153" s="160"/>
      <c r="Q153" s="160"/>
      <c r="R153" s="159"/>
    </row>
    <row r="154" spans="1:21" s="73" customFormat="1" ht="16.5" thickBot="1" x14ac:dyDescent="0.25">
      <c r="A154" s="995" t="s">
        <v>216</v>
      </c>
      <c r="B154" s="996"/>
      <c r="C154" s="996"/>
      <c r="D154" s="996"/>
      <c r="E154" s="997"/>
      <c r="F154" s="997"/>
      <c r="G154" s="997"/>
      <c r="H154" s="997"/>
      <c r="I154" s="853"/>
      <c r="J154" s="169"/>
      <c r="K154" s="118"/>
      <c r="L154" s="134"/>
      <c r="M154" s="134"/>
      <c r="N154" s="134"/>
      <c r="O154" s="134"/>
      <c r="P154" s="134"/>
      <c r="Q154" s="118"/>
    </row>
    <row r="155" spans="1:21" s="73" customFormat="1" ht="16.5" thickBot="1" x14ac:dyDescent="0.25">
      <c r="A155" s="849" t="s">
        <v>597</v>
      </c>
      <c r="B155" s="833"/>
      <c r="C155" s="833"/>
      <c r="D155" s="833"/>
      <c r="E155" s="833"/>
      <c r="F155" s="833"/>
      <c r="G155" s="833"/>
      <c r="H155" s="833"/>
      <c r="I155" s="834"/>
      <c r="J155" s="169"/>
      <c r="K155" s="134"/>
      <c r="L155" s="134"/>
      <c r="M155" s="134"/>
      <c r="N155" s="134"/>
      <c r="O155" s="118"/>
    </row>
    <row r="156" spans="1:21" s="73" customFormat="1" ht="16.5" thickBot="1" x14ac:dyDescent="0.25">
      <c r="A156" s="187"/>
      <c r="B156" s="187"/>
      <c r="C156" s="188"/>
      <c r="D156" s="189"/>
      <c r="E156" s="170"/>
      <c r="F156" s="170"/>
      <c r="G156" s="170"/>
      <c r="H156" s="170"/>
      <c r="I156" s="170"/>
      <c r="J156" s="189"/>
      <c r="K156" s="169"/>
      <c r="L156" s="118"/>
      <c r="M156" s="134"/>
      <c r="N156" s="134"/>
      <c r="O156" s="134"/>
      <c r="P156" s="134"/>
      <c r="Q156" s="134"/>
      <c r="R156" s="118"/>
    </row>
    <row r="157" spans="1:21" s="73" customFormat="1" ht="15.6" customHeight="1" x14ac:dyDescent="0.2">
      <c r="A157" s="830" t="s">
        <v>523</v>
      </c>
      <c r="B157" s="831"/>
      <c r="C157" s="831"/>
      <c r="D157" s="831"/>
      <c r="E157" s="842" t="s">
        <v>288</v>
      </c>
      <c r="F157" s="842">
        <v>20</v>
      </c>
      <c r="G157" s="842">
        <v>40</v>
      </c>
      <c r="H157" s="842" t="s">
        <v>19</v>
      </c>
      <c r="I157" s="842" t="s">
        <v>20</v>
      </c>
      <c r="J157" s="848" t="s">
        <v>297</v>
      </c>
      <c r="K157" s="848" t="s">
        <v>33</v>
      </c>
      <c r="L157" s="846" t="s">
        <v>217</v>
      </c>
      <c r="M157" s="189"/>
      <c r="N157" s="134"/>
      <c r="O157" s="134"/>
      <c r="P157" s="134"/>
      <c r="Q157" s="134"/>
      <c r="R157" s="134"/>
      <c r="S157" s="134"/>
      <c r="T157" s="134"/>
      <c r="U157" s="134"/>
    </row>
    <row r="158" spans="1:21" s="73" customFormat="1" x14ac:dyDescent="0.2">
      <c r="A158" s="537" t="s">
        <v>218</v>
      </c>
      <c r="B158" s="538" t="s">
        <v>11</v>
      </c>
      <c r="C158" s="538" t="s">
        <v>12</v>
      </c>
      <c r="D158" s="538" t="s">
        <v>219</v>
      </c>
      <c r="E158" s="843"/>
      <c r="F158" s="843"/>
      <c r="G158" s="843"/>
      <c r="H158" s="843"/>
      <c r="I158" s="843"/>
      <c r="J158" s="843"/>
      <c r="K158" s="843"/>
      <c r="L158" s="847"/>
      <c r="M158" s="189"/>
      <c r="N158" s="134"/>
      <c r="O158" s="134"/>
      <c r="P158" s="134"/>
      <c r="Q158" s="134"/>
      <c r="R158" s="134"/>
      <c r="S158" s="134"/>
      <c r="T158" s="134"/>
      <c r="U158" s="134"/>
    </row>
    <row r="159" spans="1:21" s="136" customFormat="1" x14ac:dyDescent="0.2">
      <c r="A159" s="539"/>
      <c r="B159" s="540"/>
      <c r="C159" s="540"/>
      <c r="D159" s="540"/>
      <c r="E159" s="540"/>
      <c r="F159" s="255"/>
      <c r="G159" s="255"/>
      <c r="H159" s="255"/>
      <c r="I159" s="255"/>
      <c r="J159" s="540"/>
      <c r="K159" s="21"/>
      <c r="L159" s="541"/>
      <c r="M159" s="190"/>
      <c r="N159" s="160"/>
      <c r="O159" s="160"/>
      <c r="P159" s="160"/>
      <c r="Q159" s="160"/>
      <c r="R159" s="160"/>
      <c r="S159" s="160"/>
      <c r="T159" s="160"/>
      <c r="U159" s="160"/>
    </row>
    <row r="160" spans="1:21" s="136" customFormat="1" x14ac:dyDescent="0.2">
      <c r="A160" s="542"/>
      <c r="B160" s="540"/>
      <c r="C160" s="540"/>
      <c r="D160" s="540"/>
      <c r="E160" s="540"/>
      <c r="F160" s="255"/>
      <c r="G160" s="255"/>
      <c r="H160" s="255"/>
      <c r="I160" s="255"/>
      <c r="J160" s="24"/>
      <c r="K160" s="21"/>
      <c r="L160" s="25"/>
      <c r="M160" s="191"/>
      <c r="N160" s="160"/>
      <c r="O160" s="160"/>
      <c r="P160" s="160"/>
      <c r="Q160" s="160"/>
      <c r="R160" s="160"/>
      <c r="S160" s="160"/>
      <c r="T160" s="160"/>
      <c r="U160" s="160"/>
    </row>
    <row r="161" spans="1:23" s="136" customFormat="1" x14ac:dyDescent="0.2">
      <c r="A161" s="542"/>
      <c r="B161" s="540"/>
      <c r="C161" s="540"/>
      <c r="D161" s="540"/>
      <c r="E161" s="540"/>
      <c r="F161" s="255"/>
      <c r="G161" s="255"/>
      <c r="H161" s="255"/>
      <c r="I161" s="255"/>
      <c r="J161" s="24"/>
      <c r="K161" s="21"/>
      <c r="L161" s="25"/>
      <c r="M161" s="191"/>
      <c r="N161" s="160"/>
      <c r="O161" s="160"/>
      <c r="P161" s="160"/>
      <c r="Q161" s="160"/>
      <c r="R161" s="160"/>
      <c r="S161" s="160"/>
      <c r="T161" s="160"/>
      <c r="U161" s="160"/>
    </row>
    <row r="162" spans="1:23" s="136" customFormat="1" ht="16.5" thickBot="1" x14ac:dyDescent="0.25">
      <c r="A162" s="543"/>
      <c r="B162" s="544"/>
      <c r="C162" s="544"/>
      <c r="D162" s="544"/>
      <c r="E162" s="544"/>
      <c r="F162" s="256"/>
      <c r="G162" s="256"/>
      <c r="H162" s="256"/>
      <c r="I162" s="256"/>
      <c r="J162" s="28"/>
      <c r="K162" s="29"/>
      <c r="L162" s="30"/>
      <c r="M162" s="191"/>
      <c r="N162" s="160"/>
      <c r="O162" s="160"/>
      <c r="P162" s="160"/>
      <c r="Q162" s="160"/>
      <c r="R162" s="160"/>
      <c r="S162" s="160"/>
      <c r="T162" s="160"/>
      <c r="U162" s="160"/>
    </row>
    <row r="163" spans="1:23" s="136" customFormat="1" x14ac:dyDescent="0.2">
      <c r="A163" s="173"/>
      <c r="B163" s="545"/>
      <c r="C163" s="545"/>
      <c r="D163" s="545"/>
      <c r="E163" s="545"/>
      <c r="F163" s="545"/>
      <c r="G163" s="545"/>
      <c r="H163" s="545"/>
      <c r="I163" s="545"/>
      <c r="J163" s="33"/>
      <c r="K163" s="33"/>
      <c r="L163" s="34"/>
      <c r="M163" s="191"/>
      <c r="N163" s="160"/>
      <c r="O163" s="160"/>
      <c r="P163" s="160"/>
      <c r="Q163" s="160"/>
      <c r="R163" s="160"/>
      <c r="S163" s="160"/>
      <c r="T163" s="160"/>
      <c r="U163" s="160"/>
    </row>
    <row r="164" spans="1:23" s="73" customFormat="1" ht="15.6" customHeight="1" x14ac:dyDescent="0.2">
      <c r="A164" s="841" t="s">
        <v>596</v>
      </c>
      <c r="B164" s="840"/>
      <c r="C164" s="840"/>
      <c r="D164" s="840"/>
      <c r="E164" s="840" t="s">
        <v>288</v>
      </c>
      <c r="F164" s="840">
        <v>20</v>
      </c>
      <c r="G164" s="840">
        <v>40</v>
      </c>
      <c r="H164" s="840" t="s">
        <v>19</v>
      </c>
      <c r="I164" s="840" t="s">
        <v>20</v>
      </c>
      <c r="J164" s="845" t="s">
        <v>297</v>
      </c>
      <c r="K164" s="845" t="s">
        <v>33</v>
      </c>
      <c r="L164" s="844" t="s">
        <v>217</v>
      </c>
      <c r="M164" s="844" t="s">
        <v>23</v>
      </c>
      <c r="N164" s="169"/>
      <c r="O164" s="118"/>
      <c r="P164" s="134"/>
      <c r="Q164" s="134"/>
      <c r="R164" s="134"/>
      <c r="S164" s="134"/>
      <c r="T164" s="134"/>
      <c r="U164" s="134"/>
      <c r="V164" s="134"/>
      <c r="W164" s="134"/>
    </row>
    <row r="165" spans="1:23" s="73" customFormat="1" x14ac:dyDescent="0.2">
      <c r="A165" s="546" t="s">
        <v>218</v>
      </c>
      <c r="B165" s="546" t="s">
        <v>11</v>
      </c>
      <c r="C165" s="546" t="s">
        <v>12</v>
      </c>
      <c r="D165" s="546" t="s">
        <v>219</v>
      </c>
      <c r="E165" s="840"/>
      <c r="F165" s="840"/>
      <c r="G165" s="840"/>
      <c r="H165" s="840"/>
      <c r="I165" s="840"/>
      <c r="J165" s="840"/>
      <c r="K165" s="840"/>
      <c r="L165" s="844"/>
      <c r="M165" s="844"/>
      <c r="N165" s="169"/>
      <c r="O165" s="118"/>
      <c r="P165" s="134"/>
      <c r="Q165" s="134"/>
      <c r="R165" s="134"/>
      <c r="S165" s="134"/>
      <c r="T165" s="134"/>
      <c r="U165" s="134"/>
      <c r="V165" s="134"/>
      <c r="W165" s="134"/>
    </row>
    <row r="166" spans="1:23" s="136" customFormat="1" x14ac:dyDescent="0.2">
      <c r="A166" s="372"/>
      <c r="B166" s="547"/>
      <c r="C166" s="547"/>
      <c r="D166" s="547"/>
      <c r="E166" s="547"/>
      <c r="F166" s="368"/>
      <c r="G166" s="368"/>
      <c r="H166" s="368"/>
      <c r="I166" s="368"/>
      <c r="J166" s="369"/>
      <c r="K166" s="370"/>
      <c r="L166" s="548"/>
      <c r="M166" s="548"/>
      <c r="N166" s="192"/>
      <c r="O166" s="159"/>
      <c r="P166" s="160"/>
      <c r="Q166" s="160"/>
      <c r="R166" s="160"/>
      <c r="S166" s="160"/>
      <c r="T166" s="160"/>
      <c r="U166" s="160"/>
      <c r="V166" s="160"/>
      <c r="W166" s="160"/>
    </row>
    <row r="167" spans="1:23" s="136" customFormat="1" x14ac:dyDescent="0.2">
      <c r="A167" s="372"/>
      <c r="B167" s="547"/>
      <c r="C167" s="547"/>
      <c r="D167" s="547"/>
      <c r="E167" s="547"/>
      <c r="F167" s="368"/>
      <c r="G167" s="368"/>
      <c r="H167" s="368"/>
      <c r="I167" s="368"/>
      <c r="J167" s="369"/>
      <c r="K167" s="370"/>
      <c r="L167" s="548"/>
      <c r="M167" s="548"/>
      <c r="N167" s="192"/>
      <c r="O167" s="159"/>
      <c r="P167" s="160"/>
      <c r="Q167" s="160"/>
      <c r="R167" s="160"/>
      <c r="S167" s="160"/>
      <c r="T167" s="160"/>
      <c r="U167" s="160"/>
      <c r="V167" s="160"/>
      <c r="W167" s="160"/>
    </row>
    <row r="168" spans="1:23" s="136" customFormat="1" x14ac:dyDescent="0.2">
      <c r="A168" s="372"/>
      <c r="B168" s="547"/>
      <c r="C168" s="547"/>
      <c r="D168" s="547"/>
      <c r="E168" s="547"/>
      <c r="F168" s="368"/>
      <c r="G168" s="368"/>
      <c r="H168" s="368"/>
      <c r="I168" s="368"/>
      <c r="J168" s="369"/>
      <c r="K168" s="370"/>
      <c r="L168" s="548"/>
      <c r="M168" s="548"/>
      <c r="N168" s="192"/>
      <c r="O168" s="159"/>
      <c r="P168" s="160"/>
      <c r="Q168" s="160"/>
      <c r="R168" s="160"/>
      <c r="S168" s="160"/>
      <c r="T168" s="160"/>
      <c r="U168" s="160"/>
      <c r="V168" s="160"/>
      <c r="W168" s="160"/>
    </row>
    <row r="169" spans="1:23" s="136" customFormat="1" x14ac:dyDescent="0.2">
      <c r="A169" s="372"/>
      <c r="B169" s="547"/>
      <c r="C169" s="547"/>
      <c r="D169" s="547"/>
      <c r="E169" s="547"/>
      <c r="F169" s="368"/>
      <c r="G169" s="368"/>
      <c r="H169" s="368"/>
      <c r="I169" s="368"/>
      <c r="J169" s="369"/>
      <c r="K169" s="370"/>
      <c r="L169" s="373"/>
      <c r="M169" s="373"/>
      <c r="N169" s="191"/>
      <c r="O169" s="159"/>
      <c r="P169" s="160"/>
      <c r="Q169" s="160"/>
      <c r="R169" s="160"/>
      <c r="S169" s="160"/>
      <c r="T169" s="160"/>
      <c r="U169" s="160"/>
      <c r="V169" s="160"/>
      <c r="W169" s="160"/>
    </row>
    <row r="170" spans="1:23" s="73" customFormat="1" x14ac:dyDescent="0.2">
      <c r="A170" s="456"/>
      <c r="B170" s="549"/>
      <c r="C170" s="549"/>
      <c r="D170" s="549"/>
      <c r="E170" s="549"/>
      <c r="F170" s="194"/>
      <c r="G170" s="522"/>
      <c r="H170" s="195"/>
      <c r="I170" s="195"/>
      <c r="J170" s="176"/>
      <c r="K170" s="118"/>
      <c r="L170" s="134"/>
      <c r="M170" s="134"/>
      <c r="N170" s="134"/>
      <c r="O170" s="134"/>
      <c r="P170" s="134"/>
      <c r="Q170" s="134"/>
    </row>
    <row r="171" spans="1:23" s="456" customFormat="1" ht="16.5" thickBot="1" x14ac:dyDescent="0.25">
      <c r="A171" s="196"/>
      <c r="B171" s="197"/>
      <c r="C171" s="198"/>
      <c r="D171" s="198"/>
      <c r="E171" s="169"/>
      <c r="F171" s="176"/>
      <c r="G171" s="176"/>
      <c r="H171" s="176"/>
      <c r="I171" s="176"/>
      <c r="J171" s="170"/>
      <c r="K171" s="118"/>
      <c r="L171" s="134"/>
      <c r="M171" s="134"/>
      <c r="N171" s="134"/>
      <c r="O171" s="134"/>
      <c r="P171" s="134"/>
      <c r="Q171" s="134"/>
      <c r="R171" s="134"/>
      <c r="S171" s="118"/>
      <c r="T171" s="118"/>
      <c r="U171" s="118"/>
    </row>
    <row r="172" spans="1:23" s="456" customFormat="1" ht="16.5" thickBot="1" x14ac:dyDescent="0.25">
      <c r="A172" s="822" t="s">
        <v>220</v>
      </c>
      <c r="B172" s="823"/>
      <c r="C172" s="823"/>
      <c r="D172" s="823"/>
      <c r="E172" s="824"/>
      <c r="F172" s="176"/>
      <c r="G172" s="176"/>
      <c r="H172" s="176"/>
      <c r="I172" s="176"/>
      <c r="J172" s="170"/>
      <c r="K172" s="118"/>
      <c r="L172" s="134"/>
      <c r="M172" s="134"/>
      <c r="N172" s="134"/>
      <c r="O172" s="134"/>
      <c r="P172" s="134"/>
      <c r="Q172" s="134"/>
      <c r="R172" s="134"/>
      <c r="S172" s="118"/>
      <c r="T172" s="118"/>
      <c r="U172" s="118"/>
    </row>
    <row r="173" spans="1:23" s="73" customFormat="1" ht="16.5" thickBot="1" x14ac:dyDescent="0.25">
      <c r="A173" s="550"/>
      <c r="B173" s="456"/>
      <c r="C173" s="456"/>
      <c r="D173" s="456"/>
      <c r="E173" s="456"/>
      <c r="F173" s="194"/>
      <c r="G173" s="456"/>
      <c r="H173" s="200"/>
      <c r="I173" s="194"/>
      <c r="J173" s="194"/>
      <c r="K173" s="118"/>
      <c r="L173" s="134"/>
      <c r="M173" s="134"/>
      <c r="N173" s="134"/>
      <c r="O173" s="134"/>
      <c r="P173" s="134"/>
      <c r="Q173" s="134"/>
      <c r="R173" s="134"/>
      <c r="S173" s="118"/>
      <c r="T173" s="118"/>
      <c r="U173" s="118"/>
    </row>
    <row r="174" spans="1:23" s="73" customFormat="1" ht="16.5" thickBot="1" x14ac:dyDescent="0.25">
      <c r="A174" s="825" t="s">
        <v>221</v>
      </c>
      <c r="B174" s="838"/>
      <c r="C174" s="838"/>
      <c r="D174" s="838"/>
      <c r="E174" s="838"/>
      <c r="F174" s="839"/>
      <c r="G174" s="456"/>
      <c r="H174" s="200"/>
      <c r="I174" s="194"/>
      <c r="J174" s="194"/>
      <c r="K174" s="118"/>
      <c r="L174" s="134"/>
      <c r="M174" s="134"/>
      <c r="N174" s="134"/>
      <c r="O174" s="134"/>
      <c r="P174" s="134"/>
      <c r="Q174" s="134"/>
      <c r="R174" s="134"/>
      <c r="S174" s="118"/>
      <c r="T174" s="118"/>
      <c r="U174" s="118"/>
    </row>
    <row r="175" spans="1:23" s="73" customFormat="1" ht="16.5" customHeight="1" x14ac:dyDescent="0.2">
      <c r="A175" s="835" t="s">
        <v>222</v>
      </c>
      <c r="B175" s="836"/>
      <c r="C175" s="836"/>
      <c r="D175" s="836"/>
      <c r="E175" s="836"/>
      <c r="F175" s="837"/>
      <c r="G175" s="456"/>
      <c r="H175" s="201"/>
      <c r="I175" s="170"/>
      <c r="J175" s="170"/>
      <c r="K175" s="118"/>
      <c r="L175" s="134"/>
      <c r="M175" s="134"/>
      <c r="N175" s="134"/>
      <c r="O175" s="134"/>
      <c r="P175" s="134"/>
      <c r="Q175" s="134"/>
      <c r="R175" s="134"/>
      <c r="S175" s="118"/>
      <c r="T175" s="118"/>
      <c r="U175" s="118"/>
    </row>
    <row r="176" spans="1:23" ht="16.5" thickBot="1" x14ac:dyDescent="0.25">
      <c r="A176" s="832" t="s">
        <v>223</v>
      </c>
      <c r="B176" s="833"/>
      <c r="C176" s="833"/>
      <c r="D176" s="833"/>
      <c r="E176" s="833"/>
      <c r="F176" s="834"/>
      <c r="G176" s="176"/>
      <c r="H176" s="176"/>
      <c r="I176" s="176"/>
      <c r="J176" s="169"/>
      <c r="K176" s="169"/>
      <c r="L176" s="169"/>
      <c r="M176" s="169"/>
      <c r="N176" s="169"/>
      <c r="O176" s="169"/>
      <c r="P176" s="169"/>
      <c r="Q176" s="169"/>
      <c r="R176" s="169"/>
      <c r="S176" s="169"/>
      <c r="T176" s="169"/>
      <c r="U176" s="169"/>
    </row>
    <row r="177" spans="1:21" x14ac:dyDescent="0.2">
      <c r="A177" s="551" t="s">
        <v>224</v>
      </c>
      <c r="B177" s="450" t="s">
        <v>225</v>
      </c>
      <c r="C177" s="552" t="s">
        <v>226</v>
      </c>
      <c r="D177" s="553" t="s">
        <v>227</v>
      </c>
      <c r="E177" s="176"/>
      <c r="F177" s="176"/>
      <c r="G177" s="176"/>
      <c r="H177" s="169"/>
      <c r="I177" s="169"/>
      <c r="J177" s="169"/>
      <c r="K177" s="169"/>
      <c r="L177" s="169"/>
      <c r="M177" s="169"/>
      <c r="N177" s="169"/>
      <c r="O177" s="169"/>
      <c r="P177" s="169"/>
      <c r="Q177" s="169"/>
      <c r="R177" s="169"/>
    </row>
    <row r="178" spans="1:21" s="192" customFormat="1" x14ac:dyDescent="0.2">
      <c r="A178" s="203"/>
      <c r="B178" s="204" t="s">
        <v>344</v>
      </c>
      <c r="C178" s="205" t="s">
        <v>417</v>
      </c>
      <c r="D178" s="206">
        <v>1</v>
      </c>
      <c r="E178" s="191"/>
      <c r="F178" s="191"/>
      <c r="G178" s="191"/>
    </row>
    <row r="179" spans="1:21" s="192" customFormat="1" x14ac:dyDescent="0.2">
      <c r="A179" s="203"/>
      <c r="B179" s="204" t="s">
        <v>344</v>
      </c>
      <c r="C179" s="205" t="s">
        <v>418</v>
      </c>
      <c r="D179" s="206">
        <v>1.2</v>
      </c>
      <c r="E179" s="191"/>
      <c r="F179" s="191"/>
      <c r="G179" s="191"/>
    </row>
    <row r="180" spans="1:21" s="192" customFormat="1" ht="16.5" thickBot="1" x14ac:dyDescent="0.25">
      <c r="A180" s="207"/>
      <c r="B180" s="208"/>
      <c r="C180" s="209"/>
      <c r="D180" s="210"/>
      <c r="E180" s="191"/>
      <c r="F180" s="191"/>
      <c r="G180" s="191"/>
    </row>
    <row r="181" spans="1:21" ht="16.5" thickBot="1" x14ac:dyDescent="0.25"/>
    <row r="182" spans="1:21" s="73" customFormat="1" ht="16.5" thickBot="1" x14ac:dyDescent="0.25">
      <c r="A182" s="822" t="s">
        <v>228</v>
      </c>
      <c r="B182" s="823"/>
      <c r="C182" s="823"/>
      <c r="D182" s="823"/>
      <c r="E182" s="823"/>
      <c r="F182" s="823"/>
      <c r="G182" s="823"/>
      <c r="H182" s="823"/>
      <c r="I182" s="824"/>
      <c r="J182" s="169"/>
      <c r="K182" s="118"/>
      <c r="L182" s="134"/>
      <c r="M182" s="134"/>
      <c r="N182" s="134"/>
      <c r="O182" s="134"/>
      <c r="P182" s="134"/>
      <c r="Q182" s="134"/>
      <c r="R182" s="134"/>
      <c r="S182" s="118"/>
      <c r="T182" s="118"/>
      <c r="U182" s="118"/>
    </row>
    <row r="183" spans="1:21" s="73" customFormat="1" x14ac:dyDescent="0.2">
      <c r="A183" s="554" t="s">
        <v>229</v>
      </c>
      <c r="B183" s="213"/>
      <c r="C183" s="214"/>
      <c r="D183" s="214"/>
      <c r="E183" s="214"/>
      <c r="F183" s="214"/>
      <c r="G183" s="215"/>
      <c r="H183" s="216"/>
      <c r="I183" s="217"/>
      <c r="J183" s="170"/>
      <c r="K183" s="118"/>
      <c r="L183" s="134"/>
      <c r="M183" s="134"/>
      <c r="N183" s="134"/>
      <c r="O183" s="134"/>
      <c r="P183" s="134"/>
      <c r="Q183" s="134"/>
      <c r="R183" s="134"/>
      <c r="S183" s="118"/>
      <c r="T183" s="118"/>
      <c r="U183" s="118"/>
    </row>
    <row r="184" spans="1:21" s="218" customFormat="1" ht="116.25" customHeight="1" x14ac:dyDescent="0.2">
      <c r="A184" s="281" t="s">
        <v>473</v>
      </c>
      <c r="B184" s="1017" t="s">
        <v>892</v>
      </c>
      <c r="C184" s="1018"/>
      <c r="D184" s="1018"/>
      <c r="E184" s="1018"/>
      <c r="F184" s="1018"/>
      <c r="G184" s="1018"/>
      <c r="H184" s="1018"/>
      <c r="I184" s="1019"/>
    </row>
    <row r="185" spans="1:21" s="218" customFormat="1" x14ac:dyDescent="0.2">
      <c r="A185" s="281"/>
      <c r="B185" s="816"/>
      <c r="C185" s="817"/>
      <c r="D185" s="817"/>
      <c r="E185" s="817"/>
      <c r="F185" s="817"/>
      <c r="G185" s="817"/>
      <c r="H185" s="817"/>
      <c r="I185" s="818"/>
    </row>
    <row r="186" spans="1:21" s="218" customFormat="1" x14ac:dyDescent="0.2">
      <c r="A186" s="281"/>
      <c r="B186" s="816"/>
      <c r="C186" s="817"/>
      <c r="D186" s="817"/>
      <c r="E186" s="817"/>
      <c r="F186" s="817"/>
      <c r="G186" s="817"/>
      <c r="H186" s="817"/>
      <c r="I186" s="818"/>
    </row>
    <row r="187" spans="1:21" s="218" customFormat="1" x14ac:dyDescent="0.2">
      <c r="A187" s="281"/>
      <c r="B187" s="816"/>
      <c r="C187" s="817"/>
      <c r="D187" s="817"/>
      <c r="E187" s="817"/>
      <c r="F187" s="817"/>
      <c r="G187" s="817"/>
      <c r="H187" s="817"/>
      <c r="I187" s="818"/>
    </row>
    <row r="188" spans="1:21" s="218" customFormat="1" x14ac:dyDescent="0.2">
      <c r="A188" s="281"/>
      <c r="B188" s="816"/>
      <c r="C188" s="817"/>
      <c r="D188" s="817"/>
      <c r="E188" s="817"/>
      <c r="F188" s="817"/>
      <c r="G188" s="817"/>
      <c r="H188" s="817"/>
      <c r="I188" s="818"/>
    </row>
    <row r="189" spans="1:21" s="218" customFormat="1" x14ac:dyDescent="0.2">
      <c r="A189" s="281"/>
      <c r="B189" s="816"/>
      <c r="C189" s="817"/>
      <c r="D189" s="817"/>
      <c r="E189" s="817"/>
      <c r="F189" s="817"/>
      <c r="G189" s="817"/>
      <c r="H189" s="817"/>
      <c r="I189" s="818"/>
    </row>
    <row r="190" spans="1:21" s="218" customFormat="1" x14ac:dyDescent="0.2">
      <c r="A190" s="281"/>
      <c r="B190" s="816"/>
      <c r="C190" s="817"/>
      <c r="D190" s="817"/>
      <c r="E190" s="817"/>
      <c r="F190" s="817"/>
      <c r="G190" s="817"/>
      <c r="H190" s="817"/>
      <c r="I190" s="818"/>
    </row>
    <row r="191" spans="1:21" s="218" customFormat="1" x14ac:dyDescent="0.2">
      <c r="A191" s="281"/>
      <c r="B191" s="816"/>
      <c r="C191" s="817"/>
      <c r="D191" s="817"/>
      <c r="E191" s="817"/>
      <c r="F191" s="817"/>
      <c r="G191" s="817"/>
      <c r="H191" s="817"/>
      <c r="I191" s="818"/>
    </row>
    <row r="192" spans="1:21" s="218" customFormat="1" x14ac:dyDescent="0.2">
      <c r="A192" s="281"/>
      <c r="B192" s="816"/>
      <c r="C192" s="817"/>
      <c r="D192" s="817"/>
      <c r="E192" s="817"/>
      <c r="F192" s="817"/>
      <c r="G192" s="817"/>
      <c r="H192" s="817"/>
      <c r="I192" s="818"/>
    </row>
    <row r="193" spans="1:14" s="218" customFormat="1" x14ac:dyDescent="0.2">
      <c r="A193" s="281"/>
      <c r="B193" s="816"/>
      <c r="C193" s="817"/>
      <c r="D193" s="817"/>
      <c r="E193" s="817"/>
      <c r="F193" s="817"/>
      <c r="G193" s="817"/>
      <c r="H193" s="817"/>
      <c r="I193" s="818"/>
    </row>
    <row r="194" spans="1:14" s="218" customFormat="1" x14ac:dyDescent="0.2">
      <c r="A194" s="281"/>
      <c r="B194" s="816"/>
      <c r="C194" s="817"/>
      <c r="D194" s="817"/>
      <c r="E194" s="817"/>
      <c r="F194" s="817"/>
      <c r="G194" s="817"/>
      <c r="H194" s="817"/>
      <c r="I194" s="818"/>
    </row>
    <row r="195" spans="1:14" s="218" customFormat="1" x14ac:dyDescent="0.2">
      <c r="A195" s="281"/>
      <c r="B195" s="816"/>
      <c r="C195" s="817"/>
      <c r="D195" s="817"/>
      <c r="E195" s="817"/>
      <c r="F195" s="817"/>
      <c r="G195" s="817"/>
      <c r="H195" s="817"/>
      <c r="I195" s="818"/>
    </row>
    <row r="196" spans="1:14" s="218" customFormat="1" x14ac:dyDescent="0.2">
      <c r="A196" s="281"/>
      <c r="B196" s="816"/>
      <c r="C196" s="817"/>
      <c r="D196" s="817"/>
      <c r="E196" s="817"/>
      <c r="F196" s="817"/>
      <c r="G196" s="817"/>
      <c r="H196" s="817"/>
      <c r="I196" s="818"/>
    </row>
    <row r="197" spans="1:14" s="218" customFormat="1" ht="16.5" thickBot="1" x14ac:dyDescent="0.25">
      <c r="A197" s="282"/>
      <c r="B197" s="819"/>
      <c r="C197" s="820"/>
      <c r="D197" s="820"/>
      <c r="E197" s="820"/>
      <c r="F197" s="820"/>
      <c r="G197" s="820"/>
      <c r="H197" s="820"/>
      <c r="I197" s="821"/>
    </row>
    <row r="199" spans="1:14" s="218" customFormat="1" x14ac:dyDescent="0.2">
      <c r="F199" s="337"/>
      <c r="G199" s="337"/>
      <c r="H199" s="337"/>
      <c r="I199" s="337"/>
    </row>
    <row r="200" spans="1:14" s="218" customFormat="1" ht="16.5" thickBot="1" x14ac:dyDescent="0.25">
      <c r="F200" s="337"/>
      <c r="G200" s="337"/>
      <c r="H200" s="337"/>
      <c r="I200" s="337"/>
    </row>
    <row r="201" spans="1:14" s="218" customFormat="1" ht="16.5" thickBot="1" x14ac:dyDescent="0.25">
      <c r="A201" s="825" t="s">
        <v>3</v>
      </c>
      <c r="B201" s="826"/>
      <c r="F201" s="337"/>
      <c r="G201" s="337"/>
      <c r="H201" s="337"/>
      <c r="I201" s="337"/>
    </row>
    <row r="202" spans="1:14" s="347" customFormat="1" ht="16.5" thickBot="1" x14ac:dyDescent="0.25">
      <c r="A202" s="338"/>
      <c r="B202" s="338"/>
      <c r="F202" s="348"/>
      <c r="G202" s="348"/>
      <c r="H202" s="348"/>
      <c r="I202" s="348"/>
    </row>
    <row r="203" spans="1:14" s="218" customFormat="1" ht="15.75" customHeight="1" thickBot="1" x14ac:dyDescent="0.25">
      <c r="A203" s="800" t="s">
        <v>2</v>
      </c>
      <c r="B203" s="801"/>
      <c r="C203" s="801"/>
      <c r="D203" s="801"/>
      <c r="E203" s="801"/>
      <c r="F203" s="801"/>
      <c r="G203" s="802"/>
      <c r="H203" s="337"/>
      <c r="I203" s="337"/>
    </row>
    <row r="204" spans="1:14" s="347" customFormat="1" ht="15.75" customHeight="1" thickBot="1" x14ac:dyDescent="0.25">
      <c r="A204" s="338"/>
      <c r="B204" s="338"/>
      <c r="C204" s="338"/>
      <c r="D204" s="338"/>
      <c r="E204" s="338"/>
      <c r="F204" s="338"/>
      <c r="G204" s="338"/>
      <c r="H204" s="348"/>
      <c r="I204" s="348"/>
    </row>
    <row r="205" spans="1:14" s="218" customFormat="1" ht="15.75" customHeight="1" thickBot="1" x14ac:dyDescent="0.25">
      <c r="A205" s="807" t="s">
        <v>1</v>
      </c>
      <c r="B205" s="808"/>
      <c r="C205" s="808"/>
      <c r="D205" s="808"/>
      <c r="E205" s="809"/>
      <c r="F205" s="339"/>
      <c r="G205" s="339"/>
      <c r="H205" s="337"/>
      <c r="I205" s="337"/>
    </row>
    <row r="206" spans="1:14" s="218" customFormat="1" x14ac:dyDescent="0.2">
      <c r="A206" s="803" t="s">
        <v>627</v>
      </c>
      <c r="B206" s="805" t="s">
        <v>888</v>
      </c>
      <c r="C206" s="786" t="s">
        <v>0</v>
      </c>
      <c r="D206" s="786" t="s">
        <v>609</v>
      </c>
      <c r="E206" s="805" t="s">
        <v>889</v>
      </c>
      <c r="F206" s="786" t="s">
        <v>436</v>
      </c>
      <c r="G206" s="786" t="s">
        <v>421</v>
      </c>
      <c r="H206" s="786" t="s">
        <v>628</v>
      </c>
      <c r="I206" s="786" t="s">
        <v>11</v>
      </c>
      <c r="J206" s="786" t="s">
        <v>12</v>
      </c>
      <c r="K206" s="786" t="s">
        <v>13</v>
      </c>
      <c r="L206" s="786" t="s">
        <v>449</v>
      </c>
      <c r="M206" s="786" t="s">
        <v>610</v>
      </c>
      <c r="N206" s="788"/>
    </row>
    <row r="207" spans="1:14" s="218" customFormat="1" ht="32.25" customHeight="1" thickBot="1" x14ac:dyDescent="0.25">
      <c r="A207" s="804"/>
      <c r="B207" s="806"/>
      <c r="C207" s="787"/>
      <c r="D207" s="787"/>
      <c r="E207" s="806"/>
      <c r="F207" s="787"/>
      <c r="G207" s="787"/>
      <c r="H207" s="787"/>
      <c r="I207" s="787"/>
      <c r="J207" s="787"/>
      <c r="K207" s="787"/>
      <c r="L207" s="787"/>
      <c r="M207" s="787"/>
      <c r="N207" s="789"/>
    </row>
    <row r="208" spans="1:14" s="218" customFormat="1" x14ac:dyDescent="0.2">
      <c r="A208" s="344"/>
      <c r="B208" s="340"/>
      <c r="C208" s="394"/>
      <c r="D208" s="340"/>
      <c r="E208" s="340"/>
      <c r="F208" s="340"/>
      <c r="G208" s="340"/>
      <c r="H208" s="340"/>
      <c r="I208" s="340"/>
      <c r="J208" s="340"/>
      <c r="K208" s="340"/>
      <c r="L208" s="661"/>
      <c r="M208" s="810"/>
      <c r="N208" s="811"/>
    </row>
    <row r="209" spans="1:31" s="218" customFormat="1" x14ac:dyDescent="0.2">
      <c r="A209" s="345"/>
      <c r="B209" s="341"/>
      <c r="C209" s="392"/>
      <c r="D209" s="341"/>
      <c r="E209" s="341"/>
      <c r="F209" s="341"/>
      <c r="G209" s="341"/>
      <c r="H209" s="341"/>
      <c r="I209" s="341"/>
      <c r="J209" s="341"/>
      <c r="K209" s="341"/>
      <c r="L209" s="662"/>
      <c r="M209" s="790"/>
      <c r="N209" s="791"/>
    </row>
    <row r="210" spans="1:31" s="218" customFormat="1" x14ac:dyDescent="0.2">
      <c r="A210" s="345"/>
      <c r="B210" s="341"/>
      <c r="C210" s="392"/>
      <c r="D210" s="341"/>
      <c r="E210" s="341"/>
      <c r="F210" s="341"/>
      <c r="G210" s="341"/>
      <c r="H210" s="341"/>
      <c r="I210" s="341"/>
      <c r="J210" s="341"/>
      <c r="K210" s="341"/>
      <c r="L210" s="662"/>
      <c r="M210" s="790"/>
      <c r="N210" s="791"/>
    </row>
    <row r="211" spans="1:31" s="218" customFormat="1" x14ac:dyDescent="0.2">
      <c r="A211" s="345"/>
      <c r="B211" s="341"/>
      <c r="C211" s="392"/>
      <c r="D211" s="341"/>
      <c r="E211" s="341"/>
      <c r="F211" s="341"/>
      <c r="G211" s="341"/>
      <c r="H211" s="341"/>
      <c r="I211" s="341"/>
      <c r="J211" s="341"/>
      <c r="K211" s="341"/>
      <c r="L211" s="662"/>
      <c r="M211" s="790"/>
      <c r="N211" s="791"/>
    </row>
    <row r="212" spans="1:31" s="218" customFormat="1" x14ac:dyDescent="0.2">
      <c r="A212" s="345"/>
      <c r="B212" s="341"/>
      <c r="C212" s="392"/>
      <c r="D212" s="341"/>
      <c r="E212" s="341"/>
      <c r="F212" s="341"/>
      <c r="G212" s="341"/>
      <c r="H212" s="341"/>
      <c r="I212" s="341"/>
      <c r="J212" s="341"/>
      <c r="K212" s="341"/>
      <c r="L212" s="662"/>
      <c r="M212" s="790"/>
      <c r="N212" s="791"/>
    </row>
    <row r="213" spans="1:31" s="218" customFormat="1" ht="16.5" thickBot="1" x14ac:dyDescent="0.25">
      <c r="A213" s="346"/>
      <c r="B213" s="342"/>
      <c r="C213" s="336"/>
      <c r="D213" s="342"/>
      <c r="E213" s="342"/>
      <c r="F213" s="342"/>
      <c r="G213" s="342"/>
      <c r="H213" s="342"/>
      <c r="I213" s="342"/>
      <c r="J213" s="342"/>
      <c r="K213" s="342"/>
      <c r="L213" s="663"/>
      <c r="M213" s="794"/>
      <c r="N213" s="795"/>
    </row>
    <row r="214" spans="1:31" s="218" customFormat="1" x14ac:dyDescent="0.2">
      <c r="F214" s="337"/>
      <c r="G214" s="337"/>
      <c r="H214" s="337"/>
      <c r="I214" s="337"/>
    </row>
    <row r="215" spans="1:31" s="218" customFormat="1" ht="16.5" thickBot="1" x14ac:dyDescent="0.25">
      <c r="F215" s="337"/>
      <c r="G215" s="337"/>
      <c r="H215" s="337"/>
      <c r="I215" s="337"/>
    </row>
    <row r="216" spans="1:31" s="218" customFormat="1" ht="16.5" thickBot="1" x14ac:dyDescent="0.25">
      <c r="A216" s="800" t="s">
        <v>790</v>
      </c>
      <c r="B216" s="801"/>
      <c r="C216" s="801"/>
      <c r="D216" s="801"/>
      <c r="E216" s="801"/>
      <c r="F216" s="801"/>
      <c r="G216" s="802"/>
      <c r="H216" s="337"/>
      <c r="I216" s="337"/>
    </row>
    <row r="217" spans="1:31" s="192" customFormat="1" ht="16.5" thickBot="1" x14ac:dyDescent="0.25">
      <c r="F217" s="191"/>
      <c r="G217" s="191"/>
      <c r="H217" s="191"/>
      <c r="I217" s="191"/>
    </row>
    <row r="218" spans="1:31" s="218" customFormat="1" ht="16.5" thickBot="1" x14ac:dyDescent="0.25">
      <c r="A218" s="807" t="s">
        <v>1</v>
      </c>
      <c r="B218" s="808"/>
      <c r="C218" s="808"/>
      <c r="D218" s="808"/>
      <c r="E218" s="808"/>
      <c r="F218" s="808"/>
      <c r="G218" s="808"/>
      <c r="H218" s="809"/>
      <c r="I218" s="337"/>
    </row>
    <row r="219" spans="1:31" s="1169" customFormat="1" ht="36.75" customHeight="1" thickBot="1" x14ac:dyDescent="0.25">
      <c r="A219" s="803" t="s">
        <v>627</v>
      </c>
      <c r="B219" s="805" t="s">
        <v>888</v>
      </c>
      <c r="C219" s="786" t="s">
        <v>0</v>
      </c>
      <c r="D219" s="786" t="s">
        <v>609</v>
      </c>
      <c r="E219" s="805" t="s">
        <v>889</v>
      </c>
      <c r="F219" s="971" t="s">
        <v>42</v>
      </c>
      <c r="G219" s="1165" t="s">
        <v>789</v>
      </c>
      <c r="H219" s="1163"/>
      <c r="I219" s="1163"/>
      <c r="J219" s="1163"/>
      <c r="K219" s="1163"/>
      <c r="L219" s="1163"/>
      <c r="M219" s="1163"/>
      <c r="N219" s="1163"/>
      <c r="O219" s="1163"/>
      <c r="P219" s="1163"/>
      <c r="Q219" s="1163"/>
      <c r="R219" s="1163"/>
      <c r="S219" s="1163"/>
      <c r="T219" s="1163"/>
      <c r="U219" s="1163"/>
      <c r="V219" s="1164"/>
      <c r="W219" s="930" t="s">
        <v>436</v>
      </c>
      <c r="X219" s="786" t="s">
        <v>421</v>
      </c>
      <c r="Y219" s="786" t="s">
        <v>628</v>
      </c>
      <c r="Z219" s="786" t="s">
        <v>11</v>
      </c>
      <c r="AA219" s="786" t="s">
        <v>12</v>
      </c>
      <c r="AB219" s="786" t="s">
        <v>13</v>
      </c>
      <c r="AC219" s="786" t="s">
        <v>449</v>
      </c>
      <c r="AD219" s="971" t="s">
        <v>610</v>
      </c>
      <c r="AE219" s="1161"/>
    </row>
    <row r="220" spans="1:31" s="1169" customFormat="1" ht="45.75" customHeight="1" thickBot="1" x14ac:dyDescent="0.25">
      <c r="A220" s="804"/>
      <c r="B220" s="806"/>
      <c r="C220" s="787"/>
      <c r="D220" s="787"/>
      <c r="E220" s="806"/>
      <c r="F220" s="787"/>
      <c r="G220" s="1186" t="s">
        <v>432</v>
      </c>
      <c r="H220" s="1186" t="s">
        <v>1380</v>
      </c>
      <c r="I220" s="1186" t="s">
        <v>1381</v>
      </c>
      <c r="J220" s="1186" t="s">
        <v>1382</v>
      </c>
      <c r="K220" s="1186" t="s">
        <v>433</v>
      </c>
      <c r="L220" s="1186" t="s">
        <v>1383</v>
      </c>
      <c r="M220" s="1182" t="s">
        <v>1386</v>
      </c>
      <c r="N220" s="1182" t="s">
        <v>1387</v>
      </c>
      <c r="O220" s="1186" t="s">
        <v>434</v>
      </c>
      <c r="P220" s="1186" t="s">
        <v>1384</v>
      </c>
      <c r="Q220" s="1182" t="s">
        <v>1388</v>
      </c>
      <c r="R220" s="1182" t="s">
        <v>1389</v>
      </c>
      <c r="S220" s="1186" t="s">
        <v>435</v>
      </c>
      <c r="T220" s="1186" t="s">
        <v>1385</v>
      </c>
      <c r="U220" s="1182" t="s">
        <v>1390</v>
      </c>
      <c r="V220" s="1182" t="s">
        <v>1391</v>
      </c>
      <c r="W220" s="959"/>
      <c r="X220" s="787"/>
      <c r="Y220" s="787"/>
      <c r="Z220" s="787"/>
      <c r="AA220" s="787"/>
      <c r="AB220" s="787"/>
      <c r="AC220" s="787"/>
      <c r="AD220" s="972"/>
      <c r="AE220" s="1162"/>
    </row>
    <row r="221" spans="1:31" s="1169" customFormat="1" x14ac:dyDescent="0.2">
      <c r="A221" s="1176"/>
      <c r="B221" s="1173"/>
      <c r="C221" s="1171"/>
      <c r="D221" s="1173"/>
      <c r="E221" s="1173"/>
      <c r="F221" s="1179"/>
      <c r="G221" s="1173"/>
      <c r="H221" s="1173"/>
      <c r="I221" s="1173"/>
      <c r="J221" s="1173"/>
      <c r="K221" s="1173"/>
      <c r="L221" s="1173"/>
      <c r="M221" s="1173"/>
      <c r="N221" s="1173"/>
      <c r="O221" s="1173"/>
      <c r="P221" s="1173"/>
      <c r="Q221" s="1173"/>
      <c r="R221" s="1173"/>
      <c r="S221" s="1173"/>
      <c r="T221" s="1173"/>
      <c r="U221" s="1173"/>
      <c r="V221" s="1173"/>
      <c r="W221" s="1173"/>
      <c r="X221" s="1173"/>
      <c r="Y221" s="1173"/>
      <c r="Z221" s="1173"/>
      <c r="AA221" s="1173"/>
      <c r="AB221" s="1173"/>
      <c r="AC221" s="1183"/>
      <c r="AD221" s="796"/>
      <c r="AE221" s="797"/>
    </row>
    <row r="222" spans="1:31" s="1169" customFormat="1" x14ac:dyDescent="0.2">
      <c r="A222" s="1177"/>
      <c r="B222" s="1174"/>
      <c r="C222" s="1170"/>
      <c r="D222" s="1174"/>
      <c r="E222" s="1174"/>
      <c r="F222" s="1180"/>
      <c r="G222" s="1174"/>
      <c r="H222" s="1174"/>
      <c r="I222" s="1174"/>
      <c r="J222" s="1174"/>
      <c r="K222" s="1174"/>
      <c r="L222" s="1174"/>
      <c r="M222" s="1174"/>
      <c r="N222" s="1174"/>
      <c r="O222" s="1174"/>
      <c r="P222" s="1174"/>
      <c r="Q222" s="1174"/>
      <c r="R222" s="1174"/>
      <c r="S222" s="1174"/>
      <c r="T222" s="1174"/>
      <c r="U222" s="1174"/>
      <c r="V222" s="1174"/>
      <c r="W222" s="1174"/>
      <c r="X222" s="1174"/>
      <c r="Y222" s="1174"/>
      <c r="Z222" s="1174"/>
      <c r="AA222" s="1174"/>
      <c r="AB222" s="1174"/>
      <c r="AC222" s="1184"/>
      <c r="AD222" s="798"/>
      <c r="AE222" s="799"/>
    </row>
    <row r="223" spans="1:31" s="1169" customFormat="1" x14ac:dyDescent="0.2">
      <c r="A223" s="1177"/>
      <c r="B223" s="1174"/>
      <c r="C223" s="1170"/>
      <c r="D223" s="1174"/>
      <c r="E223" s="1174"/>
      <c r="F223" s="1180"/>
      <c r="G223" s="1174"/>
      <c r="H223" s="1174"/>
      <c r="I223" s="1174"/>
      <c r="J223" s="1174"/>
      <c r="K223" s="1174"/>
      <c r="L223" s="1174"/>
      <c r="M223" s="1174"/>
      <c r="N223" s="1174"/>
      <c r="O223" s="1174"/>
      <c r="P223" s="1174"/>
      <c r="Q223" s="1174"/>
      <c r="R223" s="1174"/>
      <c r="S223" s="1174"/>
      <c r="T223" s="1174"/>
      <c r="U223" s="1174"/>
      <c r="V223" s="1174"/>
      <c r="W223" s="1174"/>
      <c r="X223" s="1174"/>
      <c r="Y223" s="1174"/>
      <c r="Z223" s="1174"/>
      <c r="AA223" s="1174"/>
      <c r="AB223" s="1174"/>
      <c r="AC223" s="1184"/>
      <c r="AD223" s="798"/>
      <c r="AE223" s="799"/>
    </row>
    <row r="224" spans="1:31" s="1169" customFormat="1" x14ac:dyDescent="0.2">
      <c r="A224" s="1177"/>
      <c r="B224" s="1174"/>
      <c r="C224" s="1170"/>
      <c r="D224" s="1174"/>
      <c r="E224" s="1174"/>
      <c r="F224" s="1180"/>
      <c r="G224" s="1174"/>
      <c r="H224" s="1174"/>
      <c r="I224" s="1174"/>
      <c r="J224" s="1174"/>
      <c r="K224" s="1174"/>
      <c r="L224" s="1174"/>
      <c r="M224" s="1174"/>
      <c r="N224" s="1174"/>
      <c r="O224" s="1174"/>
      <c r="P224" s="1174"/>
      <c r="Q224" s="1174"/>
      <c r="R224" s="1174"/>
      <c r="S224" s="1174"/>
      <c r="T224" s="1174"/>
      <c r="U224" s="1174"/>
      <c r="V224" s="1174"/>
      <c r="W224" s="1174"/>
      <c r="X224" s="1174"/>
      <c r="Y224" s="1174"/>
      <c r="Z224" s="1174"/>
      <c r="AA224" s="1174"/>
      <c r="AB224" s="1174"/>
      <c r="AC224" s="1184"/>
      <c r="AD224" s="798"/>
      <c r="AE224" s="799"/>
    </row>
    <row r="225" spans="1:31" s="1169" customFormat="1" x14ac:dyDescent="0.2">
      <c r="A225" s="1177"/>
      <c r="B225" s="1174"/>
      <c r="C225" s="1170"/>
      <c r="D225" s="1174"/>
      <c r="E225" s="1174"/>
      <c r="F225" s="1180"/>
      <c r="G225" s="1174"/>
      <c r="H225" s="1174"/>
      <c r="I225" s="1174"/>
      <c r="J225" s="1174"/>
      <c r="K225" s="1174"/>
      <c r="L225" s="1174"/>
      <c r="M225" s="1174"/>
      <c r="N225" s="1174"/>
      <c r="O225" s="1174"/>
      <c r="P225" s="1174"/>
      <c r="Q225" s="1174"/>
      <c r="R225" s="1174"/>
      <c r="S225" s="1174"/>
      <c r="T225" s="1174"/>
      <c r="U225" s="1174"/>
      <c r="V225" s="1174"/>
      <c r="W225" s="1174"/>
      <c r="X225" s="1174"/>
      <c r="Y225" s="1174"/>
      <c r="Z225" s="1174"/>
      <c r="AA225" s="1174"/>
      <c r="AB225" s="1174"/>
      <c r="AC225" s="1184"/>
      <c r="AD225" s="798"/>
      <c r="AE225" s="799"/>
    </row>
    <row r="226" spans="1:31" s="1169" customFormat="1" ht="16.5" thickBot="1" x14ac:dyDescent="0.25">
      <c r="A226" s="1178"/>
      <c r="B226" s="1175"/>
      <c r="C226" s="1172"/>
      <c r="D226" s="1175"/>
      <c r="E226" s="1175"/>
      <c r="F226" s="1181"/>
      <c r="G226" s="1175"/>
      <c r="H226" s="1175"/>
      <c r="I226" s="1175"/>
      <c r="J226" s="1175"/>
      <c r="K226" s="1175"/>
      <c r="L226" s="1175"/>
      <c r="M226" s="1175"/>
      <c r="N226" s="1175"/>
      <c r="O226" s="1175"/>
      <c r="P226" s="1175"/>
      <c r="Q226" s="1175"/>
      <c r="R226" s="1175"/>
      <c r="S226" s="1175"/>
      <c r="T226" s="1175"/>
      <c r="U226" s="1175"/>
      <c r="V226" s="1175"/>
      <c r="W226" s="1175"/>
      <c r="X226" s="1175"/>
      <c r="Y226" s="1175"/>
      <c r="Z226" s="1175"/>
      <c r="AA226" s="1175"/>
      <c r="AB226" s="1175"/>
      <c r="AC226" s="1185"/>
      <c r="AD226" s="792"/>
      <c r="AE226" s="793"/>
    </row>
    <row r="227" spans="1:31" s="218" customFormat="1" x14ac:dyDescent="0.2">
      <c r="F227" s="337"/>
      <c r="G227" s="337"/>
      <c r="H227" s="337"/>
      <c r="I227" s="337"/>
    </row>
    <row r="228" spans="1:31" s="218" customFormat="1" x14ac:dyDescent="0.2">
      <c r="F228" s="337"/>
      <c r="G228" s="337"/>
      <c r="H228" s="337"/>
      <c r="I228" s="337"/>
    </row>
    <row r="229" spans="1:31" s="218" customFormat="1" ht="16.5" thickBot="1" x14ac:dyDescent="0.25">
      <c r="F229" s="337"/>
      <c r="G229" s="337"/>
      <c r="H229" s="337"/>
      <c r="I229" s="337"/>
    </row>
    <row r="230" spans="1:31" ht="16.5" thickBot="1" x14ac:dyDescent="0.25">
      <c r="A230" s="555" t="s">
        <v>454</v>
      </c>
      <c r="B230" s="556" t="s">
        <v>455</v>
      </c>
    </row>
    <row r="231" spans="1:31" x14ac:dyDescent="0.2">
      <c r="A231" s="450" t="s">
        <v>456</v>
      </c>
      <c r="B231" s="557" t="s">
        <v>51</v>
      </c>
    </row>
    <row r="232" spans="1:31" x14ac:dyDescent="0.2">
      <c r="A232" s="558" t="s">
        <v>65</v>
      </c>
      <c r="B232" s="559" t="s">
        <v>51</v>
      </c>
    </row>
    <row r="233" spans="1:31" x14ac:dyDescent="0.2">
      <c r="A233" s="558" t="s">
        <v>257</v>
      </c>
      <c r="B233" s="559" t="s">
        <v>51</v>
      </c>
    </row>
    <row r="234" spans="1:31" x14ac:dyDescent="0.2">
      <c r="A234" s="558" t="s">
        <v>258</v>
      </c>
      <c r="B234" s="559" t="s">
        <v>51</v>
      </c>
    </row>
    <row r="235" spans="1:31" x14ac:dyDescent="0.2">
      <c r="A235" s="558" t="s">
        <v>259</v>
      </c>
      <c r="B235" s="559" t="s">
        <v>53</v>
      </c>
    </row>
    <row r="236" spans="1:31" x14ac:dyDescent="0.2">
      <c r="A236" s="558" t="s">
        <v>281</v>
      </c>
      <c r="B236" s="559" t="s">
        <v>53</v>
      </c>
    </row>
    <row r="237" spans="1:31" x14ac:dyDescent="0.2">
      <c r="A237" s="560" t="s">
        <v>279</v>
      </c>
      <c r="B237" s="559" t="s">
        <v>53</v>
      </c>
    </row>
    <row r="238" spans="1:31" x14ac:dyDescent="0.2">
      <c r="A238" s="560" t="s">
        <v>457</v>
      </c>
      <c r="B238" s="559" t="s">
        <v>53</v>
      </c>
      <c r="F238" s="69"/>
      <c r="G238" s="69"/>
      <c r="H238" s="69"/>
      <c r="I238" s="69"/>
    </row>
    <row r="239" spans="1:31" ht="16.5" thickBot="1" x14ac:dyDescent="0.25">
      <c r="A239" s="561" t="s">
        <v>460</v>
      </c>
      <c r="B239" s="562" t="s">
        <v>51</v>
      </c>
      <c r="F239" s="69"/>
      <c r="G239" s="69"/>
      <c r="H239" s="69"/>
      <c r="I239" s="69"/>
    </row>
  </sheetData>
  <sheetProtection formatCells="0" formatColumns="0" formatRows="0" insertColumns="0" insertRows="0" deleteColumns="0" deleteRows="0" sort="0" autoFilter="0"/>
  <autoFilter ref="A30:AB30" xr:uid="{00000000-0009-0000-0000-00001C000000}"/>
  <sortState xmlns:xlrd2="http://schemas.microsoft.com/office/spreadsheetml/2017/richdata2" ref="A106:A148">
    <sortCondition ref="A148"/>
  </sortState>
  <dataConsolidate>
    <dataRefs count="2">
      <dataRef ref="B9" sheet="APPENDIX B-1  (FE - USWC)"/>
      <dataRef ref="A14:A18" sheet="APPENDIX B-1  (FE - USWC)"/>
    </dataRefs>
  </dataConsolidate>
  <mergeCells count="287">
    <mergeCell ref="AD223:AE223"/>
    <mergeCell ref="AD224:AE224"/>
    <mergeCell ref="AD225:AE225"/>
    <mergeCell ref="AD226:AE226"/>
    <mergeCell ref="X219:X220"/>
    <mergeCell ref="Y219:Y220"/>
    <mergeCell ref="Z219:Z220"/>
    <mergeCell ref="AA219:AA220"/>
    <mergeCell ref="AB219:AB220"/>
    <mergeCell ref="AC219:AC220"/>
    <mergeCell ref="AD219:AE220"/>
    <mergeCell ref="AD221:AE221"/>
    <mergeCell ref="AD222:AE222"/>
    <mergeCell ref="B140:D140"/>
    <mergeCell ref="E140:G140"/>
    <mergeCell ref="B139:D139"/>
    <mergeCell ref="E139:G139"/>
    <mergeCell ref="B138:D138"/>
    <mergeCell ref="E138:G138"/>
    <mergeCell ref="B137:D137"/>
    <mergeCell ref="E137:G137"/>
    <mergeCell ref="B126:D126"/>
    <mergeCell ref="E126:G126"/>
    <mergeCell ref="B127:D127"/>
    <mergeCell ref="E127:G127"/>
    <mergeCell ref="B136:D136"/>
    <mergeCell ref="E136:G136"/>
    <mergeCell ref="B134:D134"/>
    <mergeCell ref="E134:G134"/>
    <mergeCell ref="B135:D135"/>
    <mergeCell ref="E135:G135"/>
    <mergeCell ref="B124:D124"/>
    <mergeCell ref="E124:G124"/>
    <mergeCell ref="B133:D133"/>
    <mergeCell ref="E133:G133"/>
    <mergeCell ref="B128:D128"/>
    <mergeCell ref="E128:G128"/>
    <mergeCell ref="B129:D129"/>
    <mergeCell ref="E129:G129"/>
    <mergeCell ref="B131:D131"/>
    <mergeCell ref="E131:G131"/>
    <mergeCell ref="B132:D132"/>
    <mergeCell ref="E132:G132"/>
    <mergeCell ref="B125:D125"/>
    <mergeCell ref="E125:G125"/>
    <mergeCell ref="B130:D130"/>
    <mergeCell ref="E130:G130"/>
    <mergeCell ref="B150:D150"/>
    <mergeCell ref="E150:G150"/>
    <mergeCell ref="E149:G149"/>
    <mergeCell ref="B141:D141"/>
    <mergeCell ref="E141:G141"/>
    <mergeCell ref="B142:D142"/>
    <mergeCell ref="B147:D147"/>
    <mergeCell ref="E147:G147"/>
    <mergeCell ref="B148:D148"/>
    <mergeCell ref="E148:G148"/>
    <mergeCell ref="B149:D149"/>
    <mergeCell ref="E142:G142"/>
    <mergeCell ref="B146:D146"/>
    <mergeCell ref="E146:G146"/>
    <mergeCell ref="B145:D145"/>
    <mergeCell ref="E145:G145"/>
    <mergeCell ref="B143:D143"/>
    <mergeCell ref="E143:G143"/>
    <mergeCell ref="B144:D144"/>
    <mergeCell ref="E144:G144"/>
    <mergeCell ref="G219:V219"/>
    <mergeCell ref="W219:W220"/>
    <mergeCell ref="A216:G216"/>
    <mergeCell ref="A218:H218"/>
    <mergeCell ref="A219:A220"/>
    <mergeCell ref="B219:B220"/>
    <mergeCell ref="C219:C220"/>
    <mergeCell ref="D219:D220"/>
    <mergeCell ref="E219:E220"/>
    <mergeCell ref="F219:F220"/>
    <mergeCell ref="M211:N211"/>
    <mergeCell ref="M212:N212"/>
    <mergeCell ref="M213:N213"/>
    <mergeCell ref="B196:I196"/>
    <mergeCell ref="B197:I197"/>
    <mergeCell ref="A201:B201"/>
    <mergeCell ref="A203:G203"/>
    <mergeCell ref="A205:E205"/>
    <mergeCell ref="A206:A207"/>
    <mergeCell ref="B206:B207"/>
    <mergeCell ref="J206:J207"/>
    <mergeCell ref="K206:K207"/>
    <mergeCell ref="M206:N207"/>
    <mergeCell ref="M208:N208"/>
    <mergeCell ref="M209:N209"/>
    <mergeCell ref="M210:N210"/>
    <mergeCell ref="I206:I207"/>
    <mergeCell ref="C206:C207"/>
    <mergeCell ref="D206:D207"/>
    <mergeCell ref="E206:E207"/>
    <mergeCell ref="F206:F207"/>
    <mergeCell ref="G206:G207"/>
    <mergeCell ref="H206:H207"/>
    <mergeCell ref="L206:L207"/>
    <mergeCell ref="B187:I187"/>
    <mergeCell ref="B188:I188"/>
    <mergeCell ref="B189:I189"/>
    <mergeCell ref="B190:I190"/>
    <mergeCell ref="B191:I191"/>
    <mergeCell ref="B192:I192"/>
    <mergeCell ref="B193:I193"/>
    <mergeCell ref="B194:I194"/>
    <mergeCell ref="B195:I195"/>
    <mergeCell ref="M164:M165"/>
    <mergeCell ref="A172:E172"/>
    <mergeCell ref="A174:F174"/>
    <mergeCell ref="A175:F175"/>
    <mergeCell ref="A176:F176"/>
    <mergeCell ref="A182:I182"/>
    <mergeCell ref="H164:H165"/>
    <mergeCell ref="I164:I165"/>
    <mergeCell ref="J164:J165"/>
    <mergeCell ref="K164:K165"/>
    <mergeCell ref="B184:I184"/>
    <mergeCell ref="B185:I185"/>
    <mergeCell ref="B186:I186"/>
    <mergeCell ref="J157:J158"/>
    <mergeCell ref="K157:K158"/>
    <mergeCell ref="L157:L158"/>
    <mergeCell ref="A164:D164"/>
    <mergeCell ref="E164:E165"/>
    <mergeCell ref="F164:F165"/>
    <mergeCell ref="G164:G165"/>
    <mergeCell ref="I157:I158"/>
    <mergeCell ref="L164:L165"/>
    <mergeCell ref="B151:D151"/>
    <mergeCell ref="E151:G151"/>
    <mergeCell ref="B153:D153"/>
    <mergeCell ref="E153:G153"/>
    <mergeCell ref="A154:I154"/>
    <mergeCell ref="A155:I155"/>
    <mergeCell ref="A157:D157"/>
    <mergeCell ref="E157:E158"/>
    <mergeCell ref="F157:F158"/>
    <mergeCell ref="G157:G158"/>
    <mergeCell ref="H157:H158"/>
    <mergeCell ref="B152:D152"/>
    <mergeCell ref="E152:G152"/>
    <mergeCell ref="B123:D123"/>
    <mergeCell ref="E123:G123"/>
    <mergeCell ref="B109:D109"/>
    <mergeCell ref="E109:G109"/>
    <mergeCell ref="B115:D115"/>
    <mergeCell ref="E115:G115"/>
    <mergeCell ref="B112:D112"/>
    <mergeCell ref="E112:G112"/>
    <mergeCell ref="B113:D113"/>
    <mergeCell ref="E113:G113"/>
    <mergeCell ref="B116:D116"/>
    <mergeCell ref="E116:G116"/>
    <mergeCell ref="B119:D119"/>
    <mergeCell ref="E119:G119"/>
    <mergeCell ref="B120:D120"/>
    <mergeCell ref="E120:G120"/>
    <mergeCell ref="B122:D122"/>
    <mergeCell ref="E122:G122"/>
    <mergeCell ref="B121:D121"/>
    <mergeCell ref="E121:G121"/>
    <mergeCell ref="B117:D117"/>
    <mergeCell ref="E117:G117"/>
    <mergeCell ref="B118:D118"/>
    <mergeCell ref="E118:G118"/>
    <mergeCell ref="B110:D110"/>
    <mergeCell ref="E110:G110"/>
    <mergeCell ref="B111:D111"/>
    <mergeCell ref="E111:G111"/>
    <mergeCell ref="B114:D114"/>
    <mergeCell ref="E114:G114"/>
    <mergeCell ref="A103:I103"/>
    <mergeCell ref="B98:D98"/>
    <mergeCell ref="B99:D99"/>
    <mergeCell ref="B100:D100"/>
    <mergeCell ref="B104:I104"/>
    <mergeCell ref="L106:L108"/>
    <mergeCell ref="M106:M108"/>
    <mergeCell ref="A107:G107"/>
    <mergeCell ref="A108:G108"/>
    <mergeCell ref="K106:K108"/>
    <mergeCell ref="J106:J108"/>
    <mergeCell ref="A106:G106"/>
    <mergeCell ref="H106:H108"/>
    <mergeCell ref="I106:I108"/>
    <mergeCell ref="AB64:AB65"/>
    <mergeCell ref="AC64:AC65"/>
    <mergeCell ref="B85:D85"/>
    <mergeCell ref="L64:L65"/>
    <mergeCell ref="M64:M65"/>
    <mergeCell ref="Z64:Z65"/>
    <mergeCell ref="AA64:AA65"/>
    <mergeCell ref="B96:D96"/>
    <mergeCell ref="B97:D97"/>
    <mergeCell ref="A88:C88"/>
    <mergeCell ref="A89:C89"/>
    <mergeCell ref="I64:I65"/>
    <mergeCell ref="J64:J65"/>
    <mergeCell ref="K64:K65"/>
    <mergeCell ref="F64:F65"/>
    <mergeCell ref="G64:G65"/>
    <mergeCell ref="H64:H65"/>
    <mergeCell ref="A64:A65"/>
    <mergeCell ref="A74:C74"/>
    <mergeCell ref="B81:D81"/>
    <mergeCell ref="B82:D82"/>
    <mergeCell ref="B83:D83"/>
    <mergeCell ref="X55:X56"/>
    <mergeCell ref="X30:X31"/>
    <mergeCell ref="Y30:Y31"/>
    <mergeCell ref="Z30:Z31"/>
    <mergeCell ref="AA30:AA31"/>
    <mergeCell ref="Y55:Y56"/>
    <mergeCell ref="Z55:Z56"/>
    <mergeCell ref="AA55:AA56"/>
    <mergeCell ref="K30:K31"/>
    <mergeCell ref="L30:L31"/>
    <mergeCell ref="K55:K56"/>
    <mergeCell ref="J17:K17"/>
    <mergeCell ref="L17:M17"/>
    <mergeCell ref="B20:H20"/>
    <mergeCell ref="B21:H21"/>
    <mergeCell ref="I30:I31"/>
    <mergeCell ref="J30:J31"/>
    <mergeCell ref="B84:D84"/>
    <mergeCell ref="A102:I102"/>
    <mergeCell ref="A63:D63"/>
    <mergeCell ref="A30:A31"/>
    <mergeCell ref="G55:G56"/>
    <mergeCell ref="H55:H56"/>
    <mergeCell ref="I55:I56"/>
    <mergeCell ref="J55:J56"/>
    <mergeCell ref="A55:A56"/>
    <mergeCell ref="B55:B56"/>
    <mergeCell ref="C55:C56"/>
    <mergeCell ref="B64:B65"/>
    <mergeCell ref="C64:C65"/>
    <mergeCell ref="D64:D65"/>
    <mergeCell ref="E64:E65"/>
    <mergeCell ref="A73:C73"/>
    <mergeCell ref="D55:D56"/>
    <mergeCell ref="E55:E56"/>
    <mergeCell ref="J16:K16"/>
    <mergeCell ref="L16:M16"/>
    <mergeCell ref="A6:B6"/>
    <mergeCell ref="C6:F6"/>
    <mergeCell ref="A7:B7"/>
    <mergeCell ref="C7:F7"/>
    <mergeCell ref="A8:B8"/>
    <mergeCell ref="C8:F8"/>
    <mergeCell ref="C4:F4"/>
    <mergeCell ref="A5:B5"/>
    <mergeCell ref="C5:F5"/>
    <mergeCell ref="A12:J12"/>
    <mergeCell ref="B13:I13"/>
    <mergeCell ref="J13:K13"/>
    <mergeCell ref="A4:B4"/>
    <mergeCell ref="L13:M13"/>
    <mergeCell ref="B14:I14"/>
    <mergeCell ref="J14:K14"/>
    <mergeCell ref="L14:M14"/>
    <mergeCell ref="B15:I15"/>
    <mergeCell ref="J15:K15"/>
    <mergeCell ref="L15:M15"/>
    <mergeCell ref="B16:I16"/>
    <mergeCell ref="F55:F56"/>
    <mergeCell ref="B30:B31"/>
    <mergeCell ref="C30:C31"/>
    <mergeCell ref="D30:D31"/>
    <mergeCell ref="E30:E31"/>
    <mergeCell ref="A1:B1"/>
    <mergeCell ref="C1:F1"/>
    <mergeCell ref="A2:B2"/>
    <mergeCell ref="C2:F2"/>
    <mergeCell ref="A3:B3"/>
    <mergeCell ref="C3:F3"/>
    <mergeCell ref="B22:H22"/>
    <mergeCell ref="B23:H23"/>
    <mergeCell ref="G30:G31"/>
    <mergeCell ref="H30:H31"/>
    <mergeCell ref="F30:F31"/>
    <mergeCell ref="B24:H24"/>
    <mergeCell ref="B17:I17"/>
  </mergeCells>
  <dataValidations count="33">
    <dataValidation type="list" allowBlank="1" showInputMessage="1" showErrorMessage="1" sqref="AA57:AA60 AC66:AC69 AA32:AA51" xr:uid="{00000000-0002-0000-1C00-000000000000}">
      <formula1>CST</formula1>
    </dataValidation>
    <dataValidation type="list" allowBlank="1" showErrorMessage="1" sqref="O55:W55 Q64:Y64 M30:W30" xr:uid="{00000000-0002-0000-1C00-000001000000}">
      <formula1>Exceptions</formula1>
    </dataValidation>
    <dataValidation type="list" allowBlank="1" showInputMessage="1" showErrorMessage="1" sqref="N66:N69" xr:uid="{00000000-0002-0000-1C00-000002000000}">
      <formula1>OOG</formula1>
    </dataValidation>
    <dataValidation type="list" allowBlank="1" showInputMessage="1" showErrorMessage="1" sqref="M57:M60 O66:O69" xr:uid="{00000000-0002-0000-1C00-000003000000}">
      <formula1>ShipperOwn</formula1>
    </dataValidation>
    <dataValidation type="list" allowBlank="1" showInputMessage="1" showErrorMessage="1" sqref="F57:F60 F66:F69 F32:F51" xr:uid="{00000000-0002-0000-1C00-000004000000}">
      <formula1>Mode</formula1>
    </dataValidation>
    <dataValidation type="list" allowBlank="1" showInputMessage="1" showErrorMessage="1" sqref="O56:W56" xr:uid="{00000000-0002-0000-1C00-000005000000}">
      <formula1>Reefer</formula1>
    </dataValidation>
    <dataValidation type="list" allowBlank="1" showInputMessage="1" showErrorMessage="1" sqref="Q65:Y65 M31:W31" xr:uid="{00000000-0002-0000-1C00-000006000000}">
      <formula1>Container</formula1>
    </dataValidation>
    <dataValidation type="list" allowBlank="1" showInputMessage="1" showErrorMessage="1" sqref="G57:G60 G66:G69 G32:G51" xr:uid="{00000000-0002-0000-1C00-000007000000}">
      <formula1>SDD</formula1>
    </dataValidation>
    <dataValidation type="list" allowBlank="1" showInputMessage="1" showErrorMessage="1" sqref="F82:F85 F97:F100" xr:uid="{00000000-0002-0000-1C00-000008000000}">
      <formula1>ArbMode</formula1>
    </dataValidation>
    <dataValidation type="list" allowBlank="1" showInputMessage="1" showErrorMessage="1" sqref="M66:M69" xr:uid="{00000000-0002-0000-1C00-000009000000}">
      <formula1>Equip</formula1>
    </dataValidation>
    <dataValidation type="list" allowBlank="1" showInputMessage="1" showErrorMessage="1" sqref="L57:L60 G97:G100 N57:N60 P66:P69 G82:G85" xr:uid="{00000000-0002-0000-1C00-00000A000000}">
      <formula1>YesNo</formula1>
    </dataValidation>
    <dataValidation type="list" allowBlank="1" showInputMessage="1" showErrorMessage="1" sqref="O82:P85 O97:P100" xr:uid="{00000000-0002-0000-1C00-00000B000000}">
      <formula1 xml:space="preserve"> droppull</formula1>
    </dataValidation>
    <dataValidation type="list" showDropDown="1" showErrorMessage="1" sqref="O81:P81 O96:P96" xr:uid="{00000000-0002-0000-1C00-00000C000000}">
      <formula1>Charges</formula1>
    </dataValidation>
    <dataValidation type="date" allowBlank="1" showInputMessage="1" showErrorMessage="1" sqref="X32:Y51 J109:K153" xr:uid="{00000000-0002-0000-1C00-00000D000000}">
      <formula1>10101</formula1>
      <formula2>311299</formula2>
    </dataValidation>
    <dataValidation type="list" showInputMessage="1" showErrorMessage="1" sqref="A208:A213 A221:A226" xr:uid="{00000000-0002-0000-1C00-00000E000000}">
      <formula1>BULLET</formula1>
    </dataValidation>
    <dataValidation type="list" allowBlank="1" showInputMessage="1" showErrorMessage="1" sqref="E159:E162 E166:E169" xr:uid="{00000000-0002-0000-1C00-00000F000000}">
      <formula1>GRIPSS_EQ</formula1>
    </dataValidation>
    <dataValidation type="decimal" allowBlank="1" showInputMessage="1" showErrorMessage="1" sqref="F166:I169 F159:I162 I66:L69 J97:M100 I57:K60 I32:L51" xr:uid="{00000000-0002-0000-1C00-000010000000}">
      <formula1>0</formula1>
      <formula2>999999999999999</formula2>
    </dataValidation>
    <dataValidation type="list" allowBlank="1" showInputMessage="1" showErrorMessage="1" sqref="J159:J162 J166:J169" xr:uid="{00000000-0002-0000-1C00-000011000000}">
      <formula1>GRIPSS</formula1>
    </dataValidation>
    <dataValidation type="list" showInputMessage="1" showErrorMessage="1" sqref="K159:K162 K166:K169 N97:N100 A66:A69 A57:A60 N82:N85 A32:A51" xr:uid="{00000000-0002-0000-1C00-000012000000}">
      <formula1>$A$14:$A$18</formula1>
    </dataValidation>
    <dataValidation type="decimal" allowBlank="1" showInputMessage="1" showErrorMessage="1" error="Only numbers may be entered into this field" sqref="H221:J226 L221:N226 P221:R226 T221:V226" xr:uid="{49F85D77-BDF2-4BB1-A154-AE57BDC2C9BF}">
      <formula1>1</formula1>
      <formula2>1000000000</formula2>
    </dataValidation>
    <dataValidation type="whole" allowBlank="1" showInputMessage="1" showErrorMessage="1" error="Only whole numbers may be entered into this field_x000a_" sqref="G221:G226 S221:S226 O221:O226 K221:K226" xr:uid="{10090697-142C-47D1-BB6D-2C08494AE54F}">
      <formula1>1</formula1>
      <formula2>99</formula2>
    </dataValidation>
    <dataValidation type="list" showInputMessage="1" showErrorMessage="1" sqref="E208:E213 E221:E226" xr:uid="{00000000-0002-0000-1C00-000015000000}">
      <formula1>DAYS</formula1>
    </dataValidation>
    <dataValidation type="whole" allowBlank="1" showInputMessage="1" showErrorMessage="1" error="Only whole numbers can be entered into this field" sqref="D208:D213 D221:D226" xr:uid="{00000000-0002-0000-1C00-000016000000}">
      <formula1>1</formula1>
      <formula2>99</formula2>
    </dataValidation>
    <dataValidation type="list" allowBlank="1" showInputMessage="1" showErrorMessage="1" sqref="F221:F226" xr:uid="{72A0C516-4EAA-4B2E-A65A-FA219AED265B}">
      <formula1>CURRENCY</formula1>
    </dataValidation>
    <dataValidation type="list" allowBlank="1" showInputMessage="1" showErrorMessage="1" sqref="G208:G213 X221:X226" xr:uid="{00000000-0002-0000-1C00-000018000000}">
      <formula1>OPREEFER</formula1>
    </dataValidation>
    <dataValidation type="list" allowBlank="1" showInputMessage="1" showErrorMessage="1" sqref="F208:F213 W221:W226" xr:uid="{00000000-0002-0000-1C00-000019000000}">
      <formula1>EQTYPE</formula1>
    </dataValidation>
    <dataValidation type="list" allowBlank="1" showInputMessage="1" showErrorMessage="1" sqref="B208:B213 B221:B226" xr:uid="{00000000-0002-0000-1C00-00001A000000}">
      <formula1>EXPIMP</formula1>
    </dataValidation>
    <dataValidation type="list" showInputMessage="1" showErrorMessage="1" sqref="C208:C213 C221:C226" xr:uid="{00000000-0002-0000-1C00-00001B000000}">
      <formula1>IF($B208="I",DDTARIFF,DDTARIFFUSE)</formula1>
    </dataValidation>
    <dataValidation type="list" allowBlank="1" showInputMessage="1" showErrorMessage="1" sqref="B231:B239" xr:uid="{00000000-0002-0000-1C00-00001C000000}">
      <formula1>Autom</formula1>
    </dataValidation>
    <dataValidation type="list" allowBlank="1" showInputMessage="1" showErrorMessage="1" errorTitle="Pick up the list" promptTitle="Blank = ALL" sqref="H109:H153" xr:uid="{00000000-0002-0000-1C00-00001D000000}">
      <formula1>Type_note2</formula1>
    </dataValidation>
    <dataValidation allowBlank="1" showInputMessage="1" showErrorMessage="1" promptTitle="Acceptable Values:" prompt="- Applicable _x000a_- Not applicable _x000a_- Included_x000a_- Amount and OSPF for cases of fixed per D40 OSPF_x000a_    (example-  &quot;375 OSPF&quot;)" sqref="E109:G153" xr:uid="{00000000-0002-0000-1C00-00001E000000}"/>
    <dataValidation type="list" allowBlank="1" showErrorMessage="1" sqref="A109:A153" xr:uid="{00000000-0002-0000-1C00-00001F000000}">
      <formula1>Charges</formula1>
    </dataValidation>
    <dataValidation type="list" allowBlank="1" showInputMessage="1" showErrorMessage="1" sqref="I109:I153" xr:uid="{00000000-0002-0000-1C00-000020000000}">
      <formula1>$A$14:$A$18</formula1>
    </dataValidation>
  </dataValidations>
  <pageMargins left="0.25" right="0.25" top="0.25" bottom="0.25" header="0.5" footer="0"/>
  <pageSetup scale="27" fitToHeight="0" orientation="landscape" r:id="rId1"/>
  <headerFooter alignWithMargins="0"/>
  <rowBreaks count="1" manualBreakCount="1">
    <brk id="104" max="16383" man="1"/>
  </rowBreaks>
  <legacyDrawing r:id="rId2"/>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7">
    <tabColor theme="7" tint="0.39997558519241921"/>
    <pageSetUpPr fitToPage="1"/>
  </sheetPr>
  <dimension ref="A1:BB238"/>
  <sheetViews>
    <sheetView showGridLines="0" zoomScale="75" zoomScaleNormal="75" zoomScaleSheetLayoutView="75" workbookViewId="0">
      <selection activeCell="A14" sqref="A14"/>
    </sheetView>
  </sheetViews>
  <sheetFormatPr defaultColWidth="9.140625" defaultRowHeight="15.75" x14ac:dyDescent="0.2"/>
  <cols>
    <col min="1" max="1" width="25.140625" style="69" customWidth="1"/>
    <col min="2" max="2" width="18.5703125" style="69" customWidth="1"/>
    <col min="3" max="3" width="18.28515625" style="69" customWidth="1"/>
    <col min="4" max="4" width="37.42578125" style="69" bestFit="1" customWidth="1"/>
    <col min="5" max="5" width="19.28515625" style="69" customWidth="1"/>
    <col min="6" max="6" width="12.140625" style="211" customWidth="1"/>
    <col min="7" max="8" width="17.42578125" style="211" customWidth="1"/>
    <col min="9" max="9" width="17.7109375" style="211" customWidth="1"/>
    <col min="10" max="10" width="17.85546875" style="69" customWidth="1"/>
    <col min="11" max="11" width="16.5703125" style="69" customWidth="1"/>
    <col min="12" max="12" width="23.5703125" style="69" customWidth="1"/>
    <col min="13" max="13" width="17.28515625" style="69" customWidth="1"/>
    <col min="14" max="14" width="17.7109375" style="69" customWidth="1"/>
    <col min="15" max="16" width="16.5703125" style="69" customWidth="1"/>
    <col min="17" max="17" width="17.5703125" style="69" customWidth="1"/>
    <col min="18" max="18" width="15.85546875" style="69" customWidth="1"/>
    <col min="19" max="19" width="16.7109375" style="69" customWidth="1"/>
    <col min="20" max="20" width="16.5703125" style="69" customWidth="1"/>
    <col min="21" max="21" width="16.7109375" style="69" customWidth="1"/>
    <col min="22" max="22" width="17.5703125" style="69" customWidth="1"/>
    <col min="23" max="23" width="18" style="69" customWidth="1"/>
    <col min="24" max="24" width="12.7109375" style="69" customWidth="1"/>
    <col min="25" max="25" width="16.85546875" style="69" customWidth="1"/>
    <col min="26" max="26" width="9.7109375" style="69" customWidth="1"/>
    <col min="27" max="27" width="14.140625" style="69" customWidth="1"/>
    <col min="28" max="28" width="9.7109375" style="69" customWidth="1"/>
    <col min="29" max="29" width="14.140625" style="69" customWidth="1"/>
    <col min="30" max="16384" width="9.140625" style="69"/>
  </cols>
  <sheetData>
    <row r="1" spans="1:54" x14ac:dyDescent="0.2">
      <c r="A1" s="835" t="s">
        <v>511</v>
      </c>
      <c r="B1" s="837"/>
      <c r="C1" s="902" t="str">
        <f>Cover!B1</f>
        <v>22-XXXX</v>
      </c>
      <c r="D1" s="903"/>
      <c r="E1" s="903"/>
      <c r="F1" s="904"/>
      <c r="G1" s="69"/>
      <c r="H1" s="69"/>
      <c r="I1" s="69"/>
    </row>
    <row r="2" spans="1:54" x14ac:dyDescent="0.2">
      <c r="A2" s="885" t="s">
        <v>1236</v>
      </c>
      <c r="B2" s="886"/>
      <c r="C2" s="887"/>
      <c r="D2" s="888"/>
      <c r="E2" s="888"/>
      <c r="F2" s="889"/>
      <c r="G2" s="69"/>
      <c r="H2" s="69"/>
      <c r="I2" s="69"/>
    </row>
    <row r="3" spans="1:54" x14ac:dyDescent="0.2">
      <c r="A3" s="885" t="s">
        <v>522</v>
      </c>
      <c r="B3" s="886"/>
      <c r="C3" s="905">
        <f>Cover!B2</f>
        <v>0</v>
      </c>
      <c r="D3" s="906"/>
      <c r="E3" s="906"/>
      <c r="F3" s="907"/>
      <c r="G3" s="69"/>
      <c r="H3" s="69"/>
      <c r="I3" s="69"/>
    </row>
    <row r="4" spans="1:54" x14ac:dyDescent="0.2">
      <c r="A4" s="885" t="s">
        <v>1229</v>
      </c>
      <c r="B4" s="886"/>
      <c r="C4" s="884">
        <f>Cover!B7</f>
        <v>0</v>
      </c>
      <c r="D4" s="817"/>
      <c r="E4" s="817"/>
      <c r="F4" s="818"/>
      <c r="G4" s="69"/>
      <c r="H4" s="69"/>
      <c r="I4" s="69"/>
    </row>
    <row r="5" spans="1:54" x14ac:dyDescent="0.2">
      <c r="A5" s="885" t="s">
        <v>528</v>
      </c>
      <c r="B5" s="886"/>
      <c r="C5" s="887" t="s">
        <v>850</v>
      </c>
      <c r="D5" s="888"/>
      <c r="E5" s="888"/>
      <c r="F5" s="889"/>
      <c r="G5" s="69"/>
      <c r="H5" s="69"/>
      <c r="I5" s="69"/>
    </row>
    <row r="6" spans="1:54" ht="15.75" customHeight="1" x14ac:dyDescent="0.2">
      <c r="A6" s="885" t="s">
        <v>512</v>
      </c>
      <c r="B6" s="886"/>
      <c r="C6" s="887" t="s">
        <v>852</v>
      </c>
      <c r="D6" s="888"/>
      <c r="E6" s="888"/>
      <c r="F6" s="889"/>
      <c r="G6" s="69"/>
      <c r="H6" s="69"/>
      <c r="I6" s="69"/>
    </row>
    <row r="7" spans="1:54" ht="15.75" customHeight="1" x14ac:dyDescent="0.2">
      <c r="A7" s="885" t="s">
        <v>612</v>
      </c>
      <c r="B7" s="886"/>
      <c r="C7" s="887" t="s">
        <v>851</v>
      </c>
      <c r="D7" s="888"/>
      <c r="E7" s="888"/>
      <c r="F7" s="889"/>
      <c r="G7" s="69"/>
      <c r="H7" s="69"/>
      <c r="I7" s="69"/>
    </row>
    <row r="8" spans="1:54" ht="2.25" customHeight="1" thickBot="1" x14ac:dyDescent="0.25">
      <c r="A8" s="900"/>
      <c r="B8" s="901"/>
      <c r="C8" s="894"/>
      <c r="D8" s="895"/>
      <c r="E8" s="895"/>
      <c r="F8" s="896"/>
      <c r="G8" s="69"/>
      <c r="H8" s="69"/>
      <c r="I8" s="69"/>
    </row>
    <row r="9" spans="1:54" s="73" customFormat="1" x14ac:dyDescent="0.2">
      <c r="A9" s="442">
        <v>39</v>
      </c>
      <c r="B9" s="443" t="s">
        <v>614</v>
      </c>
      <c r="D9" s="444"/>
      <c r="E9" s="444"/>
      <c r="F9" s="445"/>
    </row>
    <row r="10" spans="1:54" s="73" customFormat="1" ht="16.5" thickBot="1" x14ac:dyDescent="0.25">
      <c r="A10" s="446"/>
      <c r="D10" s="444"/>
      <c r="E10" s="444"/>
      <c r="F10" s="445"/>
      <c r="G10" s="447"/>
      <c r="H10" s="444"/>
      <c r="I10" s="444"/>
      <c r="J10" s="444"/>
    </row>
    <row r="11" spans="1:54" ht="19.5" thickBot="1" x14ac:dyDescent="0.25">
      <c r="A11" s="448" t="s">
        <v>613</v>
      </c>
      <c r="B11" s="449"/>
      <c r="C11" s="73"/>
      <c r="D11" s="444"/>
      <c r="E11" s="444"/>
      <c r="F11" s="445"/>
      <c r="G11" s="447"/>
      <c r="H11" s="444"/>
      <c r="I11" s="444"/>
      <c r="J11" s="444"/>
    </row>
    <row r="12" spans="1:54" s="78" customFormat="1" ht="16.5" thickBot="1" x14ac:dyDescent="0.25">
      <c r="A12" s="897" t="s">
        <v>616</v>
      </c>
      <c r="B12" s="898"/>
      <c r="C12" s="898"/>
      <c r="D12" s="898"/>
      <c r="E12" s="898"/>
      <c r="F12" s="898"/>
      <c r="G12" s="898"/>
      <c r="H12" s="898"/>
      <c r="I12" s="898"/>
      <c r="J12" s="899"/>
    </row>
    <row r="13" spans="1:54" ht="17.25" customHeight="1" x14ac:dyDescent="0.2">
      <c r="A13" s="450" t="s">
        <v>617</v>
      </c>
      <c r="B13" s="881" t="s">
        <v>618</v>
      </c>
      <c r="C13" s="881"/>
      <c r="D13" s="881"/>
      <c r="E13" s="881"/>
      <c r="F13" s="881"/>
      <c r="G13" s="881"/>
      <c r="H13" s="881"/>
      <c r="I13" s="881"/>
      <c r="J13" s="882" t="s">
        <v>622</v>
      </c>
      <c r="K13" s="883"/>
      <c r="L13" s="890" t="s">
        <v>623</v>
      </c>
      <c r="M13" s="891"/>
      <c r="N13" s="350" t="s">
        <v>4</v>
      </c>
    </row>
    <row r="14" spans="1:54" s="81" customFormat="1" x14ac:dyDescent="0.2">
      <c r="A14" s="451"/>
      <c r="B14" s="862"/>
      <c r="C14" s="892"/>
      <c r="D14" s="892"/>
      <c r="E14" s="892"/>
      <c r="F14" s="892"/>
      <c r="G14" s="892"/>
      <c r="H14" s="892"/>
      <c r="I14" s="892"/>
      <c r="J14" s="870"/>
      <c r="K14" s="855"/>
      <c r="L14" s="893"/>
      <c r="M14" s="871"/>
      <c r="N14" s="349" t="str">
        <f>IF($A14&gt;0,$A14,"")</f>
        <v/>
      </c>
    </row>
    <row r="15" spans="1:54" s="453" customFormat="1" x14ac:dyDescent="0.2">
      <c r="A15" s="452"/>
      <c r="B15" s="879"/>
      <c r="C15" s="880"/>
      <c r="D15" s="880"/>
      <c r="E15" s="880"/>
      <c r="F15" s="880"/>
      <c r="G15" s="880"/>
      <c r="H15" s="880"/>
      <c r="I15" s="880"/>
      <c r="J15" s="870"/>
      <c r="K15" s="855"/>
      <c r="L15" s="870"/>
      <c r="M15" s="871"/>
      <c r="N15" s="349" t="str">
        <f>IF($A15&gt;0,$A15,"")</f>
        <v/>
      </c>
      <c r="BB15" s="81"/>
    </row>
    <row r="16" spans="1:54" s="453" customFormat="1" x14ac:dyDescent="0.2">
      <c r="A16" s="452"/>
      <c r="B16" s="879"/>
      <c r="C16" s="880"/>
      <c r="D16" s="880"/>
      <c r="E16" s="880"/>
      <c r="F16" s="880"/>
      <c r="G16" s="880"/>
      <c r="H16" s="880"/>
      <c r="I16" s="880"/>
      <c r="J16" s="870"/>
      <c r="K16" s="855"/>
      <c r="L16" s="870"/>
      <c r="M16" s="871"/>
      <c r="N16" s="349" t="str">
        <f>IF($A16&gt;0,$A16,"")</f>
        <v/>
      </c>
      <c r="BB16" s="81"/>
    </row>
    <row r="17" spans="1:54" s="453" customFormat="1" ht="16.5" thickBot="1" x14ac:dyDescent="0.25">
      <c r="A17" s="454"/>
      <c r="B17" s="864"/>
      <c r="C17" s="865"/>
      <c r="D17" s="865"/>
      <c r="E17" s="865"/>
      <c r="F17" s="865"/>
      <c r="G17" s="865"/>
      <c r="H17" s="865"/>
      <c r="I17" s="865"/>
      <c r="J17" s="866"/>
      <c r="K17" s="867"/>
      <c r="L17" s="857"/>
      <c r="M17" s="858"/>
      <c r="N17" s="349" t="str">
        <f>IF($A17&gt;0,$A17,"")</f>
        <v/>
      </c>
      <c r="BB17" s="81"/>
    </row>
    <row r="18" spans="1:54" s="462" customFormat="1" ht="16.5" thickBot="1" x14ac:dyDescent="0.25">
      <c r="A18" s="455"/>
      <c r="B18" s="456"/>
      <c r="C18" s="457"/>
      <c r="D18" s="458"/>
      <c r="E18" s="458"/>
      <c r="F18" s="459"/>
      <c r="G18" s="459"/>
      <c r="H18" s="460"/>
      <c r="I18" s="461"/>
      <c r="J18" s="461"/>
      <c r="K18" s="457"/>
      <c r="L18" s="457"/>
      <c r="M18" s="457"/>
      <c r="N18" s="349" t="str">
        <f>IF($A18&gt;0,$A18,"")</f>
        <v/>
      </c>
      <c r="O18" s="457"/>
      <c r="P18" s="457"/>
      <c r="Q18" s="457"/>
      <c r="BB18" s="81"/>
    </row>
    <row r="19" spans="1:54" s="462" customFormat="1" ht="19.5" thickBot="1" x14ac:dyDescent="0.25">
      <c r="A19" s="448" t="s">
        <v>419</v>
      </c>
      <c r="B19" s="463"/>
      <c r="I19" s="461"/>
      <c r="J19" s="461"/>
      <c r="K19" s="457"/>
      <c r="L19" s="457"/>
      <c r="M19" s="457"/>
      <c r="N19" s="457"/>
      <c r="O19" s="457"/>
      <c r="P19" s="457"/>
      <c r="Q19" s="457"/>
    </row>
    <row r="20" spans="1:54" s="462" customFormat="1" x14ac:dyDescent="0.2">
      <c r="A20" s="464" t="s">
        <v>419</v>
      </c>
      <c r="B20" s="859" t="s">
        <v>618</v>
      </c>
      <c r="C20" s="860"/>
      <c r="D20" s="860"/>
      <c r="E20" s="860"/>
      <c r="F20" s="860"/>
      <c r="G20" s="860"/>
      <c r="H20" s="861"/>
      <c r="I20" s="461"/>
      <c r="J20" s="461"/>
      <c r="K20" s="457"/>
      <c r="L20" s="457"/>
      <c r="M20" s="457"/>
      <c r="N20" s="457"/>
      <c r="O20" s="457"/>
      <c r="P20" s="457"/>
      <c r="Q20" s="457"/>
    </row>
    <row r="21" spans="1:54" s="467" customFormat="1" x14ac:dyDescent="0.2">
      <c r="A21" s="451"/>
      <c r="B21" s="862"/>
      <c r="C21" s="862"/>
      <c r="D21" s="862"/>
      <c r="E21" s="862"/>
      <c r="F21" s="862"/>
      <c r="G21" s="862"/>
      <c r="H21" s="863"/>
      <c r="I21" s="220"/>
      <c r="J21" s="465"/>
      <c r="K21" s="466"/>
      <c r="L21" s="466"/>
      <c r="M21" s="466"/>
      <c r="N21" s="466"/>
      <c r="O21" s="466"/>
      <c r="P21" s="466"/>
      <c r="Q21" s="466"/>
    </row>
    <row r="22" spans="1:54" s="467" customFormat="1" x14ac:dyDescent="0.2">
      <c r="A22" s="468"/>
      <c r="B22" s="862"/>
      <c r="C22" s="862"/>
      <c r="D22" s="862"/>
      <c r="E22" s="862"/>
      <c r="F22" s="862"/>
      <c r="G22" s="862"/>
      <c r="H22" s="863"/>
      <c r="I22" s="465"/>
      <c r="J22" s="465"/>
      <c r="K22" s="466"/>
      <c r="L22" s="466"/>
      <c r="M22" s="466"/>
      <c r="N22" s="466"/>
      <c r="O22" s="466"/>
      <c r="P22" s="466"/>
      <c r="Q22" s="466"/>
    </row>
    <row r="23" spans="1:54" s="467" customFormat="1" x14ac:dyDescent="0.2">
      <c r="A23" s="468"/>
      <c r="B23" s="854"/>
      <c r="C23" s="855"/>
      <c r="D23" s="855"/>
      <c r="E23" s="855"/>
      <c r="F23" s="855"/>
      <c r="G23" s="855"/>
      <c r="H23" s="856"/>
      <c r="I23" s="465"/>
      <c r="J23" s="465"/>
      <c r="K23" s="466"/>
      <c r="L23" s="466"/>
      <c r="M23" s="466"/>
      <c r="N23" s="466"/>
      <c r="O23" s="466"/>
      <c r="P23" s="466"/>
      <c r="Q23" s="466"/>
    </row>
    <row r="24" spans="1:54" s="467" customFormat="1" ht="16.5" thickBot="1" x14ac:dyDescent="0.25">
      <c r="A24" s="469"/>
      <c r="B24" s="877"/>
      <c r="C24" s="867"/>
      <c r="D24" s="867"/>
      <c r="E24" s="867"/>
      <c r="F24" s="867"/>
      <c r="G24" s="867"/>
      <c r="H24" s="878"/>
      <c r="I24" s="465"/>
      <c r="J24" s="465"/>
      <c r="K24" s="466"/>
      <c r="L24" s="466"/>
      <c r="M24" s="466"/>
      <c r="N24" s="466"/>
      <c r="O24" s="466"/>
      <c r="P24" s="466"/>
      <c r="Q24" s="466"/>
    </row>
    <row r="25" spans="1:54" s="462" customFormat="1" ht="16.5" thickBot="1" x14ac:dyDescent="0.25">
      <c r="A25" s="456"/>
      <c r="B25" s="95"/>
      <c r="C25" s="95"/>
      <c r="D25" s="95"/>
      <c r="E25" s="95"/>
      <c r="F25" s="95"/>
      <c r="G25" s="95"/>
      <c r="H25" s="95"/>
      <c r="I25" s="461"/>
      <c r="J25" s="461"/>
      <c r="K25" s="457"/>
      <c r="L25" s="457"/>
      <c r="M25" s="457"/>
      <c r="N25" s="457"/>
      <c r="O25" s="457"/>
      <c r="P25" s="457"/>
      <c r="Q25" s="457"/>
      <c r="R25" s="457"/>
      <c r="S25" s="457"/>
      <c r="T25" s="457"/>
      <c r="U25" s="457"/>
    </row>
    <row r="26" spans="1:54" s="462" customFormat="1" ht="19.5" thickBot="1" x14ac:dyDescent="0.25">
      <c r="A26" s="448" t="s">
        <v>624</v>
      </c>
      <c r="B26" s="449"/>
      <c r="I26" s="461"/>
      <c r="J26" s="461"/>
      <c r="K26" s="457"/>
      <c r="L26" s="457"/>
      <c r="M26" s="457"/>
      <c r="N26" s="457"/>
      <c r="O26" s="457"/>
      <c r="P26" s="457"/>
      <c r="Q26" s="457"/>
      <c r="R26" s="457"/>
      <c r="S26" s="457"/>
      <c r="T26" s="457"/>
      <c r="U26" s="457"/>
    </row>
    <row r="27" spans="1:54" s="462" customFormat="1" x14ac:dyDescent="0.2">
      <c r="A27" s="223" t="s">
        <v>886</v>
      </c>
      <c r="B27" s="470"/>
      <c r="C27" s="471"/>
      <c r="D27" s="472"/>
      <c r="E27" s="472"/>
      <c r="F27" s="473"/>
      <c r="G27" s="473"/>
      <c r="H27" s="473"/>
      <c r="I27" s="474"/>
      <c r="J27" s="475"/>
      <c r="K27" s="476"/>
      <c r="L27" s="457"/>
      <c r="M27" s="457"/>
      <c r="N27" s="457"/>
      <c r="O27" s="457"/>
      <c r="P27" s="457"/>
      <c r="Q27" s="457"/>
      <c r="R27" s="457"/>
      <c r="S27" s="457"/>
      <c r="T27" s="457"/>
      <c r="U27" s="457"/>
      <c r="V27" s="457"/>
    </row>
    <row r="28" spans="1:54" s="462" customFormat="1" x14ac:dyDescent="0.2">
      <c r="A28" s="96" t="s">
        <v>626</v>
      </c>
      <c r="B28" s="214"/>
      <c r="C28" s="477"/>
      <c r="D28" s="478"/>
      <c r="E28" s="478"/>
      <c r="F28" s="479"/>
      <c r="G28" s="479"/>
      <c r="H28" s="479"/>
      <c r="I28" s="480"/>
      <c r="J28" s="481"/>
      <c r="K28" s="482"/>
      <c r="L28" s="457"/>
      <c r="M28" s="457"/>
      <c r="N28" s="457"/>
      <c r="O28" s="457"/>
      <c r="P28" s="457"/>
      <c r="Q28" s="457"/>
      <c r="R28" s="457"/>
    </row>
    <row r="29" spans="1:54" s="462" customFormat="1" ht="16.5" thickBot="1" x14ac:dyDescent="0.25">
      <c r="A29" s="110" t="s">
        <v>172</v>
      </c>
      <c r="B29" s="483"/>
      <c r="C29" s="484"/>
      <c r="D29" s="485"/>
      <c r="E29" s="485"/>
      <c r="F29" s="486"/>
      <c r="G29" s="486"/>
      <c r="H29" s="486"/>
      <c r="I29" s="487"/>
      <c r="J29" s="488"/>
      <c r="K29" s="489"/>
      <c r="L29" s="457"/>
      <c r="M29" s="457"/>
      <c r="N29" s="457"/>
      <c r="O29" s="457"/>
      <c r="P29" s="457"/>
      <c r="Q29" s="457"/>
      <c r="R29" s="457"/>
      <c r="S29" s="118"/>
      <c r="T29" s="118"/>
      <c r="U29" s="118"/>
      <c r="V29" s="457"/>
      <c r="W29" s="457"/>
      <c r="X29" s="457"/>
    </row>
    <row r="30" spans="1:54" s="491" customFormat="1" ht="32.25" customHeight="1" x14ac:dyDescent="0.2">
      <c r="A30" s="875" t="s">
        <v>627</v>
      </c>
      <c r="B30" s="868" t="s">
        <v>628</v>
      </c>
      <c r="C30" s="868" t="s">
        <v>11</v>
      </c>
      <c r="D30" s="868" t="s">
        <v>12</v>
      </c>
      <c r="E30" s="868" t="s">
        <v>13</v>
      </c>
      <c r="F30" s="868" t="s">
        <v>14</v>
      </c>
      <c r="G30" s="868" t="s">
        <v>15</v>
      </c>
      <c r="H30" s="868" t="s">
        <v>16</v>
      </c>
      <c r="I30" s="868" t="s">
        <v>17</v>
      </c>
      <c r="J30" s="868" t="s">
        <v>18</v>
      </c>
      <c r="K30" s="868" t="s">
        <v>19</v>
      </c>
      <c r="L30" s="868" t="s">
        <v>20</v>
      </c>
      <c r="M30" s="490"/>
      <c r="N30" s="490"/>
      <c r="O30" s="490"/>
      <c r="P30" s="490"/>
      <c r="Q30" s="490"/>
      <c r="R30" s="490"/>
      <c r="S30" s="490"/>
      <c r="T30" s="490"/>
      <c r="U30" s="490"/>
      <c r="V30" s="490"/>
      <c r="W30" s="490"/>
      <c r="X30" s="868" t="s">
        <v>22</v>
      </c>
      <c r="Y30" s="868" t="s">
        <v>23</v>
      </c>
      <c r="Z30" s="868" t="s">
        <v>24</v>
      </c>
      <c r="AA30" s="922" t="s">
        <v>352</v>
      </c>
    </row>
    <row r="31" spans="1:54" s="491" customFormat="1" ht="16.5" thickBot="1" x14ac:dyDescent="0.25">
      <c r="A31" s="876"/>
      <c r="B31" s="869"/>
      <c r="C31" s="869"/>
      <c r="D31" s="869"/>
      <c r="E31" s="869"/>
      <c r="F31" s="869"/>
      <c r="G31" s="872"/>
      <c r="H31" s="869"/>
      <c r="I31" s="869"/>
      <c r="J31" s="869"/>
      <c r="K31" s="869"/>
      <c r="L31" s="869"/>
      <c r="M31" s="492"/>
      <c r="N31" s="492"/>
      <c r="O31" s="492"/>
      <c r="P31" s="492"/>
      <c r="Q31" s="492"/>
      <c r="R31" s="492"/>
      <c r="S31" s="492"/>
      <c r="T31" s="492"/>
      <c r="U31" s="492"/>
      <c r="V31" s="492"/>
      <c r="W31" s="492"/>
      <c r="X31" s="869"/>
      <c r="Y31" s="869"/>
      <c r="Z31" s="869"/>
      <c r="AA31" s="923"/>
    </row>
    <row r="32" spans="1:54" s="136" customFormat="1" x14ac:dyDescent="0.2">
      <c r="A32" s="493"/>
      <c r="B32" s="49"/>
      <c r="C32" s="225"/>
      <c r="D32" s="225"/>
      <c r="E32" s="225"/>
      <c r="F32" s="225"/>
      <c r="G32" s="120"/>
      <c r="H32" s="225"/>
      <c r="I32" s="263"/>
      <c r="J32" s="263"/>
      <c r="K32" s="263"/>
      <c r="L32" s="263"/>
      <c r="M32" s="120"/>
      <c r="N32" s="120"/>
      <c r="O32" s="120"/>
      <c r="P32" s="226"/>
      <c r="Q32" s="226"/>
      <c r="R32" s="226"/>
      <c r="S32" s="120"/>
      <c r="T32" s="120"/>
      <c r="U32" s="120"/>
      <c r="V32" s="120"/>
      <c r="W32" s="120"/>
      <c r="X32" s="227"/>
      <c r="Y32" s="227"/>
      <c r="Z32" s="120"/>
      <c r="AA32" s="121"/>
    </row>
    <row r="33" spans="1:27" s="136" customFormat="1" x14ac:dyDescent="0.2">
      <c r="A33" s="494"/>
      <c r="B33" s="123"/>
      <c r="C33" s="123"/>
      <c r="D33" s="123"/>
      <c r="E33" s="123"/>
      <c r="F33" s="123"/>
      <c r="G33" s="124"/>
      <c r="H33" s="123"/>
      <c r="I33" s="255"/>
      <c r="J33" s="255"/>
      <c r="K33" s="255"/>
      <c r="L33" s="255"/>
      <c r="M33" s="125"/>
      <c r="N33" s="124"/>
      <c r="O33" s="124"/>
      <c r="P33" s="125"/>
      <c r="Q33" s="125"/>
      <c r="R33" s="125"/>
      <c r="S33" s="124"/>
      <c r="T33" s="124"/>
      <c r="U33" s="124"/>
      <c r="V33" s="124"/>
      <c r="W33" s="124"/>
      <c r="X33" s="126"/>
      <c r="Y33" s="126"/>
      <c r="Z33" s="124"/>
      <c r="AA33" s="127"/>
    </row>
    <row r="34" spans="1:27" s="136" customFormat="1" x14ac:dyDescent="0.2">
      <c r="A34" s="494"/>
      <c r="B34" s="123"/>
      <c r="C34" s="123"/>
      <c r="D34" s="123"/>
      <c r="E34" s="123"/>
      <c r="F34" s="123"/>
      <c r="G34" s="124"/>
      <c r="H34" s="123"/>
      <c r="I34" s="255"/>
      <c r="J34" s="255"/>
      <c r="K34" s="255"/>
      <c r="L34" s="255"/>
      <c r="M34" s="125"/>
      <c r="N34" s="124"/>
      <c r="O34" s="124"/>
      <c r="P34" s="125"/>
      <c r="Q34" s="125"/>
      <c r="R34" s="125"/>
      <c r="S34" s="124"/>
      <c r="T34" s="124"/>
      <c r="U34" s="124"/>
      <c r="V34" s="124"/>
      <c r="W34" s="124"/>
      <c r="X34" s="126"/>
      <c r="Y34" s="126"/>
      <c r="Z34" s="124"/>
      <c r="AA34" s="127"/>
    </row>
    <row r="35" spans="1:27" s="136" customFormat="1" x14ac:dyDescent="0.2">
      <c r="A35" s="494"/>
      <c r="B35" s="123"/>
      <c r="C35" s="123"/>
      <c r="D35" s="123"/>
      <c r="E35" s="123"/>
      <c r="F35" s="123"/>
      <c r="G35" s="124"/>
      <c r="H35" s="123"/>
      <c r="I35" s="255"/>
      <c r="J35" s="255"/>
      <c r="K35" s="255"/>
      <c r="L35" s="255"/>
      <c r="M35" s="125"/>
      <c r="N35" s="124"/>
      <c r="O35" s="124"/>
      <c r="P35" s="125"/>
      <c r="Q35" s="125"/>
      <c r="R35" s="125"/>
      <c r="S35" s="124"/>
      <c r="T35" s="124"/>
      <c r="U35" s="124"/>
      <c r="V35" s="124"/>
      <c r="W35" s="124"/>
      <c r="X35" s="126"/>
      <c r="Y35" s="126"/>
      <c r="Z35" s="124"/>
      <c r="AA35" s="127"/>
    </row>
    <row r="36" spans="1:27" s="136" customFormat="1" x14ac:dyDescent="0.2">
      <c r="A36" s="494"/>
      <c r="B36" s="123"/>
      <c r="C36" s="123"/>
      <c r="D36" s="123"/>
      <c r="E36" s="123"/>
      <c r="F36" s="123"/>
      <c r="G36" s="124"/>
      <c r="H36" s="123"/>
      <c r="I36" s="255"/>
      <c r="J36" s="255"/>
      <c r="K36" s="255"/>
      <c r="L36" s="255"/>
      <c r="M36" s="125"/>
      <c r="N36" s="124"/>
      <c r="O36" s="124"/>
      <c r="P36" s="125"/>
      <c r="Q36" s="125"/>
      <c r="R36" s="125"/>
      <c r="S36" s="124"/>
      <c r="T36" s="124"/>
      <c r="U36" s="124"/>
      <c r="V36" s="124"/>
      <c r="W36" s="124"/>
      <c r="X36" s="126"/>
      <c r="Y36" s="126"/>
      <c r="Z36" s="124"/>
      <c r="AA36" s="127"/>
    </row>
    <row r="37" spans="1:27" s="136" customFormat="1" x14ac:dyDescent="0.2">
      <c r="A37" s="494"/>
      <c r="B37" s="123"/>
      <c r="C37" s="123"/>
      <c r="D37" s="123"/>
      <c r="E37" s="123"/>
      <c r="F37" s="123"/>
      <c r="G37" s="124"/>
      <c r="H37" s="123"/>
      <c r="I37" s="255"/>
      <c r="J37" s="255"/>
      <c r="K37" s="255"/>
      <c r="L37" s="255"/>
      <c r="M37" s="125"/>
      <c r="N37" s="124"/>
      <c r="O37" s="124"/>
      <c r="P37" s="125"/>
      <c r="Q37" s="125"/>
      <c r="R37" s="125"/>
      <c r="S37" s="124"/>
      <c r="T37" s="124"/>
      <c r="U37" s="124"/>
      <c r="V37" s="124"/>
      <c r="W37" s="124"/>
      <c r="X37" s="126"/>
      <c r="Y37" s="126"/>
      <c r="Z37" s="124"/>
      <c r="AA37" s="127"/>
    </row>
    <row r="38" spans="1:27" s="136" customFormat="1" x14ac:dyDescent="0.2">
      <c r="A38" s="494"/>
      <c r="B38" s="123"/>
      <c r="C38" s="123"/>
      <c r="D38" s="123"/>
      <c r="E38" s="123"/>
      <c r="F38" s="123"/>
      <c r="G38" s="124"/>
      <c r="H38" s="123"/>
      <c r="I38" s="255"/>
      <c r="J38" s="255"/>
      <c r="K38" s="255"/>
      <c r="L38" s="255"/>
      <c r="M38" s="125"/>
      <c r="N38" s="124"/>
      <c r="O38" s="124"/>
      <c r="P38" s="125"/>
      <c r="Q38" s="125"/>
      <c r="R38" s="125"/>
      <c r="S38" s="124"/>
      <c r="T38" s="124"/>
      <c r="U38" s="124"/>
      <c r="V38" s="124"/>
      <c r="W38" s="124"/>
      <c r="X38" s="126"/>
      <c r="Y38" s="126"/>
      <c r="Z38" s="124"/>
      <c r="AA38" s="127"/>
    </row>
    <row r="39" spans="1:27" s="136" customFormat="1" x14ac:dyDescent="0.2">
      <c r="A39" s="494"/>
      <c r="B39" s="123"/>
      <c r="C39" s="123"/>
      <c r="D39" s="123"/>
      <c r="E39" s="123"/>
      <c r="F39" s="123"/>
      <c r="G39" s="124"/>
      <c r="H39" s="123"/>
      <c r="I39" s="255"/>
      <c r="J39" s="255"/>
      <c r="K39" s="255"/>
      <c r="L39" s="255"/>
      <c r="M39" s="125"/>
      <c r="N39" s="124"/>
      <c r="O39" s="124"/>
      <c r="P39" s="125"/>
      <c r="Q39" s="125"/>
      <c r="R39" s="125"/>
      <c r="S39" s="124"/>
      <c r="T39" s="124"/>
      <c r="U39" s="124"/>
      <c r="V39" s="124"/>
      <c r="W39" s="124"/>
      <c r="X39" s="126"/>
      <c r="Y39" s="126"/>
      <c r="Z39" s="124"/>
      <c r="AA39" s="127"/>
    </row>
    <row r="40" spans="1:27" s="136" customFormat="1" x14ac:dyDescent="0.2">
      <c r="A40" s="494"/>
      <c r="B40" s="123"/>
      <c r="C40" s="123"/>
      <c r="D40" s="123"/>
      <c r="E40" s="123"/>
      <c r="F40" s="123"/>
      <c r="G40" s="124"/>
      <c r="H40" s="123"/>
      <c r="I40" s="255"/>
      <c r="J40" s="255"/>
      <c r="K40" s="255"/>
      <c r="L40" s="255"/>
      <c r="M40" s="125"/>
      <c r="N40" s="124"/>
      <c r="O40" s="124"/>
      <c r="P40" s="125"/>
      <c r="Q40" s="125"/>
      <c r="R40" s="125"/>
      <c r="S40" s="124"/>
      <c r="T40" s="124"/>
      <c r="U40" s="124"/>
      <c r="V40" s="124"/>
      <c r="W40" s="124"/>
      <c r="X40" s="126"/>
      <c r="Y40" s="126"/>
      <c r="Z40" s="124"/>
      <c r="AA40" s="127"/>
    </row>
    <row r="41" spans="1:27" s="136" customFormat="1" x14ac:dyDescent="0.2">
      <c r="A41" s="494"/>
      <c r="B41" s="123"/>
      <c r="C41" s="123"/>
      <c r="D41" s="123"/>
      <c r="E41" s="123"/>
      <c r="F41" s="123"/>
      <c r="G41" s="124"/>
      <c r="H41" s="123"/>
      <c r="I41" s="255"/>
      <c r="J41" s="255"/>
      <c r="K41" s="255"/>
      <c r="L41" s="255"/>
      <c r="M41" s="125"/>
      <c r="N41" s="124"/>
      <c r="O41" s="124"/>
      <c r="P41" s="125"/>
      <c r="Q41" s="125"/>
      <c r="R41" s="125"/>
      <c r="S41" s="124"/>
      <c r="T41" s="124"/>
      <c r="U41" s="124"/>
      <c r="V41" s="124"/>
      <c r="W41" s="124"/>
      <c r="X41" s="126"/>
      <c r="Y41" s="126"/>
      <c r="Z41" s="124"/>
      <c r="AA41" s="127"/>
    </row>
    <row r="42" spans="1:27" s="136" customFormat="1" x14ac:dyDescent="0.2">
      <c r="A42" s="494"/>
      <c r="B42" s="123"/>
      <c r="C42" s="123"/>
      <c r="D42" s="123"/>
      <c r="E42" s="123"/>
      <c r="F42" s="123"/>
      <c r="G42" s="124"/>
      <c r="H42" s="123"/>
      <c r="I42" s="255"/>
      <c r="J42" s="255"/>
      <c r="K42" s="255"/>
      <c r="L42" s="255"/>
      <c r="M42" s="125"/>
      <c r="N42" s="124"/>
      <c r="O42" s="124"/>
      <c r="P42" s="125"/>
      <c r="Q42" s="125"/>
      <c r="R42" s="125"/>
      <c r="S42" s="124"/>
      <c r="T42" s="124"/>
      <c r="U42" s="124"/>
      <c r="V42" s="124"/>
      <c r="W42" s="124"/>
      <c r="X42" s="126"/>
      <c r="Y42" s="126"/>
      <c r="Z42" s="124"/>
      <c r="AA42" s="127"/>
    </row>
    <row r="43" spans="1:27" s="136" customFormat="1" x14ac:dyDescent="0.2">
      <c r="A43" s="494"/>
      <c r="B43" s="123"/>
      <c r="C43" s="123"/>
      <c r="D43" s="123"/>
      <c r="E43" s="123"/>
      <c r="F43" s="123"/>
      <c r="G43" s="124"/>
      <c r="H43" s="123"/>
      <c r="I43" s="255"/>
      <c r="J43" s="255"/>
      <c r="K43" s="255"/>
      <c r="L43" s="255"/>
      <c r="M43" s="125"/>
      <c r="N43" s="124"/>
      <c r="O43" s="124"/>
      <c r="P43" s="125"/>
      <c r="Q43" s="125"/>
      <c r="R43" s="125"/>
      <c r="S43" s="124"/>
      <c r="T43" s="124"/>
      <c r="U43" s="124"/>
      <c r="V43" s="124"/>
      <c r="W43" s="124"/>
      <c r="X43" s="126"/>
      <c r="Y43" s="126"/>
      <c r="Z43" s="124"/>
      <c r="AA43" s="127"/>
    </row>
    <row r="44" spans="1:27" s="136" customFormat="1" x14ac:dyDescent="0.2">
      <c r="A44" s="494"/>
      <c r="B44" s="123"/>
      <c r="C44" s="123"/>
      <c r="D44" s="123"/>
      <c r="E44" s="123"/>
      <c r="F44" s="123"/>
      <c r="G44" s="124"/>
      <c r="H44" s="123"/>
      <c r="I44" s="255"/>
      <c r="J44" s="255"/>
      <c r="K44" s="255"/>
      <c r="L44" s="255"/>
      <c r="M44" s="125"/>
      <c r="N44" s="124"/>
      <c r="O44" s="124"/>
      <c r="P44" s="125"/>
      <c r="Q44" s="125"/>
      <c r="R44" s="125"/>
      <c r="S44" s="124"/>
      <c r="T44" s="124"/>
      <c r="U44" s="124"/>
      <c r="V44" s="124"/>
      <c r="W44" s="124"/>
      <c r="X44" s="126"/>
      <c r="Y44" s="126"/>
      <c r="Z44" s="124"/>
      <c r="AA44" s="127"/>
    </row>
    <row r="45" spans="1:27" s="136" customFormat="1" x14ac:dyDescent="0.2">
      <c r="A45" s="494"/>
      <c r="B45" s="123"/>
      <c r="C45" s="123"/>
      <c r="D45" s="123"/>
      <c r="E45" s="123"/>
      <c r="F45" s="123"/>
      <c r="G45" s="124"/>
      <c r="H45" s="123"/>
      <c r="I45" s="255"/>
      <c r="J45" s="255"/>
      <c r="K45" s="255"/>
      <c r="L45" s="255"/>
      <c r="M45" s="125"/>
      <c r="N45" s="124"/>
      <c r="O45" s="124"/>
      <c r="P45" s="125"/>
      <c r="Q45" s="125"/>
      <c r="R45" s="125"/>
      <c r="S45" s="124"/>
      <c r="T45" s="124"/>
      <c r="U45" s="124"/>
      <c r="V45" s="124"/>
      <c r="W45" s="124"/>
      <c r="X45" s="126"/>
      <c r="Y45" s="126"/>
      <c r="Z45" s="124"/>
      <c r="AA45" s="127"/>
    </row>
    <row r="46" spans="1:27" s="136" customFormat="1" x14ac:dyDescent="0.2">
      <c r="A46" s="494"/>
      <c r="B46" s="123"/>
      <c r="C46" s="123"/>
      <c r="D46" s="123"/>
      <c r="E46" s="123"/>
      <c r="F46" s="123"/>
      <c r="G46" s="124"/>
      <c r="H46" s="123"/>
      <c r="I46" s="255"/>
      <c r="J46" s="255"/>
      <c r="K46" s="255"/>
      <c r="L46" s="255"/>
      <c r="M46" s="125"/>
      <c r="N46" s="124"/>
      <c r="O46" s="124"/>
      <c r="P46" s="125"/>
      <c r="Q46" s="125"/>
      <c r="R46" s="125"/>
      <c r="S46" s="124"/>
      <c r="T46" s="124"/>
      <c r="U46" s="124"/>
      <c r="V46" s="124"/>
      <c r="W46" s="124"/>
      <c r="X46" s="126"/>
      <c r="Y46" s="126"/>
      <c r="Z46" s="124"/>
      <c r="AA46" s="127"/>
    </row>
    <row r="47" spans="1:27" s="136" customFormat="1" x14ac:dyDescent="0.2">
      <c r="A47" s="494"/>
      <c r="B47" s="123"/>
      <c r="C47" s="123"/>
      <c r="D47" s="123"/>
      <c r="E47" s="123"/>
      <c r="F47" s="123"/>
      <c r="G47" s="124"/>
      <c r="H47" s="123"/>
      <c r="I47" s="255"/>
      <c r="J47" s="255"/>
      <c r="K47" s="255"/>
      <c r="L47" s="255"/>
      <c r="M47" s="125"/>
      <c r="N47" s="124"/>
      <c r="O47" s="124"/>
      <c r="P47" s="125"/>
      <c r="Q47" s="125"/>
      <c r="R47" s="125"/>
      <c r="S47" s="124"/>
      <c r="T47" s="124"/>
      <c r="U47" s="124"/>
      <c r="V47" s="124"/>
      <c r="W47" s="124"/>
      <c r="X47" s="126"/>
      <c r="Y47" s="126"/>
      <c r="Z47" s="124"/>
      <c r="AA47" s="127"/>
    </row>
    <row r="48" spans="1:27" s="136" customFormat="1" x14ac:dyDescent="0.2">
      <c r="A48" s="494"/>
      <c r="B48" s="123"/>
      <c r="C48" s="123"/>
      <c r="D48" s="123"/>
      <c r="E48" s="123"/>
      <c r="F48" s="123"/>
      <c r="G48" s="124"/>
      <c r="H48" s="123"/>
      <c r="I48" s="255"/>
      <c r="J48" s="255"/>
      <c r="K48" s="255"/>
      <c r="L48" s="255"/>
      <c r="M48" s="125"/>
      <c r="N48" s="124"/>
      <c r="O48" s="124"/>
      <c r="P48" s="125"/>
      <c r="Q48" s="125"/>
      <c r="R48" s="125"/>
      <c r="S48" s="124"/>
      <c r="T48" s="124"/>
      <c r="U48" s="124"/>
      <c r="V48" s="124"/>
      <c r="W48" s="124"/>
      <c r="X48" s="126"/>
      <c r="Y48" s="126"/>
      <c r="Z48" s="124"/>
      <c r="AA48" s="127"/>
    </row>
    <row r="49" spans="1:29" s="136" customFormat="1" x14ac:dyDescent="0.2">
      <c r="A49" s="494"/>
      <c r="B49" s="123"/>
      <c r="C49" s="123"/>
      <c r="D49" s="123"/>
      <c r="E49" s="123"/>
      <c r="F49" s="123"/>
      <c r="G49" s="124"/>
      <c r="H49" s="123"/>
      <c r="I49" s="255"/>
      <c r="J49" s="255"/>
      <c r="K49" s="255"/>
      <c r="L49" s="255"/>
      <c r="M49" s="125"/>
      <c r="N49" s="124"/>
      <c r="O49" s="124"/>
      <c r="P49" s="125"/>
      <c r="Q49" s="125"/>
      <c r="R49" s="125"/>
      <c r="S49" s="124"/>
      <c r="T49" s="124"/>
      <c r="U49" s="124"/>
      <c r="V49" s="124"/>
      <c r="W49" s="124"/>
      <c r="X49" s="126"/>
      <c r="Y49" s="126"/>
      <c r="Z49" s="124"/>
      <c r="AA49" s="127"/>
    </row>
    <row r="50" spans="1:29" s="136" customFormat="1" x14ac:dyDescent="0.2">
      <c r="A50" s="566"/>
      <c r="B50" s="309"/>
      <c r="C50" s="309"/>
      <c r="D50" s="309"/>
      <c r="E50" s="309"/>
      <c r="F50" s="309"/>
      <c r="G50" s="310"/>
      <c r="H50" s="309"/>
      <c r="I50" s="297"/>
      <c r="J50" s="297"/>
      <c r="K50" s="297"/>
      <c r="L50" s="297"/>
      <c r="M50" s="299"/>
      <c r="N50" s="310"/>
      <c r="O50" s="310"/>
      <c r="P50" s="299"/>
      <c r="Q50" s="299"/>
      <c r="R50" s="299"/>
      <c r="S50" s="310"/>
      <c r="T50" s="310"/>
      <c r="U50" s="310"/>
      <c r="V50" s="310"/>
      <c r="W50" s="310"/>
      <c r="X50" s="311"/>
      <c r="Y50" s="311"/>
      <c r="Z50" s="310"/>
      <c r="AA50" s="312"/>
    </row>
    <row r="51" spans="1:29" s="136" customFormat="1" ht="16.5" thickBot="1" x14ac:dyDescent="0.25">
      <c r="A51" s="495"/>
      <c r="B51" s="128"/>
      <c r="C51" s="128"/>
      <c r="D51" s="128"/>
      <c r="E51" s="128"/>
      <c r="F51" s="128"/>
      <c r="G51" s="129"/>
      <c r="H51" s="128"/>
      <c r="I51" s="256"/>
      <c r="J51" s="256"/>
      <c r="K51" s="256"/>
      <c r="L51" s="256"/>
      <c r="M51" s="129"/>
      <c r="N51" s="129"/>
      <c r="O51" s="129"/>
      <c r="P51" s="130"/>
      <c r="Q51" s="130"/>
      <c r="R51" s="130"/>
      <c r="S51" s="129"/>
      <c r="T51" s="129"/>
      <c r="U51" s="129"/>
      <c r="V51" s="129"/>
      <c r="W51" s="129"/>
      <c r="X51" s="131"/>
      <c r="Y51" s="131"/>
      <c r="Z51" s="129"/>
      <c r="AA51" s="132"/>
    </row>
    <row r="52" spans="1:29" s="73" customFormat="1" x14ac:dyDescent="0.2">
      <c r="A52" s="133"/>
      <c r="B52" s="133"/>
      <c r="C52" s="133"/>
      <c r="D52" s="133"/>
      <c r="E52" s="133"/>
      <c r="F52" s="133"/>
      <c r="G52" s="118"/>
      <c r="H52" s="118"/>
      <c r="I52" s="118"/>
      <c r="J52" s="118"/>
      <c r="K52" s="118"/>
      <c r="L52" s="118"/>
      <c r="M52" s="134"/>
      <c r="N52" s="118"/>
      <c r="O52" s="159"/>
      <c r="P52" s="159"/>
      <c r="Q52" s="159"/>
      <c r="R52" s="159"/>
      <c r="S52" s="159"/>
      <c r="T52" s="159"/>
      <c r="U52" s="159"/>
      <c r="V52" s="159"/>
      <c r="W52" s="466"/>
    </row>
    <row r="53" spans="1:29" s="73" customFormat="1" ht="16.5" thickBot="1" x14ac:dyDescent="0.25">
      <c r="A53" s="133"/>
      <c r="B53" s="133"/>
      <c r="C53" s="133"/>
      <c r="D53" s="133"/>
      <c r="E53" s="133"/>
      <c r="F53" s="133"/>
      <c r="G53" s="118"/>
      <c r="H53" s="118"/>
      <c r="I53" s="118"/>
      <c r="J53" s="118"/>
      <c r="K53" s="118"/>
      <c r="N53" s="118"/>
      <c r="O53" s="159"/>
      <c r="P53" s="159"/>
      <c r="Q53" s="159"/>
      <c r="R53" s="159"/>
      <c r="S53" s="159"/>
      <c r="T53" s="159"/>
      <c r="U53" s="159"/>
      <c r="V53" s="159"/>
      <c r="W53" s="467"/>
    </row>
    <row r="54" spans="1:29" s="73" customFormat="1" ht="16.5" thickBot="1" x14ac:dyDescent="0.25">
      <c r="A54" s="496" t="s">
        <v>25</v>
      </c>
      <c r="B54" s="133"/>
      <c r="C54" s="133"/>
      <c r="D54" s="133"/>
      <c r="E54" s="133"/>
      <c r="F54" s="133"/>
      <c r="G54" s="118"/>
      <c r="H54" s="118"/>
      <c r="I54" s="118"/>
      <c r="J54" s="118"/>
      <c r="K54" s="118"/>
      <c r="M54" s="118"/>
      <c r="N54" s="118"/>
      <c r="O54" s="159"/>
      <c r="P54" s="136"/>
      <c r="Q54" s="136"/>
      <c r="R54" s="136"/>
      <c r="S54" s="466"/>
      <c r="T54" s="466"/>
      <c r="U54" s="466"/>
      <c r="V54" s="466"/>
      <c r="W54" s="159"/>
    </row>
    <row r="55" spans="1:29" s="73" customFormat="1" ht="15.75" customHeight="1" x14ac:dyDescent="0.2">
      <c r="A55" s="875" t="s">
        <v>627</v>
      </c>
      <c r="B55" s="868" t="s">
        <v>628</v>
      </c>
      <c r="C55" s="868" t="s">
        <v>11</v>
      </c>
      <c r="D55" s="868" t="s">
        <v>12</v>
      </c>
      <c r="E55" s="868" t="s">
        <v>13</v>
      </c>
      <c r="F55" s="868" t="s">
        <v>14</v>
      </c>
      <c r="G55" s="868" t="s">
        <v>15</v>
      </c>
      <c r="H55" s="868" t="s">
        <v>16</v>
      </c>
      <c r="I55" s="868" t="s">
        <v>26</v>
      </c>
      <c r="J55" s="868" t="s">
        <v>27</v>
      </c>
      <c r="K55" s="945" t="s">
        <v>295</v>
      </c>
      <c r="L55" s="497" t="s">
        <v>63</v>
      </c>
      <c r="M55" s="498" t="s">
        <v>64</v>
      </c>
      <c r="N55" s="499" t="s">
        <v>65</v>
      </c>
      <c r="O55" s="490"/>
      <c r="P55" s="490"/>
      <c r="Q55" s="490"/>
      <c r="R55" s="490"/>
      <c r="S55" s="490"/>
      <c r="T55" s="490"/>
      <c r="U55" s="490"/>
      <c r="V55" s="490"/>
      <c r="W55" s="490"/>
      <c r="X55" s="868" t="s">
        <v>22</v>
      </c>
      <c r="Y55" s="868" t="s">
        <v>23</v>
      </c>
      <c r="Z55" s="868" t="s">
        <v>24</v>
      </c>
      <c r="AA55" s="922" t="s">
        <v>352</v>
      </c>
    </row>
    <row r="56" spans="1:29" s="73" customFormat="1" ht="31.7" customHeight="1" thickBot="1" x14ac:dyDescent="0.25">
      <c r="A56" s="876"/>
      <c r="B56" s="869"/>
      <c r="C56" s="869"/>
      <c r="D56" s="869"/>
      <c r="E56" s="869"/>
      <c r="F56" s="869"/>
      <c r="G56" s="872"/>
      <c r="H56" s="869"/>
      <c r="I56" s="869"/>
      <c r="J56" s="869"/>
      <c r="K56" s="946"/>
      <c r="L56" s="500" t="s">
        <v>66</v>
      </c>
      <c r="M56" s="501" t="s">
        <v>67</v>
      </c>
      <c r="N56" s="502" t="s">
        <v>68</v>
      </c>
      <c r="O56" s="503"/>
      <c r="P56" s="492"/>
      <c r="Q56" s="492"/>
      <c r="R56" s="492"/>
      <c r="S56" s="492"/>
      <c r="T56" s="492"/>
      <c r="U56" s="492"/>
      <c r="V56" s="492"/>
      <c r="W56" s="492"/>
      <c r="X56" s="869"/>
      <c r="Y56" s="869"/>
      <c r="Z56" s="869"/>
      <c r="AA56" s="923"/>
    </row>
    <row r="57" spans="1:29" s="136" customFormat="1" x14ac:dyDescent="0.2">
      <c r="A57" s="493"/>
      <c r="B57" s="225"/>
      <c r="C57" s="225"/>
      <c r="D57" s="225"/>
      <c r="E57" s="225"/>
      <c r="F57" s="225"/>
      <c r="G57" s="120"/>
      <c r="H57" s="225"/>
      <c r="I57" s="263"/>
      <c r="J57" s="263"/>
      <c r="K57" s="265"/>
      <c r="L57" s="268"/>
      <c r="M57" s="120"/>
      <c r="N57" s="121"/>
      <c r="O57" s="269"/>
      <c r="P57" s="226"/>
      <c r="Q57" s="226"/>
      <c r="R57" s="226"/>
      <c r="S57" s="120"/>
      <c r="T57" s="120"/>
      <c r="U57" s="120"/>
      <c r="V57" s="120"/>
      <c r="W57" s="120"/>
      <c r="X57" s="227"/>
      <c r="Y57" s="227"/>
      <c r="Z57" s="120"/>
      <c r="AA57" s="121"/>
    </row>
    <row r="58" spans="1:29" s="136" customFormat="1" x14ac:dyDescent="0.2">
      <c r="A58" s="494"/>
      <c r="B58" s="123"/>
      <c r="C58" s="123"/>
      <c r="D58" s="123"/>
      <c r="E58" s="123"/>
      <c r="F58" s="123"/>
      <c r="G58" s="124"/>
      <c r="H58" s="123"/>
      <c r="I58" s="255"/>
      <c r="J58" s="255"/>
      <c r="K58" s="266"/>
      <c r="L58" s="259"/>
      <c r="M58" s="124"/>
      <c r="N58" s="127"/>
      <c r="O58" s="248"/>
      <c r="P58" s="125"/>
      <c r="Q58" s="125"/>
      <c r="R58" s="125"/>
      <c r="S58" s="124"/>
      <c r="T58" s="124"/>
      <c r="U58" s="124"/>
      <c r="V58" s="124"/>
      <c r="W58" s="124"/>
      <c r="X58" s="126"/>
      <c r="Y58" s="126"/>
      <c r="Z58" s="124"/>
      <c r="AA58" s="127"/>
    </row>
    <row r="59" spans="1:29" s="136" customFormat="1" x14ac:dyDescent="0.2">
      <c r="A59" s="494"/>
      <c r="B59" s="123"/>
      <c r="C59" s="123"/>
      <c r="D59" s="123"/>
      <c r="E59" s="123"/>
      <c r="F59" s="123"/>
      <c r="G59" s="124"/>
      <c r="H59" s="123"/>
      <c r="I59" s="255"/>
      <c r="J59" s="255"/>
      <c r="K59" s="266"/>
      <c r="L59" s="259"/>
      <c r="M59" s="124"/>
      <c r="N59" s="127"/>
      <c r="O59" s="248"/>
      <c r="P59" s="125"/>
      <c r="Q59" s="125"/>
      <c r="R59" s="125"/>
      <c r="S59" s="124"/>
      <c r="T59" s="124"/>
      <c r="U59" s="124"/>
      <c r="V59" s="124"/>
      <c r="W59" s="124"/>
      <c r="X59" s="126"/>
      <c r="Y59" s="126"/>
      <c r="Z59" s="124"/>
      <c r="AA59" s="127"/>
    </row>
    <row r="60" spans="1:29" s="136" customFormat="1" ht="16.5" thickBot="1" x14ac:dyDescent="0.25">
      <c r="A60" s="495"/>
      <c r="B60" s="128"/>
      <c r="C60" s="128"/>
      <c r="D60" s="128"/>
      <c r="E60" s="128"/>
      <c r="F60" s="128"/>
      <c r="G60" s="129"/>
      <c r="H60" s="128"/>
      <c r="I60" s="256"/>
      <c r="J60" s="256"/>
      <c r="K60" s="267"/>
      <c r="L60" s="137"/>
      <c r="M60" s="129"/>
      <c r="N60" s="132"/>
      <c r="O60" s="137"/>
      <c r="P60" s="129"/>
      <c r="Q60" s="129"/>
      <c r="R60" s="129"/>
      <c r="S60" s="129"/>
      <c r="T60" s="129"/>
      <c r="U60" s="129"/>
      <c r="V60" s="129"/>
      <c r="W60" s="129"/>
      <c r="X60" s="131"/>
      <c r="Y60" s="131"/>
      <c r="Z60" s="129"/>
      <c r="AA60" s="132"/>
    </row>
    <row r="61" spans="1:29" s="73" customFormat="1" x14ac:dyDescent="0.2">
      <c r="A61" s="133"/>
      <c r="B61" s="133"/>
      <c r="C61" s="133"/>
      <c r="D61" s="133"/>
      <c r="E61" s="133"/>
      <c r="F61" s="133"/>
      <c r="G61" s="118"/>
      <c r="H61" s="118"/>
      <c r="I61" s="118"/>
      <c r="J61" s="118"/>
      <c r="K61" s="118"/>
      <c r="L61" s="118"/>
      <c r="M61" s="118"/>
      <c r="N61" s="118"/>
      <c r="O61" s="160"/>
      <c r="P61" s="159"/>
      <c r="Q61" s="159"/>
      <c r="R61" s="159"/>
      <c r="S61" s="136"/>
      <c r="T61" s="136"/>
      <c r="U61" s="136"/>
      <c r="V61" s="136"/>
      <c r="W61" s="136"/>
      <c r="X61" s="118"/>
    </row>
    <row r="62" spans="1:29" s="73" customFormat="1" ht="16.5" thickBot="1" x14ac:dyDescent="0.25">
      <c r="A62" s="133"/>
      <c r="B62" s="133"/>
      <c r="C62" s="133"/>
      <c r="D62" s="133"/>
      <c r="E62" s="133"/>
      <c r="F62" s="133"/>
      <c r="G62" s="118"/>
      <c r="H62" s="118"/>
      <c r="I62" s="118"/>
      <c r="J62" s="118"/>
      <c r="K62" s="118"/>
      <c r="L62" s="118"/>
      <c r="M62" s="118"/>
      <c r="N62" s="118"/>
      <c r="O62" s="160"/>
      <c r="P62" s="159"/>
      <c r="Q62" s="159"/>
      <c r="R62" s="159"/>
      <c r="S62" s="136"/>
      <c r="T62" s="136"/>
      <c r="U62" s="136"/>
      <c r="V62" s="136"/>
      <c r="W62" s="136"/>
      <c r="X62" s="118"/>
    </row>
    <row r="63" spans="1:29" s="73" customFormat="1" ht="16.5" thickBot="1" x14ac:dyDescent="0.25">
      <c r="A63" s="822" t="s">
        <v>307</v>
      </c>
      <c r="B63" s="873"/>
      <c r="C63" s="873"/>
      <c r="D63" s="874"/>
      <c r="E63" s="133"/>
      <c r="F63" s="133"/>
      <c r="G63" s="118"/>
      <c r="H63" s="118"/>
      <c r="I63" s="118"/>
      <c r="J63" s="118"/>
      <c r="K63" s="118"/>
      <c r="L63" s="118"/>
      <c r="M63" s="118"/>
      <c r="N63" s="118"/>
      <c r="O63" s="136"/>
      <c r="P63" s="159"/>
      <c r="Q63" s="159"/>
      <c r="R63" s="159"/>
      <c r="S63" s="466"/>
      <c r="T63" s="466"/>
      <c r="U63" s="466"/>
      <c r="V63" s="466"/>
      <c r="W63" s="159"/>
      <c r="X63" s="118"/>
      <c r="Y63" s="118"/>
    </row>
    <row r="64" spans="1:29" s="73" customFormat="1" ht="15.75" customHeight="1" x14ac:dyDescent="0.2">
      <c r="A64" s="875" t="s">
        <v>627</v>
      </c>
      <c r="B64" s="868" t="s">
        <v>628</v>
      </c>
      <c r="C64" s="868" t="s">
        <v>11</v>
      </c>
      <c r="D64" s="868" t="s">
        <v>12</v>
      </c>
      <c r="E64" s="868" t="s">
        <v>13</v>
      </c>
      <c r="F64" s="868" t="s">
        <v>14</v>
      </c>
      <c r="G64" s="868" t="s">
        <v>15</v>
      </c>
      <c r="H64" s="868" t="s">
        <v>16</v>
      </c>
      <c r="I64" s="868">
        <v>20</v>
      </c>
      <c r="J64" s="868">
        <v>40</v>
      </c>
      <c r="K64" s="868" t="s">
        <v>19</v>
      </c>
      <c r="L64" s="922" t="s">
        <v>20</v>
      </c>
      <c r="M64" s="943" t="s">
        <v>28</v>
      </c>
      <c r="N64" s="504" t="s">
        <v>69</v>
      </c>
      <c r="O64" s="498" t="s">
        <v>64</v>
      </c>
      <c r="P64" s="499" t="s">
        <v>65</v>
      </c>
      <c r="Q64" s="490" t="s">
        <v>147</v>
      </c>
      <c r="R64" s="490" t="s">
        <v>71</v>
      </c>
      <c r="S64" s="490"/>
      <c r="T64" s="490"/>
      <c r="U64" s="490"/>
      <c r="V64" s="490"/>
      <c r="W64" s="490"/>
      <c r="X64" s="490"/>
      <c r="Y64" s="490"/>
      <c r="Z64" s="868" t="s">
        <v>22</v>
      </c>
      <c r="AA64" s="868" t="s">
        <v>23</v>
      </c>
      <c r="AB64" s="868" t="s">
        <v>24</v>
      </c>
      <c r="AC64" s="922" t="s">
        <v>352</v>
      </c>
    </row>
    <row r="65" spans="1:29" s="73" customFormat="1" ht="48" thickBot="1" x14ac:dyDescent="0.25">
      <c r="A65" s="876"/>
      <c r="B65" s="869"/>
      <c r="C65" s="869"/>
      <c r="D65" s="869"/>
      <c r="E65" s="869"/>
      <c r="F65" s="869"/>
      <c r="G65" s="872"/>
      <c r="H65" s="869"/>
      <c r="I65" s="869"/>
      <c r="J65" s="869"/>
      <c r="K65" s="869"/>
      <c r="L65" s="923"/>
      <c r="M65" s="944"/>
      <c r="N65" s="505" t="s">
        <v>70</v>
      </c>
      <c r="O65" s="501" t="s">
        <v>67</v>
      </c>
      <c r="P65" s="502" t="s">
        <v>68</v>
      </c>
      <c r="Q65" s="503" t="s">
        <v>84</v>
      </c>
      <c r="R65" s="492" t="s">
        <v>84</v>
      </c>
      <c r="S65" s="492"/>
      <c r="T65" s="492"/>
      <c r="U65" s="492"/>
      <c r="V65" s="492"/>
      <c r="W65" s="492"/>
      <c r="X65" s="492"/>
      <c r="Y65" s="492"/>
      <c r="Z65" s="924"/>
      <c r="AA65" s="924"/>
      <c r="AB65" s="924"/>
      <c r="AC65" s="923"/>
    </row>
    <row r="66" spans="1:29" s="136" customFormat="1" x14ac:dyDescent="0.2">
      <c r="A66" s="493"/>
      <c r="B66" s="225"/>
      <c r="C66" s="225"/>
      <c r="D66" s="225"/>
      <c r="E66" s="225"/>
      <c r="F66" s="225"/>
      <c r="G66" s="120"/>
      <c r="H66" s="225"/>
      <c r="I66" s="263"/>
      <c r="J66" s="263"/>
      <c r="K66" s="263"/>
      <c r="L66" s="265"/>
      <c r="M66" s="270"/>
      <c r="N66" s="268"/>
      <c r="O66" s="120"/>
      <c r="P66" s="121"/>
      <c r="Q66" s="269"/>
      <c r="R66" s="226"/>
      <c r="S66" s="226"/>
      <c r="T66" s="226"/>
      <c r="U66" s="226"/>
      <c r="V66" s="226"/>
      <c r="W66" s="120"/>
      <c r="X66" s="120"/>
      <c r="Y66" s="120"/>
      <c r="Z66" s="227"/>
      <c r="AA66" s="227"/>
      <c r="AB66" s="120"/>
      <c r="AC66" s="121"/>
    </row>
    <row r="67" spans="1:29" s="136" customFormat="1" x14ac:dyDescent="0.2">
      <c r="A67" s="494"/>
      <c r="B67" s="123"/>
      <c r="C67" s="123"/>
      <c r="D67" s="123"/>
      <c r="E67" s="123"/>
      <c r="F67" s="123"/>
      <c r="G67" s="124"/>
      <c r="H67" s="123"/>
      <c r="I67" s="255"/>
      <c r="J67" s="255"/>
      <c r="K67" s="255"/>
      <c r="L67" s="266"/>
      <c r="M67" s="271"/>
      <c r="N67" s="259"/>
      <c r="O67" s="124"/>
      <c r="P67" s="127"/>
      <c r="Q67" s="248"/>
      <c r="R67" s="125"/>
      <c r="S67" s="125"/>
      <c r="T67" s="125"/>
      <c r="U67" s="125"/>
      <c r="V67" s="125"/>
      <c r="W67" s="124"/>
      <c r="X67" s="124"/>
      <c r="Y67" s="124"/>
      <c r="Z67" s="126"/>
      <c r="AA67" s="126"/>
      <c r="AB67" s="124"/>
      <c r="AC67" s="127"/>
    </row>
    <row r="68" spans="1:29" s="136" customFormat="1" x14ac:dyDescent="0.2">
      <c r="A68" s="494"/>
      <c r="B68" s="123"/>
      <c r="C68" s="123"/>
      <c r="D68" s="123"/>
      <c r="E68" s="123"/>
      <c r="F68" s="123"/>
      <c r="G68" s="124"/>
      <c r="H68" s="123"/>
      <c r="I68" s="255"/>
      <c r="J68" s="255"/>
      <c r="K68" s="255"/>
      <c r="L68" s="266"/>
      <c r="M68" s="271"/>
      <c r="N68" s="259"/>
      <c r="O68" s="124"/>
      <c r="P68" s="127"/>
      <c r="Q68" s="248"/>
      <c r="R68" s="125"/>
      <c r="S68" s="125"/>
      <c r="T68" s="125"/>
      <c r="U68" s="125"/>
      <c r="V68" s="125"/>
      <c r="W68" s="124"/>
      <c r="X68" s="124"/>
      <c r="Y68" s="124"/>
      <c r="Z68" s="126"/>
      <c r="AA68" s="126"/>
      <c r="AB68" s="124"/>
      <c r="AC68" s="127"/>
    </row>
    <row r="69" spans="1:29" s="136" customFormat="1" ht="16.5" thickBot="1" x14ac:dyDescent="0.25">
      <c r="A69" s="495"/>
      <c r="B69" s="128"/>
      <c r="C69" s="128"/>
      <c r="D69" s="128"/>
      <c r="E69" s="128"/>
      <c r="F69" s="128"/>
      <c r="G69" s="129"/>
      <c r="H69" s="128"/>
      <c r="I69" s="256"/>
      <c r="J69" s="256"/>
      <c r="K69" s="256"/>
      <c r="L69" s="267"/>
      <c r="M69" s="161"/>
      <c r="N69" s="137"/>
      <c r="O69" s="129"/>
      <c r="P69" s="132"/>
      <c r="Q69" s="137"/>
      <c r="R69" s="129"/>
      <c r="S69" s="129"/>
      <c r="T69" s="129"/>
      <c r="U69" s="129"/>
      <c r="V69" s="129"/>
      <c r="W69" s="129"/>
      <c r="X69" s="129"/>
      <c r="Y69" s="129"/>
      <c r="Z69" s="131"/>
      <c r="AA69" s="131"/>
      <c r="AB69" s="129"/>
      <c r="AC69" s="132"/>
    </row>
    <row r="70" spans="1:29" s="73" customFormat="1" x14ac:dyDescent="0.2">
      <c r="A70" s="133"/>
      <c r="B70" s="133"/>
      <c r="C70" s="133"/>
      <c r="D70" s="133"/>
      <c r="E70" s="133"/>
      <c r="F70" s="133"/>
      <c r="G70" s="118"/>
      <c r="H70" s="118"/>
      <c r="I70" s="118"/>
      <c r="J70" s="118"/>
      <c r="K70" s="118"/>
      <c r="M70" s="118"/>
      <c r="V70" s="118"/>
      <c r="W70" s="118"/>
    </row>
    <row r="71" spans="1:29" s="73" customFormat="1" x14ac:dyDescent="0.2">
      <c r="A71" s="133"/>
      <c r="B71" s="133"/>
      <c r="C71" s="133"/>
      <c r="D71" s="133"/>
      <c r="E71" s="133"/>
      <c r="F71" s="118"/>
      <c r="G71" s="118"/>
      <c r="H71" s="118"/>
      <c r="I71" s="118"/>
      <c r="J71" s="118"/>
      <c r="K71" s="134"/>
      <c r="L71" s="118"/>
      <c r="M71" s="118"/>
      <c r="N71" s="118"/>
      <c r="S71" s="118"/>
      <c r="T71" s="118"/>
      <c r="U71" s="118"/>
    </row>
    <row r="72" spans="1:29" s="456" customFormat="1" ht="16.5" thickBot="1" x14ac:dyDescent="0.25">
      <c r="A72" s="133"/>
      <c r="B72" s="133"/>
      <c r="C72" s="133"/>
      <c r="D72" s="133"/>
      <c r="E72" s="118"/>
      <c r="F72" s="118"/>
      <c r="G72" s="118"/>
      <c r="H72" s="118"/>
      <c r="I72" s="118"/>
      <c r="J72" s="134"/>
      <c r="K72" s="134"/>
      <c r="L72" s="134"/>
      <c r="M72" s="134"/>
      <c r="R72" s="134"/>
    </row>
    <row r="73" spans="1:29" s="456" customFormat="1" ht="19.5" thickBot="1" x14ac:dyDescent="0.25">
      <c r="A73" s="938" t="s">
        <v>29</v>
      </c>
      <c r="B73" s="939"/>
      <c r="C73" s="940"/>
      <c r="D73" s="133"/>
      <c r="E73" s="133"/>
      <c r="F73" s="118"/>
      <c r="G73" s="118"/>
      <c r="H73" s="118"/>
      <c r="I73" s="118"/>
      <c r="J73" s="118"/>
      <c r="K73" s="134"/>
      <c r="L73" s="134"/>
      <c r="M73" s="134"/>
      <c r="N73" s="134"/>
      <c r="S73" s="134"/>
      <c r="T73" s="134"/>
      <c r="U73" s="134"/>
    </row>
    <row r="74" spans="1:29" s="456" customFormat="1" ht="16.5" thickBot="1" x14ac:dyDescent="0.25">
      <c r="A74" s="800" t="s">
        <v>625</v>
      </c>
      <c r="B74" s="801"/>
      <c r="C74" s="802"/>
      <c r="D74" s="133"/>
      <c r="E74" s="133"/>
      <c r="F74" s="133"/>
      <c r="G74" s="118"/>
      <c r="H74" s="118"/>
      <c r="I74" s="118"/>
      <c r="J74" s="118"/>
      <c r="K74" s="118"/>
      <c r="L74" s="134"/>
      <c r="N74" s="134"/>
      <c r="O74" s="134"/>
      <c r="V74" s="134"/>
    </row>
    <row r="75" spans="1:29" s="456" customFormat="1" x14ac:dyDescent="0.2">
      <c r="A75" s="506" t="s">
        <v>30</v>
      </c>
      <c r="B75" s="507"/>
      <c r="C75" s="508" t="s">
        <v>155</v>
      </c>
      <c r="D75" s="509"/>
      <c r="E75" s="509"/>
      <c r="F75" s="510"/>
      <c r="G75" s="510"/>
      <c r="H75" s="509"/>
      <c r="I75" s="510"/>
      <c r="J75" s="509"/>
      <c r="K75" s="143"/>
      <c r="L75" s="144"/>
      <c r="N75" s="134"/>
      <c r="O75" s="134"/>
      <c r="P75" s="134"/>
    </row>
    <row r="76" spans="1:29" s="456" customFormat="1" x14ac:dyDescent="0.2">
      <c r="A76" s="96" t="s">
        <v>626</v>
      </c>
      <c r="B76" s="511"/>
      <c r="C76" s="511"/>
      <c r="D76" s="512"/>
      <c r="E76" s="512"/>
      <c r="F76" s="215"/>
      <c r="G76" s="215"/>
      <c r="H76" s="512"/>
      <c r="I76" s="215"/>
      <c r="J76" s="512"/>
      <c r="K76" s="149"/>
      <c r="L76" s="150"/>
      <c r="N76" s="134"/>
      <c r="O76" s="134"/>
      <c r="P76" s="134"/>
    </row>
    <row r="77" spans="1:29" s="456" customFormat="1" x14ac:dyDescent="0.2">
      <c r="A77" s="96" t="s">
        <v>173</v>
      </c>
      <c r="B77" s="511"/>
      <c r="C77" s="511"/>
      <c r="D77" s="512"/>
      <c r="E77" s="512"/>
      <c r="F77" s="215"/>
      <c r="G77" s="215"/>
      <c r="H77" s="512"/>
      <c r="I77" s="215"/>
      <c r="J77" s="512"/>
      <c r="K77" s="149"/>
      <c r="L77" s="150"/>
      <c r="N77" s="134"/>
      <c r="O77" s="134"/>
      <c r="P77" s="134"/>
    </row>
    <row r="78" spans="1:29" s="456" customFormat="1" x14ac:dyDescent="0.2">
      <c r="A78" s="96" t="s">
        <v>987</v>
      </c>
      <c r="B78" s="511"/>
      <c r="C78" s="511"/>
      <c r="D78" s="512"/>
      <c r="E78" s="512"/>
      <c r="F78" s="215"/>
      <c r="G78" s="215"/>
      <c r="H78" s="512"/>
      <c r="I78" s="215"/>
      <c r="J78" s="512"/>
      <c r="K78" s="149"/>
      <c r="L78" s="150"/>
      <c r="N78" s="134"/>
      <c r="O78" s="134"/>
      <c r="P78" s="134"/>
    </row>
    <row r="79" spans="1:29" s="456" customFormat="1" ht="16.5" thickBot="1" x14ac:dyDescent="0.25">
      <c r="A79" s="110" t="s">
        <v>988</v>
      </c>
      <c r="B79" s="513"/>
      <c r="C79" s="513"/>
      <c r="D79" s="514"/>
      <c r="E79" s="514"/>
      <c r="F79" s="515"/>
      <c r="G79" s="515"/>
      <c r="H79" s="514"/>
      <c r="I79" s="515"/>
      <c r="J79" s="514"/>
      <c r="K79" s="154"/>
      <c r="L79" s="155"/>
      <c r="N79" s="134"/>
      <c r="O79" s="134"/>
      <c r="P79" s="134"/>
    </row>
    <row r="80" spans="1:29" s="456" customFormat="1" ht="16.5" thickBot="1" x14ac:dyDescent="0.25">
      <c r="A80" s="516"/>
      <c r="B80" s="517"/>
      <c r="C80" s="134"/>
      <c r="D80" s="133"/>
      <c r="E80" s="133"/>
      <c r="F80" s="133"/>
      <c r="G80" s="133"/>
      <c r="H80" s="118"/>
      <c r="I80" s="118"/>
      <c r="J80" s="118"/>
      <c r="K80" s="118"/>
      <c r="L80" s="118"/>
      <c r="M80" s="134"/>
      <c r="O80" s="134"/>
      <c r="P80" s="134"/>
      <c r="Q80" s="118"/>
    </row>
    <row r="81" spans="1:24" s="14" customFormat="1" ht="48" thickBot="1" x14ac:dyDescent="0.25">
      <c r="A81" s="518" t="s">
        <v>31</v>
      </c>
      <c r="B81" s="932" t="s">
        <v>628</v>
      </c>
      <c r="C81" s="933"/>
      <c r="D81" s="934"/>
      <c r="E81" s="519" t="s">
        <v>11</v>
      </c>
      <c r="F81" s="519" t="s">
        <v>14</v>
      </c>
      <c r="G81" s="519" t="s">
        <v>287</v>
      </c>
      <c r="H81" s="519" t="s">
        <v>32</v>
      </c>
      <c r="I81" s="519" t="s">
        <v>16</v>
      </c>
      <c r="J81" s="519" t="s">
        <v>17</v>
      </c>
      <c r="K81" s="519" t="s">
        <v>18</v>
      </c>
      <c r="L81" s="519" t="s">
        <v>19</v>
      </c>
      <c r="M81" s="519" t="s">
        <v>20</v>
      </c>
      <c r="N81" s="520" t="s">
        <v>123</v>
      </c>
      <c r="O81" s="519" t="s">
        <v>96</v>
      </c>
      <c r="P81" s="521" t="s">
        <v>809</v>
      </c>
    </row>
    <row r="82" spans="1:24" s="303" customFormat="1" x14ac:dyDescent="0.2">
      <c r="A82" s="269"/>
      <c r="B82" s="925"/>
      <c r="C82" s="926"/>
      <c r="D82" s="926"/>
      <c r="E82" s="226"/>
      <c r="F82" s="226"/>
      <c r="G82" s="226"/>
      <c r="H82" s="226"/>
      <c r="I82" s="226"/>
      <c r="J82" s="273"/>
      <c r="K82" s="263"/>
      <c r="L82" s="263"/>
      <c r="M82" s="306"/>
      <c r="N82" s="49"/>
      <c r="O82" s="226"/>
      <c r="P82" s="274"/>
      <c r="Q82" s="159"/>
      <c r="R82" s="159"/>
      <c r="S82" s="159"/>
      <c r="T82" s="159"/>
      <c r="U82" s="159"/>
      <c r="V82" s="160"/>
      <c r="W82" s="160"/>
      <c r="X82" s="160"/>
    </row>
    <row r="83" spans="1:24" s="303" customFormat="1" x14ac:dyDescent="0.2">
      <c r="A83" s="248"/>
      <c r="B83" s="927"/>
      <c r="C83" s="928"/>
      <c r="D83" s="928"/>
      <c r="E83" s="125"/>
      <c r="F83" s="125"/>
      <c r="G83" s="125"/>
      <c r="H83" s="125"/>
      <c r="I83" s="125"/>
      <c r="J83" s="275"/>
      <c r="K83" s="255"/>
      <c r="L83" s="255"/>
      <c r="M83" s="307"/>
      <c r="N83" s="21"/>
      <c r="O83" s="125"/>
      <c r="P83" s="276"/>
      <c r="Q83" s="159"/>
      <c r="R83" s="159"/>
      <c r="S83" s="159"/>
      <c r="T83" s="159"/>
      <c r="U83" s="159"/>
      <c r="V83" s="160"/>
      <c r="W83" s="160"/>
      <c r="X83" s="160"/>
    </row>
    <row r="84" spans="1:24" s="303" customFormat="1" x14ac:dyDescent="0.2">
      <c r="A84" s="248"/>
      <c r="B84" s="927"/>
      <c r="C84" s="928"/>
      <c r="D84" s="928"/>
      <c r="E84" s="125"/>
      <c r="F84" s="125"/>
      <c r="G84" s="125"/>
      <c r="H84" s="125"/>
      <c r="I84" s="125"/>
      <c r="J84" s="275"/>
      <c r="K84" s="255"/>
      <c r="L84" s="255"/>
      <c r="M84" s="307"/>
      <c r="N84" s="21"/>
      <c r="O84" s="125"/>
      <c r="P84" s="276"/>
      <c r="Q84" s="159"/>
      <c r="R84" s="159"/>
      <c r="S84" s="159"/>
      <c r="T84" s="159"/>
      <c r="U84" s="159"/>
      <c r="V84" s="160"/>
      <c r="W84" s="160"/>
      <c r="X84" s="160"/>
    </row>
    <row r="85" spans="1:24" s="303" customFormat="1" ht="16.5" thickBot="1" x14ac:dyDescent="0.25">
      <c r="A85" s="304"/>
      <c r="B85" s="912"/>
      <c r="C85" s="913"/>
      <c r="D85" s="913"/>
      <c r="E85" s="130"/>
      <c r="F85" s="130"/>
      <c r="G85" s="130"/>
      <c r="H85" s="130"/>
      <c r="I85" s="130"/>
      <c r="J85" s="258"/>
      <c r="K85" s="256"/>
      <c r="L85" s="256"/>
      <c r="M85" s="305"/>
      <c r="N85" s="29"/>
      <c r="O85" s="129"/>
      <c r="P85" s="132"/>
      <c r="Q85" s="159"/>
      <c r="R85" s="159"/>
      <c r="S85" s="159"/>
      <c r="T85" s="159"/>
      <c r="U85" s="159"/>
      <c r="V85" s="160"/>
      <c r="W85" s="160"/>
      <c r="X85" s="160"/>
    </row>
    <row r="86" spans="1:24" s="456" customFormat="1" x14ac:dyDescent="0.2">
      <c r="A86" s="134"/>
      <c r="B86" s="134"/>
      <c r="C86" s="522"/>
      <c r="D86" s="522"/>
      <c r="E86" s="134"/>
      <c r="F86" s="134"/>
      <c r="G86" s="134"/>
      <c r="H86" s="134"/>
      <c r="I86" s="134"/>
      <c r="J86" s="134"/>
      <c r="K86" s="134"/>
      <c r="L86" s="134"/>
      <c r="M86" s="134"/>
      <c r="O86" s="118"/>
      <c r="P86" s="118"/>
      <c r="Q86" s="118"/>
      <c r="R86" s="118"/>
      <c r="S86" s="118"/>
      <c r="T86" s="118"/>
      <c r="U86" s="118"/>
      <c r="V86" s="134"/>
      <c r="W86" s="134"/>
      <c r="X86" s="134"/>
    </row>
    <row r="87" spans="1:24" s="456" customFormat="1" ht="16.5" thickBot="1" x14ac:dyDescent="0.25">
      <c r="A87" s="133"/>
      <c r="B87" s="133"/>
      <c r="C87" s="133"/>
      <c r="D87" s="133"/>
      <c r="E87" s="133"/>
      <c r="F87" s="133"/>
      <c r="G87" s="133"/>
      <c r="H87" s="133"/>
      <c r="I87" s="118"/>
      <c r="J87" s="118"/>
      <c r="K87" s="118"/>
      <c r="L87" s="118"/>
      <c r="M87" s="118"/>
      <c r="N87" s="134"/>
      <c r="O87" s="134"/>
      <c r="P87" s="134"/>
      <c r="Q87" s="134"/>
      <c r="R87" s="134"/>
      <c r="S87" s="134"/>
      <c r="T87" s="134"/>
      <c r="U87" s="134"/>
      <c r="V87" s="134"/>
      <c r="W87" s="118"/>
    </row>
    <row r="88" spans="1:24" s="456" customFormat="1" ht="19.5" thickBot="1" x14ac:dyDescent="0.25">
      <c r="A88" s="938" t="s">
        <v>34</v>
      </c>
      <c r="B88" s="939"/>
      <c r="C88" s="940"/>
      <c r="D88" s="523"/>
      <c r="E88" s="133"/>
      <c r="F88" s="133"/>
      <c r="G88" s="133"/>
      <c r="H88" s="133"/>
      <c r="I88" s="118"/>
      <c r="J88" s="118"/>
      <c r="K88" s="118"/>
      <c r="L88" s="118"/>
      <c r="M88" s="118"/>
      <c r="N88" s="134"/>
      <c r="O88" s="134"/>
      <c r="P88" s="134"/>
      <c r="Q88" s="134"/>
      <c r="R88" s="134"/>
      <c r="S88" s="134"/>
      <c r="T88" s="134"/>
      <c r="U88" s="134"/>
      <c r="V88" s="134"/>
      <c r="W88" s="118"/>
    </row>
    <row r="89" spans="1:24" s="456" customFormat="1" ht="16.5" thickBot="1" x14ac:dyDescent="0.25">
      <c r="A89" s="800" t="s">
        <v>625</v>
      </c>
      <c r="B89" s="801"/>
      <c r="C89" s="802"/>
      <c r="D89" s="200"/>
      <c r="E89" s="200"/>
      <c r="F89" s="200"/>
      <c r="G89" s="200"/>
      <c r="H89" s="194"/>
      <c r="I89" s="194"/>
      <c r="J89" s="200"/>
      <c r="K89" s="194"/>
      <c r="L89" s="200"/>
      <c r="M89" s="118"/>
      <c r="N89" s="134"/>
      <c r="O89" s="134"/>
      <c r="P89" s="134"/>
      <c r="Q89" s="134"/>
      <c r="R89" s="134"/>
      <c r="S89" s="134"/>
      <c r="T89" s="134"/>
      <c r="U89" s="134"/>
      <c r="V89" s="134"/>
      <c r="W89" s="118"/>
    </row>
    <row r="90" spans="1:24" s="456" customFormat="1" x14ac:dyDescent="0.2">
      <c r="A90" s="506" t="s">
        <v>30</v>
      </c>
      <c r="B90" s="470"/>
      <c r="C90" s="508" t="s">
        <v>155</v>
      </c>
      <c r="D90" s="508"/>
      <c r="E90" s="509"/>
      <c r="F90" s="509"/>
      <c r="G90" s="509"/>
      <c r="H90" s="510"/>
      <c r="I90" s="510"/>
      <c r="J90" s="509"/>
      <c r="K90" s="510"/>
      <c r="L90" s="524"/>
      <c r="M90" s="118"/>
      <c r="N90" s="134"/>
      <c r="O90" s="134"/>
      <c r="P90" s="134"/>
      <c r="Q90" s="134"/>
      <c r="R90" s="134"/>
      <c r="S90" s="134"/>
      <c r="T90" s="134"/>
      <c r="U90" s="134"/>
      <c r="V90" s="134"/>
      <c r="W90" s="118"/>
    </row>
    <row r="91" spans="1:24" s="456" customFormat="1" x14ac:dyDescent="0.2">
      <c r="A91" s="96" t="s">
        <v>35</v>
      </c>
      <c r="B91" s="512"/>
      <c r="C91" s="512"/>
      <c r="D91" s="512"/>
      <c r="E91" s="512"/>
      <c r="F91" s="512"/>
      <c r="G91" s="512"/>
      <c r="H91" s="215"/>
      <c r="I91" s="215"/>
      <c r="J91" s="512"/>
      <c r="K91" s="215"/>
      <c r="L91" s="525"/>
      <c r="M91" s="118"/>
      <c r="N91" s="134"/>
      <c r="O91" s="134"/>
      <c r="P91" s="134"/>
      <c r="Q91" s="134"/>
      <c r="R91" s="134"/>
      <c r="S91" s="134"/>
      <c r="T91" s="134"/>
      <c r="U91" s="134"/>
      <c r="V91" s="134"/>
      <c r="W91" s="118"/>
    </row>
    <row r="92" spans="1:24" s="456" customFormat="1" x14ac:dyDescent="0.2">
      <c r="A92" s="96" t="s">
        <v>174</v>
      </c>
      <c r="B92" s="512"/>
      <c r="C92" s="512"/>
      <c r="D92" s="512"/>
      <c r="E92" s="512"/>
      <c r="F92" s="512"/>
      <c r="G92" s="512"/>
      <c r="H92" s="215"/>
      <c r="I92" s="215"/>
      <c r="J92" s="512"/>
      <c r="K92" s="215"/>
      <c r="L92" s="525"/>
      <c r="M92" s="118"/>
      <c r="N92" s="134"/>
      <c r="O92" s="134"/>
      <c r="P92" s="134"/>
      <c r="Q92" s="134"/>
      <c r="R92" s="134"/>
      <c r="S92" s="134"/>
      <c r="T92" s="134"/>
      <c r="U92" s="134"/>
      <c r="V92" s="134"/>
      <c r="W92" s="118"/>
    </row>
    <row r="93" spans="1:24" s="456" customFormat="1" x14ac:dyDescent="0.2">
      <c r="A93" s="96" t="s">
        <v>987</v>
      </c>
      <c r="B93" s="512"/>
      <c r="C93" s="512"/>
      <c r="D93" s="512"/>
      <c r="E93" s="512"/>
      <c r="F93" s="512"/>
      <c r="G93" s="512"/>
      <c r="H93" s="215"/>
      <c r="I93" s="215"/>
      <c r="J93" s="512"/>
      <c r="K93" s="215"/>
      <c r="L93" s="525"/>
      <c r="M93" s="118"/>
      <c r="N93" s="134"/>
      <c r="O93" s="134"/>
      <c r="P93" s="134"/>
      <c r="Q93" s="134"/>
      <c r="R93" s="134"/>
      <c r="S93" s="134"/>
      <c r="T93" s="134"/>
      <c r="U93" s="134"/>
      <c r="V93" s="134"/>
      <c r="W93" s="118"/>
    </row>
    <row r="94" spans="1:24" s="456" customFormat="1" ht="16.5" thickBot="1" x14ac:dyDescent="0.25">
      <c r="A94" s="110" t="s">
        <v>988</v>
      </c>
      <c r="B94" s="514"/>
      <c r="C94" s="514"/>
      <c r="D94" s="514"/>
      <c r="E94" s="514"/>
      <c r="F94" s="514"/>
      <c r="G94" s="514"/>
      <c r="H94" s="515"/>
      <c r="I94" s="515"/>
      <c r="J94" s="514"/>
      <c r="K94" s="515"/>
      <c r="L94" s="526"/>
      <c r="M94" s="118"/>
      <c r="N94" s="134"/>
      <c r="O94" s="134"/>
      <c r="P94" s="134"/>
      <c r="Q94" s="134"/>
      <c r="R94" s="134"/>
      <c r="S94" s="134"/>
      <c r="T94" s="134"/>
      <c r="U94" s="134"/>
      <c r="V94" s="134"/>
      <c r="W94" s="118"/>
    </row>
    <row r="95" spans="1:24" s="456" customFormat="1" ht="16.5" thickBot="1" x14ac:dyDescent="0.25">
      <c r="A95" s="527"/>
      <c r="E95" s="200"/>
      <c r="F95" s="200"/>
      <c r="G95" s="200"/>
      <c r="H95" s="194"/>
      <c r="I95" s="517"/>
      <c r="J95" s="200"/>
      <c r="K95" s="194"/>
      <c r="L95" s="200"/>
      <c r="M95" s="118"/>
      <c r="N95" s="134"/>
      <c r="O95" s="134"/>
      <c r="P95" s="134"/>
      <c r="Q95" s="134"/>
      <c r="R95" s="118"/>
      <c r="V95" s="528"/>
      <c r="W95" s="528"/>
    </row>
    <row r="96" spans="1:24" s="14" customFormat="1" ht="32.25" thickBot="1" x14ac:dyDescent="0.25">
      <c r="A96" s="518" t="s">
        <v>31</v>
      </c>
      <c r="B96" s="932" t="s">
        <v>13</v>
      </c>
      <c r="C96" s="933"/>
      <c r="D96" s="934"/>
      <c r="E96" s="519" t="s">
        <v>12</v>
      </c>
      <c r="F96" s="519" t="s">
        <v>14</v>
      </c>
      <c r="G96" s="519" t="s">
        <v>276</v>
      </c>
      <c r="H96" s="519" t="s">
        <v>32</v>
      </c>
      <c r="I96" s="519" t="s">
        <v>16</v>
      </c>
      <c r="J96" s="519" t="s">
        <v>17</v>
      </c>
      <c r="K96" s="519" t="s">
        <v>18</v>
      </c>
      <c r="L96" s="519" t="s">
        <v>19</v>
      </c>
      <c r="M96" s="519" t="s">
        <v>20</v>
      </c>
      <c r="N96" s="520" t="s">
        <v>123</v>
      </c>
      <c r="O96" s="519" t="s">
        <v>94</v>
      </c>
      <c r="P96" s="521" t="s">
        <v>807</v>
      </c>
      <c r="W96" s="13"/>
    </row>
    <row r="97" spans="1:23" s="303" customFormat="1" x14ac:dyDescent="0.2">
      <c r="A97" s="269"/>
      <c r="B97" s="925"/>
      <c r="C97" s="926"/>
      <c r="D97" s="926"/>
      <c r="E97" s="226"/>
      <c r="F97" s="226"/>
      <c r="G97" s="226"/>
      <c r="H97" s="226"/>
      <c r="I97" s="226"/>
      <c r="J97" s="263"/>
      <c r="K97" s="263"/>
      <c r="L97" s="263"/>
      <c r="M97" s="263"/>
      <c r="N97" s="49"/>
      <c r="O97" s="226"/>
      <c r="P97" s="274"/>
      <c r="Q97" s="160"/>
      <c r="R97" s="160"/>
      <c r="S97" s="160"/>
      <c r="T97" s="160"/>
      <c r="U97" s="160"/>
      <c r="V97" s="160"/>
      <c r="W97" s="159"/>
    </row>
    <row r="98" spans="1:23" s="303" customFormat="1" x14ac:dyDescent="0.2">
      <c r="A98" s="248"/>
      <c r="B98" s="927"/>
      <c r="C98" s="928"/>
      <c r="D98" s="928"/>
      <c r="E98" s="125"/>
      <c r="F98" s="125"/>
      <c r="G98" s="125"/>
      <c r="H98" s="125"/>
      <c r="I98" s="125"/>
      <c r="J98" s="255"/>
      <c r="K98" s="255"/>
      <c r="L98" s="255"/>
      <c r="M98" s="255"/>
      <c r="N98" s="21"/>
      <c r="O98" s="125"/>
      <c r="P98" s="276"/>
      <c r="Q98" s="160"/>
      <c r="R98" s="160"/>
      <c r="S98" s="160"/>
      <c r="T98" s="160"/>
      <c r="U98" s="160"/>
      <c r="V98" s="160"/>
      <c r="W98" s="159"/>
    </row>
    <row r="99" spans="1:23" s="303" customFormat="1" x14ac:dyDescent="0.2">
      <c r="A99" s="248"/>
      <c r="B99" s="927"/>
      <c r="C99" s="928"/>
      <c r="D99" s="928"/>
      <c r="E99" s="125"/>
      <c r="F99" s="125"/>
      <c r="G99" s="125"/>
      <c r="H99" s="125"/>
      <c r="I99" s="125"/>
      <c r="J99" s="255"/>
      <c r="K99" s="255"/>
      <c r="L99" s="255"/>
      <c r="M99" s="255"/>
      <c r="N99" s="21"/>
      <c r="O99" s="125"/>
      <c r="P99" s="276"/>
      <c r="Q99" s="160"/>
      <c r="R99" s="160"/>
      <c r="S99" s="160"/>
      <c r="T99" s="160"/>
      <c r="U99" s="160"/>
      <c r="V99" s="160"/>
      <c r="W99" s="159"/>
    </row>
    <row r="100" spans="1:23" s="303" customFormat="1" ht="16.5" thickBot="1" x14ac:dyDescent="0.25">
      <c r="A100" s="304"/>
      <c r="B100" s="912"/>
      <c r="C100" s="913"/>
      <c r="D100" s="913"/>
      <c r="E100" s="130"/>
      <c r="F100" s="130"/>
      <c r="G100" s="130"/>
      <c r="H100" s="130"/>
      <c r="I100" s="130"/>
      <c r="J100" s="256"/>
      <c r="K100" s="256"/>
      <c r="L100" s="256"/>
      <c r="M100" s="256"/>
      <c r="N100" s="29"/>
      <c r="O100" s="129"/>
      <c r="P100" s="132"/>
      <c r="Q100" s="160"/>
      <c r="R100" s="160"/>
      <c r="S100" s="160"/>
      <c r="T100" s="160"/>
      <c r="U100" s="160"/>
      <c r="V100" s="160"/>
      <c r="W100" s="159"/>
    </row>
    <row r="101" spans="1:23" s="456" customFormat="1" ht="16.5" thickBot="1" x14ac:dyDescent="0.25">
      <c r="A101" s="133"/>
      <c r="B101" s="133"/>
      <c r="C101" s="133"/>
      <c r="D101" s="133"/>
      <c r="E101" s="133"/>
      <c r="F101" s="133"/>
      <c r="G101" s="133"/>
      <c r="H101" s="118"/>
      <c r="I101" s="118"/>
      <c r="J101" s="118"/>
      <c r="K101" s="118"/>
      <c r="L101" s="118"/>
      <c r="M101" s="134"/>
      <c r="N101" s="134"/>
      <c r="O101" s="134"/>
      <c r="P101" s="134"/>
      <c r="Q101" s="134"/>
      <c r="R101" s="134"/>
      <c r="S101" s="134"/>
      <c r="T101" s="134"/>
      <c r="U101" s="134"/>
      <c r="V101" s="118"/>
    </row>
    <row r="102" spans="1:23" s="73" customFormat="1" ht="16.5" thickBot="1" x14ac:dyDescent="0.25">
      <c r="A102" s="822" t="s">
        <v>36</v>
      </c>
      <c r="B102" s="823"/>
      <c r="C102" s="823"/>
      <c r="D102" s="823"/>
      <c r="E102" s="823"/>
      <c r="F102" s="823"/>
      <c r="G102" s="823"/>
      <c r="H102" s="823"/>
      <c r="I102" s="824"/>
      <c r="J102" s="169"/>
      <c r="K102" s="118"/>
      <c r="L102" s="134"/>
      <c r="M102" s="134"/>
      <c r="N102" s="134"/>
      <c r="O102" s="134"/>
      <c r="P102" s="134"/>
      <c r="Q102" s="134"/>
      <c r="R102" s="134"/>
      <c r="S102" s="118"/>
      <c r="T102" s="118"/>
      <c r="U102" s="118"/>
    </row>
    <row r="103" spans="1:23" s="73" customFormat="1" ht="16.5" thickBot="1" x14ac:dyDescent="0.25">
      <c r="A103" s="935" t="s">
        <v>37</v>
      </c>
      <c r="B103" s="936"/>
      <c r="C103" s="936"/>
      <c r="D103" s="936"/>
      <c r="E103" s="936"/>
      <c r="F103" s="936"/>
      <c r="G103" s="936"/>
      <c r="H103" s="936"/>
      <c r="I103" s="937"/>
      <c r="J103" s="170"/>
      <c r="K103" s="118"/>
      <c r="L103" s="134"/>
      <c r="M103" s="134"/>
      <c r="N103" s="134"/>
      <c r="O103" s="134"/>
      <c r="P103" s="134"/>
      <c r="Q103" s="134"/>
      <c r="R103" s="134"/>
      <c r="S103" s="118"/>
      <c r="T103" s="118"/>
      <c r="U103" s="118"/>
    </row>
    <row r="104" spans="1:23" s="308" customFormat="1" ht="15.75" customHeight="1" thickBot="1" x14ac:dyDescent="0.25">
      <c r="A104" s="665" t="s">
        <v>296</v>
      </c>
      <c r="B104" s="909" t="s">
        <v>1129</v>
      </c>
      <c r="C104" s="910"/>
      <c r="D104" s="910"/>
      <c r="E104" s="910"/>
      <c r="F104" s="910"/>
      <c r="G104" s="910"/>
      <c r="H104" s="910"/>
      <c r="I104" s="911"/>
      <c r="J104" s="171"/>
      <c r="K104" s="172"/>
      <c r="L104" s="173"/>
      <c r="M104" s="173"/>
      <c r="N104" s="173"/>
      <c r="O104" s="173"/>
      <c r="P104" s="173"/>
      <c r="Q104" s="173"/>
      <c r="R104" s="173"/>
      <c r="S104" s="172"/>
      <c r="T104" s="172"/>
      <c r="U104" s="172"/>
    </row>
    <row r="105" spans="1:23" s="73" customFormat="1" ht="16.5" thickBot="1" x14ac:dyDescent="0.25">
      <c r="A105" s="196"/>
      <c r="B105" s="169"/>
      <c r="C105" s="169"/>
      <c r="D105" s="169"/>
      <c r="E105" s="169"/>
      <c r="F105" s="176"/>
      <c r="G105" s="176"/>
      <c r="H105" s="176"/>
      <c r="I105" s="176"/>
      <c r="J105" s="176"/>
      <c r="K105" s="118"/>
      <c r="L105" s="134"/>
      <c r="M105" s="134"/>
      <c r="N105" s="134"/>
      <c r="O105" s="134"/>
      <c r="P105" s="134"/>
      <c r="Q105" s="118"/>
    </row>
    <row r="106" spans="1:23" s="73" customFormat="1" ht="16.5" customHeight="1" thickBot="1" x14ac:dyDescent="0.25">
      <c r="A106" s="917" t="s">
        <v>214</v>
      </c>
      <c r="B106" s="918"/>
      <c r="C106" s="918"/>
      <c r="D106" s="918"/>
      <c r="E106" s="918"/>
      <c r="F106" s="918"/>
      <c r="G106" s="918"/>
      <c r="H106" s="930" t="s">
        <v>226</v>
      </c>
      <c r="I106" s="786" t="s">
        <v>627</v>
      </c>
      <c r="J106" s="786" t="s">
        <v>215</v>
      </c>
      <c r="K106" s="786" t="s">
        <v>23</v>
      </c>
      <c r="L106" s="786" t="s">
        <v>302</v>
      </c>
      <c r="M106" s="788" t="s">
        <v>83</v>
      </c>
      <c r="N106" s="134"/>
      <c r="O106" s="118"/>
      <c r="P106" s="456"/>
      <c r="Q106" s="528"/>
      <c r="R106" s="528"/>
    </row>
    <row r="107" spans="1:23" s="446" customFormat="1" ht="16.5" thickBot="1" x14ac:dyDescent="0.25">
      <c r="A107" s="919" t="s">
        <v>887</v>
      </c>
      <c r="B107" s="920"/>
      <c r="C107" s="920"/>
      <c r="D107" s="920"/>
      <c r="E107" s="920"/>
      <c r="F107" s="920"/>
      <c r="G107" s="921"/>
      <c r="H107" s="931"/>
      <c r="I107" s="908"/>
      <c r="J107" s="908"/>
      <c r="K107" s="908"/>
      <c r="L107" s="908"/>
      <c r="M107" s="929"/>
      <c r="N107" s="177"/>
      <c r="O107" s="177"/>
      <c r="P107" s="177"/>
      <c r="Q107" s="177"/>
      <c r="R107" s="177"/>
    </row>
    <row r="108" spans="1:23" s="446" customFormat="1" ht="15.75" customHeight="1" thickBot="1" x14ac:dyDescent="0.25">
      <c r="A108" s="919" t="s">
        <v>353</v>
      </c>
      <c r="B108" s="920"/>
      <c r="C108" s="920"/>
      <c r="D108" s="920"/>
      <c r="E108" s="920"/>
      <c r="F108" s="920"/>
      <c r="G108" s="921"/>
      <c r="H108" s="959"/>
      <c r="I108" s="787"/>
      <c r="J108" s="787"/>
      <c r="K108" s="787"/>
      <c r="L108" s="787"/>
      <c r="M108" s="789"/>
      <c r="N108" s="177"/>
      <c r="O108" s="177"/>
      <c r="P108" s="177"/>
      <c r="Q108" s="177"/>
      <c r="R108" s="177"/>
    </row>
    <row r="109" spans="1:23" s="136" customFormat="1" x14ac:dyDescent="0.2">
      <c r="A109" s="178" t="s">
        <v>234</v>
      </c>
      <c r="B109" s="942" t="str">
        <f>IF($A109="","",VLOOKUP($A109,Listes!$A$3:$C$193,2,FALSE))</f>
        <v>Bunker Adjustment Factor</v>
      </c>
      <c r="C109" s="942"/>
      <c r="D109" s="942"/>
      <c r="E109" s="941" t="s">
        <v>51</v>
      </c>
      <c r="F109" s="941"/>
      <c r="G109" s="941"/>
      <c r="H109" s="658"/>
      <c r="I109" s="529"/>
      <c r="J109" s="529"/>
      <c r="K109" s="529"/>
      <c r="L109" s="529"/>
      <c r="M109" s="530"/>
      <c r="N109" s="160"/>
      <c r="O109" s="160"/>
      <c r="P109" s="160"/>
      <c r="Q109" s="160"/>
      <c r="R109" s="159"/>
    </row>
    <row r="110" spans="1:23" s="136" customFormat="1" ht="15.75" customHeight="1" x14ac:dyDescent="0.2">
      <c r="A110" s="182" t="s">
        <v>1324</v>
      </c>
      <c r="B110" s="813" t="str">
        <f>IF($A110="","",VLOOKUP($A110,Listes!$A$3:$C$193,2,FALSE))</f>
        <v>Export BL Documentation Fee - Brazil only</v>
      </c>
      <c r="C110" s="813"/>
      <c r="D110" s="813"/>
      <c r="E110" s="814" t="s">
        <v>51</v>
      </c>
      <c r="F110" s="814"/>
      <c r="G110" s="814"/>
      <c r="H110" s="657"/>
      <c r="I110" s="531"/>
      <c r="J110" s="531"/>
      <c r="K110" s="531"/>
      <c r="L110" s="531"/>
      <c r="M110" s="532"/>
      <c r="N110" s="160"/>
      <c r="O110" s="160"/>
      <c r="P110" s="160"/>
      <c r="Q110" s="160"/>
      <c r="R110" s="159"/>
    </row>
    <row r="111" spans="1:23" s="136" customFormat="1" ht="15.75" customHeight="1" x14ac:dyDescent="0.2">
      <c r="A111" s="182" t="s">
        <v>1105</v>
      </c>
      <c r="B111" s="813" t="str">
        <f>IF($A111="","",VLOOKUP($A111,Listes!$A$3:$C$193,2,FALSE))</f>
        <v>Chassis Administration Fee On-Carriage</v>
      </c>
      <c r="C111" s="813"/>
      <c r="D111" s="813"/>
      <c r="E111" s="814" t="s">
        <v>51</v>
      </c>
      <c r="F111" s="814"/>
      <c r="G111" s="814"/>
      <c r="H111" s="657"/>
      <c r="I111" s="531"/>
      <c r="J111" s="531"/>
      <c r="K111" s="531"/>
      <c r="L111" s="531"/>
      <c r="M111" s="532"/>
      <c r="N111" s="160"/>
      <c r="O111" s="160"/>
      <c r="P111" s="160"/>
      <c r="Q111" s="160"/>
      <c r="R111" s="159"/>
    </row>
    <row r="112" spans="1:23" s="136" customFormat="1" ht="15.75" customHeight="1" x14ac:dyDescent="0.2">
      <c r="A112" s="182" t="s">
        <v>551</v>
      </c>
      <c r="B112" s="813" t="str">
        <f>IF($A112="","",VLOOKUP($A112,Listes!$A$3:$C$193,2,FALSE))</f>
        <v>Chassis Provision Charge</v>
      </c>
      <c r="C112" s="813"/>
      <c r="D112" s="813"/>
      <c r="E112" s="814" t="s">
        <v>51</v>
      </c>
      <c r="F112" s="814"/>
      <c r="G112" s="814"/>
      <c r="H112" s="657"/>
      <c r="I112" s="531"/>
      <c r="J112" s="531"/>
      <c r="K112" s="531"/>
      <c r="L112" s="531"/>
      <c r="M112" s="532"/>
      <c r="N112" s="160"/>
      <c r="O112" s="160"/>
      <c r="P112" s="160"/>
      <c r="Q112" s="160"/>
      <c r="R112" s="159"/>
    </row>
    <row r="113" spans="1:18" s="136" customFormat="1" ht="15.75" customHeight="1" x14ac:dyDescent="0.2">
      <c r="A113" s="182" t="s">
        <v>263</v>
      </c>
      <c r="B113" s="813" t="str">
        <f>IF($A113="","",VLOOKUP($A113,Listes!$A$3:$C$193,2,FALSE))</f>
        <v>Carrier Security Charge</v>
      </c>
      <c r="C113" s="813"/>
      <c r="D113" s="813"/>
      <c r="E113" s="814" t="s">
        <v>51</v>
      </c>
      <c r="F113" s="814"/>
      <c r="G113" s="814"/>
      <c r="H113" s="657"/>
      <c r="I113" s="531"/>
      <c r="J113" s="531"/>
      <c r="K113" s="531"/>
      <c r="L113" s="531"/>
      <c r="M113" s="532"/>
      <c r="N113" s="160"/>
      <c r="O113" s="160"/>
      <c r="P113" s="160"/>
      <c r="Q113" s="160"/>
      <c r="R113" s="159"/>
    </row>
    <row r="114" spans="1:18" s="136" customFormat="1" ht="15.75" customHeight="1" x14ac:dyDescent="0.2">
      <c r="A114" s="182" t="s">
        <v>1262</v>
      </c>
      <c r="B114" s="813" t="str">
        <f>IF($A114="","",VLOOKUP($A114,Listes!$A$3:$C$193,2,FALSE))</f>
        <v>Container Maintenance Charge Destination</v>
      </c>
      <c r="C114" s="813"/>
      <c r="D114" s="813"/>
      <c r="E114" s="814" t="s">
        <v>51</v>
      </c>
      <c r="F114" s="814"/>
      <c r="G114" s="814"/>
      <c r="H114" s="657"/>
      <c r="I114" s="531"/>
      <c r="J114" s="531"/>
      <c r="K114" s="531"/>
      <c r="L114" s="531"/>
      <c r="M114" s="532"/>
      <c r="N114" s="160"/>
      <c r="O114" s="160"/>
      <c r="P114" s="160"/>
      <c r="Q114" s="160"/>
      <c r="R114" s="159"/>
    </row>
    <row r="115" spans="1:18" s="136" customFormat="1" ht="15.75" customHeight="1" x14ac:dyDescent="0.2">
      <c r="A115" s="182" t="s">
        <v>312</v>
      </c>
      <c r="B115" s="813" t="str">
        <f>IF($A115="","",VLOOKUP($A115,Listes!$A$3:$C$193,2,FALSE))</f>
        <v>Chassis Usage Charge (Carrier-haulage)</v>
      </c>
      <c r="C115" s="813"/>
      <c r="D115" s="813"/>
      <c r="E115" s="814" t="s">
        <v>51</v>
      </c>
      <c r="F115" s="814"/>
      <c r="G115" s="814"/>
      <c r="H115" s="657"/>
      <c r="I115" s="531"/>
      <c r="J115" s="531"/>
      <c r="K115" s="531"/>
      <c r="L115" s="531" t="s">
        <v>508</v>
      </c>
      <c r="M115" s="532"/>
      <c r="N115" s="160"/>
      <c r="O115" s="160"/>
      <c r="P115" s="160"/>
      <c r="Q115" s="160"/>
      <c r="R115" s="159"/>
    </row>
    <row r="116" spans="1:18" s="136" customFormat="1" ht="15.75" customHeight="1" x14ac:dyDescent="0.2">
      <c r="A116" s="182" t="s">
        <v>312</v>
      </c>
      <c r="B116" s="813" t="str">
        <f>IF($A116="","",VLOOKUP($A116,Listes!$A$3:$C$193,2,FALSE))</f>
        <v>Chassis Usage Charge (Carrier-haulage)</v>
      </c>
      <c r="C116" s="813"/>
      <c r="D116" s="813"/>
      <c r="E116" s="814" t="s">
        <v>51</v>
      </c>
      <c r="F116" s="814"/>
      <c r="G116" s="814"/>
      <c r="H116" s="657"/>
      <c r="I116" s="531"/>
      <c r="J116" s="531"/>
      <c r="K116" s="531"/>
      <c r="L116" s="531" t="s">
        <v>560</v>
      </c>
      <c r="M116" s="532"/>
      <c r="N116" s="160"/>
      <c r="O116" s="160"/>
      <c r="P116" s="160"/>
      <c r="Q116" s="160"/>
      <c r="R116" s="159"/>
    </row>
    <row r="117" spans="1:18" s="136" customFormat="1" ht="15.75" customHeight="1" x14ac:dyDescent="0.2">
      <c r="A117" s="182" t="s">
        <v>312</v>
      </c>
      <c r="B117" s="813" t="str">
        <f>IF($A117="","",VLOOKUP($A117,Listes!$A$3:$C$193,2,FALSE))</f>
        <v>Chassis Usage Charge (Carrier-haulage)</v>
      </c>
      <c r="C117" s="813"/>
      <c r="D117" s="813"/>
      <c r="E117" s="814" t="s">
        <v>51</v>
      </c>
      <c r="F117" s="814"/>
      <c r="G117" s="814"/>
      <c r="H117" s="657"/>
      <c r="I117" s="531"/>
      <c r="J117" s="531"/>
      <c r="K117" s="531"/>
      <c r="L117" s="531" t="s">
        <v>510</v>
      </c>
      <c r="M117" s="532"/>
      <c r="N117" s="160"/>
      <c r="O117" s="160"/>
      <c r="P117" s="160"/>
      <c r="Q117" s="160"/>
      <c r="R117" s="159"/>
    </row>
    <row r="118" spans="1:18" s="136" customFormat="1" ht="15.75" customHeight="1" x14ac:dyDescent="0.2">
      <c r="A118" s="182" t="s">
        <v>312</v>
      </c>
      <c r="B118" s="813" t="str">
        <f>IF($A118="","",VLOOKUP($A118,Listes!$A$3:$C$193,2,FALSE))</f>
        <v>Chassis Usage Charge (Carrier-haulage)</v>
      </c>
      <c r="C118" s="813"/>
      <c r="D118" s="813"/>
      <c r="E118" s="814" t="s">
        <v>51</v>
      </c>
      <c r="F118" s="814"/>
      <c r="G118" s="814"/>
      <c r="H118" s="657"/>
      <c r="I118" s="531"/>
      <c r="J118" s="531"/>
      <c r="K118" s="531"/>
      <c r="L118" s="531" t="s">
        <v>492</v>
      </c>
      <c r="M118" s="532"/>
      <c r="N118" s="160"/>
      <c r="O118" s="160"/>
      <c r="P118" s="160"/>
      <c r="Q118" s="160"/>
      <c r="R118" s="159"/>
    </row>
    <row r="119" spans="1:18" s="136" customFormat="1" ht="15.75" customHeight="1" x14ac:dyDescent="0.2">
      <c r="A119" s="182" t="s">
        <v>312</v>
      </c>
      <c r="B119" s="813" t="str">
        <f>IF($A119="","",VLOOKUP($A119,Listes!$A$3:$C$193,2,FALSE))</f>
        <v>Chassis Usage Charge (Carrier-haulage)</v>
      </c>
      <c r="C119" s="813"/>
      <c r="D119" s="813"/>
      <c r="E119" s="814" t="s">
        <v>51</v>
      </c>
      <c r="F119" s="814"/>
      <c r="G119" s="814"/>
      <c r="H119" s="657"/>
      <c r="I119" s="531"/>
      <c r="J119" s="531"/>
      <c r="K119" s="531"/>
      <c r="L119" s="531" t="s">
        <v>509</v>
      </c>
      <c r="M119" s="532"/>
      <c r="N119" s="160"/>
      <c r="O119" s="160"/>
      <c r="P119" s="160"/>
      <c r="Q119" s="160"/>
      <c r="R119" s="159"/>
    </row>
    <row r="120" spans="1:18" s="136" customFormat="1" ht="15.75" customHeight="1" x14ac:dyDescent="0.2">
      <c r="A120" s="182" t="s">
        <v>312</v>
      </c>
      <c r="B120" s="813" t="str">
        <f>IF($A120="","",VLOOKUP($A120,Listes!$A$3:$C$193,2,FALSE))</f>
        <v>Chassis Usage Charge (Carrier-haulage)</v>
      </c>
      <c r="C120" s="813"/>
      <c r="D120" s="813"/>
      <c r="E120" s="814" t="s">
        <v>51</v>
      </c>
      <c r="F120" s="814"/>
      <c r="G120" s="814"/>
      <c r="H120" s="657"/>
      <c r="I120" s="531"/>
      <c r="J120" s="531"/>
      <c r="K120" s="531"/>
      <c r="L120" s="531" t="s">
        <v>507</v>
      </c>
      <c r="M120" s="532"/>
      <c r="N120" s="160"/>
      <c r="O120" s="160"/>
      <c r="P120" s="160"/>
      <c r="Q120" s="160"/>
      <c r="R120" s="159"/>
    </row>
    <row r="121" spans="1:18" s="136" customFormat="1" ht="15.75" customHeight="1" x14ac:dyDescent="0.2">
      <c r="A121" s="182" t="s">
        <v>230</v>
      </c>
      <c r="B121" s="960" t="str">
        <f>IF($A121="","",VLOOKUP($A121,Listes!$A$3:$C$193,2,FALSE))</f>
        <v>Destination THC / Destination Receiving Charge</v>
      </c>
      <c r="C121" s="961"/>
      <c r="D121" s="962"/>
      <c r="E121" s="963" t="s">
        <v>51</v>
      </c>
      <c r="F121" s="964"/>
      <c r="G121" s="965"/>
      <c r="H121" s="657"/>
      <c r="I121" s="531"/>
      <c r="J121" s="531"/>
      <c r="K121" s="531"/>
      <c r="L121" s="531"/>
      <c r="M121" s="532"/>
      <c r="N121" s="160"/>
      <c r="O121" s="160"/>
      <c r="P121" s="160"/>
      <c r="Q121" s="160"/>
      <c r="R121" s="159"/>
    </row>
    <row r="122" spans="1:18" s="136" customFormat="1" ht="15.75" customHeight="1" x14ac:dyDescent="0.2">
      <c r="A122" s="182" t="s">
        <v>1081</v>
      </c>
      <c r="B122" s="813" t="str">
        <f>IF($A122="","",VLOOKUP($A122,Listes!$A$3:$C$193,2,FALSE))</f>
        <v>Equipment Imbalance Surcharge at Origin</v>
      </c>
      <c r="C122" s="813"/>
      <c r="D122" s="813"/>
      <c r="E122" s="814" t="s">
        <v>51</v>
      </c>
      <c r="F122" s="814"/>
      <c r="G122" s="814"/>
      <c r="H122" s="657"/>
      <c r="I122" s="531"/>
      <c r="J122" s="531"/>
      <c r="K122" s="531"/>
      <c r="L122" s="531"/>
      <c r="M122" s="532"/>
      <c r="N122" s="160"/>
      <c r="O122" s="160"/>
      <c r="P122" s="160"/>
      <c r="Q122" s="160"/>
      <c r="R122" s="159"/>
    </row>
    <row r="123" spans="1:18" s="136" customFormat="1" ht="15.75" customHeight="1" x14ac:dyDescent="0.2">
      <c r="A123" s="182" t="s">
        <v>1082</v>
      </c>
      <c r="B123" s="813" t="str">
        <f>IF($A123="","",VLOOKUP($A123,Listes!$A$3:$C$193,2,FALSE))</f>
        <v>Equipment Imbalance Surcharge at Destination</v>
      </c>
      <c r="C123" s="813"/>
      <c r="D123" s="813"/>
      <c r="E123" s="814" t="s">
        <v>51</v>
      </c>
      <c r="F123" s="814"/>
      <c r="G123" s="814"/>
      <c r="H123" s="657"/>
      <c r="I123" s="531"/>
      <c r="J123" s="531"/>
      <c r="K123" s="531"/>
      <c r="L123" s="531"/>
      <c r="M123" s="532"/>
      <c r="N123" s="160"/>
      <c r="O123" s="160"/>
      <c r="P123" s="160"/>
      <c r="Q123" s="160"/>
      <c r="R123" s="159"/>
    </row>
    <row r="124" spans="1:18" s="136" customFormat="1" ht="15.75" customHeight="1" x14ac:dyDescent="0.2">
      <c r="A124" s="182" t="s">
        <v>470</v>
      </c>
      <c r="B124" s="813" t="str">
        <f>IF($A124="","",VLOOKUP($A124,Listes!$A$3:$C$193,2,FALSE))</f>
        <v>Emergency Terminal Congestion Surcharge / Emergency Port Surcharge</v>
      </c>
      <c r="C124" s="813"/>
      <c r="D124" s="813"/>
      <c r="E124" s="814" t="s">
        <v>51</v>
      </c>
      <c r="F124" s="814"/>
      <c r="G124" s="814"/>
      <c r="H124" s="657"/>
      <c r="I124" s="531"/>
      <c r="J124" s="531"/>
      <c r="K124" s="531"/>
      <c r="L124" s="531"/>
      <c r="M124" s="532"/>
      <c r="N124" s="160"/>
      <c r="O124" s="160"/>
      <c r="P124" s="160"/>
      <c r="Q124" s="160"/>
      <c r="R124" s="159"/>
    </row>
    <row r="125" spans="1:18" s="136" customFormat="1" ht="15.75" customHeight="1" x14ac:dyDescent="0.2">
      <c r="A125" s="182" t="s">
        <v>874</v>
      </c>
      <c r="B125" s="813" t="str">
        <f>IF($A125="","",VLOOKUP($A125,Listes!$A$3:$C$193,2,FALSE))</f>
        <v>Export Documentation Fees - Carrier</v>
      </c>
      <c r="C125" s="813"/>
      <c r="D125" s="813"/>
      <c r="E125" s="814" t="s">
        <v>51</v>
      </c>
      <c r="F125" s="814"/>
      <c r="G125" s="814"/>
      <c r="H125" s="657"/>
      <c r="I125" s="531"/>
      <c r="J125" s="531"/>
      <c r="K125" s="531"/>
      <c r="L125" s="531"/>
      <c r="M125" s="532"/>
      <c r="N125" s="160"/>
      <c r="O125" s="160"/>
      <c r="P125" s="160"/>
      <c r="Q125" s="160"/>
      <c r="R125" s="159"/>
    </row>
    <row r="126" spans="1:18" s="136" customFormat="1" ht="15.75" customHeight="1" x14ac:dyDescent="0.2">
      <c r="A126" s="182" t="s">
        <v>854</v>
      </c>
      <c r="B126" s="813" t="str">
        <f>IF($A126="","",VLOOKUP($A126,Listes!$A$3:$C$193,2,FALSE))</f>
        <v>Export Declaration Surcharge</v>
      </c>
      <c r="C126" s="813"/>
      <c r="D126" s="813"/>
      <c r="E126" s="814" t="s">
        <v>51</v>
      </c>
      <c r="F126" s="814"/>
      <c r="G126" s="814"/>
      <c r="H126" s="657"/>
      <c r="I126" s="531"/>
      <c r="J126" s="531"/>
      <c r="K126" s="531"/>
      <c r="L126" s="531"/>
      <c r="M126" s="532"/>
      <c r="N126" s="160"/>
      <c r="O126" s="160"/>
      <c r="P126" s="160"/>
      <c r="Q126" s="160"/>
      <c r="R126" s="159"/>
    </row>
    <row r="127" spans="1:18" s="136" customFormat="1" ht="15.75" customHeight="1" x14ac:dyDescent="0.2">
      <c r="A127" s="182" t="s">
        <v>98</v>
      </c>
      <c r="B127" s="813" t="str">
        <f>IF($A127="","",VLOOKUP($A127,Listes!$A$3:$C$193,2,FALSE))</f>
        <v>FAS Terms Landing Charge</v>
      </c>
      <c r="C127" s="813"/>
      <c r="D127" s="813"/>
      <c r="E127" s="814" t="s">
        <v>51</v>
      </c>
      <c r="F127" s="814"/>
      <c r="G127" s="814"/>
      <c r="H127" s="657"/>
      <c r="I127" s="531"/>
      <c r="J127" s="531"/>
      <c r="K127" s="531"/>
      <c r="L127" s="531"/>
      <c r="M127" s="532"/>
      <c r="N127" s="160"/>
      <c r="O127" s="160"/>
      <c r="P127" s="160"/>
      <c r="Q127" s="160"/>
      <c r="R127" s="159"/>
    </row>
    <row r="128" spans="1:18" s="136" customFormat="1" ht="15.75" customHeight="1" x14ac:dyDescent="0.2">
      <c r="A128" s="182" t="s">
        <v>82</v>
      </c>
      <c r="B128" s="813" t="str">
        <f>IF($A128="","",VLOOKUP($A128,Listes!$A$3:$C$193,2,FALSE))</f>
        <v>General Rate Increase</v>
      </c>
      <c r="C128" s="813"/>
      <c r="D128" s="813"/>
      <c r="E128" s="814" t="s">
        <v>51</v>
      </c>
      <c r="F128" s="814"/>
      <c r="G128" s="814"/>
      <c r="H128" s="657"/>
      <c r="I128" s="531"/>
      <c r="J128" s="531"/>
      <c r="K128" s="531"/>
      <c r="L128" s="531"/>
      <c r="M128" s="532"/>
      <c r="N128" s="160"/>
      <c r="O128" s="160"/>
      <c r="P128" s="160"/>
      <c r="Q128" s="160"/>
      <c r="R128" s="159"/>
    </row>
    <row r="129" spans="1:18" s="136" customFormat="1" ht="15.75" customHeight="1" x14ac:dyDescent="0.2">
      <c r="A129" s="182" t="s">
        <v>260</v>
      </c>
      <c r="B129" s="813" t="str">
        <f>IF($A129="","",VLOOKUP($A129,Listes!$A$3:$C$193,2,FALSE))</f>
        <v>Hazardous Fees (Ocean)</v>
      </c>
      <c r="C129" s="813"/>
      <c r="D129" s="813"/>
      <c r="E129" s="814" t="s">
        <v>51</v>
      </c>
      <c r="F129" s="814"/>
      <c r="G129" s="814"/>
      <c r="H129" s="657"/>
      <c r="I129" s="531"/>
      <c r="J129" s="531"/>
      <c r="K129" s="531"/>
      <c r="L129" s="531"/>
      <c r="M129" s="532"/>
      <c r="N129" s="160"/>
      <c r="O129" s="160"/>
      <c r="P129" s="160"/>
      <c r="Q129" s="160"/>
      <c r="R129" s="159"/>
    </row>
    <row r="130" spans="1:18" s="136" customFormat="1" ht="15.75" customHeight="1" x14ac:dyDescent="0.2">
      <c r="A130" s="182" t="s">
        <v>877</v>
      </c>
      <c r="B130" s="813" t="str">
        <f>IF($A130="","",VLOOKUP($A130,Listes!$A$3:$C$193,2,FALSE))</f>
        <v>Import Documentation / BL fee - Carrier</v>
      </c>
      <c r="C130" s="813"/>
      <c r="D130" s="813"/>
      <c r="E130" s="814" t="s">
        <v>51</v>
      </c>
      <c r="F130" s="814"/>
      <c r="G130" s="814"/>
      <c r="H130" s="687"/>
      <c r="I130" s="531"/>
      <c r="J130" s="531"/>
      <c r="K130" s="531"/>
      <c r="L130" s="531"/>
      <c r="M130" s="532"/>
      <c r="N130" s="160"/>
      <c r="O130" s="160"/>
      <c r="P130" s="160"/>
      <c r="Q130" s="160"/>
      <c r="R130" s="159"/>
    </row>
    <row r="131" spans="1:18" s="136" customFormat="1" ht="15.75" customHeight="1" x14ac:dyDescent="0.2">
      <c r="A131" s="182" t="s">
        <v>1290</v>
      </c>
      <c r="B131" s="813" t="str">
        <f>IF($A131="","",VLOOKUP($A131,Listes!$A$3:$C$193,2,FALSE))</f>
        <v>Local Port Charge Destination Sanitary Fee</v>
      </c>
      <c r="C131" s="813"/>
      <c r="D131" s="813"/>
      <c r="E131" s="814" t="s">
        <v>51</v>
      </c>
      <c r="F131" s="814"/>
      <c r="G131" s="814"/>
      <c r="H131" s="675"/>
      <c r="I131" s="531"/>
      <c r="J131" s="531"/>
      <c r="K131" s="531"/>
      <c r="L131" s="531"/>
      <c r="M131" s="532"/>
      <c r="N131" s="160"/>
      <c r="O131" s="160"/>
      <c r="P131" s="160"/>
      <c r="Q131" s="160"/>
      <c r="R131" s="159"/>
    </row>
    <row r="132" spans="1:18" s="136" customFormat="1" ht="15.75" customHeight="1" x14ac:dyDescent="0.2">
      <c r="A132" s="182" t="s">
        <v>1292</v>
      </c>
      <c r="B132" s="813" t="str">
        <f>IF($A132="","",VLOOKUP($A132,Listes!$A$3:$C$193,2,FALSE))</f>
        <v>Local Port Charge Origin Sanitary Fee</v>
      </c>
      <c r="C132" s="813"/>
      <c r="D132" s="813"/>
      <c r="E132" s="814" t="s">
        <v>51</v>
      </c>
      <c r="F132" s="814"/>
      <c r="G132" s="814"/>
      <c r="H132" s="675"/>
      <c r="I132" s="531"/>
      <c r="J132" s="531"/>
      <c r="K132" s="531"/>
      <c r="L132" s="531"/>
      <c r="M132" s="532"/>
      <c r="N132" s="160"/>
      <c r="O132" s="160"/>
      <c r="P132" s="160"/>
      <c r="Q132" s="160"/>
      <c r="R132" s="159"/>
    </row>
    <row r="133" spans="1:18" s="136" customFormat="1" ht="15.75" customHeight="1" x14ac:dyDescent="0.2">
      <c r="A133" s="182" t="s">
        <v>199</v>
      </c>
      <c r="B133" s="813" t="str">
        <f>IF($A133="","",VLOOKUP($A133,Listes!$A$3:$C$193,2,FALSE))</f>
        <v>Low Sulfur Surcharge</v>
      </c>
      <c r="C133" s="813"/>
      <c r="D133" s="813"/>
      <c r="E133" s="814" t="s">
        <v>53</v>
      </c>
      <c r="F133" s="814"/>
      <c r="G133" s="814"/>
      <c r="H133" s="657"/>
      <c r="I133" s="531"/>
      <c r="J133" s="531"/>
      <c r="K133" s="531"/>
      <c r="L133" s="531"/>
      <c r="M133" s="532"/>
      <c r="N133" s="160"/>
      <c r="O133" s="160"/>
      <c r="P133" s="160"/>
      <c r="Q133" s="160"/>
      <c r="R133" s="159"/>
    </row>
    <row r="134" spans="1:18" s="136" customFormat="1" ht="15.75" customHeight="1" x14ac:dyDescent="0.2">
      <c r="A134" s="182" t="s">
        <v>1124</v>
      </c>
      <c r="B134" s="813" t="str">
        <f>IF($A134="","",VLOOKUP($A134,Listes!$A$3:$C$193,2,FALSE))</f>
        <v>Low Sulfur Surcharge IMO2020</v>
      </c>
      <c r="C134" s="813"/>
      <c r="D134" s="813"/>
      <c r="E134" s="814" t="s">
        <v>53</v>
      </c>
      <c r="F134" s="814"/>
      <c r="G134" s="814"/>
      <c r="H134" s="667"/>
      <c r="I134" s="531"/>
      <c r="J134" s="531"/>
      <c r="K134" s="531"/>
      <c r="L134" s="531"/>
      <c r="M134" s="532"/>
      <c r="N134" s="160"/>
      <c r="O134" s="160"/>
      <c r="P134" s="160"/>
      <c r="Q134" s="160"/>
      <c r="R134" s="159"/>
    </row>
    <row r="135" spans="1:18" s="136" customFormat="1" x14ac:dyDescent="0.2">
      <c r="A135" s="182" t="s">
        <v>1059</v>
      </c>
      <c r="B135" s="813" t="str">
        <f>IF($A135="","",VLOOKUP($A135,Listes!$A$3:$C$193,2,FALSE))</f>
        <v>On-Carriage Emergency Inland Fuel Surcharge</v>
      </c>
      <c r="C135" s="813"/>
      <c r="D135" s="813"/>
      <c r="E135" s="814" t="s">
        <v>51</v>
      </c>
      <c r="F135" s="814"/>
      <c r="G135" s="814"/>
      <c r="H135" s="657"/>
      <c r="I135" s="531"/>
      <c r="J135" s="531"/>
      <c r="K135" s="531"/>
      <c r="L135" s="531"/>
      <c r="M135" s="532"/>
      <c r="N135" s="160"/>
      <c r="O135" s="160"/>
      <c r="P135" s="160"/>
      <c r="Q135" s="160"/>
      <c r="R135" s="159"/>
    </row>
    <row r="136" spans="1:18" s="136" customFormat="1" ht="31.5" x14ac:dyDescent="0.2">
      <c r="A136" s="182" t="s">
        <v>1088</v>
      </c>
      <c r="B136" s="813" t="str">
        <f>IF($A136="","",VLOOKUP($A136,Listes!$A$3:$C$193,2,FALSE))</f>
        <v>On-Carriage Emergency Intermodal Surcharge</v>
      </c>
      <c r="C136" s="813"/>
      <c r="D136" s="813"/>
      <c r="E136" s="814" t="s">
        <v>51</v>
      </c>
      <c r="F136" s="814"/>
      <c r="G136" s="814"/>
      <c r="H136" s="657"/>
      <c r="I136" s="531"/>
      <c r="J136" s="531"/>
      <c r="K136" s="531"/>
      <c r="L136" s="531"/>
      <c r="M136" s="532"/>
      <c r="N136" s="160"/>
      <c r="O136" s="160"/>
      <c r="P136" s="160"/>
      <c r="Q136" s="160"/>
      <c r="R136" s="159"/>
    </row>
    <row r="137" spans="1:18" s="136" customFormat="1" ht="15.75" customHeight="1" x14ac:dyDescent="0.2">
      <c r="A137" s="182" t="s">
        <v>497</v>
      </c>
      <c r="B137" s="813" t="str">
        <f>IF($A137="","",VLOOKUP($A137,Listes!$A$3:$C$193,2,FALSE))</f>
        <v>Inland Hazardous Charge Oncarriage</v>
      </c>
      <c r="C137" s="813"/>
      <c r="D137" s="813"/>
      <c r="E137" s="814" t="s">
        <v>51</v>
      </c>
      <c r="F137" s="814"/>
      <c r="G137" s="814"/>
      <c r="H137" s="657"/>
      <c r="I137" s="531"/>
      <c r="J137" s="531"/>
      <c r="K137" s="531"/>
      <c r="L137" s="531"/>
      <c r="M137" s="532"/>
      <c r="N137" s="160"/>
      <c r="O137" s="160"/>
      <c r="P137" s="160"/>
      <c r="Q137" s="160"/>
      <c r="R137" s="159"/>
    </row>
    <row r="138" spans="1:18" s="136" customFormat="1" ht="15.75" customHeight="1" x14ac:dyDescent="0.2">
      <c r="A138" s="182" t="s">
        <v>89</v>
      </c>
      <c r="B138" s="813" t="str">
        <f>IF($A138="","",VLOOKUP($A138,Listes!$A$3:$C$193,2,FALSE))</f>
        <v>Origin THC / Origin Receiving Charge</v>
      </c>
      <c r="C138" s="813"/>
      <c r="D138" s="813"/>
      <c r="E138" s="814" t="s">
        <v>51</v>
      </c>
      <c r="F138" s="814"/>
      <c r="G138" s="814"/>
      <c r="H138" s="657"/>
      <c r="I138" s="531"/>
      <c r="J138" s="531"/>
      <c r="K138" s="531"/>
      <c r="L138" s="531"/>
      <c r="M138" s="532"/>
      <c r="N138" s="160"/>
      <c r="O138" s="160"/>
      <c r="P138" s="160"/>
      <c r="Q138" s="160"/>
      <c r="R138" s="159"/>
    </row>
    <row r="139" spans="1:18" s="136" customFormat="1" ht="15.75" customHeight="1" x14ac:dyDescent="0.2">
      <c r="A139" s="182" t="s">
        <v>97</v>
      </c>
      <c r="B139" s="813" t="str">
        <f>IF($A139="","",VLOOKUP($A139,Listes!$A$3:$C$193,2,FALSE))</f>
        <v>Panama Canal Surcharge</v>
      </c>
      <c r="C139" s="813"/>
      <c r="D139" s="813"/>
      <c r="E139" s="814" t="s">
        <v>51</v>
      </c>
      <c r="F139" s="814"/>
      <c r="G139" s="814"/>
      <c r="H139" s="657"/>
      <c r="I139" s="531"/>
      <c r="J139" s="531"/>
      <c r="K139" s="531"/>
      <c r="L139" s="531"/>
      <c r="M139" s="532"/>
      <c r="N139" s="160"/>
      <c r="O139" s="160"/>
      <c r="P139" s="160"/>
      <c r="Q139" s="160"/>
      <c r="R139" s="159"/>
    </row>
    <row r="140" spans="1:18" s="136" customFormat="1" ht="15.75" customHeight="1" x14ac:dyDescent="0.2">
      <c r="A140" s="365" t="s">
        <v>210</v>
      </c>
      <c r="B140" s="813" t="str">
        <f>IF($A140="","",VLOOKUP($A140,Listes!$A$3:$C$193,2,FALSE))</f>
        <v>Panama Canal Lock Improvement Surcharge</v>
      </c>
      <c r="C140" s="813"/>
      <c r="D140" s="813"/>
      <c r="E140" s="814" t="s">
        <v>51</v>
      </c>
      <c r="F140" s="814"/>
      <c r="G140" s="814"/>
      <c r="H140" s="366"/>
      <c r="I140" s="535"/>
      <c r="J140" s="535"/>
      <c r="K140" s="535"/>
      <c r="L140" s="535"/>
      <c r="M140" s="536"/>
      <c r="N140" s="160"/>
      <c r="O140" s="160"/>
      <c r="P140" s="160"/>
      <c r="Q140" s="160"/>
      <c r="R140" s="159"/>
    </row>
    <row r="141" spans="1:18" s="136" customFormat="1" ht="15.75" customHeight="1" x14ac:dyDescent="0.2">
      <c r="A141" s="365" t="s">
        <v>1374</v>
      </c>
      <c r="B141" s="813" t="str">
        <f>IF($A141="","",VLOOKUP($A141,Listes!$A$3:$C$193,2,FALSE))</f>
        <v>Port Access Fee Origin</v>
      </c>
      <c r="C141" s="813"/>
      <c r="D141" s="813"/>
      <c r="E141" s="814" t="s">
        <v>51</v>
      </c>
      <c r="F141" s="814"/>
      <c r="G141" s="814"/>
      <c r="H141" s="366"/>
      <c r="I141" s="535"/>
      <c r="J141" s="535"/>
      <c r="K141" s="535"/>
      <c r="L141" s="535"/>
      <c r="M141" s="536"/>
      <c r="N141" s="160"/>
      <c r="O141" s="160"/>
      <c r="P141" s="160"/>
      <c r="Q141" s="160"/>
      <c r="R141" s="159"/>
    </row>
    <row r="142" spans="1:18" s="136" customFormat="1" ht="15.75" customHeight="1" x14ac:dyDescent="0.2">
      <c r="A142" s="365" t="s">
        <v>832</v>
      </c>
      <c r="B142" s="813" t="str">
        <f>IF($A142="","",VLOOKUP($A142,Listes!$A$3:$C$193,2,FALSE))</f>
        <v>Port Congestion Surcharge Destination</v>
      </c>
      <c r="C142" s="813"/>
      <c r="D142" s="813"/>
      <c r="E142" s="814" t="s">
        <v>51</v>
      </c>
      <c r="F142" s="814"/>
      <c r="G142" s="814"/>
      <c r="H142" s="366"/>
      <c r="I142" s="535"/>
      <c r="J142" s="535"/>
      <c r="K142" s="535"/>
      <c r="L142" s="535"/>
      <c r="M142" s="536"/>
      <c r="N142" s="160"/>
      <c r="O142" s="160"/>
      <c r="P142" s="160"/>
      <c r="Q142" s="160"/>
      <c r="R142" s="159"/>
    </row>
    <row r="143" spans="1:18" s="136" customFormat="1" ht="15.75" customHeight="1" x14ac:dyDescent="0.2">
      <c r="A143" s="365" t="s">
        <v>829</v>
      </c>
      <c r="B143" s="813" t="str">
        <f>IF($A143="","",VLOOKUP($A143,Listes!$A$3:$C$193,2,FALSE))</f>
        <v>Port Congestion Surcharge Origin</v>
      </c>
      <c r="C143" s="813"/>
      <c r="D143" s="813"/>
      <c r="E143" s="814" t="s">
        <v>51</v>
      </c>
      <c r="F143" s="814"/>
      <c r="G143" s="814"/>
      <c r="H143" s="366"/>
      <c r="I143" s="535"/>
      <c r="J143" s="535"/>
      <c r="K143" s="535"/>
      <c r="L143" s="535"/>
      <c r="M143" s="536"/>
      <c r="N143" s="160"/>
      <c r="O143" s="160"/>
      <c r="P143" s="160"/>
      <c r="Q143" s="160"/>
      <c r="R143" s="159"/>
    </row>
    <row r="144" spans="1:18" s="136" customFormat="1" ht="15.75" customHeight="1" x14ac:dyDescent="0.2">
      <c r="A144" s="365" t="s">
        <v>500</v>
      </c>
      <c r="B144" s="813" t="str">
        <f>IF($A144="","",VLOOKUP($A144,Listes!$A$3:$C$193,2,FALSE))</f>
        <v>Inland Hazardous Charge Precarriage</v>
      </c>
      <c r="C144" s="813"/>
      <c r="D144" s="813"/>
      <c r="E144" s="814" t="s">
        <v>51</v>
      </c>
      <c r="F144" s="814"/>
      <c r="G144" s="814"/>
      <c r="H144" s="366"/>
      <c r="I144" s="535"/>
      <c r="J144" s="535"/>
      <c r="K144" s="535"/>
      <c r="L144" s="535"/>
      <c r="M144" s="536"/>
      <c r="N144" s="160"/>
      <c r="O144" s="160"/>
      <c r="P144" s="160"/>
      <c r="Q144" s="160"/>
      <c r="R144" s="159"/>
    </row>
    <row r="145" spans="1:21" s="136" customFormat="1" ht="15.75" customHeight="1" x14ac:dyDescent="0.2">
      <c r="A145" s="365" t="s">
        <v>87</v>
      </c>
      <c r="B145" s="813" t="str">
        <f>IF($A145="","",VLOOKUP($A145,Listes!$A$3:$C$193,2,FALSE))</f>
        <v>Peak Season</v>
      </c>
      <c r="C145" s="813"/>
      <c r="D145" s="813"/>
      <c r="E145" s="814" t="s">
        <v>51</v>
      </c>
      <c r="F145" s="814"/>
      <c r="G145" s="814"/>
      <c r="H145" s="366"/>
      <c r="I145" s="535"/>
      <c r="J145" s="535"/>
      <c r="K145" s="535"/>
      <c r="L145" s="535"/>
      <c r="M145" s="536"/>
      <c r="N145" s="160"/>
      <c r="O145" s="160"/>
      <c r="P145" s="160"/>
      <c r="Q145" s="160"/>
      <c r="R145" s="159"/>
    </row>
    <row r="146" spans="1:21" s="136" customFormat="1" ht="15.75" customHeight="1" x14ac:dyDescent="0.2">
      <c r="A146" s="365" t="s">
        <v>259</v>
      </c>
      <c r="B146" s="813" t="str">
        <f>IF($A146="","",VLOOKUP($A146,Listes!$A$3:$C$193,2,FALSE))</f>
        <v>Reefer</v>
      </c>
      <c r="C146" s="813"/>
      <c r="D146" s="813"/>
      <c r="E146" s="814" t="s">
        <v>51</v>
      </c>
      <c r="F146" s="814"/>
      <c r="G146" s="814"/>
      <c r="H146" s="366"/>
      <c r="I146" s="535"/>
      <c r="J146" s="535"/>
      <c r="K146" s="535"/>
      <c r="L146" s="535"/>
      <c r="M146" s="536"/>
      <c r="N146" s="160"/>
      <c r="O146" s="160"/>
      <c r="P146" s="160"/>
      <c r="Q146" s="160"/>
      <c r="R146" s="159"/>
    </row>
    <row r="147" spans="1:21" s="136" customFormat="1" ht="15.75" customHeight="1" x14ac:dyDescent="0.2">
      <c r="A147" s="365" t="s">
        <v>817</v>
      </c>
      <c r="B147" s="960" t="str">
        <f>IF($A147="","",VLOOKUP($A147,Listes!$A$3:$C$193,2,FALSE))</f>
        <v>Reefer PTI</v>
      </c>
      <c r="C147" s="961"/>
      <c r="D147" s="962"/>
      <c r="E147" s="963" t="s">
        <v>51</v>
      </c>
      <c r="F147" s="964"/>
      <c r="G147" s="965"/>
      <c r="H147" s="366"/>
      <c r="I147" s="535"/>
      <c r="J147" s="535"/>
      <c r="K147" s="535"/>
      <c r="L147" s="535"/>
      <c r="M147" s="536"/>
      <c r="N147" s="160"/>
      <c r="O147" s="160"/>
      <c r="P147" s="160"/>
      <c r="Q147" s="160"/>
      <c r="R147" s="159"/>
    </row>
    <row r="148" spans="1:21" s="136" customFormat="1" ht="15.75" customHeight="1" x14ac:dyDescent="0.2">
      <c r="A148" s="365" t="s">
        <v>291</v>
      </c>
      <c r="B148" s="813" t="str">
        <f>IF($A148="","",VLOOKUP($A148,Listes!$A$3:$C$193,2,FALSE))</f>
        <v>River plate &amp; EIF Surcharge / Congo River Surcharge</v>
      </c>
      <c r="C148" s="813"/>
      <c r="D148" s="813"/>
      <c r="E148" s="814" t="s">
        <v>51</v>
      </c>
      <c r="F148" s="814"/>
      <c r="G148" s="814"/>
      <c r="H148" s="366"/>
      <c r="I148" s="535"/>
      <c r="J148" s="535"/>
      <c r="K148" s="535"/>
      <c r="L148" s="535"/>
      <c r="M148" s="536"/>
      <c r="N148" s="160"/>
      <c r="O148" s="160"/>
      <c r="P148" s="160"/>
      <c r="Q148" s="160"/>
      <c r="R148" s="159"/>
    </row>
    <row r="149" spans="1:21" s="136" customFormat="1" ht="15.75" customHeight="1" x14ac:dyDescent="0.2">
      <c r="A149" s="365" t="s">
        <v>278</v>
      </c>
      <c r="B149" s="813" t="str">
        <f>IF($A149="","",VLOOKUP($A149,Listes!$A$3:$C$193,2,FALSE))</f>
        <v>Destination Terminal Security Charge</v>
      </c>
      <c r="C149" s="813"/>
      <c r="D149" s="813"/>
      <c r="E149" s="814" t="s">
        <v>51</v>
      </c>
      <c r="F149" s="814"/>
      <c r="G149" s="814"/>
      <c r="H149" s="366"/>
      <c r="I149" s="535"/>
      <c r="J149" s="535"/>
      <c r="K149" s="535"/>
      <c r="L149" s="535"/>
      <c r="M149" s="536"/>
      <c r="N149" s="160"/>
      <c r="O149" s="160"/>
      <c r="P149" s="160"/>
      <c r="Q149" s="160"/>
      <c r="R149" s="159"/>
    </row>
    <row r="150" spans="1:21" s="136" customFormat="1" ht="15.75" customHeight="1" x14ac:dyDescent="0.2">
      <c r="A150" s="365" t="s">
        <v>277</v>
      </c>
      <c r="B150" s="813" t="str">
        <f>IF($A150="","",VLOOKUP($A150,Listes!$A$3:$C$193,2,FALSE))</f>
        <v>Origin Terminal Security Charge</v>
      </c>
      <c r="C150" s="813"/>
      <c r="D150" s="813"/>
      <c r="E150" s="814" t="s">
        <v>51</v>
      </c>
      <c r="F150" s="814"/>
      <c r="G150" s="814"/>
      <c r="H150" s="366"/>
      <c r="I150" s="535"/>
      <c r="J150" s="535"/>
      <c r="K150" s="535"/>
      <c r="L150" s="535"/>
      <c r="M150" s="536"/>
      <c r="N150" s="160"/>
      <c r="O150" s="160"/>
      <c r="P150" s="160"/>
      <c r="Q150" s="160"/>
      <c r="R150" s="159"/>
    </row>
    <row r="151" spans="1:21" s="136" customFormat="1" ht="31.5" x14ac:dyDescent="0.2">
      <c r="A151" s="365" t="s">
        <v>367</v>
      </c>
      <c r="B151" s="813" t="str">
        <f>IF($A151="","",VLOOKUP($A151,Listes!$A$3:$C$193,2,FALSE))</f>
        <v>Tri-Axle / Super Chassis Oncarriage Surcharge</v>
      </c>
      <c r="C151" s="813"/>
      <c r="D151" s="813"/>
      <c r="E151" s="814" t="s">
        <v>51</v>
      </c>
      <c r="F151" s="814"/>
      <c r="G151" s="814"/>
      <c r="H151" s="366"/>
      <c r="I151" s="535"/>
      <c r="J151" s="535"/>
      <c r="K151" s="535"/>
      <c r="L151" s="535"/>
      <c r="M151" s="536"/>
      <c r="N151" s="160"/>
      <c r="O151" s="160"/>
      <c r="P151" s="160"/>
      <c r="Q151" s="160"/>
      <c r="R151" s="159"/>
    </row>
    <row r="152" spans="1:21" s="136" customFormat="1" ht="16.5" thickBot="1" x14ac:dyDescent="0.25">
      <c r="A152" s="185" t="s">
        <v>870</v>
      </c>
      <c r="B152" s="998" t="str">
        <f>IF($A152="","",VLOOKUP($A152,Listes!$A$3:$C$193,2,FALSE))</f>
        <v>Scanning by Customs, incl other examination charges</v>
      </c>
      <c r="C152" s="999"/>
      <c r="D152" s="1000"/>
      <c r="E152" s="815" t="s">
        <v>51</v>
      </c>
      <c r="F152" s="815"/>
      <c r="G152" s="815"/>
      <c r="H152" s="659"/>
      <c r="I152" s="533"/>
      <c r="J152" s="533"/>
      <c r="K152" s="533"/>
      <c r="L152" s="533"/>
      <c r="M152" s="534"/>
      <c r="N152" s="160"/>
      <c r="O152" s="160"/>
      <c r="P152" s="160"/>
      <c r="Q152" s="160"/>
      <c r="R152" s="159"/>
    </row>
    <row r="153" spans="1:21" s="73" customFormat="1" ht="16.5" thickBot="1" x14ac:dyDescent="0.25">
      <c r="A153" s="995" t="s">
        <v>216</v>
      </c>
      <c r="B153" s="996"/>
      <c r="C153" s="996"/>
      <c r="D153" s="996"/>
      <c r="E153" s="997"/>
      <c r="F153" s="997"/>
      <c r="G153" s="997"/>
      <c r="H153" s="997"/>
      <c r="I153" s="853"/>
      <c r="J153" s="169"/>
      <c r="K153" s="118"/>
      <c r="L153" s="134"/>
      <c r="M153" s="134"/>
      <c r="N153" s="134"/>
      <c r="O153" s="134"/>
      <c r="P153" s="134"/>
      <c r="Q153" s="118"/>
    </row>
    <row r="154" spans="1:21" s="73" customFormat="1" ht="16.5" thickBot="1" x14ac:dyDescent="0.25">
      <c r="A154" s="849" t="s">
        <v>597</v>
      </c>
      <c r="B154" s="833"/>
      <c r="C154" s="833"/>
      <c r="D154" s="833"/>
      <c r="E154" s="833"/>
      <c r="F154" s="833"/>
      <c r="G154" s="833"/>
      <c r="H154" s="833"/>
      <c r="I154" s="834"/>
      <c r="J154" s="169"/>
      <c r="K154" s="134"/>
      <c r="L154" s="134"/>
      <c r="M154" s="134"/>
      <c r="N154" s="134"/>
      <c r="O154" s="118"/>
    </row>
    <row r="155" spans="1:21" s="73" customFormat="1" ht="16.5" thickBot="1" x14ac:dyDescent="0.25">
      <c r="A155" s="187"/>
      <c r="B155" s="187"/>
      <c r="C155" s="188"/>
      <c r="D155" s="189"/>
      <c r="E155" s="170"/>
      <c r="F155" s="170"/>
      <c r="G155" s="170"/>
      <c r="H155" s="170"/>
      <c r="I155" s="170"/>
      <c r="J155" s="189"/>
      <c r="K155" s="169"/>
      <c r="L155" s="118"/>
      <c r="M155" s="134"/>
      <c r="N155" s="134"/>
      <c r="O155" s="134"/>
      <c r="P155" s="134"/>
      <c r="Q155" s="134"/>
      <c r="R155" s="118"/>
    </row>
    <row r="156" spans="1:21" s="73" customFormat="1" ht="15.6" customHeight="1" x14ac:dyDescent="0.2">
      <c r="A156" s="830" t="s">
        <v>523</v>
      </c>
      <c r="B156" s="831"/>
      <c r="C156" s="831"/>
      <c r="D156" s="831"/>
      <c r="E156" s="842" t="s">
        <v>288</v>
      </c>
      <c r="F156" s="842">
        <v>20</v>
      </c>
      <c r="G156" s="842">
        <v>40</v>
      </c>
      <c r="H156" s="842" t="s">
        <v>19</v>
      </c>
      <c r="I156" s="842" t="s">
        <v>20</v>
      </c>
      <c r="J156" s="848" t="s">
        <v>297</v>
      </c>
      <c r="K156" s="848" t="s">
        <v>33</v>
      </c>
      <c r="L156" s="846" t="s">
        <v>217</v>
      </c>
      <c r="M156" s="189"/>
      <c r="N156" s="134"/>
      <c r="O156" s="134"/>
      <c r="P156" s="134"/>
      <c r="Q156" s="134"/>
      <c r="R156" s="134"/>
      <c r="S156" s="134"/>
      <c r="T156" s="134"/>
      <c r="U156" s="134"/>
    </row>
    <row r="157" spans="1:21" s="73" customFormat="1" x14ac:dyDescent="0.2">
      <c r="A157" s="537" t="s">
        <v>218</v>
      </c>
      <c r="B157" s="538" t="s">
        <v>11</v>
      </c>
      <c r="C157" s="538" t="s">
        <v>12</v>
      </c>
      <c r="D157" s="538" t="s">
        <v>219</v>
      </c>
      <c r="E157" s="843"/>
      <c r="F157" s="843"/>
      <c r="G157" s="843"/>
      <c r="H157" s="843"/>
      <c r="I157" s="843"/>
      <c r="J157" s="843"/>
      <c r="K157" s="843"/>
      <c r="L157" s="847"/>
      <c r="M157" s="189"/>
      <c r="N157" s="134"/>
      <c r="O157" s="134"/>
      <c r="P157" s="134"/>
      <c r="Q157" s="134"/>
      <c r="R157" s="134"/>
      <c r="S157" s="134"/>
      <c r="T157" s="134"/>
      <c r="U157" s="134"/>
    </row>
    <row r="158" spans="1:21" s="136" customFormat="1" x14ac:dyDescent="0.2">
      <c r="A158" s="539"/>
      <c r="B158" s="540"/>
      <c r="C158" s="540"/>
      <c r="D158" s="540"/>
      <c r="E158" s="540"/>
      <c r="F158" s="255"/>
      <c r="G158" s="255"/>
      <c r="H158" s="255"/>
      <c r="I158" s="255"/>
      <c r="J158" s="540"/>
      <c r="K158" s="21"/>
      <c r="L158" s="541"/>
      <c r="M158" s="190"/>
      <c r="N158" s="160"/>
      <c r="O158" s="160"/>
      <c r="P158" s="160"/>
      <c r="Q158" s="160"/>
      <c r="R158" s="160"/>
      <c r="S158" s="160"/>
      <c r="T158" s="160"/>
      <c r="U158" s="160"/>
    </row>
    <row r="159" spans="1:21" s="136" customFormat="1" x14ac:dyDescent="0.2">
      <c r="A159" s="542"/>
      <c r="B159" s="540"/>
      <c r="C159" s="540"/>
      <c r="D159" s="540"/>
      <c r="E159" s="540"/>
      <c r="F159" s="255"/>
      <c r="G159" s="255"/>
      <c r="H159" s="255"/>
      <c r="I159" s="255"/>
      <c r="J159" s="24"/>
      <c r="K159" s="21"/>
      <c r="L159" s="25"/>
      <c r="M159" s="191"/>
      <c r="N159" s="160"/>
      <c r="O159" s="160"/>
      <c r="P159" s="160"/>
      <c r="Q159" s="160"/>
      <c r="R159" s="160"/>
      <c r="S159" s="160"/>
      <c r="T159" s="160"/>
      <c r="U159" s="160"/>
    </row>
    <row r="160" spans="1:21" s="136" customFormat="1" x14ac:dyDescent="0.2">
      <c r="A160" s="542"/>
      <c r="B160" s="540"/>
      <c r="C160" s="540"/>
      <c r="D160" s="540"/>
      <c r="E160" s="540"/>
      <c r="F160" s="255"/>
      <c r="G160" s="255"/>
      <c r="H160" s="255"/>
      <c r="I160" s="255"/>
      <c r="J160" s="24"/>
      <c r="K160" s="21"/>
      <c r="L160" s="25"/>
      <c r="M160" s="191"/>
      <c r="N160" s="160"/>
      <c r="O160" s="160"/>
      <c r="P160" s="160"/>
      <c r="Q160" s="160"/>
      <c r="R160" s="160"/>
      <c r="S160" s="160"/>
      <c r="T160" s="160"/>
      <c r="U160" s="160"/>
    </row>
    <row r="161" spans="1:23" s="136" customFormat="1" ht="16.5" thickBot="1" x14ac:dyDescent="0.25">
      <c r="A161" s="543"/>
      <c r="B161" s="544"/>
      <c r="C161" s="544"/>
      <c r="D161" s="544"/>
      <c r="E161" s="544"/>
      <c r="F161" s="256"/>
      <c r="G161" s="256"/>
      <c r="H161" s="256"/>
      <c r="I161" s="256"/>
      <c r="J161" s="28"/>
      <c r="K161" s="29"/>
      <c r="L161" s="30"/>
      <c r="M161" s="191"/>
      <c r="N161" s="160"/>
      <c r="O161" s="160"/>
      <c r="P161" s="160"/>
      <c r="Q161" s="160"/>
      <c r="R161" s="160"/>
      <c r="S161" s="160"/>
      <c r="T161" s="160"/>
      <c r="U161" s="160"/>
    </row>
    <row r="162" spans="1:23" s="136" customFormat="1" x14ac:dyDescent="0.2">
      <c r="A162" s="173"/>
      <c r="B162" s="545"/>
      <c r="C162" s="545"/>
      <c r="D162" s="545"/>
      <c r="E162" s="545"/>
      <c r="F162" s="545"/>
      <c r="G162" s="545"/>
      <c r="H162" s="545"/>
      <c r="I162" s="545"/>
      <c r="J162" s="33"/>
      <c r="K162" s="33"/>
      <c r="L162" s="34"/>
      <c r="M162" s="191"/>
      <c r="N162" s="160"/>
      <c r="O162" s="160"/>
      <c r="P162" s="160"/>
      <c r="Q162" s="160"/>
      <c r="R162" s="160"/>
      <c r="S162" s="160"/>
      <c r="T162" s="160"/>
      <c r="U162" s="160"/>
    </row>
    <row r="163" spans="1:23" s="73" customFormat="1" ht="15.6" customHeight="1" x14ac:dyDescent="0.2">
      <c r="A163" s="841" t="s">
        <v>596</v>
      </c>
      <c r="B163" s="840"/>
      <c r="C163" s="840"/>
      <c r="D163" s="840"/>
      <c r="E163" s="840" t="s">
        <v>288</v>
      </c>
      <c r="F163" s="840">
        <v>20</v>
      </c>
      <c r="G163" s="840">
        <v>40</v>
      </c>
      <c r="H163" s="840" t="s">
        <v>19</v>
      </c>
      <c r="I163" s="840" t="s">
        <v>20</v>
      </c>
      <c r="J163" s="845" t="s">
        <v>297</v>
      </c>
      <c r="K163" s="845" t="s">
        <v>33</v>
      </c>
      <c r="L163" s="844" t="s">
        <v>217</v>
      </c>
      <c r="M163" s="844" t="s">
        <v>23</v>
      </c>
      <c r="N163" s="169"/>
      <c r="O163" s="118"/>
      <c r="P163" s="134"/>
      <c r="Q163" s="134"/>
      <c r="R163" s="134"/>
      <c r="S163" s="134"/>
      <c r="T163" s="134"/>
      <c r="U163" s="134"/>
      <c r="V163" s="134"/>
      <c r="W163" s="134"/>
    </row>
    <row r="164" spans="1:23" s="73" customFormat="1" x14ac:dyDescent="0.2">
      <c r="A164" s="546" t="s">
        <v>218</v>
      </c>
      <c r="B164" s="546" t="s">
        <v>11</v>
      </c>
      <c r="C164" s="546" t="s">
        <v>12</v>
      </c>
      <c r="D164" s="546" t="s">
        <v>219</v>
      </c>
      <c r="E164" s="840"/>
      <c r="F164" s="840"/>
      <c r="G164" s="840"/>
      <c r="H164" s="840"/>
      <c r="I164" s="840"/>
      <c r="J164" s="840"/>
      <c r="K164" s="840"/>
      <c r="L164" s="844"/>
      <c r="M164" s="844"/>
      <c r="N164" s="169"/>
      <c r="O164" s="118"/>
      <c r="P164" s="134"/>
      <c r="Q164" s="134"/>
      <c r="R164" s="134"/>
      <c r="S164" s="134"/>
      <c r="T164" s="134"/>
      <c r="U164" s="134"/>
      <c r="V164" s="134"/>
      <c r="W164" s="134"/>
    </row>
    <row r="165" spans="1:23" s="136" customFormat="1" x14ac:dyDescent="0.2">
      <c r="A165" s="372"/>
      <c r="B165" s="547"/>
      <c r="C165" s="547"/>
      <c r="D165" s="547"/>
      <c r="E165" s="547"/>
      <c r="F165" s="368"/>
      <c r="G165" s="368"/>
      <c r="H165" s="368"/>
      <c r="I165" s="368"/>
      <c r="J165" s="369"/>
      <c r="K165" s="370"/>
      <c r="L165" s="548"/>
      <c r="M165" s="548"/>
      <c r="N165" s="192"/>
      <c r="O165" s="159"/>
      <c r="P165" s="160"/>
      <c r="Q165" s="160"/>
      <c r="R165" s="160"/>
      <c r="S165" s="160"/>
      <c r="T165" s="160"/>
      <c r="U165" s="160"/>
      <c r="V165" s="160"/>
      <c r="W165" s="160"/>
    </row>
    <row r="166" spans="1:23" s="136" customFormat="1" x14ac:dyDescent="0.2">
      <c r="A166" s="372"/>
      <c r="B166" s="547"/>
      <c r="C166" s="547"/>
      <c r="D166" s="547"/>
      <c r="E166" s="547"/>
      <c r="F166" s="368"/>
      <c r="G166" s="368"/>
      <c r="H166" s="368"/>
      <c r="I166" s="368"/>
      <c r="J166" s="369"/>
      <c r="K166" s="370"/>
      <c r="L166" s="548"/>
      <c r="M166" s="548"/>
      <c r="N166" s="192"/>
      <c r="O166" s="159"/>
      <c r="P166" s="160"/>
      <c r="Q166" s="160"/>
      <c r="R166" s="160"/>
      <c r="S166" s="160"/>
      <c r="T166" s="160"/>
      <c r="U166" s="160"/>
      <c r="V166" s="160"/>
      <c r="W166" s="160"/>
    </row>
    <row r="167" spans="1:23" s="136" customFormat="1" x14ac:dyDescent="0.2">
      <c r="A167" s="372"/>
      <c r="B167" s="547"/>
      <c r="C167" s="547"/>
      <c r="D167" s="547"/>
      <c r="E167" s="547"/>
      <c r="F167" s="368"/>
      <c r="G167" s="368"/>
      <c r="H167" s="368"/>
      <c r="I167" s="368"/>
      <c r="J167" s="369"/>
      <c r="K167" s="370"/>
      <c r="L167" s="548"/>
      <c r="M167" s="548"/>
      <c r="N167" s="192"/>
      <c r="O167" s="159"/>
      <c r="P167" s="160"/>
      <c r="Q167" s="160"/>
      <c r="R167" s="160"/>
      <c r="S167" s="160"/>
      <c r="T167" s="160"/>
      <c r="U167" s="160"/>
      <c r="V167" s="160"/>
      <c r="W167" s="160"/>
    </row>
    <row r="168" spans="1:23" s="136" customFormat="1" x14ac:dyDescent="0.2">
      <c r="A168" s="372"/>
      <c r="B168" s="547"/>
      <c r="C168" s="547"/>
      <c r="D168" s="547"/>
      <c r="E168" s="547"/>
      <c r="F168" s="368"/>
      <c r="G168" s="368"/>
      <c r="H168" s="368"/>
      <c r="I168" s="368"/>
      <c r="J168" s="369"/>
      <c r="K168" s="370"/>
      <c r="L168" s="373"/>
      <c r="M168" s="373"/>
      <c r="N168" s="191"/>
      <c r="O168" s="159"/>
      <c r="P168" s="160"/>
      <c r="Q168" s="160"/>
      <c r="R168" s="160"/>
      <c r="S168" s="160"/>
      <c r="T168" s="160"/>
      <c r="U168" s="160"/>
      <c r="V168" s="160"/>
      <c r="W168" s="160"/>
    </row>
    <row r="169" spans="1:23" s="73" customFormat="1" x14ac:dyDescent="0.2">
      <c r="A169" s="456"/>
      <c r="B169" s="549"/>
      <c r="C169" s="549"/>
      <c r="D169" s="549"/>
      <c r="E169" s="549"/>
      <c r="F169" s="194"/>
      <c r="G169" s="522"/>
      <c r="H169" s="195"/>
      <c r="I169" s="195"/>
      <c r="J169" s="176"/>
      <c r="K169" s="118"/>
      <c r="L169" s="134"/>
      <c r="M169" s="134"/>
      <c r="N169" s="134"/>
      <c r="O169" s="134"/>
      <c r="P169" s="134"/>
      <c r="Q169" s="134"/>
    </row>
    <row r="170" spans="1:23" s="456" customFormat="1" ht="16.5" thickBot="1" x14ac:dyDescent="0.25">
      <c r="A170" s="196"/>
      <c r="B170" s="197"/>
      <c r="C170" s="198"/>
      <c r="D170" s="198"/>
      <c r="E170" s="169"/>
      <c r="F170" s="176"/>
      <c r="G170" s="176"/>
      <c r="H170" s="176"/>
      <c r="I170" s="176"/>
      <c r="J170" s="170"/>
      <c r="K170" s="118"/>
      <c r="L170" s="134"/>
      <c r="M170" s="134"/>
      <c r="N170" s="134"/>
      <c r="O170" s="134"/>
      <c r="P170" s="134"/>
      <c r="Q170" s="134"/>
      <c r="R170" s="134"/>
      <c r="S170" s="118"/>
      <c r="T170" s="118"/>
      <c r="U170" s="118"/>
    </row>
    <row r="171" spans="1:23" s="456" customFormat="1" ht="16.5" thickBot="1" x14ac:dyDescent="0.25">
      <c r="A171" s="822" t="s">
        <v>220</v>
      </c>
      <c r="B171" s="823"/>
      <c r="C171" s="823"/>
      <c r="D171" s="823"/>
      <c r="E171" s="824"/>
      <c r="F171" s="176"/>
      <c r="G171" s="176"/>
      <c r="H171" s="176"/>
      <c r="I171" s="176"/>
      <c r="J171" s="170"/>
      <c r="K171" s="118"/>
      <c r="L171" s="134"/>
      <c r="M171" s="134"/>
      <c r="N171" s="134"/>
      <c r="O171" s="134"/>
      <c r="P171" s="134"/>
      <c r="Q171" s="134"/>
      <c r="R171" s="134"/>
      <c r="S171" s="118"/>
      <c r="T171" s="118"/>
      <c r="U171" s="118"/>
    </row>
    <row r="172" spans="1:23" s="73" customFormat="1" ht="16.5" thickBot="1" x14ac:dyDescent="0.25">
      <c r="A172" s="550"/>
      <c r="B172" s="456"/>
      <c r="C172" s="456"/>
      <c r="D172" s="456"/>
      <c r="E172" s="456"/>
      <c r="F172" s="194"/>
      <c r="G172" s="456"/>
      <c r="H172" s="200"/>
      <c r="I172" s="194"/>
      <c r="J172" s="194"/>
      <c r="K172" s="118"/>
      <c r="L172" s="134"/>
      <c r="M172" s="134"/>
      <c r="N172" s="134"/>
      <c r="O172" s="134"/>
      <c r="P172" s="134"/>
      <c r="Q172" s="134"/>
      <c r="R172" s="134"/>
      <c r="S172" s="118"/>
      <c r="T172" s="118"/>
      <c r="U172" s="118"/>
    </row>
    <row r="173" spans="1:23" s="73" customFormat="1" ht="16.5" thickBot="1" x14ac:dyDescent="0.25">
      <c r="A173" s="825" t="s">
        <v>221</v>
      </c>
      <c r="B173" s="838"/>
      <c r="C173" s="838"/>
      <c r="D173" s="838"/>
      <c r="E173" s="838"/>
      <c r="F173" s="839"/>
      <c r="G173" s="456"/>
      <c r="H173" s="200"/>
      <c r="I173" s="194"/>
      <c r="J173" s="194"/>
      <c r="K173" s="118"/>
      <c r="L173" s="134"/>
      <c r="M173" s="134"/>
      <c r="N173" s="134"/>
      <c r="O173" s="134"/>
      <c r="P173" s="134"/>
      <c r="Q173" s="134"/>
      <c r="R173" s="134"/>
      <c r="S173" s="118"/>
      <c r="T173" s="118"/>
      <c r="U173" s="118"/>
    </row>
    <row r="174" spans="1:23" s="73" customFormat="1" ht="16.5" customHeight="1" x14ac:dyDescent="0.2">
      <c r="A174" s="835" t="s">
        <v>222</v>
      </c>
      <c r="B174" s="836"/>
      <c r="C174" s="836"/>
      <c r="D174" s="836"/>
      <c r="E174" s="836"/>
      <c r="F174" s="837"/>
      <c r="G174" s="456"/>
      <c r="H174" s="201"/>
      <c r="I174" s="170"/>
      <c r="J174" s="170"/>
      <c r="K174" s="118"/>
      <c r="L174" s="134"/>
      <c r="M174" s="134"/>
      <c r="N174" s="134"/>
      <c r="O174" s="134"/>
      <c r="P174" s="134"/>
      <c r="Q174" s="134"/>
      <c r="R174" s="134"/>
      <c r="S174" s="118"/>
      <c r="T174" s="118"/>
      <c r="U174" s="118"/>
    </row>
    <row r="175" spans="1:23" ht="16.5" thickBot="1" x14ac:dyDescent="0.25">
      <c r="A175" s="832" t="s">
        <v>223</v>
      </c>
      <c r="B175" s="833"/>
      <c r="C175" s="833"/>
      <c r="D175" s="833"/>
      <c r="E175" s="833"/>
      <c r="F175" s="834"/>
      <c r="G175" s="176"/>
      <c r="H175" s="176"/>
      <c r="I175" s="176"/>
      <c r="J175" s="169"/>
      <c r="K175" s="169"/>
      <c r="L175" s="169"/>
      <c r="M175" s="169"/>
      <c r="N175" s="169"/>
      <c r="O175" s="169"/>
      <c r="P175" s="169"/>
      <c r="Q175" s="169"/>
      <c r="R175" s="169"/>
      <c r="S175" s="169"/>
      <c r="T175" s="169"/>
      <c r="U175" s="169"/>
    </row>
    <row r="176" spans="1:23" x14ac:dyDescent="0.2">
      <c r="A176" s="551" t="s">
        <v>224</v>
      </c>
      <c r="B176" s="450" t="s">
        <v>225</v>
      </c>
      <c r="C176" s="552" t="s">
        <v>226</v>
      </c>
      <c r="D176" s="553" t="s">
        <v>227</v>
      </c>
      <c r="E176" s="176"/>
      <c r="F176" s="176"/>
      <c r="G176" s="176"/>
      <c r="H176" s="169"/>
      <c r="I176" s="169"/>
      <c r="J176" s="169"/>
      <c r="K176" s="169"/>
      <c r="L176" s="169"/>
      <c r="M176" s="169"/>
      <c r="N176" s="169"/>
      <c r="O176" s="169"/>
      <c r="P176" s="169"/>
      <c r="Q176" s="169"/>
      <c r="R176" s="169"/>
    </row>
    <row r="177" spans="1:21" s="192" customFormat="1" x14ac:dyDescent="0.2">
      <c r="A177" s="203"/>
      <c r="B177" s="204" t="s">
        <v>344</v>
      </c>
      <c r="C177" s="205" t="s">
        <v>417</v>
      </c>
      <c r="D177" s="206">
        <v>1</v>
      </c>
      <c r="E177" s="191"/>
      <c r="F177" s="191"/>
      <c r="G177" s="191"/>
    </row>
    <row r="178" spans="1:21" s="192" customFormat="1" x14ac:dyDescent="0.2">
      <c r="A178" s="203"/>
      <c r="B178" s="204" t="s">
        <v>344</v>
      </c>
      <c r="C178" s="205" t="s">
        <v>418</v>
      </c>
      <c r="D178" s="206">
        <v>1.2</v>
      </c>
      <c r="E178" s="191"/>
      <c r="F178" s="191"/>
      <c r="G178" s="191"/>
    </row>
    <row r="179" spans="1:21" s="192" customFormat="1" ht="16.5" thickBot="1" x14ac:dyDescent="0.25">
      <c r="A179" s="207"/>
      <c r="B179" s="208"/>
      <c r="C179" s="209"/>
      <c r="D179" s="210"/>
      <c r="E179" s="191"/>
      <c r="F179" s="191"/>
      <c r="G179" s="191"/>
    </row>
    <row r="180" spans="1:21" ht="16.5" thickBot="1" x14ac:dyDescent="0.25"/>
    <row r="181" spans="1:21" s="73" customFormat="1" ht="16.5" thickBot="1" x14ac:dyDescent="0.25">
      <c r="A181" s="822" t="s">
        <v>228</v>
      </c>
      <c r="B181" s="823"/>
      <c r="C181" s="823"/>
      <c r="D181" s="823"/>
      <c r="E181" s="823"/>
      <c r="F181" s="823"/>
      <c r="G181" s="823"/>
      <c r="H181" s="823"/>
      <c r="I181" s="824"/>
      <c r="J181" s="169"/>
      <c r="K181" s="118"/>
      <c r="L181" s="134"/>
      <c r="M181" s="134"/>
      <c r="N181" s="134"/>
      <c r="O181" s="134"/>
      <c r="P181" s="134"/>
      <c r="Q181" s="134"/>
      <c r="R181" s="134"/>
      <c r="S181" s="118"/>
      <c r="T181" s="118"/>
      <c r="U181" s="118"/>
    </row>
    <row r="182" spans="1:21" s="73" customFormat="1" x14ac:dyDescent="0.2">
      <c r="A182" s="554" t="s">
        <v>229</v>
      </c>
      <c r="B182" s="213"/>
      <c r="C182" s="214"/>
      <c r="D182" s="214"/>
      <c r="E182" s="214"/>
      <c r="F182" s="214"/>
      <c r="G182" s="215"/>
      <c r="H182" s="216"/>
      <c r="I182" s="217"/>
      <c r="J182" s="170"/>
      <c r="K182" s="118"/>
      <c r="L182" s="134"/>
      <c r="M182" s="134"/>
      <c r="N182" s="134"/>
      <c r="O182" s="134"/>
      <c r="P182" s="134"/>
      <c r="Q182" s="134"/>
      <c r="R182" s="134"/>
      <c r="S182" s="118"/>
      <c r="T182" s="118"/>
      <c r="U182" s="118"/>
    </row>
    <row r="183" spans="1:21" s="218" customFormat="1" ht="116.25" customHeight="1" x14ac:dyDescent="0.2">
      <c r="A183" s="281" t="s">
        <v>473</v>
      </c>
      <c r="B183" s="1017" t="s">
        <v>892</v>
      </c>
      <c r="C183" s="1018"/>
      <c r="D183" s="1018"/>
      <c r="E183" s="1018"/>
      <c r="F183" s="1018"/>
      <c r="G183" s="1018"/>
      <c r="H183" s="1018"/>
      <c r="I183" s="1019"/>
    </row>
    <row r="184" spans="1:21" s="218" customFormat="1" x14ac:dyDescent="0.2">
      <c r="A184" s="281"/>
      <c r="B184" s="816"/>
      <c r="C184" s="817"/>
      <c r="D184" s="817"/>
      <c r="E184" s="817"/>
      <c r="F184" s="817"/>
      <c r="G184" s="817"/>
      <c r="H184" s="817"/>
      <c r="I184" s="818"/>
    </row>
    <row r="185" spans="1:21" s="218" customFormat="1" x14ac:dyDescent="0.2">
      <c r="A185" s="281"/>
      <c r="B185" s="816"/>
      <c r="C185" s="817"/>
      <c r="D185" s="817"/>
      <c r="E185" s="817"/>
      <c r="F185" s="817"/>
      <c r="G185" s="817"/>
      <c r="H185" s="817"/>
      <c r="I185" s="818"/>
    </row>
    <row r="186" spans="1:21" s="218" customFormat="1" x14ac:dyDescent="0.2">
      <c r="A186" s="281"/>
      <c r="B186" s="816"/>
      <c r="C186" s="817"/>
      <c r="D186" s="817"/>
      <c r="E186" s="817"/>
      <c r="F186" s="817"/>
      <c r="G186" s="817"/>
      <c r="H186" s="817"/>
      <c r="I186" s="818"/>
    </row>
    <row r="187" spans="1:21" s="218" customFormat="1" x14ac:dyDescent="0.2">
      <c r="A187" s="281"/>
      <c r="B187" s="816"/>
      <c r="C187" s="817"/>
      <c r="D187" s="817"/>
      <c r="E187" s="817"/>
      <c r="F187" s="817"/>
      <c r="G187" s="817"/>
      <c r="H187" s="817"/>
      <c r="I187" s="818"/>
    </row>
    <row r="188" spans="1:21" s="218" customFormat="1" x14ac:dyDescent="0.2">
      <c r="A188" s="281"/>
      <c r="B188" s="816"/>
      <c r="C188" s="817"/>
      <c r="D188" s="817"/>
      <c r="E188" s="817"/>
      <c r="F188" s="817"/>
      <c r="G188" s="817"/>
      <c r="H188" s="817"/>
      <c r="I188" s="818"/>
    </row>
    <row r="189" spans="1:21" s="218" customFormat="1" x14ac:dyDescent="0.2">
      <c r="A189" s="281"/>
      <c r="B189" s="816"/>
      <c r="C189" s="817"/>
      <c r="D189" s="817"/>
      <c r="E189" s="817"/>
      <c r="F189" s="817"/>
      <c r="G189" s="817"/>
      <c r="H189" s="817"/>
      <c r="I189" s="818"/>
    </row>
    <row r="190" spans="1:21" s="218" customFormat="1" x14ac:dyDescent="0.2">
      <c r="A190" s="281"/>
      <c r="B190" s="816"/>
      <c r="C190" s="817"/>
      <c r="D190" s="817"/>
      <c r="E190" s="817"/>
      <c r="F190" s="817"/>
      <c r="G190" s="817"/>
      <c r="H190" s="817"/>
      <c r="I190" s="818"/>
    </row>
    <row r="191" spans="1:21" s="218" customFormat="1" x14ac:dyDescent="0.2">
      <c r="A191" s="281"/>
      <c r="B191" s="816"/>
      <c r="C191" s="817"/>
      <c r="D191" s="817"/>
      <c r="E191" s="817"/>
      <c r="F191" s="817"/>
      <c r="G191" s="817"/>
      <c r="H191" s="817"/>
      <c r="I191" s="818"/>
    </row>
    <row r="192" spans="1:21" s="218" customFormat="1" x14ac:dyDescent="0.2">
      <c r="A192" s="281"/>
      <c r="B192" s="816"/>
      <c r="C192" s="817"/>
      <c r="D192" s="817"/>
      <c r="E192" s="817"/>
      <c r="F192" s="817"/>
      <c r="G192" s="817"/>
      <c r="H192" s="817"/>
      <c r="I192" s="818"/>
    </row>
    <row r="193" spans="1:14" s="218" customFormat="1" x14ac:dyDescent="0.2">
      <c r="A193" s="281"/>
      <c r="B193" s="816"/>
      <c r="C193" s="817"/>
      <c r="D193" s="817"/>
      <c r="E193" s="817"/>
      <c r="F193" s="817"/>
      <c r="G193" s="817"/>
      <c r="H193" s="817"/>
      <c r="I193" s="818"/>
    </row>
    <row r="194" spans="1:14" s="218" customFormat="1" x14ac:dyDescent="0.2">
      <c r="A194" s="281"/>
      <c r="B194" s="816"/>
      <c r="C194" s="817"/>
      <c r="D194" s="817"/>
      <c r="E194" s="817"/>
      <c r="F194" s="817"/>
      <c r="G194" s="817"/>
      <c r="H194" s="817"/>
      <c r="I194" s="818"/>
    </row>
    <row r="195" spans="1:14" s="218" customFormat="1" x14ac:dyDescent="0.2">
      <c r="A195" s="281"/>
      <c r="B195" s="816"/>
      <c r="C195" s="817"/>
      <c r="D195" s="817"/>
      <c r="E195" s="817"/>
      <c r="F195" s="817"/>
      <c r="G195" s="817"/>
      <c r="H195" s="817"/>
      <c r="I195" s="818"/>
    </row>
    <row r="196" spans="1:14" s="218" customFormat="1" ht="16.5" thickBot="1" x14ac:dyDescent="0.25">
      <c r="A196" s="282"/>
      <c r="B196" s="819"/>
      <c r="C196" s="820"/>
      <c r="D196" s="820"/>
      <c r="E196" s="820"/>
      <c r="F196" s="820"/>
      <c r="G196" s="820"/>
      <c r="H196" s="820"/>
      <c r="I196" s="821"/>
    </row>
    <row r="198" spans="1:14" s="218" customFormat="1" x14ac:dyDescent="0.2">
      <c r="F198" s="337"/>
      <c r="G198" s="337"/>
      <c r="H198" s="337"/>
      <c r="I198" s="337"/>
    </row>
    <row r="199" spans="1:14" s="218" customFormat="1" ht="16.5" thickBot="1" x14ac:dyDescent="0.25">
      <c r="F199" s="337"/>
      <c r="G199" s="337"/>
      <c r="H199" s="337"/>
      <c r="I199" s="337"/>
    </row>
    <row r="200" spans="1:14" s="218" customFormat="1" ht="16.5" thickBot="1" x14ac:dyDescent="0.25">
      <c r="A200" s="825" t="s">
        <v>3</v>
      </c>
      <c r="B200" s="826"/>
      <c r="F200" s="337"/>
      <c r="G200" s="337"/>
      <c r="H200" s="337"/>
      <c r="I200" s="337"/>
    </row>
    <row r="201" spans="1:14" s="347" customFormat="1" ht="16.5" thickBot="1" x14ac:dyDescent="0.25">
      <c r="A201" s="338"/>
      <c r="B201" s="338"/>
      <c r="F201" s="348"/>
      <c r="G201" s="348"/>
      <c r="H201" s="348"/>
      <c r="I201" s="348"/>
    </row>
    <row r="202" spans="1:14" s="218" customFormat="1" ht="15.75" customHeight="1" thickBot="1" x14ac:dyDescent="0.25">
      <c r="A202" s="800" t="s">
        <v>2</v>
      </c>
      <c r="B202" s="801"/>
      <c r="C202" s="801"/>
      <c r="D202" s="801"/>
      <c r="E202" s="801"/>
      <c r="F202" s="801"/>
      <c r="G202" s="802"/>
      <c r="H202" s="337"/>
      <c r="I202" s="337"/>
    </row>
    <row r="203" spans="1:14" s="347" customFormat="1" ht="15.75" customHeight="1" thickBot="1" x14ac:dyDescent="0.25">
      <c r="A203" s="338"/>
      <c r="B203" s="338"/>
      <c r="C203" s="338"/>
      <c r="D203" s="338"/>
      <c r="E203" s="338"/>
      <c r="F203" s="338"/>
      <c r="G203" s="338"/>
      <c r="H203" s="348"/>
      <c r="I203" s="348"/>
    </row>
    <row r="204" spans="1:14" s="218" customFormat="1" ht="15.75" customHeight="1" thickBot="1" x14ac:dyDescent="0.25">
      <c r="A204" s="807" t="s">
        <v>1</v>
      </c>
      <c r="B204" s="808"/>
      <c r="C204" s="808"/>
      <c r="D204" s="808"/>
      <c r="E204" s="809"/>
      <c r="F204" s="339"/>
      <c r="G204" s="339"/>
      <c r="H204" s="337"/>
      <c r="I204" s="337"/>
    </row>
    <row r="205" spans="1:14" s="218" customFormat="1" x14ac:dyDescent="0.2">
      <c r="A205" s="803" t="s">
        <v>627</v>
      </c>
      <c r="B205" s="805" t="s">
        <v>888</v>
      </c>
      <c r="C205" s="786" t="s">
        <v>0</v>
      </c>
      <c r="D205" s="786" t="s">
        <v>609</v>
      </c>
      <c r="E205" s="805" t="s">
        <v>889</v>
      </c>
      <c r="F205" s="786" t="s">
        <v>436</v>
      </c>
      <c r="G205" s="786" t="s">
        <v>421</v>
      </c>
      <c r="H205" s="786" t="s">
        <v>628</v>
      </c>
      <c r="I205" s="786" t="s">
        <v>11</v>
      </c>
      <c r="J205" s="786" t="s">
        <v>12</v>
      </c>
      <c r="K205" s="786" t="s">
        <v>13</v>
      </c>
      <c r="L205" s="786" t="s">
        <v>449</v>
      </c>
      <c r="M205" s="786" t="s">
        <v>610</v>
      </c>
      <c r="N205" s="788"/>
    </row>
    <row r="206" spans="1:14" s="218" customFormat="1" ht="32.25" customHeight="1" thickBot="1" x14ac:dyDescent="0.25">
      <c r="A206" s="804"/>
      <c r="B206" s="806"/>
      <c r="C206" s="787"/>
      <c r="D206" s="787"/>
      <c r="E206" s="806"/>
      <c r="F206" s="787"/>
      <c r="G206" s="787"/>
      <c r="H206" s="787"/>
      <c r="I206" s="787"/>
      <c r="J206" s="787"/>
      <c r="K206" s="787"/>
      <c r="L206" s="787"/>
      <c r="M206" s="787"/>
      <c r="N206" s="789"/>
    </row>
    <row r="207" spans="1:14" s="218" customFormat="1" x14ac:dyDescent="0.2">
      <c r="A207" s="344"/>
      <c r="B207" s="340"/>
      <c r="C207" s="394"/>
      <c r="D207" s="340"/>
      <c r="E207" s="340"/>
      <c r="F207" s="340"/>
      <c r="G207" s="340"/>
      <c r="H207" s="340"/>
      <c r="I207" s="340"/>
      <c r="J207" s="340"/>
      <c r="K207" s="340"/>
      <c r="L207" s="661"/>
      <c r="M207" s="810"/>
      <c r="N207" s="811"/>
    </row>
    <row r="208" spans="1:14" s="218" customFormat="1" x14ac:dyDescent="0.2">
      <c r="A208" s="345"/>
      <c r="B208" s="341"/>
      <c r="C208" s="392"/>
      <c r="D208" s="341"/>
      <c r="E208" s="341"/>
      <c r="F208" s="341"/>
      <c r="G208" s="341"/>
      <c r="H208" s="341"/>
      <c r="I208" s="341"/>
      <c r="J208" s="341"/>
      <c r="K208" s="341"/>
      <c r="L208" s="662"/>
      <c r="M208" s="790"/>
      <c r="N208" s="791"/>
    </row>
    <row r="209" spans="1:31" s="218" customFormat="1" x14ac:dyDescent="0.2">
      <c r="A209" s="345"/>
      <c r="B209" s="341"/>
      <c r="C209" s="392"/>
      <c r="D209" s="341"/>
      <c r="E209" s="341"/>
      <c r="F209" s="341"/>
      <c r="G209" s="341"/>
      <c r="H209" s="341"/>
      <c r="I209" s="341"/>
      <c r="J209" s="341"/>
      <c r="K209" s="341"/>
      <c r="L209" s="662"/>
      <c r="M209" s="790"/>
      <c r="N209" s="791"/>
    </row>
    <row r="210" spans="1:31" s="218" customFormat="1" x14ac:dyDescent="0.2">
      <c r="A210" s="345"/>
      <c r="B210" s="341"/>
      <c r="C210" s="392"/>
      <c r="D210" s="341"/>
      <c r="E210" s="341"/>
      <c r="F210" s="341"/>
      <c r="G210" s="341"/>
      <c r="H210" s="341"/>
      <c r="I210" s="341"/>
      <c r="J210" s="341"/>
      <c r="K210" s="341"/>
      <c r="L210" s="662"/>
      <c r="M210" s="790"/>
      <c r="N210" s="791"/>
    </row>
    <row r="211" spans="1:31" s="218" customFormat="1" x14ac:dyDescent="0.2">
      <c r="A211" s="345"/>
      <c r="B211" s="341"/>
      <c r="C211" s="392"/>
      <c r="D211" s="341"/>
      <c r="E211" s="341"/>
      <c r="F211" s="341"/>
      <c r="G211" s="341"/>
      <c r="H211" s="341"/>
      <c r="I211" s="341"/>
      <c r="J211" s="341"/>
      <c r="K211" s="341"/>
      <c r="L211" s="662"/>
      <c r="M211" s="790"/>
      <c r="N211" s="791"/>
    </row>
    <row r="212" spans="1:31" s="218" customFormat="1" ht="16.5" thickBot="1" x14ac:dyDescent="0.25">
      <c r="A212" s="346"/>
      <c r="B212" s="342"/>
      <c r="C212" s="336"/>
      <c r="D212" s="342"/>
      <c r="E212" s="342"/>
      <c r="F212" s="342"/>
      <c r="G212" s="342"/>
      <c r="H212" s="342"/>
      <c r="I212" s="342"/>
      <c r="J212" s="342"/>
      <c r="K212" s="342"/>
      <c r="L212" s="663"/>
      <c r="M212" s="794"/>
      <c r="N212" s="795"/>
    </row>
    <row r="213" spans="1:31" s="218" customFormat="1" x14ac:dyDescent="0.2">
      <c r="F213" s="337"/>
      <c r="G213" s="337"/>
      <c r="H213" s="337"/>
      <c r="I213" s="337"/>
    </row>
    <row r="214" spans="1:31" s="218" customFormat="1" ht="16.5" thickBot="1" x14ac:dyDescent="0.25">
      <c r="F214" s="337"/>
      <c r="G214" s="337"/>
      <c r="H214" s="337"/>
      <c r="I214" s="337"/>
    </row>
    <row r="215" spans="1:31" s="218" customFormat="1" ht="16.5" thickBot="1" x14ac:dyDescent="0.25">
      <c r="A215" s="800" t="s">
        <v>790</v>
      </c>
      <c r="B215" s="801"/>
      <c r="C215" s="801"/>
      <c r="D215" s="801"/>
      <c r="E215" s="801"/>
      <c r="F215" s="801"/>
      <c r="G215" s="802"/>
      <c r="H215" s="337"/>
      <c r="I215" s="337"/>
    </row>
    <row r="216" spans="1:31" s="192" customFormat="1" ht="16.5" thickBot="1" x14ac:dyDescent="0.25">
      <c r="F216" s="191"/>
      <c r="G216" s="191"/>
      <c r="H216" s="191"/>
      <c r="I216" s="191"/>
    </row>
    <row r="217" spans="1:31" s="218" customFormat="1" ht="16.5" thickBot="1" x14ac:dyDescent="0.25">
      <c r="A217" s="807" t="s">
        <v>1</v>
      </c>
      <c r="B217" s="808"/>
      <c r="C217" s="808"/>
      <c r="D217" s="808"/>
      <c r="E217" s="808"/>
      <c r="F217" s="808"/>
      <c r="G217" s="808"/>
      <c r="H217" s="809"/>
      <c r="I217" s="337"/>
    </row>
    <row r="218" spans="1:31" s="1187" customFormat="1" ht="16.5" customHeight="1" thickBot="1" x14ac:dyDescent="0.25">
      <c r="A218" s="803" t="s">
        <v>627</v>
      </c>
      <c r="B218" s="805" t="s">
        <v>888</v>
      </c>
      <c r="C218" s="786" t="s">
        <v>0</v>
      </c>
      <c r="D218" s="786" t="s">
        <v>609</v>
      </c>
      <c r="E218" s="805" t="s">
        <v>889</v>
      </c>
      <c r="F218" s="971" t="s">
        <v>42</v>
      </c>
      <c r="G218" s="1165" t="s">
        <v>789</v>
      </c>
      <c r="H218" s="1163"/>
      <c r="I218" s="1163"/>
      <c r="J218" s="1163"/>
      <c r="K218" s="1163"/>
      <c r="L218" s="1163"/>
      <c r="M218" s="1163"/>
      <c r="N218" s="1163"/>
      <c r="O218" s="1163"/>
      <c r="P218" s="1163"/>
      <c r="Q218" s="1163"/>
      <c r="R218" s="1163"/>
      <c r="S218" s="1163"/>
      <c r="T218" s="1163"/>
      <c r="U218" s="1163"/>
      <c r="V218" s="1164"/>
      <c r="W218" s="930" t="s">
        <v>436</v>
      </c>
      <c r="X218" s="786" t="s">
        <v>421</v>
      </c>
      <c r="Y218" s="786" t="s">
        <v>628</v>
      </c>
      <c r="Z218" s="786" t="s">
        <v>11</v>
      </c>
      <c r="AA218" s="786" t="s">
        <v>12</v>
      </c>
      <c r="AB218" s="786" t="s">
        <v>13</v>
      </c>
      <c r="AC218" s="786" t="s">
        <v>449</v>
      </c>
      <c r="AD218" s="971" t="s">
        <v>610</v>
      </c>
      <c r="AE218" s="1161"/>
    </row>
    <row r="219" spans="1:31" s="1187" customFormat="1" ht="47.25" customHeight="1" thickBot="1" x14ac:dyDescent="0.25">
      <c r="A219" s="804"/>
      <c r="B219" s="806"/>
      <c r="C219" s="787"/>
      <c r="D219" s="787"/>
      <c r="E219" s="806"/>
      <c r="F219" s="787"/>
      <c r="G219" s="1204" t="s">
        <v>432</v>
      </c>
      <c r="H219" s="1204" t="s">
        <v>1380</v>
      </c>
      <c r="I219" s="1200" t="s">
        <v>1381</v>
      </c>
      <c r="J219" s="1200" t="s">
        <v>1382</v>
      </c>
      <c r="K219" s="1200" t="s">
        <v>433</v>
      </c>
      <c r="L219" s="1200" t="s">
        <v>1383</v>
      </c>
      <c r="M219" s="1200" t="s">
        <v>1386</v>
      </c>
      <c r="N219" s="1200" t="s">
        <v>1387</v>
      </c>
      <c r="O219" s="1200" t="s">
        <v>434</v>
      </c>
      <c r="P219" s="1200" t="s">
        <v>1384</v>
      </c>
      <c r="Q219" s="1200" t="s">
        <v>1388</v>
      </c>
      <c r="R219" s="1200" t="s">
        <v>1389</v>
      </c>
      <c r="S219" s="1200" t="s">
        <v>435</v>
      </c>
      <c r="T219" s="1200" t="s">
        <v>1385</v>
      </c>
      <c r="U219" s="1200" t="s">
        <v>1390</v>
      </c>
      <c r="V219" s="1200" t="s">
        <v>1391</v>
      </c>
      <c r="W219" s="787"/>
      <c r="X219" s="787"/>
      <c r="Y219" s="787"/>
      <c r="Z219" s="787"/>
      <c r="AA219" s="787"/>
      <c r="AB219" s="787"/>
      <c r="AC219" s="787"/>
      <c r="AD219" s="972"/>
      <c r="AE219" s="1162"/>
    </row>
    <row r="220" spans="1:31" s="1187" customFormat="1" x14ac:dyDescent="0.2">
      <c r="A220" s="1194"/>
      <c r="B220" s="1191"/>
      <c r="C220" s="1189"/>
      <c r="D220" s="1191"/>
      <c r="E220" s="1191"/>
      <c r="F220" s="1197"/>
      <c r="G220" s="1191"/>
      <c r="H220" s="1191"/>
      <c r="I220" s="1191"/>
      <c r="J220" s="1191"/>
      <c r="K220" s="1191"/>
      <c r="L220" s="1191"/>
      <c r="M220" s="1191"/>
      <c r="N220" s="1191"/>
      <c r="O220" s="1191"/>
      <c r="P220" s="1191"/>
      <c r="Q220" s="1191"/>
      <c r="R220" s="1191"/>
      <c r="S220" s="1191"/>
      <c r="T220" s="1191"/>
      <c r="U220" s="1191"/>
      <c r="V220" s="1191"/>
      <c r="W220" s="1191"/>
      <c r="X220" s="1191"/>
      <c r="Y220" s="1191"/>
      <c r="Z220" s="1191"/>
      <c r="AA220" s="1191"/>
      <c r="AB220" s="1191"/>
      <c r="AC220" s="1201"/>
      <c r="AD220" s="796"/>
      <c r="AE220" s="797"/>
    </row>
    <row r="221" spans="1:31" s="1187" customFormat="1" x14ac:dyDescent="0.2">
      <c r="A221" s="1195"/>
      <c r="B221" s="1192"/>
      <c r="C221" s="1188"/>
      <c r="D221" s="1192"/>
      <c r="E221" s="1192"/>
      <c r="F221" s="1198"/>
      <c r="G221" s="1192"/>
      <c r="H221" s="1192"/>
      <c r="I221" s="1192"/>
      <c r="J221" s="1192"/>
      <c r="K221" s="1192"/>
      <c r="L221" s="1192"/>
      <c r="M221" s="1192"/>
      <c r="N221" s="1192"/>
      <c r="O221" s="1192"/>
      <c r="P221" s="1192"/>
      <c r="Q221" s="1192"/>
      <c r="R221" s="1192"/>
      <c r="S221" s="1192"/>
      <c r="T221" s="1192"/>
      <c r="U221" s="1192"/>
      <c r="V221" s="1192"/>
      <c r="W221" s="1192"/>
      <c r="X221" s="1192"/>
      <c r="Y221" s="1192"/>
      <c r="Z221" s="1192"/>
      <c r="AA221" s="1192"/>
      <c r="AB221" s="1192"/>
      <c r="AC221" s="1202"/>
      <c r="AD221" s="798"/>
      <c r="AE221" s="799"/>
    </row>
    <row r="222" spans="1:31" s="1187" customFormat="1" x14ac:dyDescent="0.2">
      <c r="A222" s="1195"/>
      <c r="B222" s="1192"/>
      <c r="C222" s="1188"/>
      <c r="D222" s="1192"/>
      <c r="E222" s="1192"/>
      <c r="F222" s="1198"/>
      <c r="G222" s="1192"/>
      <c r="H222" s="1192"/>
      <c r="I222" s="1192"/>
      <c r="J222" s="1192"/>
      <c r="K222" s="1192"/>
      <c r="L222" s="1192"/>
      <c r="M222" s="1192"/>
      <c r="N222" s="1192"/>
      <c r="O222" s="1192"/>
      <c r="P222" s="1192"/>
      <c r="Q222" s="1192"/>
      <c r="R222" s="1192"/>
      <c r="S222" s="1192"/>
      <c r="T222" s="1192"/>
      <c r="U222" s="1192"/>
      <c r="V222" s="1192"/>
      <c r="W222" s="1192"/>
      <c r="X222" s="1192"/>
      <c r="Y222" s="1192"/>
      <c r="Z222" s="1192"/>
      <c r="AA222" s="1192"/>
      <c r="AB222" s="1192"/>
      <c r="AC222" s="1202"/>
      <c r="AD222" s="798"/>
      <c r="AE222" s="799"/>
    </row>
    <row r="223" spans="1:31" s="1187" customFormat="1" x14ac:dyDescent="0.2">
      <c r="A223" s="1195"/>
      <c r="B223" s="1192"/>
      <c r="C223" s="1188"/>
      <c r="D223" s="1192"/>
      <c r="E223" s="1192"/>
      <c r="F223" s="1198"/>
      <c r="G223" s="1192"/>
      <c r="H223" s="1192"/>
      <c r="I223" s="1192"/>
      <c r="J223" s="1192"/>
      <c r="K223" s="1192"/>
      <c r="L223" s="1192"/>
      <c r="M223" s="1192"/>
      <c r="N223" s="1192"/>
      <c r="O223" s="1192"/>
      <c r="P223" s="1192"/>
      <c r="Q223" s="1192"/>
      <c r="R223" s="1192"/>
      <c r="S223" s="1192"/>
      <c r="T223" s="1192"/>
      <c r="U223" s="1192"/>
      <c r="V223" s="1192"/>
      <c r="W223" s="1192"/>
      <c r="X223" s="1192"/>
      <c r="Y223" s="1192"/>
      <c r="Z223" s="1192"/>
      <c r="AA223" s="1192"/>
      <c r="AB223" s="1192"/>
      <c r="AC223" s="1202"/>
      <c r="AD223" s="798"/>
      <c r="AE223" s="799"/>
    </row>
    <row r="224" spans="1:31" s="1187" customFormat="1" x14ac:dyDescent="0.2">
      <c r="A224" s="1195"/>
      <c r="B224" s="1192"/>
      <c r="C224" s="1188"/>
      <c r="D224" s="1192"/>
      <c r="E224" s="1192"/>
      <c r="F224" s="1198"/>
      <c r="G224" s="1192"/>
      <c r="H224" s="1192"/>
      <c r="I224" s="1192"/>
      <c r="J224" s="1192"/>
      <c r="K224" s="1192"/>
      <c r="L224" s="1192"/>
      <c r="M224" s="1192"/>
      <c r="N224" s="1192"/>
      <c r="O224" s="1192"/>
      <c r="P224" s="1192"/>
      <c r="Q224" s="1192"/>
      <c r="R224" s="1192"/>
      <c r="S224" s="1192"/>
      <c r="T224" s="1192"/>
      <c r="U224" s="1192"/>
      <c r="V224" s="1192"/>
      <c r="W224" s="1192"/>
      <c r="X224" s="1192"/>
      <c r="Y224" s="1192"/>
      <c r="Z224" s="1192"/>
      <c r="AA224" s="1192"/>
      <c r="AB224" s="1192"/>
      <c r="AC224" s="1202"/>
      <c r="AD224" s="798"/>
      <c r="AE224" s="799"/>
    </row>
    <row r="225" spans="1:31" s="1187" customFormat="1" ht="16.5" thickBot="1" x14ac:dyDescent="0.25">
      <c r="A225" s="1196"/>
      <c r="B225" s="1193"/>
      <c r="C225" s="1190"/>
      <c r="D225" s="1193"/>
      <c r="E225" s="1193"/>
      <c r="F225" s="1199"/>
      <c r="G225" s="1193"/>
      <c r="H225" s="1193"/>
      <c r="I225" s="1193"/>
      <c r="J225" s="1193"/>
      <c r="K225" s="1193"/>
      <c r="L225" s="1193"/>
      <c r="M225" s="1193"/>
      <c r="N225" s="1193"/>
      <c r="O225" s="1193"/>
      <c r="P225" s="1193"/>
      <c r="Q225" s="1193"/>
      <c r="R225" s="1193"/>
      <c r="S225" s="1193"/>
      <c r="T225" s="1193"/>
      <c r="U225" s="1193"/>
      <c r="V225" s="1193"/>
      <c r="W225" s="1193"/>
      <c r="X225" s="1193"/>
      <c r="Y225" s="1193"/>
      <c r="Z225" s="1193"/>
      <c r="AA225" s="1193"/>
      <c r="AB225" s="1193"/>
      <c r="AC225" s="1203"/>
      <c r="AD225" s="792"/>
      <c r="AE225" s="793"/>
    </row>
    <row r="226" spans="1:31" s="218" customFormat="1" x14ac:dyDescent="0.2">
      <c r="F226" s="337"/>
      <c r="G226" s="337"/>
      <c r="H226" s="337"/>
      <c r="I226" s="337"/>
    </row>
    <row r="227" spans="1:31" s="218" customFormat="1" x14ac:dyDescent="0.2">
      <c r="F227" s="337"/>
      <c r="G227" s="337"/>
      <c r="H227" s="337"/>
      <c r="I227" s="337"/>
    </row>
    <row r="228" spans="1:31" s="218" customFormat="1" ht="16.5" thickBot="1" x14ac:dyDescent="0.25">
      <c r="F228" s="337"/>
      <c r="G228" s="337"/>
      <c r="H228" s="337"/>
      <c r="I228" s="337"/>
    </row>
    <row r="229" spans="1:31" ht="16.5" thickBot="1" x14ac:dyDescent="0.25">
      <c r="A229" s="555" t="s">
        <v>454</v>
      </c>
      <c r="B229" s="556" t="s">
        <v>455</v>
      </c>
    </row>
    <row r="230" spans="1:31" x14ac:dyDescent="0.2">
      <c r="A230" s="450" t="s">
        <v>456</v>
      </c>
      <c r="B230" s="557" t="s">
        <v>51</v>
      </c>
    </row>
    <row r="231" spans="1:31" x14ac:dyDescent="0.2">
      <c r="A231" s="558" t="s">
        <v>65</v>
      </c>
      <c r="B231" s="559" t="s">
        <v>51</v>
      </c>
    </row>
    <row r="232" spans="1:31" x14ac:dyDescent="0.2">
      <c r="A232" s="558" t="s">
        <v>257</v>
      </c>
      <c r="B232" s="559" t="s">
        <v>51</v>
      </c>
    </row>
    <row r="233" spans="1:31" x14ac:dyDescent="0.2">
      <c r="A233" s="558" t="s">
        <v>258</v>
      </c>
      <c r="B233" s="559" t="s">
        <v>51</v>
      </c>
    </row>
    <row r="234" spans="1:31" x14ac:dyDescent="0.2">
      <c r="A234" s="558" t="s">
        <v>259</v>
      </c>
      <c r="B234" s="559" t="s">
        <v>53</v>
      </c>
    </row>
    <row r="235" spans="1:31" x14ac:dyDescent="0.2">
      <c r="A235" s="558" t="s">
        <v>281</v>
      </c>
      <c r="B235" s="559" t="s">
        <v>53</v>
      </c>
    </row>
    <row r="236" spans="1:31" x14ac:dyDescent="0.2">
      <c r="A236" s="560" t="s">
        <v>279</v>
      </c>
      <c r="B236" s="559" t="s">
        <v>53</v>
      </c>
    </row>
    <row r="237" spans="1:31" x14ac:dyDescent="0.2">
      <c r="A237" s="560" t="s">
        <v>457</v>
      </c>
      <c r="B237" s="559" t="s">
        <v>53</v>
      </c>
      <c r="F237" s="69"/>
      <c r="G237" s="69"/>
      <c r="H237" s="69"/>
      <c r="I237" s="69"/>
    </row>
    <row r="238" spans="1:31" ht="16.5" thickBot="1" x14ac:dyDescent="0.25">
      <c r="A238" s="561" t="s">
        <v>460</v>
      </c>
      <c r="B238" s="562" t="s">
        <v>51</v>
      </c>
      <c r="F238" s="69"/>
      <c r="G238" s="69"/>
      <c r="H238" s="69"/>
      <c r="I238" s="69"/>
    </row>
  </sheetData>
  <sheetProtection formatCells="0" formatColumns="0" formatRows="0" insertColumns="0" insertRows="0" deleteColumns="0" deleteRows="0" sort="0" autoFilter="0"/>
  <autoFilter ref="A30:AB30" xr:uid="{00000000-0009-0000-0000-00001D000000}"/>
  <sortState xmlns:xlrd2="http://schemas.microsoft.com/office/spreadsheetml/2017/richdata2" ref="A106:A147">
    <sortCondition ref="A147"/>
  </sortState>
  <dataConsolidate>
    <dataRefs count="2">
      <dataRef ref="B9" sheet="APPENDIX B-1  (FE - USWC)"/>
      <dataRef ref="A14:A18" sheet="APPENDIX B-1  (FE - USWC)"/>
    </dataRefs>
  </dataConsolidate>
  <mergeCells count="285">
    <mergeCell ref="AD222:AE222"/>
    <mergeCell ref="AD223:AE223"/>
    <mergeCell ref="AD224:AE224"/>
    <mergeCell ref="AD225:AE225"/>
    <mergeCell ref="X218:X219"/>
    <mergeCell ref="Y218:Y219"/>
    <mergeCell ref="Z218:Z219"/>
    <mergeCell ref="AA218:AA219"/>
    <mergeCell ref="AB218:AB219"/>
    <mergeCell ref="AC218:AC219"/>
    <mergeCell ref="AD218:AE219"/>
    <mergeCell ref="AD220:AE220"/>
    <mergeCell ref="AD221:AE221"/>
    <mergeCell ref="B141:D141"/>
    <mergeCell ref="E141:G141"/>
    <mergeCell ref="E143:G143"/>
    <mergeCell ref="B145:D145"/>
    <mergeCell ref="E145:G145"/>
    <mergeCell ref="B144:D144"/>
    <mergeCell ref="E144:G144"/>
    <mergeCell ref="B138:D138"/>
    <mergeCell ref="E138:G138"/>
    <mergeCell ref="G218:V218"/>
    <mergeCell ref="W218:W219"/>
    <mergeCell ref="A215:G215"/>
    <mergeCell ref="A217:H217"/>
    <mergeCell ref="A218:A219"/>
    <mergeCell ref="B218:B219"/>
    <mergeCell ref="C218:C219"/>
    <mergeCell ref="D218:D219"/>
    <mergeCell ref="E218:E219"/>
    <mergeCell ref="F218:F219"/>
    <mergeCell ref="M210:N210"/>
    <mergeCell ref="M211:N211"/>
    <mergeCell ref="M212:N212"/>
    <mergeCell ref="B195:I195"/>
    <mergeCell ref="B196:I196"/>
    <mergeCell ref="A200:B200"/>
    <mergeCell ref="A202:G202"/>
    <mergeCell ref="A204:E204"/>
    <mergeCell ref="A205:A206"/>
    <mergeCell ref="B205:B206"/>
    <mergeCell ref="J205:J206"/>
    <mergeCell ref="K205:K206"/>
    <mergeCell ref="M205:N206"/>
    <mergeCell ref="M207:N207"/>
    <mergeCell ref="M208:N208"/>
    <mergeCell ref="M209:N209"/>
    <mergeCell ref="I205:I206"/>
    <mergeCell ref="C205:C206"/>
    <mergeCell ref="D205:D206"/>
    <mergeCell ref="E205:E206"/>
    <mergeCell ref="F205:F206"/>
    <mergeCell ref="G205:G206"/>
    <mergeCell ref="H205:H206"/>
    <mergeCell ref="L205:L206"/>
    <mergeCell ref="B186:I186"/>
    <mergeCell ref="B187:I187"/>
    <mergeCell ref="B188:I188"/>
    <mergeCell ref="B189:I189"/>
    <mergeCell ref="B190:I190"/>
    <mergeCell ref="B191:I191"/>
    <mergeCell ref="B192:I192"/>
    <mergeCell ref="B193:I193"/>
    <mergeCell ref="B194:I194"/>
    <mergeCell ref="M163:M164"/>
    <mergeCell ref="A171:E171"/>
    <mergeCell ref="A173:F173"/>
    <mergeCell ref="A174:F174"/>
    <mergeCell ref="A175:F175"/>
    <mergeCell ref="A181:I181"/>
    <mergeCell ref="H163:H164"/>
    <mergeCell ref="I163:I164"/>
    <mergeCell ref="J163:J164"/>
    <mergeCell ref="K163:K164"/>
    <mergeCell ref="B184:I184"/>
    <mergeCell ref="B185:I185"/>
    <mergeCell ref="J156:J157"/>
    <mergeCell ref="K156:K157"/>
    <mergeCell ref="L156:L157"/>
    <mergeCell ref="A163:D163"/>
    <mergeCell ref="E163:E164"/>
    <mergeCell ref="F163:F164"/>
    <mergeCell ref="G163:G164"/>
    <mergeCell ref="I156:I157"/>
    <mergeCell ref="L163:L164"/>
    <mergeCell ref="A154:I154"/>
    <mergeCell ref="A156:D156"/>
    <mergeCell ref="E156:E157"/>
    <mergeCell ref="F156:F157"/>
    <mergeCell ref="G156:G157"/>
    <mergeCell ref="H156:H157"/>
    <mergeCell ref="B151:D151"/>
    <mergeCell ref="E151:G151"/>
    <mergeCell ref="B183:I183"/>
    <mergeCell ref="B150:D150"/>
    <mergeCell ref="E150:G150"/>
    <mergeCell ref="B152:D152"/>
    <mergeCell ref="E152:G152"/>
    <mergeCell ref="A153:I153"/>
    <mergeCell ref="B132:D132"/>
    <mergeCell ref="E132:G132"/>
    <mergeCell ref="B139:D139"/>
    <mergeCell ref="E139:G139"/>
    <mergeCell ref="B140:D140"/>
    <mergeCell ref="E140:G140"/>
    <mergeCell ref="B149:D149"/>
    <mergeCell ref="E149:G149"/>
    <mergeCell ref="E148:G148"/>
    <mergeCell ref="B142:D142"/>
    <mergeCell ref="E142:G142"/>
    <mergeCell ref="B143:D143"/>
    <mergeCell ref="B146:D146"/>
    <mergeCell ref="E146:G146"/>
    <mergeCell ref="B147:D147"/>
    <mergeCell ref="E147:G147"/>
    <mergeCell ref="B148:D148"/>
    <mergeCell ref="B133:D133"/>
    <mergeCell ref="E133:G133"/>
    <mergeCell ref="B137:D137"/>
    <mergeCell ref="E137:G137"/>
    <mergeCell ref="B135:D135"/>
    <mergeCell ref="E135:G135"/>
    <mergeCell ref="B136:D136"/>
    <mergeCell ref="E136:G136"/>
    <mergeCell ref="B134:D134"/>
    <mergeCell ref="E134:G134"/>
    <mergeCell ref="B123:D123"/>
    <mergeCell ref="E123:G123"/>
    <mergeCell ref="B111:D111"/>
    <mergeCell ref="E111:G111"/>
    <mergeCell ref="B114:D114"/>
    <mergeCell ref="E114:G114"/>
    <mergeCell ref="B131:D131"/>
    <mergeCell ref="E131:G131"/>
    <mergeCell ref="B124:D124"/>
    <mergeCell ref="E124:G124"/>
    <mergeCell ref="B125:D125"/>
    <mergeCell ref="E125:G125"/>
    <mergeCell ref="B122:D122"/>
    <mergeCell ref="E122:G122"/>
    <mergeCell ref="B119:D119"/>
    <mergeCell ref="E119:G119"/>
    <mergeCell ref="B128:D128"/>
    <mergeCell ref="E128:G128"/>
    <mergeCell ref="B129:D129"/>
    <mergeCell ref="E129:G129"/>
    <mergeCell ref="B126:D126"/>
    <mergeCell ref="E126:G126"/>
    <mergeCell ref="B127:D127"/>
    <mergeCell ref="E127:G127"/>
    <mergeCell ref="B130:D130"/>
    <mergeCell ref="E130:G130"/>
    <mergeCell ref="B109:D109"/>
    <mergeCell ref="E109:G109"/>
    <mergeCell ref="B121:D121"/>
    <mergeCell ref="E121:G121"/>
    <mergeCell ref="B112:D112"/>
    <mergeCell ref="E112:G112"/>
    <mergeCell ref="J106:J108"/>
    <mergeCell ref="B113:D113"/>
    <mergeCell ref="E113:G113"/>
    <mergeCell ref="A106:G106"/>
    <mergeCell ref="H106:H108"/>
    <mergeCell ref="I106:I108"/>
    <mergeCell ref="B116:D116"/>
    <mergeCell ref="E116:G116"/>
    <mergeCell ref="B117:D117"/>
    <mergeCell ref="E117:G117"/>
    <mergeCell ref="B118:D118"/>
    <mergeCell ref="E118:G118"/>
    <mergeCell ref="B110:D110"/>
    <mergeCell ref="E110:G110"/>
    <mergeCell ref="B120:D120"/>
    <mergeCell ref="E120:G120"/>
    <mergeCell ref="B115:D115"/>
    <mergeCell ref="E115:G115"/>
    <mergeCell ref="A103:I103"/>
    <mergeCell ref="B98:D98"/>
    <mergeCell ref="B99:D99"/>
    <mergeCell ref="B100:D100"/>
    <mergeCell ref="A102:I102"/>
    <mergeCell ref="L106:L108"/>
    <mergeCell ref="M106:M108"/>
    <mergeCell ref="A107:G107"/>
    <mergeCell ref="A108:G108"/>
    <mergeCell ref="K106:K108"/>
    <mergeCell ref="B104:I104"/>
    <mergeCell ref="AB64:AB65"/>
    <mergeCell ref="AC64:AC65"/>
    <mergeCell ref="B85:D85"/>
    <mergeCell ref="L64:L65"/>
    <mergeCell ref="M64:M65"/>
    <mergeCell ref="Z64:Z65"/>
    <mergeCell ref="AA64:AA65"/>
    <mergeCell ref="B96:D96"/>
    <mergeCell ref="B97:D97"/>
    <mergeCell ref="A88:C88"/>
    <mergeCell ref="A89:C89"/>
    <mergeCell ref="I64:I65"/>
    <mergeCell ref="J64:J65"/>
    <mergeCell ref="K64:K65"/>
    <mergeCell ref="F64:F65"/>
    <mergeCell ref="G64:G65"/>
    <mergeCell ref="H64:H65"/>
    <mergeCell ref="A64:A65"/>
    <mergeCell ref="B64:B65"/>
    <mergeCell ref="C64:C65"/>
    <mergeCell ref="D64:D65"/>
    <mergeCell ref="E64:E65"/>
    <mergeCell ref="A73:C73"/>
    <mergeCell ref="B84:D84"/>
    <mergeCell ref="X55:X56"/>
    <mergeCell ref="X30:X31"/>
    <mergeCell ref="Y30:Y31"/>
    <mergeCell ref="Z30:Z31"/>
    <mergeCell ref="AA30:AA31"/>
    <mergeCell ref="Y55:Y56"/>
    <mergeCell ref="Z55:Z56"/>
    <mergeCell ref="AA55:AA56"/>
    <mergeCell ref="K30:K31"/>
    <mergeCell ref="L30:L31"/>
    <mergeCell ref="K55:K56"/>
    <mergeCell ref="G55:G56"/>
    <mergeCell ref="H55:H56"/>
    <mergeCell ref="I55:I56"/>
    <mergeCell ref="J55:J56"/>
    <mergeCell ref="A55:A56"/>
    <mergeCell ref="B55:B56"/>
    <mergeCell ref="C55:C56"/>
    <mergeCell ref="G30:G31"/>
    <mergeCell ref="H30:H31"/>
    <mergeCell ref="I30:I31"/>
    <mergeCell ref="J30:J31"/>
    <mergeCell ref="A74:C74"/>
    <mergeCell ref="B81:D81"/>
    <mergeCell ref="B82:D82"/>
    <mergeCell ref="B83:D83"/>
    <mergeCell ref="D55:D56"/>
    <mergeCell ref="E55:E56"/>
    <mergeCell ref="F55:F56"/>
    <mergeCell ref="B30:B31"/>
    <mergeCell ref="C30:C31"/>
    <mergeCell ref="D30:D31"/>
    <mergeCell ref="E30:E31"/>
    <mergeCell ref="F30:F31"/>
    <mergeCell ref="A63:D63"/>
    <mergeCell ref="A30:A31"/>
    <mergeCell ref="B16:I16"/>
    <mergeCell ref="J17:K17"/>
    <mergeCell ref="B20:H20"/>
    <mergeCell ref="B21:H21"/>
    <mergeCell ref="B14:I14"/>
    <mergeCell ref="J14:K14"/>
    <mergeCell ref="B15:I15"/>
    <mergeCell ref="J15:K15"/>
    <mergeCell ref="C6:F6"/>
    <mergeCell ref="A7:B7"/>
    <mergeCell ref="C7:F7"/>
    <mergeCell ref="A8:B8"/>
    <mergeCell ref="C8:F8"/>
    <mergeCell ref="B24:H24"/>
    <mergeCell ref="B17:I17"/>
    <mergeCell ref="B13:I13"/>
    <mergeCell ref="A4:B4"/>
    <mergeCell ref="C4:F4"/>
    <mergeCell ref="A5:B5"/>
    <mergeCell ref="L13:M13"/>
    <mergeCell ref="A1:B1"/>
    <mergeCell ref="C1:F1"/>
    <mergeCell ref="A2:B2"/>
    <mergeCell ref="C2:F2"/>
    <mergeCell ref="A3:B3"/>
    <mergeCell ref="C3:F3"/>
    <mergeCell ref="B22:H22"/>
    <mergeCell ref="B23:H23"/>
    <mergeCell ref="L17:M17"/>
    <mergeCell ref="L14:M14"/>
    <mergeCell ref="L15:M15"/>
    <mergeCell ref="J16:K16"/>
    <mergeCell ref="L16:M16"/>
    <mergeCell ref="A6:B6"/>
    <mergeCell ref="J13:K13"/>
    <mergeCell ref="C5:F5"/>
    <mergeCell ref="A12:J12"/>
  </mergeCells>
  <dataValidations count="34">
    <dataValidation type="list" allowBlank="1" showInputMessage="1" showErrorMessage="1" sqref="B230:B238" xr:uid="{00000000-0002-0000-1D00-000000000000}">
      <formula1>Autom</formula1>
    </dataValidation>
    <dataValidation type="list" showInputMessage="1" showErrorMessage="1" sqref="C207:C212" xr:uid="{00000000-0002-0000-1D00-000001000000}">
      <formula1>IF($B207="E",DDTARIFF,DDTARIFFUSE)</formula1>
    </dataValidation>
    <dataValidation type="list" allowBlank="1" showInputMessage="1" showErrorMessage="1" sqref="B207:B212 B220:B225" xr:uid="{00000000-0002-0000-1D00-000002000000}">
      <formula1>EXPIMP</formula1>
    </dataValidation>
    <dataValidation type="list" allowBlank="1" showInputMessage="1" showErrorMessage="1" sqref="F207:F212 W220:W225" xr:uid="{00000000-0002-0000-1D00-000003000000}">
      <formula1>EQTYPE</formula1>
    </dataValidation>
    <dataValidation type="list" allowBlank="1" showInputMessage="1" showErrorMessage="1" sqref="G207:G212 X220:X225" xr:uid="{00000000-0002-0000-1D00-000004000000}">
      <formula1>OPREEFER</formula1>
    </dataValidation>
    <dataValidation type="list" allowBlank="1" showInputMessage="1" showErrorMessage="1" sqref="F220:F225" xr:uid="{16B41CFB-C636-4C2F-8BB9-F974CF114E79}">
      <formula1>CURRENCY</formula1>
    </dataValidation>
    <dataValidation type="whole" allowBlank="1" showInputMessage="1" showErrorMessage="1" error="Only whole numbers can be entered into this field" sqref="D207:D212 D220:D225" xr:uid="{00000000-0002-0000-1D00-000006000000}">
      <formula1>1</formula1>
      <formula2>99</formula2>
    </dataValidation>
    <dataValidation type="list" showInputMessage="1" showErrorMessage="1" sqref="E207:E212 E220:E225" xr:uid="{00000000-0002-0000-1D00-000007000000}">
      <formula1>DAYS</formula1>
    </dataValidation>
    <dataValidation type="whole" allowBlank="1" showInputMessage="1" showErrorMessage="1" error="Only whole numbers may be entered into this field_x000a_" sqref="G220:G225 S220:S225 O220:O225 K220:K225" xr:uid="{E1EA8779-CDC1-4E4B-ABDD-49C428B71623}">
      <formula1>1</formula1>
      <formula2>99</formula2>
    </dataValidation>
    <dataValidation type="decimal" allowBlank="1" showInputMessage="1" showErrorMessage="1" error="Only numbers may be entered into this field" sqref="H220:J225 L220:N225 P220:R225 T220:V225" xr:uid="{D89F67C1-0B5A-44F2-87BA-379178C60AF7}">
      <formula1>1</formula1>
      <formula2>1000000000</formula2>
    </dataValidation>
    <dataValidation type="list" showInputMessage="1" showErrorMessage="1" sqref="K158:K161 K165:K168 N97:N100 A66:A69 A57:A60 N82:N85 A32:A51" xr:uid="{00000000-0002-0000-1D00-00000A000000}">
      <formula1>$A$14:$A$18</formula1>
    </dataValidation>
    <dataValidation type="list" allowBlank="1" showInputMessage="1" showErrorMessage="1" sqref="J158:J161 J165:J168" xr:uid="{00000000-0002-0000-1D00-00000B000000}">
      <formula1>GRIPSS</formula1>
    </dataValidation>
    <dataValidation type="decimal" allowBlank="1" showInputMessage="1" showErrorMessage="1" sqref="F165:I168 F158:I161 I66:L69 J97:M100 I57:K60 I32:L51" xr:uid="{00000000-0002-0000-1D00-00000C000000}">
      <formula1>0</formula1>
      <formula2>999999999999999</formula2>
    </dataValidation>
    <dataValidation type="list" allowBlank="1" showInputMessage="1" showErrorMessage="1" sqref="E158:E161 E165:E168" xr:uid="{00000000-0002-0000-1D00-00000D000000}">
      <formula1>GRIPSS_EQ</formula1>
    </dataValidation>
    <dataValidation type="list" showInputMessage="1" showErrorMessage="1" sqref="A207:A212 A220:A225" xr:uid="{00000000-0002-0000-1D00-00000E000000}">
      <formula1>BULLET</formula1>
    </dataValidation>
    <dataValidation type="date" allowBlank="1" showInputMessage="1" showErrorMessage="1" sqref="X32:Y51 J109:K152" xr:uid="{00000000-0002-0000-1D00-00000F000000}">
      <formula1>10101</formula1>
      <formula2>311299</formula2>
    </dataValidation>
    <dataValidation type="list" showDropDown="1" showErrorMessage="1" sqref="O81:P81 O96:P96" xr:uid="{00000000-0002-0000-1D00-000010000000}">
      <formula1>Charges</formula1>
    </dataValidation>
    <dataValidation type="list" allowBlank="1" showInputMessage="1" showErrorMessage="1" sqref="O82:P85 O97:P100" xr:uid="{00000000-0002-0000-1D00-000011000000}">
      <formula1 xml:space="preserve"> droppull</formula1>
    </dataValidation>
    <dataValidation type="list" allowBlank="1" showInputMessage="1" showErrorMessage="1" sqref="L57:L60 G97:G100 N57:N60 P66:P69 G82:G85" xr:uid="{00000000-0002-0000-1D00-000012000000}">
      <formula1>YesNo</formula1>
    </dataValidation>
    <dataValidation type="list" allowBlank="1" showInputMessage="1" showErrorMessage="1" sqref="M66:M69" xr:uid="{00000000-0002-0000-1D00-000013000000}">
      <formula1>Equip</formula1>
    </dataValidation>
    <dataValidation type="list" allowBlank="1" showInputMessage="1" showErrorMessage="1" sqref="F82:F85 F97:F100" xr:uid="{00000000-0002-0000-1D00-000014000000}">
      <formula1>ArbMode</formula1>
    </dataValidation>
    <dataValidation type="list" allowBlank="1" showInputMessage="1" showErrorMessage="1" sqref="G57:G60 G66:G69 G32:G51" xr:uid="{00000000-0002-0000-1D00-000015000000}">
      <formula1>SDD</formula1>
    </dataValidation>
    <dataValidation type="list" allowBlank="1" showInputMessage="1" showErrorMessage="1" sqref="Q65:Y65 M31:W31" xr:uid="{00000000-0002-0000-1D00-000016000000}">
      <formula1>Container</formula1>
    </dataValidation>
    <dataValidation type="list" allowBlank="1" showInputMessage="1" showErrorMessage="1" sqref="O56:W56" xr:uid="{00000000-0002-0000-1D00-000017000000}">
      <formula1>Reefer</formula1>
    </dataValidation>
    <dataValidation type="list" allowBlank="1" showInputMessage="1" showErrorMessage="1" sqref="F57:F60 F66:F69 F32:F51" xr:uid="{00000000-0002-0000-1D00-000018000000}">
      <formula1>Mode</formula1>
    </dataValidation>
    <dataValidation type="list" allowBlank="1" showInputMessage="1" showErrorMessage="1" sqref="M57:M60 O66:O69" xr:uid="{00000000-0002-0000-1D00-000019000000}">
      <formula1>ShipperOwn</formula1>
    </dataValidation>
    <dataValidation type="list" allowBlank="1" showInputMessage="1" showErrorMessage="1" sqref="N66:N69" xr:uid="{00000000-0002-0000-1D00-00001A000000}">
      <formula1>OOG</formula1>
    </dataValidation>
    <dataValidation type="list" allowBlank="1" showErrorMessage="1" sqref="O55:W55 Q64:Y64 M30:W30" xr:uid="{00000000-0002-0000-1D00-00001B000000}">
      <formula1>Exceptions</formula1>
    </dataValidation>
    <dataValidation type="list" allowBlank="1" showInputMessage="1" showErrorMessage="1" sqref="AA57:AA60 AC66:AC69 AA32:AA51" xr:uid="{00000000-0002-0000-1D00-00001C000000}">
      <formula1>CST</formula1>
    </dataValidation>
    <dataValidation type="list" allowBlank="1" showInputMessage="1" showErrorMessage="1" sqref="I109:I152" xr:uid="{00000000-0002-0000-1D00-00001D000000}">
      <formula1>$A$14:$A$18</formula1>
    </dataValidation>
    <dataValidation type="list" allowBlank="1" showErrorMessage="1" sqref="A109:A152" xr:uid="{00000000-0002-0000-1D00-00001E000000}">
      <formula1>Charges</formula1>
    </dataValidation>
    <dataValidation allowBlank="1" showInputMessage="1" showErrorMessage="1" promptTitle="Acceptable Values:" prompt="- Applicable _x000a_- Not applicable _x000a_- Included_x000a_- Amount and OSPF for cases of fixed per D40 OSPF_x000a_    (example-  &quot;375 OSPF&quot;)" sqref="E109:G152" xr:uid="{00000000-0002-0000-1D00-00001F000000}"/>
    <dataValidation type="list" allowBlank="1" showInputMessage="1" showErrorMessage="1" errorTitle="Pick up the list" promptTitle="Blank = ALL" sqref="H109:H152" xr:uid="{00000000-0002-0000-1D00-000020000000}">
      <formula1>Type_note2</formula1>
    </dataValidation>
    <dataValidation type="list" showInputMessage="1" showErrorMessage="1" sqref="C220:C225" xr:uid="{A64458B4-1D97-4BCF-B7E5-F443A0F9E316}">
      <formula1>IF($B220="I",DDTARIFFUS,DDTARIFF)</formula1>
    </dataValidation>
  </dataValidations>
  <pageMargins left="0.25" right="0.25" top="0.25" bottom="0.25" header="0.5" footer="0"/>
  <pageSetup scale="27" fitToHeight="0" orientation="landscape" r:id="rId1"/>
  <headerFooter alignWithMargins="0"/>
  <rowBreaks count="1" manualBreakCount="1">
    <brk id="104" max="16383" man="1"/>
  </rowBreaks>
  <legacyDrawing r:id="rId2"/>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9">
    <tabColor indexed="43"/>
    <pageSetUpPr fitToPage="1"/>
  </sheetPr>
  <dimension ref="A1:BB192"/>
  <sheetViews>
    <sheetView showGridLines="0" zoomScale="75" zoomScaleNormal="75" zoomScaleSheetLayoutView="75" workbookViewId="0">
      <selection activeCell="A14" sqref="A14"/>
    </sheetView>
  </sheetViews>
  <sheetFormatPr defaultColWidth="9.140625" defaultRowHeight="15.75" x14ac:dyDescent="0.2"/>
  <cols>
    <col min="1" max="1" width="25.140625" style="69" customWidth="1"/>
    <col min="2" max="2" width="18.5703125" style="69" customWidth="1"/>
    <col min="3" max="3" width="18.28515625" style="69" customWidth="1"/>
    <col min="4" max="4" width="17.42578125" style="69" customWidth="1"/>
    <col min="5" max="5" width="19.28515625" style="69" customWidth="1"/>
    <col min="6" max="6" width="12.140625" style="211" customWidth="1"/>
    <col min="7" max="8" width="17.42578125" style="211" customWidth="1"/>
    <col min="9" max="9" width="17.7109375" style="211" customWidth="1"/>
    <col min="10" max="10" width="17.85546875" style="69" customWidth="1"/>
    <col min="11" max="11" width="16.5703125" style="69" customWidth="1"/>
    <col min="12" max="12" width="18.5703125" style="69" customWidth="1"/>
    <col min="13" max="13" width="17.28515625" style="69" customWidth="1"/>
    <col min="14" max="14" width="17.7109375" style="69" customWidth="1"/>
    <col min="15" max="16" width="16.5703125" style="69" customWidth="1"/>
    <col min="17" max="17" width="17.5703125" style="69" customWidth="1"/>
    <col min="18" max="18" width="15.85546875" style="69" customWidth="1"/>
    <col min="19" max="19" width="16.7109375" style="69" customWidth="1"/>
    <col min="20" max="20" width="16.5703125" style="69" customWidth="1"/>
    <col min="21" max="21" width="16.7109375" style="69" customWidth="1"/>
    <col min="22" max="22" width="17.5703125" style="69" customWidth="1"/>
    <col min="23" max="23" width="18" style="69" customWidth="1"/>
    <col min="24" max="24" width="12.7109375" style="69" customWidth="1"/>
    <col min="25" max="25" width="16.85546875" style="69" customWidth="1"/>
    <col min="26" max="26" width="9.7109375" style="69" customWidth="1"/>
    <col min="27" max="27" width="14.140625" style="69" customWidth="1"/>
    <col min="28" max="28" width="9.7109375" style="69" customWidth="1"/>
    <col min="29" max="29" width="14.140625" style="69" customWidth="1"/>
    <col min="30" max="16384" width="9.140625" style="69"/>
  </cols>
  <sheetData>
    <row r="1" spans="1:54" s="67" customFormat="1" x14ac:dyDescent="0.2">
      <c r="A1" s="1122" t="s">
        <v>511</v>
      </c>
      <c r="B1" s="1051"/>
      <c r="C1" s="1123" t="str">
        <f>Cover!B1</f>
        <v>22-XXXX</v>
      </c>
      <c r="D1" s="1124"/>
      <c r="E1" s="1124"/>
      <c r="F1" s="1125"/>
    </row>
    <row r="2" spans="1:54" s="67" customFormat="1" x14ac:dyDescent="0.2">
      <c r="A2" s="1126" t="s">
        <v>1236</v>
      </c>
      <c r="B2" s="1127"/>
      <c r="C2" s="1128"/>
      <c r="D2" s="1129"/>
      <c r="E2" s="1129"/>
      <c r="F2" s="1130"/>
    </row>
    <row r="3" spans="1:54" s="67" customFormat="1" x14ac:dyDescent="0.2">
      <c r="A3" s="1126" t="s">
        <v>522</v>
      </c>
      <c r="B3" s="1127"/>
      <c r="C3" s="1131">
        <f>Cover!B2</f>
        <v>0</v>
      </c>
      <c r="D3" s="1132"/>
      <c r="E3" s="1132"/>
      <c r="F3" s="1133"/>
    </row>
    <row r="4" spans="1:54" s="67" customFormat="1" x14ac:dyDescent="0.2">
      <c r="A4" s="1126" t="s">
        <v>1229</v>
      </c>
      <c r="B4" s="1127"/>
      <c r="C4" s="1146">
        <f>Cover!B7</f>
        <v>0</v>
      </c>
      <c r="D4" s="1035"/>
      <c r="E4" s="1035"/>
      <c r="F4" s="1036"/>
    </row>
    <row r="5" spans="1:54" s="67" customFormat="1" x14ac:dyDescent="0.2">
      <c r="A5" s="1126" t="s">
        <v>528</v>
      </c>
      <c r="B5" s="1127"/>
      <c r="C5" s="1128" t="s">
        <v>337</v>
      </c>
      <c r="D5" s="1129"/>
      <c r="E5" s="1129"/>
      <c r="F5" s="1130"/>
    </row>
    <row r="6" spans="1:54" s="67" customFormat="1" ht="15.75" customHeight="1" x14ac:dyDescent="0.2">
      <c r="A6" s="1126" t="s">
        <v>512</v>
      </c>
      <c r="B6" s="1127"/>
      <c r="C6" s="1128" t="s">
        <v>337</v>
      </c>
      <c r="D6" s="1129"/>
      <c r="E6" s="1129"/>
      <c r="F6" s="1130"/>
    </row>
    <row r="7" spans="1:54" s="67" customFormat="1" ht="15.75" customHeight="1" x14ac:dyDescent="0.2">
      <c r="A7" s="1126" t="s">
        <v>612</v>
      </c>
      <c r="B7" s="1127"/>
      <c r="C7" s="1128" t="s">
        <v>605</v>
      </c>
      <c r="D7" s="1129"/>
      <c r="E7" s="1129"/>
      <c r="F7" s="1130"/>
    </row>
    <row r="8" spans="1:54" ht="2.25" customHeight="1" thickBot="1" x14ac:dyDescent="0.25">
      <c r="A8" s="1138"/>
      <c r="B8" s="1139"/>
      <c r="C8" s="1140"/>
      <c r="D8" s="1141"/>
      <c r="E8" s="1141"/>
      <c r="F8" s="1142"/>
      <c r="G8" s="69"/>
      <c r="H8" s="69"/>
      <c r="I8" s="69"/>
    </row>
    <row r="9" spans="1:54" s="73" customFormat="1" x14ac:dyDescent="0.25">
      <c r="A9" s="219">
        <v>39</v>
      </c>
      <c r="B9" s="1143" t="s">
        <v>80</v>
      </c>
      <c r="C9" s="1143"/>
      <c r="D9" s="1143"/>
      <c r="E9" s="1143"/>
      <c r="F9" s="1143"/>
    </row>
    <row r="10" spans="1:54" s="73" customFormat="1" ht="16.5" thickBot="1" x14ac:dyDescent="0.25">
      <c r="A10" s="74"/>
      <c r="B10" s="70"/>
      <c r="C10" s="70"/>
      <c r="D10" s="71"/>
      <c r="E10" s="71"/>
      <c r="F10" s="72"/>
      <c r="G10" s="75"/>
      <c r="H10" s="71"/>
      <c r="I10" s="71"/>
      <c r="J10" s="71"/>
    </row>
    <row r="11" spans="1:54" ht="19.5" thickBot="1" x14ac:dyDescent="0.25">
      <c r="A11" s="76" t="s">
        <v>613</v>
      </c>
      <c r="B11" s="77"/>
      <c r="C11" s="70"/>
      <c r="D11" s="71"/>
      <c r="E11" s="71"/>
      <c r="F11" s="72"/>
      <c r="G11" s="75"/>
      <c r="H11" s="71"/>
      <c r="I11" s="71"/>
      <c r="J11" s="71"/>
    </row>
    <row r="12" spans="1:54" s="78" customFormat="1" ht="16.5" thickBot="1" x14ac:dyDescent="0.25">
      <c r="A12" s="1134" t="s">
        <v>616</v>
      </c>
      <c r="B12" s="898"/>
      <c r="C12" s="898"/>
      <c r="D12" s="898"/>
      <c r="E12" s="898"/>
      <c r="F12" s="898"/>
      <c r="G12" s="898"/>
      <c r="H12" s="898"/>
      <c r="I12" s="898"/>
      <c r="J12" s="1135"/>
    </row>
    <row r="13" spans="1:54" ht="17.25" customHeight="1" x14ac:dyDescent="0.2">
      <c r="A13" s="3" t="s">
        <v>617</v>
      </c>
      <c r="B13" s="1145" t="s">
        <v>618</v>
      </c>
      <c r="C13" s="1145"/>
      <c r="D13" s="1145"/>
      <c r="E13" s="1145"/>
      <c r="F13" s="1145"/>
      <c r="G13" s="1145"/>
      <c r="H13" s="1145"/>
      <c r="I13" s="1145"/>
      <c r="J13" s="1136" t="s">
        <v>622</v>
      </c>
      <c r="K13" s="1137"/>
      <c r="L13" s="1119" t="s">
        <v>623</v>
      </c>
      <c r="M13" s="1120"/>
      <c r="N13" s="350" t="s">
        <v>4</v>
      </c>
    </row>
    <row r="14" spans="1:54" s="81" customFormat="1" x14ac:dyDescent="0.2">
      <c r="A14" s="80"/>
      <c r="B14" s="1104"/>
      <c r="C14" s="1144"/>
      <c r="D14" s="1144"/>
      <c r="E14" s="1144"/>
      <c r="F14" s="1144"/>
      <c r="G14" s="1144"/>
      <c r="H14" s="1144"/>
      <c r="I14" s="1144"/>
      <c r="J14" s="1099"/>
      <c r="K14" s="1100"/>
      <c r="L14" s="1121"/>
      <c r="M14" s="1101"/>
      <c r="N14" s="349" t="str">
        <f>IF($A14&gt;0,$A14,"")</f>
        <v/>
      </c>
    </row>
    <row r="15" spans="1:54" s="83" customFormat="1" x14ac:dyDescent="0.2">
      <c r="A15" s="82"/>
      <c r="B15" s="1107"/>
      <c r="C15" s="1108"/>
      <c r="D15" s="1108"/>
      <c r="E15" s="1108"/>
      <c r="F15" s="1108"/>
      <c r="G15" s="1108"/>
      <c r="H15" s="1108"/>
      <c r="I15" s="1108"/>
      <c r="J15" s="1099"/>
      <c r="K15" s="1100"/>
      <c r="L15" s="1099"/>
      <c r="M15" s="1101"/>
      <c r="N15" s="349" t="str">
        <f>IF($A15&gt;0,$A15,"")</f>
        <v/>
      </c>
      <c r="BB15" s="81"/>
    </row>
    <row r="16" spans="1:54" s="83" customFormat="1" x14ac:dyDescent="0.2">
      <c r="A16" s="82"/>
      <c r="B16" s="1107"/>
      <c r="C16" s="1108"/>
      <c r="D16" s="1108"/>
      <c r="E16" s="1108"/>
      <c r="F16" s="1108"/>
      <c r="G16" s="1108"/>
      <c r="H16" s="1108"/>
      <c r="I16" s="1108"/>
      <c r="J16" s="1099"/>
      <c r="K16" s="1100"/>
      <c r="L16" s="1099"/>
      <c r="M16" s="1101"/>
      <c r="N16" s="349" t="str">
        <f>IF($A16&gt;0,$A16,"")</f>
        <v/>
      </c>
      <c r="BB16" s="81"/>
    </row>
    <row r="17" spans="1:54" s="83" customFormat="1" ht="16.5" thickBot="1" x14ac:dyDescent="0.25">
      <c r="A17" s="84"/>
      <c r="B17" s="1102"/>
      <c r="C17" s="1103"/>
      <c r="D17" s="1103"/>
      <c r="E17" s="1103"/>
      <c r="F17" s="1103"/>
      <c r="G17" s="1103"/>
      <c r="H17" s="1103"/>
      <c r="I17" s="1103"/>
      <c r="J17" s="1115"/>
      <c r="K17" s="1116"/>
      <c r="L17" s="1097"/>
      <c r="M17" s="1098"/>
      <c r="N17" s="349" t="str">
        <f>IF($A17&gt;0,$A17,"")</f>
        <v/>
      </c>
      <c r="BB17" s="81"/>
    </row>
    <row r="18" spans="1:54" s="91" customFormat="1" ht="16.5" thickBot="1" x14ac:dyDescent="0.25">
      <c r="A18" s="343"/>
      <c r="B18" s="85"/>
      <c r="C18" s="86"/>
      <c r="D18" s="87"/>
      <c r="E18" s="87"/>
      <c r="F18" s="88"/>
      <c r="G18" s="88"/>
      <c r="H18" s="89"/>
      <c r="I18" s="90"/>
      <c r="J18" s="90"/>
      <c r="K18" s="86"/>
      <c r="L18" s="86"/>
      <c r="M18" s="86"/>
      <c r="N18" s="349" t="str">
        <f>IF($A18&gt;0,$A18,"")</f>
        <v/>
      </c>
      <c r="O18" s="86"/>
      <c r="P18" s="86"/>
      <c r="Q18" s="86"/>
      <c r="BB18" s="81"/>
    </row>
    <row r="19" spans="1:54" s="91" customFormat="1" ht="19.5" thickBot="1" x14ac:dyDescent="0.25">
      <c r="A19" s="76" t="s">
        <v>419</v>
      </c>
      <c r="B19" s="257"/>
      <c r="I19" s="90"/>
      <c r="J19" s="90"/>
      <c r="K19" s="86"/>
      <c r="L19" s="86"/>
      <c r="M19" s="86"/>
      <c r="N19" s="86"/>
      <c r="O19" s="86"/>
      <c r="P19" s="86"/>
      <c r="Q19" s="86"/>
    </row>
    <row r="20" spans="1:54" s="91" customFormat="1" x14ac:dyDescent="0.2">
      <c r="A20" s="262" t="s">
        <v>419</v>
      </c>
      <c r="B20" s="1106" t="s">
        <v>618</v>
      </c>
      <c r="C20" s="860"/>
      <c r="D20" s="860"/>
      <c r="E20" s="860"/>
      <c r="F20" s="860"/>
      <c r="G20" s="860"/>
      <c r="H20" s="861"/>
      <c r="I20" s="90"/>
      <c r="J20" s="90"/>
      <c r="K20" s="86"/>
      <c r="L20" s="86"/>
      <c r="M20" s="86"/>
      <c r="N20" s="86"/>
      <c r="O20" s="86"/>
      <c r="P20" s="86"/>
      <c r="Q20" s="86"/>
    </row>
    <row r="21" spans="1:54" s="94" customFormat="1" x14ac:dyDescent="0.2">
      <c r="A21" s="80"/>
      <c r="B21" s="1104"/>
      <c r="C21" s="1104"/>
      <c r="D21" s="1104"/>
      <c r="E21" s="1104"/>
      <c r="F21" s="1104"/>
      <c r="G21" s="1104"/>
      <c r="H21" s="1105"/>
      <c r="I21" s="220"/>
      <c r="J21" s="92"/>
      <c r="K21" s="93"/>
      <c r="L21" s="93"/>
      <c r="M21" s="93"/>
      <c r="N21" s="93"/>
      <c r="O21" s="93"/>
      <c r="P21" s="93"/>
      <c r="Q21" s="93"/>
    </row>
    <row r="22" spans="1:54" s="94" customFormat="1" x14ac:dyDescent="0.2">
      <c r="A22" s="221"/>
      <c r="B22" s="1104"/>
      <c r="C22" s="1104"/>
      <c r="D22" s="1104"/>
      <c r="E22" s="1104"/>
      <c r="F22" s="1104"/>
      <c r="G22" s="1104"/>
      <c r="H22" s="1105"/>
      <c r="I22" s="92"/>
      <c r="J22" s="92"/>
      <c r="K22" s="93"/>
      <c r="L22" s="93"/>
      <c r="M22" s="93"/>
      <c r="N22" s="93"/>
      <c r="O22" s="93"/>
      <c r="P22" s="93"/>
      <c r="Q22" s="93"/>
    </row>
    <row r="23" spans="1:54" s="94" customFormat="1" x14ac:dyDescent="0.2">
      <c r="A23" s="221"/>
      <c r="B23" s="1109"/>
      <c r="C23" s="1110"/>
      <c r="D23" s="1110"/>
      <c r="E23" s="1110"/>
      <c r="F23" s="1110"/>
      <c r="G23" s="1110"/>
      <c r="H23" s="1111"/>
      <c r="I23" s="92"/>
      <c r="J23" s="92"/>
      <c r="K23" s="93"/>
      <c r="L23" s="93"/>
      <c r="M23" s="93"/>
      <c r="N23" s="93"/>
      <c r="O23" s="93"/>
      <c r="P23" s="93"/>
      <c r="Q23" s="93"/>
    </row>
    <row r="24" spans="1:54" s="94" customFormat="1" ht="16.5" thickBot="1" x14ac:dyDescent="0.25">
      <c r="A24" s="222"/>
      <c r="B24" s="1112"/>
      <c r="C24" s="1113"/>
      <c r="D24" s="1113"/>
      <c r="E24" s="1113"/>
      <c r="F24" s="1113"/>
      <c r="G24" s="1113"/>
      <c r="H24" s="1114"/>
      <c r="I24" s="92"/>
      <c r="J24" s="92"/>
      <c r="K24" s="93"/>
      <c r="L24" s="93"/>
      <c r="M24" s="93"/>
      <c r="N24" s="93"/>
      <c r="O24" s="93"/>
      <c r="P24" s="93"/>
      <c r="Q24" s="93"/>
    </row>
    <row r="25" spans="1:54" s="91" customFormat="1" ht="16.5" thickBot="1" x14ac:dyDescent="0.25">
      <c r="A25" s="85"/>
      <c r="B25" s="95"/>
      <c r="C25" s="95"/>
      <c r="D25" s="95"/>
      <c r="E25" s="95"/>
      <c r="F25" s="95"/>
      <c r="G25" s="95"/>
      <c r="H25" s="95"/>
      <c r="I25" s="90"/>
      <c r="J25" s="90"/>
      <c r="K25" s="86"/>
      <c r="L25" s="86"/>
      <c r="M25" s="86"/>
      <c r="N25" s="86"/>
      <c r="O25" s="86"/>
      <c r="P25" s="86"/>
      <c r="Q25" s="86"/>
      <c r="R25" s="86"/>
      <c r="S25" s="86"/>
      <c r="T25" s="86"/>
      <c r="U25" s="86"/>
    </row>
    <row r="26" spans="1:54" s="91" customFormat="1" ht="19.5" thickBot="1" x14ac:dyDescent="0.25">
      <c r="A26" s="76" t="s">
        <v>624</v>
      </c>
      <c r="B26" s="77"/>
      <c r="I26" s="90"/>
      <c r="J26" s="90"/>
      <c r="K26" s="86"/>
      <c r="L26" s="86"/>
      <c r="M26" s="86"/>
      <c r="N26" s="86"/>
      <c r="O26" s="86"/>
      <c r="P26" s="86"/>
      <c r="Q26" s="86"/>
      <c r="R26" s="86"/>
      <c r="S26" s="86"/>
      <c r="T26" s="86"/>
      <c r="U26" s="86"/>
    </row>
    <row r="27" spans="1:54" s="91" customFormat="1" x14ac:dyDescent="0.2">
      <c r="A27" s="223" t="s">
        <v>167</v>
      </c>
      <c r="B27" s="166"/>
      <c r="C27" s="98"/>
      <c r="D27" s="99"/>
      <c r="E27" s="99"/>
      <c r="F27" s="100"/>
      <c r="G27" s="100"/>
      <c r="H27" s="100"/>
      <c r="I27" s="101"/>
      <c r="J27" s="102"/>
      <c r="K27" s="103"/>
      <c r="L27" s="86"/>
      <c r="M27" s="86"/>
      <c r="N27" s="86"/>
      <c r="O27" s="86"/>
      <c r="P27" s="86"/>
      <c r="Q27" s="86"/>
      <c r="R27" s="86"/>
      <c r="S27" s="86"/>
      <c r="T27" s="86"/>
      <c r="U27" s="86"/>
      <c r="V27" s="86"/>
    </row>
    <row r="28" spans="1:54" s="91" customFormat="1" x14ac:dyDescent="0.2">
      <c r="A28" s="96" t="s">
        <v>626</v>
      </c>
      <c r="B28" s="97"/>
      <c r="C28" s="104"/>
      <c r="D28" s="105"/>
      <c r="E28" s="105"/>
      <c r="F28" s="106"/>
      <c r="G28" s="106"/>
      <c r="H28" s="106"/>
      <c r="I28" s="107"/>
      <c r="J28" s="108"/>
      <c r="K28" s="109"/>
      <c r="L28" s="86"/>
      <c r="M28" s="86"/>
      <c r="N28" s="86"/>
      <c r="O28" s="86"/>
      <c r="P28" s="86"/>
      <c r="Q28" s="86"/>
      <c r="R28" s="86"/>
    </row>
    <row r="29" spans="1:54" s="91" customFormat="1" ht="16.5" thickBot="1" x14ac:dyDescent="0.25">
      <c r="A29" s="110" t="s">
        <v>172</v>
      </c>
      <c r="B29" s="111"/>
      <c r="C29" s="112"/>
      <c r="D29" s="113"/>
      <c r="E29" s="113"/>
      <c r="F29" s="114"/>
      <c r="G29" s="114"/>
      <c r="H29" s="114"/>
      <c r="I29" s="115"/>
      <c r="J29" s="116"/>
      <c r="K29" s="117"/>
      <c r="L29" s="86"/>
      <c r="M29" s="86"/>
      <c r="N29" s="86"/>
      <c r="O29" s="86"/>
      <c r="P29" s="86"/>
      <c r="Q29" s="86"/>
      <c r="R29" s="86"/>
      <c r="S29" s="118"/>
      <c r="T29" s="118"/>
      <c r="U29" s="118"/>
      <c r="V29" s="86"/>
      <c r="W29" s="86"/>
      <c r="X29" s="86"/>
    </row>
    <row r="30" spans="1:54" s="119" customFormat="1" ht="32.25" customHeight="1" x14ac:dyDescent="0.2">
      <c r="A30" s="1078" t="s">
        <v>627</v>
      </c>
      <c r="B30" s="1075" t="s">
        <v>628</v>
      </c>
      <c r="C30" s="1075" t="s">
        <v>11</v>
      </c>
      <c r="D30" s="1075" t="s">
        <v>12</v>
      </c>
      <c r="E30" s="1075" t="s">
        <v>13</v>
      </c>
      <c r="F30" s="1075" t="s">
        <v>14</v>
      </c>
      <c r="G30" s="1075" t="s">
        <v>15</v>
      </c>
      <c r="H30" s="1075" t="s">
        <v>16</v>
      </c>
      <c r="I30" s="1075" t="s">
        <v>17</v>
      </c>
      <c r="J30" s="1075" t="s">
        <v>18</v>
      </c>
      <c r="K30" s="1075" t="s">
        <v>19</v>
      </c>
      <c r="L30" s="1075" t="s">
        <v>20</v>
      </c>
      <c r="M30" s="35"/>
      <c r="N30" s="35"/>
      <c r="O30" s="35"/>
      <c r="P30" s="35"/>
      <c r="Q30" s="35"/>
      <c r="R30" s="35"/>
      <c r="S30" s="35"/>
      <c r="T30" s="35"/>
      <c r="U30" s="35"/>
      <c r="V30" s="35"/>
      <c r="W30" s="35"/>
      <c r="X30" s="1075" t="s">
        <v>22</v>
      </c>
      <c r="Y30" s="1075" t="s">
        <v>23</v>
      </c>
      <c r="Z30" s="1075" t="s">
        <v>24</v>
      </c>
      <c r="AA30" s="1147" t="s">
        <v>352</v>
      </c>
    </row>
    <row r="31" spans="1:54" s="119" customFormat="1" ht="16.5" thickBot="1" x14ac:dyDescent="0.25">
      <c r="A31" s="1079"/>
      <c r="B31" s="1077"/>
      <c r="C31" s="1077"/>
      <c r="D31" s="1077"/>
      <c r="E31" s="1077"/>
      <c r="F31" s="1077"/>
      <c r="G31" s="1076"/>
      <c r="H31" s="1077"/>
      <c r="I31" s="1077"/>
      <c r="J31" s="1077"/>
      <c r="K31" s="1077"/>
      <c r="L31" s="1077"/>
      <c r="M31" s="36"/>
      <c r="N31" s="36"/>
      <c r="O31" s="36"/>
      <c r="P31" s="36"/>
      <c r="Q31" s="36"/>
      <c r="R31" s="36"/>
      <c r="S31" s="36"/>
      <c r="T31" s="36"/>
      <c r="U31" s="36"/>
      <c r="V31" s="36"/>
      <c r="W31" s="36"/>
      <c r="X31" s="1077"/>
      <c r="Y31" s="1077"/>
      <c r="Z31" s="1077"/>
      <c r="AA31" s="1148"/>
    </row>
    <row r="32" spans="1:54" s="122" customFormat="1" x14ac:dyDescent="0.2">
      <c r="A32" s="61"/>
      <c r="B32" s="49"/>
      <c r="C32" s="225"/>
      <c r="D32" s="225"/>
      <c r="E32" s="225"/>
      <c r="F32" s="225"/>
      <c r="G32" s="120"/>
      <c r="H32" s="225"/>
      <c r="I32" s="263"/>
      <c r="J32" s="263"/>
      <c r="K32" s="263"/>
      <c r="L32" s="263"/>
      <c r="M32" s="120"/>
      <c r="N32" s="120"/>
      <c r="O32" s="120"/>
      <c r="P32" s="226"/>
      <c r="Q32" s="226"/>
      <c r="R32" s="226"/>
      <c r="S32" s="120"/>
      <c r="T32" s="120"/>
      <c r="U32" s="120"/>
      <c r="V32" s="120"/>
      <c r="W32" s="120"/>
      <c r="X32" s="227"/>
      <c r="Y32" s="227"/>
      <c r="Z32" s="120"/>
      <c r="AA32" s="121"/>
    </row>
    <row r="33" spans="1:29" s="122" customFormat="1" x14ac:dyDescent="0.2">
      <c r="A33" s="40"/>
      <c r="B33" s="123"/>
      <c r="C33" s="123"/>
      <c r="D33" s="123"/>
      <c r="E33" s="123"/>
      <c r="F33" s="123"/>
      <c r="G33" s="124"/>
      <c r="H33" s="123"/>
      <c r="I33" s="255"/>
      <c r="J33" s="255"/>
      <c r="K33" s="255"/>
      <c r="L33" s="255"/>
      <c r="M33" s="125"/>
      <c r="N33" s="124"/>
      <c r="O33" s="124"/>
      <c r="P33" s="125"/>
      <c r="Q33" s="125"/>
      <c r="R33" s="125"/>
      <c r="S33" s="124"/>
      <c r="T33" s="124"/>
      <c r="U33" s="124"/>
      <c r="V33" s="124"/>
      <c r="W33" s="124"/>
      <c r="X33" s="126"/>
      <c r="Y33" s="126"/>
      <c r="Z33" s="124"/>
      <c r="AA33" s="127"/>
    </row>
    <row r="34" spans="1:29" s="122" customFormat="1" x14ac:dyDescent="0.2">
      <c r="A34" s="40"/>
      <c r="B34" s="123"/>
      <c r="C34" s="123"/>
      <c r="D34" s="123"/>
      <c r="E34" s="123"/>
      <c r="F34" s="123"/>
      <c r="G34" s="124"/>
      <c r="H34" s="123"/>
      <c r="I34" s="255"/>
      <c r="J34" s="255"/>
      <c r="K34" s="255"/>
      <c r="L34" s="255"/>
      <c r="M34" s="125"/>
      <c r="N34" s="124"/>
      <c r="O34" s="124"/>
      <c r="P34" s="125"/>
      <c r="Q34" s="125"/>
      <c r="R34" s="125"/>
      <c r="S34" s="124"/>
      <c r="T34" s="124"/>
      <c r="U34" s="124"/>
      <c r="V34" s="124"/>
      <c r="W34" s="124"/>
      <c r="X34" s="126"/>
      <c r="Y34" s="126"/>
      <c r="Z34" s="124"/>
      <c r="AA34" s="127"/>
    </row>
    <row r="35" spans="1:29" s="122" customFormat="1" ht="16.5" thickBot="1" x14ac:dyDescent="0.25">
      <c r="A35" s="9"/>
      <c r="B35" s="128"/>
      <c r="C35" s="128"/>
      <c r="D35" s="128"/>
      <c r="E35" s="128"/>
      <c r="F35" s="128"/>
      <c r="G35" s="129"/>
      <c r="H35" s="128"/>
      <c r="I35" s="256"/>
      <c r="J35" s="256"/>
      <c r="K35" s="256"/>
      <c r="L35" s="256"/>
      <c r="M35" s="129"/>
      <c r="N35" s="129"/>
      <c r="O35" s="129"/>
      <c r="P35" s="130"/>
      <c r="Q35" s="130"/>
      <c r="R35" s="130"/>
      <c r="S35" s="129"/>
      <c r="T35" s="129"/>
      <c r="U35" s="129"/>
      <c r="V35" s="129"/>
      <c r="W35" s="129"/>
      <c r="X35" s="131"/>
      <c r="Y35" s="131"/>
      <c r="Z35" s="129"/>
      <c r="AA35" s="132"/>
    </row>
    <row r="36" spans="1:29" s="70" customFormat="1" x14ac:dyDescent="0.2">
      <c r="A36" s="133"/>
      <c r="B36" s="133"/>
      <c r="C36" s="133"/>
      <c r="D36" s="133"/>
      <c r="E36" s="133"/>
      <c r="F36" s="133"/>
      <c r="G36" s="118"/>
      <c r="H36" s="118"/>
      <c r="I36" s="118"/>
      <c r="J36" s="118"/>
      <c r="K36" s="118"/>
      <c r="L36" s="118"/>
      <c r="M36" s="134"/>
      <c r="N36" s="118"/>
      <c r="O36" s="159"/>
      <c r="P36" s="159"/>
      <c r="Q36" s="159"/>
      <c r="R36" s="159"/>
      <c r="S36" s="159"/>
      <c r="T36" s="159"/>
      <c r="U36" s="159"/>
      <c r="V36" s="159"/>
      <c r="W36" s="93"/>
    </row>
    <row r="37" spans="1:29" s="70" customFormat="1" ht="16.5" thickBot="1" x14ac:dyDescent="0.25">
      <c r="A37" s="133"/>
      <c r="B37" s="133"/>
      <c r="C37" s="133"/>
      <c r="D37" s="133"/>
      <c r="E37" s="133"/>
      <c r="F37" s="133"/>
      <c r="G37" s="118"/>
      <c r="H37" s="118"/>
      <c r="I37" s="118"/>
      <c r="J37" s="118"/>
      <c r="K37" s="118"/>
      <c r="N37" s="118"/>
      <c r="O37" s="159"/>
      <c r="P37" s="159"/>
      <c r="Q37" s="159"/>
      <c r="R37" s="159"/>
      <c r="S37" s="159"/>
      <c r="T37" s="159"/>
      <c r="U37" s="159"/>
      <c r="V37" s="159"/>
      <c r="W37" s="94"/>
    </row>
    <row r="38" spans="1:29" s="70" customFormat="1" ht="16.5" thickBot="1" x14ac:dyDescent="0.25">
      <c r="A38" s="135" t="s">
        <v>25</v>
      </c>
      <c r="B38" s="133"/>
      <c r="C38" s="133"/>
      <c r="D38" s="133"/>
      <c r="E38" s="133"/>
      <c r="F38" s="133"/>
      <c r="G38" s="118"/>
      <c r="H38" s="118"/>
      <c r="I38" s="118"/>
      <c r="J38" s="118"/>
      <c r="K38" s="118"/>
      <c r="M38" s="118"/>
      <c r="N38" s="118"/>
      <c r="O38" s="159"/>
      <c r="P38" s="122"/>
      <c r="Q38" s="122"/>
      <c r="R38" s="122"/>
      <c r="S38" s="93"/>
      <c r="T38" s="93"/>
      <c r="U38" s="93"/>
      <c r="V38" s="93"/>
      <c r="W38" s="159"/>
    </row>
    <row r="39" spans="1:29" s="70" customFormat="1" ht="15.75" customHeight="1" x14ac:dyDescent="0.2">
      <c r="A39" s="1078" t="s">
        <v>627</v>
      </c>
      <c r="B39" s="1075" t="s">
        <v>628</v>
      </c>
      <c r="C39" s="1075" t="s">
        <v>11</v>
      </c>
      <c r="D39" s="1075" t="s">
        <v>12</v>
      </c>
      <c r="E39" s="1075" t="s">
        <v>13</v>
      </c>
      <c r="F39" s="1075" t="s">
        <v>14</v>
      </c>
      <c r="G39" s="1075" t="s">
        <v>15</v>
      </c>
      <c r="H39" s="1075" t="s">
        <v>16</v>
      </c>
      <c r="I39" s="1075" t="s">
        <v>26</v>
      </c>
      <c r="J39" s="1075" t="s">
        <v>27</v>
      </c>
      <c r="K39" s="1117" t="s">
        <v>295</v>
      </c>
      <c r="L39" s="10" t="s">
        <v>63</v>
      </c>
      <c r="M39" s="4" t="s">
        <v>64</v>
      </c>
      <c r="N39" s="5" t="s">
        <v>65</v>
      </c>
      <c r="O39" s="35"/>
      <c r="P39" s="35"/>
      <c r="Q39" s="35"/>
      <c r="R39" s="35"/>
      <c r="S39" s="35"/>
      <c r="T39" s="35"/>
      <c r="U39" s="35"/>
      <c r="V39" s="35"/>
      <c r="W39" s="35"/>
      <c r="X39" s="1075" t="s">
        <v>22</v>
      </c>
      <c r="Y39" s="1075" t="s">
        <v>23</v>
      </c>
      <c r="Z39" s="1075" t="s">
        <v>24</v>
      </c>
      <c r="AA39" s="1147" t="s">
        <v>352</v>
      </c>
    </row>
    <row r="40" spans="1:29" s="70" customFormat="1" ht="31.7" customHeight="1" thickBot="1" x14ac:dyDescent="0.25">
      <c r="A40" s="1079"/>
      <c r="B40" s="1077"/>
      <c r="C40" s="1077"/>
      <c r="D40" s="1077"/>
      <c r="E40" s="1077"/>
      <c r="F40" s="1077"/>
      <c r="G40" s="1076"/>
      <c r="H40" s="1077"/>
      <c r="I40" s="1077"/>
      <c r="J40" s="1077"/>
      <c r="K40" s="1118"/>
      <c r="L40" s="6" t="s">
        <v>66</v>
      </c>
      <c r="M40" s="7" t="s">
        <v>67</v>
      </c>
      <c r="N40" s="8" t="s">
        <v>68</v>
      </c>
      <c r="O40" s="264"/>
      <c r="P40" s="36"/>
      <c r="Q40" s="36"/>
      <c r="R40" s="36"/>
      <c r="S40" s="36"/>
      <c r="T40" s="36"/>
      <c r="U40" s="36"/>
      <c r="V40" s="36"/>
      <c r="W40" s="36"/>
      <c r="X40" s="1077"/>
      <c r="Y40" s="1077"/>
      <c r="Z40" s="1077"/>
      <c r="AA40" s="1148"/>
    </row>
    <row r="41" spans="1:29" s="136" customFormat="1" x14ac:dyDescent="0.2">
      <c r="A41" s="61"/>
      <c r="B41" s="225"/>
      <c r="C41" s="225"/>
      <c r="D41" s="225"/>
      <c r="E41" s="225"/>
      <c r="F41" s="225"/>
      <c r="G41" s="120"/>
      <c r="H41" s="225"/>
      <c r="I41" s="263"/>
      <c r="J41" s="263"/>
      <c r="K41" s="265"/>
      <c r="L41" s="268"/>
      <c r="M41" s="120"/>
      <c r="N41" s="121"/>
      <c r="O41" s="269"/>
      <c r="P41" s="226"/>
      <c r="Q41" s="226"/>
      <c r="R41" s="226"/>
      <c r="S41" s="120"/>
      <c r="T41" s="120"/>
      <c r="U41" s="120"/>
      <c r="V41" s="120"/>
      <c r="W41" s="120"/>
      <c r="X41" s="227"/>
      <c r="Y41" s="227"/>
      <c r="Z41" s="120"/>
      <c r="AA41" s="121"/>
    </row>
    <row r="42" spans="1:29" s="136" customFormat="1" x14ac:dyDescent="0.2">
      <c r="A42" s="40"/>
      <c r="B42" s="123"/>
      <c r="C42" s="123"/>
      <c r="D42" s="123"/>
      <c r="E42" s="123"/>
      <c r="F42" s="123"/>
      <c r="G42" s="124"/>
      <c r="H42" s="123"/>
      <c r="I42" s="255"/>
      <c r="J42" s="255"/>
      <c r="K42" s="266"/>
      <c r="L42" s="259"/>
      <c r="M42" s="124"/>
      <c r="N42" s="127"/>
      <c r="O42" s="248"/>
      <c r="P42" s="125"/>
      <c r="Q42" s="125"/>
      <c r="R42" s="125"/>
      <c r="S42" s="124"/>
      <c r="T42" s="124"/>
      <c r="U42" s="124"/>
      <c r="V42" s="124"/>
      <c r="W42" s="124"/>
      <c r="X42" s="126"/>
      <c r="Y42" s="126"/>
      <c r="Z42" s="124"/>
      <c r="AA42" s="127"/>
    </row>
    <row r="43" spans="1:29" s="136" customFormat="1" x14ac:dyDescent="0.2">
      <c r="A43" s="40"/>
      <c r="B43" s="123"/>
      <c r="C43" s="123"/>
      <c r="D43" s="123"/>
      <c r="E43" s="123"/>
      <c r="F43" s="123"/>
      <c r="G43" s="124"/>
      <c r="H43" s="123"/>
      <c r="I43" s="255"/>
      <c r="J43" s="255"/>
      <c r="K43" s="266"/>
      <c r="L43" s="259"/>
      <c r="M43" s="124"/>
      <c r="N43" s="127"/>
      <c r="O43" s="248"/>
      <c r="P43" s="125"/>
      <c r="Q43" s="125"/>
      <c r="R43" s="125"/>
      <c r="S43" s="124"/>
      <c r="T43" s="124"/>
      <c r="U43" s="124"/>
      <c r="V43" s="124"/>
      <c r="W43" s="124"/>
      <c r="X43" s="126"/>
      <c r="Y43" s="126"/>
      <c r="Z43" s="124"/>
      <c r="AA43" s="127"/>
    </row>
    <row r="44" spans="1:29" s="136" customFormat="1" ht="16.5" thickBot="1" x14ac:dyDescent="0.25">
      <c r="A44" s="9"/>
      <c r="B44" s="128"/>
      <c r="C44" s="128"/>
      <c r="D44" s="128"/>
      <c r="E44" s="128"/>
      <c r="F44" s="128"/>
      <c r="G44" s="129"/>
      <c r="H44" s="128"/>
      <c r="I44" s="256"/>
      <c r="J44" s="256"/>
      <c r="K44" s="267"/>
      <c r="L44" s="137"/>
      <c r="M44" s="129"/>
      <c r="N44" s="132"/>
      <c r="O44" s="137"/>
      <c r="P44" s="129"/>
      <c r="Q44" s="129"/>
      <c r="R44" s="129"/>
      <c r="S44" s="129"/>
      <c r="T44" s="129"/>
      <c r="U44" s="129"/>
      <c r="V44" s="129"/>
      <c r="W44" s="129"/>
      <c r="X44" s="131"/>
      <c r="Y44" s="131"/>
      <c r="Z44" s="129"/>
      <c r="AA44" s="132"/>
    </row>
    <row r="45" spans="1:29" s="73" customFormat="1" x14ac:dyDescent="0.2">
      <c r="A45" s="133"/>
      <c r="B45" s="133"/>
      <c r="C45" s="133"/>
      <c r="D45" s="133"/>
      <c r="E45" s="133"/>
      <c r="F45" s="133"/>
      <c r="G45" s="118"/>
      <c r="H45" s="118"/>
      <c r="I45" s="118"/>
      <c r="J45" s="118"/>
      <c r="K45" s="118"/>
      <c r="L45" s="118"/>
      <c r="M45" s="118"/>
      <c r="N45" s="118"/>
      <c r="O45" s="160"/>
      <c r="P45" s="159"/>
      <c r="Q45" s="159"/>
      <c r="R45" s="159"/>
      <c r="S45" s="136"/>
      <c r="T45" s="136"/>
      <c r="U45" s="136"/>
      <c r="V45" s="136"/>
      <c r="W45" s="136"/>
      <c r="X45" s="118"/>
    </row>
    <row r="46" spans="1:29" s="73" customFormat="1" ht="16.5" thickBot="1" x14ac:dyDescent="0.25">
      <c r="A46" s="133"/>
      <c r="B46" s="133"/>
      <c r="C46" s="133"/>
      <c r="D46" s="133"/>
      <c r="E46" s="133"/>
      <c r="F46" s="133"/>
      <c r="G46" s="118"/>
      <c r="H46" s="118"/>
      <c r="I46" s="118"/>
      <c r="J46" s="118"/>
      <c r="K46" s="118"/>
      <c r="L46" s="118"/>
      <c r="M46" s="118"/>
      <c r="N46" s="118"/>
      <c r="O46" s="160"/>
      <c r="P46" s="159"/>
      <c r="Q46" s="159"/>
      <c r="R46" s="159"/>
      <c r="S46" s="136"/>
      <c r="T46" s="136"/>
      <c r="U46" s="136"/>
      <c r="V46" s="136"/>
      <c r="W46" s="136"/>
      <c r="X46" s="118"/>
    </row>
    <row r="47" spans="1:29" s="70" customFormat="1" ht="16.5" thickBot="1" x14ac:dyDescent="0.25">
      <c r="A47" s="1054" t="s">
        <v>307</v>
      </c>
      <c r="B47" s="1095"/>
      <c r="C47" s="1095"/>
      <c r="D47" s="1096"/>
      <c r="E47" s="133"/>
      <c r="F47" s="133"/>
      <c r="G47" s="118"/>
      <c r="H47" s="118"/>
      <c r="I47" s="118"/>
      <c r="J47" s="118"/>
      <c r="K47" s="118"/>
      <c r="L47" s="118"/>
      <c r="M47" s="118"/>
      <c r="N47" s="118"/>
      <c r="O47" s="122"/>
      <c r="P47" s="159"/>
      <c r="Q47" s="159"/>
      <c r="R47" s="159"/>
      <c r="S47" s="93"/>
      <c r="T47" s="93"/>
      <c r="U47" s="93"/>
      <c r="V47" s="93"/>
      <c r="W47" s="159"/>
      <c r="X47" s="118"/>
      <c r="Y47" s="118"/>
    </row>
    <row r="48" spans="1:29" s="70" customFormat="1" ht="15.75" customHeight="1" x14ac:dyDescent="0.2">
      <c r="A48" s="1078" t="s">
        <v>627</v>
      </c>
      <c r="B48" s="1075" t="s">
        <v>628</v>
      </c>
      <c r="C48" s="1075" t="s">
        <v>11</v>
      </c>
      <c r="D48" s="1075" t="s">
        <v>12</v>
      </c>
      <c r="E48" s="1075" t="s">
        <v>13</v>
      </c>
      <c r="F48" s="1075" t="s">
        <v>14</v>
      </c>
      <c r="G48" s="1075" t="s">
        <v>15</v>
      </c>
      <c r="H48" s="1075" t="s">
        <v>16</v>
      </c>
      <c r="I48" s="1075">
        <v>20</v>
      </c>
      <c r="J48" s="1075">
        <v>40</v>
      </c>
      <c r="K48" s="1075" t="s">
        <v>19</v>
      </c>
      <c r="L48" s="1147" t="s">
        <v>20</v>
      </c>
      <c r="M48" s="1150" t="s">
        <v>28</v>
      </c>
      <c r="N48" s="261" t="s">
        <v>69</v>
      </c>
      <c r="O48" s="4" t="s">
        <v>64</v>
      </c>
      <c r="P48" s="5" t="s">
        <v>65</v>
      </c>
      <c r="Q48" s="35"/>
      <c r="R48" s="35"/>
      <c r="S48" s="35"/>
      <c r="T48" s="35"/>
      <c r="U48" s="35"/>
      <c r="V48" s="35"/>
      <c r="W48" s="35"/>
      <c r="X48" s="35"/>
      <c r="Y48" s="35"/>
      <c r="Z48" s="1075" t="s">
        <v>22</v>
      </c>
      <c r="AA48" s="1075" t="s">
        <v>23</v>
      </c>
      <c r="AB48" s="1075" t="s">
        <v>24</v>
      </c>
      <c r="AC48" s="1147" t="s">
        <v>352</v>
      </c>
    </row>
    <row r="49" spans="1:29" s="70" customFormat="1" ht="48" thickBot="1" x14ac:dyDescent="0.25">
      <c r="A49" s="1079"/>
      <c r="B49" s="1077"/>
      <c r="C49" s="1077"/>
      <c r="D49" s="1077"/>
      <c r="E49" s="1077"/>
      <c r="F49" s="1077"/>
      <c r="G49" s="1076"/>
      <c r="H49" s="1077"/>
      <c r="I49" s="1077"/>
      <c r="J49" s="1077"/>
      <c r="K49" s="1077"/>
      <c r="L49" s="1148"/>
      <c r="M49" s="1151"/>
      <c r="N49" s="41" t="s">
        <v>70</v>
      </c>
      <c r="O49" s="7" t="s">
        <v>67</v>
      </c>
      <c r="P49" s="8" t="s">
        <v>68</v>
      </c>
      <c r="Q49" s="264"/>
      <c r="R49" s="36"/>
      <c r="S49" s="36"/>
      <c r="T49" s="36"/>
      <c r="U49" s="36"/>
      <c r="V49" s="36"/>
      <c r="W49" s="36"/>
      <c r="X49" s="36"/>
      <c r="Y49" s="36"/>
      <c r="Z49" s="1149"/>
      <c r="AA49" s="1149"/>
      <c r="AB49" s="1149"/>
      <c r="AC49" s="1148"/>
    </row>
    <row r="50" spans="1:29" s="136" customFormat="1" x14ac:dyDescent="0.2">
      <c r="A50" s="61"/>
      <c r="B50" s="225"/>
      <c r="C50" s="225"/>
      <c r="D50" s="225"/>
      <c r="E50" s="225"/>
      <c r="F50" s="225"/>
      <c r="G50" s="120"/>
      <c r="H50" s="225"/>
      <c r="I50" s="263"/>
      <c r="J50" s="263"/>
      <c r="K50" s="263"/>
      <c r="L50" s="265"/>
      <c r="M50" s="270"/>
      <c r="N50" s="268"/>
      <c r="O50" s="120"/>
      <c r="P50" s="121"/>
      <c r="Q50" s="269"/>
      <c r="R50" s="226"/>
      <c r="S50" s="226"/>
      <c r="T50" s="226"/>
      <c r="U50" s="226"/>
      <c r="V50" s="226"/>
      <c r="W50" s="120"/>
      <c r="X50" s="120"/>
      <c r="Y50" s="120"/>
      <c r="Z50" s="227"/>
      <c r="AA50" s="227"/>
      <c r="AB50" s="120"/>
      <c r="AC50" s="121"/>
    </row>
    <row r="51" spans="1:29" s="136" customFormat="1" x14ac:dyDescent="0.2">
      <c r="A51" s="40"/>
      <c r="B51" s="123"/>
      <c r="C51" s="123"/>
      <c r="D51" s="123"/>
      <c r="E51" s="123"/>
      <c r="F51" s="123"/>
      <c r="G51" s="124"/>
      <c r="H51" s="123"/>
      <c r="I51" s="255"/>
      <c r="J51" s="255"/>
      <c r="K51" s="255"/>
      <c r="L51" s="266"/>
      <c r="M51" s="271"/>
      <c r="N51" s="259"/>
      <c r="O51" s="124"/>
      <c r="P51" s="127"/>
      <c r="Q51" s="248"/>
      <c r="R51" s="125"/>
      <c r="S51" s="125"/>
      <c r="T51" s="125"/>
      <c r="U51" s="125"/>
      <c r="V51" s="125"/>
      <c r="W51" s="124"/>
      <c r="X51" s="124"/>
      <c r="Y51" s="124"/>
      <c r="Z51" s="126"/>
      <c r="AA51" s="126"/>
      <c r="AB51" s="124"/>
      <c r="AC51" s="127"/>
    </row>
    <row r="52" spans="1:29" s="136" customFormat="1" x14ac:dyDescent="0.2">
      <c r="A52" s="40"/>
      <c r="B52" s="123"/>
      <c r="C52" s="123"/>
      <c r="D52" s="123"/>
      <c r="E52" s="123"/>
      <c r="F52" s="123"/>
      <c r="G52" s="124"/>
      <c r="H52" s="123"/>
      <c r="I52" s="255"/>
      <c r="J52" s="255"/>
      <c r="K52" s="255"/>
      <c r="L52" s="266"/>
      <c r="M52" s="271"/>
      <c r="N52" s="259"/>
      <c r="O52" s="124"/>
      <c r="P52" s="127"/>
      <c r="Q52" s="248"/>
      <c r="R52" s="125"/>
      <c r="S52" s="125"/>
      <c r="T52" s="125"/>
      <c r="U52" s="125"/>
      <c r="V52" s="125"/>
      <c r="W52" s="124"/>
      <c r="X52" s="124"/>
      <c r="Y52" s="124"/>
      <c r="Z52" s="126"/>
      <c r="AA52" s="126"/>
      <c r="AB52" s="124"/>
      <c r="AC52" s="127"/>
    </row>
    <row r="53" spans="1:29" s="136" customFormat="1" ht="16.5" thickBot="1" x14ac:dyDescent="0.25">
      <c r="A53" s="9"/>
      <c r="B53" s="128"/>
      <c r="C53" s="128"/>
      <c r="D53" s="128"/>
      <c r="E53" s="128"/>
      <c r="F53" s="128"/>
      <c r="G53" s="129"/>
      <c r="H53" s="128"/>
      <c r="I53" s="256"/>
      <c r="J53" s="256"/>
      <c r="K53" s="256"/>
      <c r="L53" s="267"/>
      <c r="M53" s="161"/>
      <c r="N53" s="137"/>
      <c r="O53" s="129"/>
      <c r="P53" s="132"/>
      <c r="Q53" s="137"/>
      <c r="R53" s="129"/>
      <c r="S53" s="129"/>
      <c r="T53" s="129"/>
      <c r="U53" s="129"/>
      <c r="V53" s="129"/>
      <c r="W53" s="129"/>
      <c r="X53" s="129"/>
      <c r="Y53" s="129"/>
      <c r="Z53" s="131"/>
      <c r="AA53" s="131"/>
      <c r="AB53" s="129"/>
      <c r="AC53" s="132"/>
    </row>
    <row r="54" spans="1:29" s="70" customFormat="1" x14ac:dyDescent="0.2">
      <c r="A54" s="133"/>
      <c r="B54" s="133"/>
      <c r="C54" s="133"/>
      <c r="D54" s="133"/>
      <c r="E54" s="133"/>
      <c r="F54" s="133"/>
      <c r="G54" s="118"/>
      <c r="H54" s="118"/>
      <c r="I54" s="118"/>
      <c r="J54" s="118"/>
      <c r="K54" s="118"/>
      <c r="M54" s="118"/>
      <c r="V54" s="118"/>
      <c r="W54" s="118"/>
    </row>
    <row r="55" spans="1:29" s="70" customFormat="1" x14ac:dyDescent="0.2">
      <c r="A55" s="133"/>
      <c r="B55" s="133"/>
      <c r="C55" s="133"/>
      <c r="D55" s="133"/>
      <c r="E55" s="133"/>
      <c r="F55" s="118"/>
      <c r="G55" s="118"/>
      <c r="H55" s="118"/>
      <c r="I55" s="118"/>
      <c r="J55" s="118"/>
      <c r="K55" s="134"/>
      <c r="L55" s="118"/>
      <c r="M55" s="118"/>
      <c r="N55" s="118"/>
      <c r="S55" s="118"/>
      <c r="T55" s="118"/>
      <c r="U55" s="118"/>
    </row>
    <row r="56" spans="1:29" s="85" customFormat="1" ht="16.5" thickBot="1" x14ac:dyDescent="0.25">
      <c r="A56" s="133"/>
      <c r="B56" s="133"/>
      <c r="C56" s="133"/>
      <c r="D56" s="133"/>
      <c r="E56" s="118"/>
      <c r="F56" s="118"/>
      <c r="G56" s="118"/>
      <c r="H56" s="118"/>
      <c r="I56" s="118"/>
      <c r="J56" s="134"/>
      <c r="K56" s="134"/>
      <c r="L56" s="134"/>
      <c r="M56" s="134"/>
      <c r="R56" s="134"/>
    </row>
    <row r="57" spans="1:29" s="85" customFormat="1" ht="19.5" thickBot="1" x14ac:dyDescent="0.25">
      <c r="A57" s="1092" t="s">
        <v>29</v>
      </c>
      <c r="B57" s="1093"/>
      <c r="C57" s="1094"/>
      <c r="D57" s="133"/>
      <c r="E57" s="133"/>
      <c r="F57" s="118"/>
      <c r="G57" s="118"/>
      <c r="H57" s="118"/>
      <c r="I57" s="118"/>
      <c r="J57" s="118"/>
      <c r="K57" s="134"/>
      <c r="L57" s="134"/>
      <c r="M57" s="134"/>
      <c r="N57" s="134"/>
      <c r="S57" s="134"/>
      <c r="T57" s="134"/>
      <c r="U57" s="134"/>
    </row>
    <row r="58" spans="1:29" s="85" customFormat="1" ht="16.5" thickBot="1" x14ac:dyDescent="0.25">
      <c r="A58" s="1023" t="s">
        <v>625</v>
      </c>
      <c r="B58" s="1024"/>
      <c r="C58" s="1025"/>
      <c r="D58" s="133"/>
      <c r="E58" s="133"/>
      <c r="F58" s="133"/>
      <c r="G58" s="118"/>
      <c r="H58" s="118"/>
      <c r="I58" s="118"/>
      <c r="J58" s="118"/>
      <c r="K58" s="118"/>
      <c r="L58" s="134"/>
      <c r="N58" s="134"/>
      <c r="O58" s="134"/>
      <c r="V58" s="134"/>
    </row>
    <row r="59" spans="1:29" s="85" customFormat="1" x14ac:dyDescent="0.2">
      <c r="A59" s="138" t="s">
        <v>30</v>
      </c>
      <c r="B59" s="139"/>
      <c r="C59" s="140" t="s">
        <v>155</v>
      </c>
      <c r="D59" s="141"/>
      <c r="E59" s="141"/>
      <c r="F59" s="142"/>
      <c r="G59" s="142"/>
      <c r="H59" s="141"/>
      <c r="I59" s="142"/>
      <c r="J59" s="141"/>
      <c r="K59" s="143"/>
      <c r="L59" s="144"/>
      <c r="N59" s="134"/>
      <c r="O59" s="134"/>
      <c r="P59" s="134"/>
    </row>
    <row r="60" spans="1:29" s="85" customFormat="1" x14ac:dyDescent="0.2">
      <c r="A60" s="145" t="s">
        <v>626</v>
      </c>
      <c r="B60" s="146"/>
      <c r="C60" s="146"/>
      <c r="D60" s="147"/>
      <c r="E60" s="147"/>
      <c r="F60" s="148"/>
      <c r="G60" s="148"/>
      <c r="H60" s="147"/>
      <c r="I60" s="148"/>
      <c r="J60" s="147"/>
      <c r="K60" s="149"/>
      <c r="L60" s="150"/>
      <c r="N60" s="134"/>
      <c r="O60" s="134"/>
      <c r="P60" s="134"/>
    </row>
    <row r="61" spans="1:29" s="85" customFormat="1" ht="16.5" thickBot="1" x14ac:dyDescent="0.25">
      <c r="A61" s="68" t="s">
        <v>173</v>
      </c>
      <c r="B61" s="151"/>
      <c r="C61" s="151"/>
      <c r="D61" s="152"/>
      <c r="E61" s="152"/>
      <c r="F61" s="153"/>
      <c r="G61" s="153"/>
      <c r="H61" s="152"/>
      <c r="I61" s="153"/>
      <c r="J61" s="152"/>
      <c r="K61" s="154"/>
      <c r="L61" s="155"/>
      <c r="N61" s="134"/>
      <c r="O61" s="134"/>
      <c r="P61" s="134"/>
    </row>
    <row r="62" spans="1:29" s="85" customFormat="1" ht="16.5" thickBot="1" x14ac:dyDescent="0.25">
      <c r="A62" s="156"/>
      <c r="B62" s="157"/>
      <c r="C62" s="158"/>
      <c r="D62" s="133"/>
      <c r="E62" s="133"/>
      <c r="F62" s="133"/>
      <c r="G62" s="133"/>
      <c r="H62" s="118"/>
      <c r="I62" s="118"/>
      <c r="J62" s="118"/>
      <c r="K62" s="118"/>
      <c r="L62" s="118"/>
      <c r="M62" s="134"/>
      <c r="O62" s="134"/>
      <c r="P62" s="134"/>
      <c r="Q62" s="118"/>
    </row>
    <row r="63" spans="1:29" s="15" customFormat="1" ht="48" thickBot="1" x14ac:dyDescent="0.25">
      <c r="A63" s="11" t="s">
        <v>31</v>
      </c>
      <c r="B63" s="1084" t="s">
        <v>628</v>
      </c>
      <c r="C63" s="1085"/>
      <c r="D63" s="1086"/>
      <c r="E63" s="12" t="s">
        <v>11</v>
      </c>
      <c r="F63" s="12" t="s">
        <v>14</v>
      </c>
      <c r="G63" s="12" t="s">
        <v>287</v>
      </c>
      <c r="H63" s="12" t="s">
        <v>32</v>
      </c>
      <c r="I63" s="12" t="s">
        <v>16</v>
      </c>
      <c r="J63" s="12" t="s">
        <v>17</v>
      </c>
      <c r="K63" s="12" t="s">
        <v>18</v>
      </c>
      <c r="L63" s="12" t="s">
        <v>19</v>
      </c>
      <c r="M63" s="12" t="s">
        <v>20</v>
      </c>
      <c r="N63" s="272" t="s">
        <v>123</v>
      </c>
      <c r="O63" s="12" t="s">
        <v>96</v>
      </c>
      <c r="P63" s="16" t="s">
        <v>308</v>
      </c>
      <c r="Q63" s="14"/>
      <c r="R63" s="14"/>
      <c r="S63" s="14"/>
      <c r="T63" s="14"/>
      <c r="U63" s="14"/>
    </row>
    <row r="64" spans="1:29" s="303" customFormat="1" x14ac:dyDescent="0.2">
      <c r="A64" s="269"/>
      <c r="B64" s="925"/>
      <c r="C64" s="1080"/>
      <c r="D64" s="1080"/>
      <c r="E64" s="226"/>
      <c r="F64" s="226"/>
      <c r="G64" s="226"/>
      <c r="H64" s="226"/>
      <c r="I64" s="226"/>
      <c r="J64" s="273"/>
      <c r="K64" s="263"/>
      <c r="L64" s="263"/>
      <c r="M64" s="306"/>
      <c r="N64" s="49"/>
      <c r="O64" s="226"/>
      <c r="P64" s="274"/>
      <c r="Q64" s="159"/>
      <c r="R64" s="159"/>
      <c r="S64" s="159"/>
      <c r="T64" s="159"/>
      <c r="U64" s="159"/>
      <c r="V64" s="160"/>
      <c r="W64" s="160"/>
      <c r="X64" s="160"/>
    </row>
    <row r="65" spans="1:24" s="303" customFormat="1" x14ac:dyDescent="0.2">
      <c r="A65" s="248"/>
      <c r="B65" s="927"/>
      <c r="C65" s="1070"/>
      <c r="D65" s="1070"/>
      <c r="E65" s="125"/>
      <c r="F65" s="125"/>
      <c r="G65" s="125"/>
      <c r="H65" s="125"/>
      <c r="I65" s="125"/>
      <c r="J65" s="275"/>
      <c r="K65" s="255"/>
      <c r="L65" s="255"/>
      <c r="M65" s="307"/>
      <c r="N65" s="21"/>
      <c r="O65" s="125"/>
      <c r="P65" s="276"/>
      <c r="Q65" s="159"/>
      <c r="R65" s="159"/>
      <c r="S65" s="159"/>
      <c r="T65" s="159"/>
      <c r="U65" s="159"/>
      <c r="V65" s="160"/>
      <c r="W65" s="160"/>
      <c r="X65" s="160"/>
    </row>
    <row r="66" spans="1:24" s="303" customFormat="1" x14ac:dyDescent="0.2">
      <c r="A66" s="248"/>
      <c r="B66" s="927"/>
      <c r="C66" s="1070"/>
      <c r="D66" s="1070"/>
      <c r="E66" s="125"/>
      <c r="F66" s="125"/>
      <c r="G66" s="125"/>
      <c r="H66" s="125"/>
      <c r="I66" s="125"/>
      <c r="J66" s="275"/>
      <c r="K66" s="255"/>
      <c r="L66" s="255"/>
      <c r="M66" s="307"/>
      <c r="N66" s="21"/>
      <c r="O66" s="125"/>
      <c r="P66" s="276"/>
      <c r="Q66" s="159"/>
      <c r="R66" s="159"/>
      <c r="S66" s="159"/>
      <c r="T66" s="159"/>
      <c r="U66" s="159"/>
      <c r="V66" s="160"/>
      <c r="W66" s="160"/>
      <c r="X66" s="160"/>
    </row>
    <row r="67" spans="1:24" s="303" customFormat="1" ht="16.5" thickBot="1" x14ac:dyDescent="0.25">
      <c r="A67" s="304"/>
      <c r="B67" s="912"/>
      <c r="C67" s="1071"/>
      <c r="D67" s="1071"/>
      <c r="E67" s="130"/>
      <c r="F67" s="130"/>
      <c r="G67" s="130"/>
      <c r="H67" s="130"/>
      <c r="I67" s="130"/>
      <c r="J67" s="258"/>
      <c r="K67" s="256"/>
      <c r="L67" s="256"/>
      <c r="M67" s="305"/>
      <c r="N67" s="29"/>
      <c r="O67" s="129"/>
      <c r="P67" s="132"/>
      <c r="Q67" s="159"/>
      <c r="R67" s="159"/>
      <c r="S67" s="159"/>
      <c r="T67" s="159"/>
      <c r="U67" s="159"/>
      <c r="V67" s="160"/>
      <c r="W67" s="160"/>
      <c r="X67" s="160"/>
    </row>
    <row r="68" spans="1:24" s="85" customFormat="1" x14ac:dyDescent="0.2">
      <c r="A68" s="158"/>
      <c r="B68" s="158"/>
      <c r="C68" s="162"/>
      <c r="D68" s="162"/>
      <c r="E68" s="158"/>
      <c r="F68" s="158"/>
      <c r="G68" s="158"/>
      <c r="H68" s="158"/>
      <c r="I68" s="158"/>
      <c r="J68" s="158"/>
      <c r="K68" s="158"/>
      <c r="L68" s="158"/>
      <c r="M68" s="158"/>
      <c r="O68" s="118"/>
      <c r="P68" s="118"/>
      <c r="Q68" s="118"/>
      <c r="R68" s="118"/>
      <c r="S68" s="118"/>
      <c r="T68" s="118"/>
      <c r="U68" s="118"/>
      <c r="V68" s="134"/>
      <c r="W68" s="134"/>
      <c r="X68" s="134"/>
    </row>
    <row r="69" spans="1:24" s="85" customFormat="1" ht="16.5" thickBot="1" x14ac:dyDescent="0.25">
      <c r="A69" s="133"/>
      <c r="B69" s="133"/>
      <c r="C69" s="133"/>
      <c r="D69" s="133"/>
      <c r="E69" s="133"/>
      <c r="F69" s="133"/>
      <c r="G69" s="133"/>
      <c r="H69" s="133"/>
      <c r="I69" s="118"/>
      <c r="J69" s="118"/>
      <c r="K69" s="118"/>
      <c r="L69" s="118"/>
      <c r="M69" s="118"/>
      <c r="N69" s="134"/>
      <c r="O69" s="134"/>
      <c r="P69" s="134"/>
      <c r="Q69" s="134"/>
      <c r="R69" s="134"/>
      <c r="S69" s="134"/>
      <c r="T69" s="134"/>
      <c r="U69" s="134"/>
      <c r="V69" s="134"/>
      <c r="W69" s="118"/>
    </row>
    <row r="70" spans="1:24" s="85" customFormat="1" ht="19.5" thickBot="1" x14ac:dyDescent="0.25">
      <c r="A70" s="1092" t="s">
        <v>34</v>
      </c>
      <c r="B70" s="1093"/>
      <c r="C70" s="1094"/>
      <c r="D70" s="163"/>
      <c r="E70" s="133"/>
      <c r="F70" s="133"/>
      <c r="G70" s="133"/>
      <c r="H70" s="133"/>
      <c r="I70" s="118"/>
      <c r="J70" s="118"/>
      <c r="K70" s="118"/>
      <c r="L70" s="118"/>
      <c r="M70" s="118"/>
      <c r="N70" s="134"/>
      <c r="O70" s="134"/>
      <c r="P70" s="134"/>
      <c r="Q70" s="134"/>
      <c r="R70" s="134"/>
      <c r="S70" s="134"/>
      <c r="T70" s="134"/>
      <c r="U70" s="134"/>
      <c r="V70" s="134"/>
      <c r="W70" s="118"/>
    </row>
    <row r="71" spans="1:24" s="85" customFormat="1" ht="16.5" thickBot="1" x14ac:dyDescent="0.25">
      <c r="A71" s="1023" t="s">
        <v>625</v>
      </c>
      <c r="B71" s="1024"/>
      <c r="C71" s="1025"/>
      <c r="D71" s="164"/>
      <c r="E71" s="164"/>
      <c r="F71" s="164"/>
      <c r="G71" s="164"/>
      <c r="H71" s="165"/>
      <c r="I71" s="165"/>
      <c r="J71" s="164"/>
      <c r="K71" s="165"/>
      <c r="L71" s="164"/>
      <c r="M71" s="118"/>
      <c r="N71" s="134"/>
      <c r="O71" s="134"/>
      <c r="P71" s="134"/>
      <c r="Q71" s="134"/>
      <c r="R71" s="134"/>
      <c r="S71" s="134"/>
      <c r="T71" s="134"/>
      <c r="U71" s="134"/>
      <c r="V71" s="134"/>
      <c r="W71" s="118"/>
    </row>
    <row r="72" spans="1:24" s="85" customFormat="1" x14ac:dyDescent="0.2">
      <c r="A72" s="138" t="s">
        <v>30</v>
      </c>
      <c r="B72" s="166"/>
      <c r="C72" s="140" t="s">
        <v>155</v>
      </c>
      <c r="D72" s="140"/>
      <c r="E72" s="141"/>
      <c r="F72" s="141"/>
      <c r="G72" s="141"/>
      <c r="H72" s="142"/>
      <c r="I72" s="142"/>
      <c r="J72" s="141"/>
      <c r="K72" s="142"/>
      <c r="L72" s="277"/>
      <c r="M72" s="118"/>
      <c r="N72" s="134"/>
      <c r="O72" s="134"/>
      <c r="P72" s="134"/>
      <c r="Q72" s="134"/>
      <c r="R72" s="134"/>
      <c r="S72" s="134"/>
      <c r="T72" s="134"/>
      <c r="U72" s="134"/>
      <c r="V72" s="134"/>
      <c r="W72" s="118"/>
    </row>
    <row r="73" spans="1:24" s="85" customFormat="1" x14ac:dyDescent="0.2">
      <c r="A73" s="145" t="s">
        <v>35</v>
      </c>
      <c r="B73" s="147"/>
      <c r="C73" s="147"/>
      <c r="D73" s="147"/>
      <c r="E73" s="147"/>
      <c r="F73" s="147"/>
      <c r="G73" s="147"/>
      <c r="H73" s="148"/>
      <c r="I73" s="148"/>
      <c r="J73" s="147"/>
      <c r="K73" s="148"/>
      <c r="L73" s="278"/>
      <c r="M73" s="118"/>
      <c r="N73" s="134"/>
      <c r="O73" s="134"/>
      <c r="P73" s="134"/>
      <c r="Q73" s="134"/>
      <c r="R73" s="134"/>
      <c r="S73" s="134"/>
      <c r="T73" s="134"/>
      <c r="U73" s="134"/>
      <c r="V73" s="134"/>
      <c r="W73" s="118"/>
    </row>
    <row r="74" spans="1:24" s="85" customFormat="1" ht="16.5" thickBot="1" x14ac:dyDescent="0.25">
      <c r="A74" s="68" t="s">
        <v>174</v>
      </c>
      <c r="B74" s="152"/>
      <c r="C74" s="152"/>
      <c r="D74" s="152"/>
      <c r="E74" s="152"/>
      <c r="F74" s="152"/>
      <c r="G74" s="152"/>
      <c r="H74" s="153"/>
      <c r="I74" s="153"/>
      <c r="J74" s="152"/>
      <c r="K74" s="153"/>
      <c r="L74" s="279"/>
      <c r="M74" s="118"/>
      <c r="N74" s="134"/>
      <c r="O74" s="134"/>
      <c r="P74" s="134"/>
      <c r="Q74" s="134"/>
      <c r="R74" s="134"/>
      <c r="S74" s="134"/>
      <c r="T74" s="134"/>
      <c r="U74" s="134"/>
      <c r="V74" s="134"/>
      <c r="W74" s="118"/>
    </row>
    <row r="75" spans="1:24" s="85" customFormat="1" ht="16.5" thickBot="1" x14ac:dyDescent="0.25">
      <c r="A75" s="167"/>
      <c r="E75" s="164"/>
      <c r="F75" s="164"/>
      <c r="G75" s="164"/>
      <c r="H75" s="165"/>
      <c r="I75" s="157"/>
      <c r="J75" s="164"/>
      <c r="K75" s="165"/>
      <c r="L75" s="164"/>
      <c r="M75" s="118"/>
      <c r="N75" s="134"/>
      <c r="O75" s="134"/>
      <c r="P75" s="134"/>
      <c r="Q75" s="134"/>
      <c r="R75" s="118"/>
      <c r="V75" s="168"/>
      <c r="W75" s="168"/>
    </row>
    <row r="76" spans="1:24" s="15" customFormat="1" ht="48" thickBot="1" x14ac:dyDescent="0.25">
      <c r="A76" s="11" t="s">
        <v>31</v>
      </c>
      <c r="B76" s="1084" t="s">
        <v>13</v>
      </c>
      <c r="C76" s="1085"/>
      <c r="D76" s="1086"/>
      <c r="E76" s="12" t="s">
        <v>12</v>
      </c>
      <c r="F76" s="12" t="s">
        <v>14</v>
      </c>
      <c r="G76" s="12" t="s">
        <v>276</v>
      </c>
      <c r="H76" s="12" t="s">
        <v>32</v>
      </c>
      <c r="I76" s="12" t="s">
        <v>16</v>
      </c>
      <c r="J76" s="12" t="s">
        <v>17</v>
      </c>
      <c r="K76" s="12" t="s">
        <v>18</v>
      </c>
      <c r="L76" s="12" t="s">
        <v>19</v>
      </c>
      <c r="M76" s="12" t="s">
        <v>20</v>
      </c>
      <c r="N76" s="272" t="s">
        <v>123</v>
      </c>
      <c r="O76" s="12" t="s">
        <v>94</v>
      </c>
      <c r="P76" s="16" t="s">
        <v>308</v>
      </c>
      <c r="Q76" s="14"/>
      <c r="R76" s="14"/>
      <c r="S76" s="14"/>
      <c r="T76" s="14"/>
      <c r="U76" s="14"/>
      <c r="V76" s="14"/>
      <c r="W76" s="13"/>
    </row>
    <row r="77" spans="1:24" s="303" customFormat="1" x14ac:dyDescent="0.2">
      <c r="A77" s="269"/>
      <c r="B77" s="925"/>
      <c r="C77" s="1080"/>
      <c r="D77" s="1080"/>
      <c r="E77" s="226"/>
      <c r="F77" s="226"/>
      <c r="G77" s="226"/>
      <c r="H77" s="226"/>
      <c r="I77" s="226"/>
      <c r="J77" s="263"/>
      <c r="K77" s="263"/>
      <c r="L77" s="263"/>
      <c r="M77" s="263"/>
      <c r="N77" s="49"/>
      <c r="O77" s="226"/>
      <c r="P77" s="274"/>
      <c r="Q77" s="160"/>
      <c r="R77" s="160"/>
      <c r="S77" s="160"/>
      <c r="T77" s="160"/>
      <c r="U77" s="160"/>
      <c r="V77" s="160"/>
      <c r="W77" s="159"/>
    </row>
    <row r="78" spans="1:24" s="303" customFormat="1" x14ac:dyDescent="0.2">
      <c r="A78" s="248"/>
      <c r="B78" s="927"/>
      <c r="C78" s="1070"/>
      <c r="D78" s="1070"/>
      <c r="E78" s="125"/>
      <c r="F78" s="125"/>
      <c r="G78" s="125"/>
      <c r="H78" s="125"/>
      <c r="I78" s="125"/>
      <c r="J78" s="255"/>
      <c r="K78" s="255"/>
      <c r="L78" s="255"/>
      <c r="M78" s="255"/>
      <c r="N78" s="21"/>
      <c r="O78" s="125"/>
      <c r="P78" s="276"/>
      <c r="Q78" s="160"/>
      <c r="R78" s="160"/>
      <c r="S78" s="160"/>
      <c r="T78" s="160"/>
      <c r="U78" s="160"/>
      <c r="V78" s="160"/>
      <c r="W78" s="159"/>
    </row>
    <row r="79" spans="1:24" s="303" customFormat="1" x14ac:dyDescent="0.2">
      <c r="A79" s="248"/>
      <c r="B79" s="927"/>
      <c r="C79" s="1070"/>
      <c r="D79" s="1070"/>
      <c r="E79" s="125"/>
      <c r="F79" s="125"/>
      <c r="G79" s="125"/>
      <c r="H79" s="125"/>
      <c r="I79" s="125"/>
      <c r="J79" s="255"/>
      <c r="K79" s="255"/>
      <c r="L79" s="255"/>
      <c r="M79" s="255"/>
      <c r="N79" s="21"/>
      <c r="O79" s="125"/>
      <c r="P79" s="276"/>
      <c r="Q79" s="160"/>
      <c r="R79" s="160"/>
      <c r="S79" s="160"/>
      <c r="T79" s="160"/>
      <c r="U79" s="160"/>
      <c r="V79" s="160"/>
      <c r="W79" s="159"/>
    </row>
    <row r="80" spans="1:24" s="303" customFormat="1" ht="16.5" thickBot="1" x14ac:dyDescent="0.25">
      <c r="A80" s="304"/>
      <c r="B80" s="912"/>
      <c r="C80" s="1071"/>
      <c r="D80" s="1071"/>
      <c r="E80" s="130"/>
      <c r="F80" s="130"/>
      <c r="G80" s="130"/>
      <c r="H80" s="130"/>
      <c r="I80" s="130"/>
      <c r="J80" s="256"/>
      <c r="K80" s="256"/>
      <c r="L80" s="256"/>
      <c r="M80" s="256"/>
      <c r="N80" s="29"/>
      <c r="O80" s="129"/>
      <c r="P80" s="132"/>
      <c r="Q80" s="160"/>
      <c r="R80" s="160"/>
      <c r="S80" s="160"/>
      <c r="T80" s="160"/>
      <c r="U80" s="160"/>
      <c r="V80" s="160"/>
      <c r="W80" s="159"/>
    </row>
    <row r="81" spans="1:22" s="85" customFormat="1" ht="16.5" thickBot="1" x14ac:dyDescent="0.25">
      <c r="A81" s="133"/>
      <c r="B81" s="133"/>
      <c r="C81" s="133"/>
      <c r="D81" s="133"/>
      <c r="E81" s="133"/>
      <c r="F81" s="133"/>
      <c r="G81" s="133"/>
      <c r="H81" s="118"/>
      <c r="I81" s="118"/>
      <c r="J81" s="118"/>
      <c r="K81" s="118"/>
      <c r="L81" s="118"/>
      <c r="M81" s="134"/>
      <c r="N81" s="134"/>
      <c r="O81" s="134"/>
      <c r="P81" s="134"/>
      <c r="Q81" s="134"/>
      <c r="R81" s="134"/>
      <c r="S81" s="134"/>
      <c r="T81" s="134"/>
      <c r="U81" s="134"/>
      <c r="V81" s="118"/>
    </row>
    <row r="82" spans="1:22" s="70" customFormat="1" ht="16.5" thickBot="1" x14ac:dyDescent="0.25">
      <c r="A82" s="1054" t="s">
        <v>36</v>
      </c>
      <c r="B82" s="1055"/>
      <c r="C82" s="1055"/>
      <c r="D82" s="1055"/>
      <c r="E82" s="1055"/>
      <c r="F82" s="1055"/>
      <c r="G82" s="1055"/>
      <c r="H82" s="1055"/>
      <c r="I82" s="1056"/>
      <c r="J82" s="169"/>
      <c r="K82" s="118"/>
      <c r="L82" s="134"/>
      <c r="M82" s="134"/>
      <c r="N82" s="134"/>
      <c r="O82" s="134"/>
      <c r="P82" s="134"/>
      <c r="Q82" s="134"/>
      <c r="R82" s="134"/>
      <c r="S82" s="118"/>
      <c r="T82" s="118"/>
      <c r="U82" s="118"/>
    </row>
    <row r="83" spans="1:22" s="70" customFormat="1" ht="16.5" thickBot="1" x14ac:dyDescent="0.25">
      <c r="A83" s="1081" t="s">
        <v>37</v>
      </c>
      <c r="B83" s="1082"/>
      <c r="C83" s="1082"/>
      <c r="D83" s="1082"/>
      <c r="E83" s="1082"/>
      <c r="F83" s="1082"/>
      <c r="G83" s="1082"/>
      <c r="H83" s="1082"/>
      <c r="I83" s="1083"/>
      <c r="J83" s="170"/>
      <c r="K83" s="118"/>
      <c r="L83" s="134"/>
      <c r="M83" s="134"/>
      <c r="N83" s="134"/>
      <c r="O83" s="134"/>
      <c r="P83" s="134"/>
      <c r="Q83" s="134"/>
      <c r="R83" s="134"/>
      <c r="S83" s="118"/>
      <c r="T83" s="118"/>
      <c r="U83" s="118"/>
    </row>
    <row r="84" spans="1:22" s="308" customFormat="1" ht="15.75" customHeight="1" thickBot="1" x14ac:dyDescent="0.25">
      <c r="A84" s="665" t="s">
        <v>296</v>
      </c>
      <c r="B84" s="909" t="s">
        <v>1129</v>
      </c>
      <c r="C84" s="910"/>
      <c r="D84" s="910"/>
      <c r="E84" s="910"/>
      <c r="F84" s="910"/>
      <c r="G84" s="910"/>
      <c r="H84" s="910"/>
      <c r="I84" s="911"/>
      <c r="J84" s="171"/>
      <c r="K84" s="172"/>
      <c r="L84" s="173"/>
      <c r="M84" s="173"/>
      <c r="N84" s="173"/>
      <c r="O84" s="173"/>
      <c r="P84" s="173"/>
      <c r="Q84" s="173"/>
      <c r="R84" s="173"/>
      <c r="S84" s="172"/>
      <c r="T84" s="172"/>
      <c r="U84" s="172"/>
    </row>
    <row r="85" spans="1:22" s="70" customFormat="1" ht="16.5" thickBot="1" x14ac:dyDescent="0.25">
      <c r="A85" s="175"/>
      <c r="B85" s="169"/>
      <c r="C85" s="169"/>
      <c r="D85" s="169"/>
      <c r="E85" s="169"/>
      <c r="F85" s="176"/>
      <c r="G85" s="176"/>
      <c r="H85" s="176"/>
      <c r="I85" s="176"/>
      <c r="J85" s="176"/>
      <c r="K85" s="118"/>
      <c r="L85" s="134"/>
      <c r="M85" s="134"/>
      <c r="N85" s="134"/>
      <c r="O85" s="134"/>
      <c r="P85" s="134"/>
      <c r="Q85" s="118"/>
    </row>
    <row r="86" spans="1:22" s="70" customFormat="1" ht="16.5" customHeight="1" thickBot="1" x14ac:dyDescent="0.25">
      <c r="A86" s="1090" t="s">
        <v>214</v>
      </c>
      <c r="B86" s="1091"/>
      <c r="C86" s="1091"/>
      <c r="D86" s="1091"/>
      <c r="E86" s="1091"/>
      <c r="F86" s="1091"/>
      <c r="G86" s="1091"/>
      <c r="H86" s="1087" t="s">
        <v>226</v>
      </c>
      <c r="I86" s="1026" t="s">
        <v>627</v>
      </c>
      <c r="J86" s="1026" t="s">
        <v>215</v>
      </c>
      <c r="K86" s="1026" t="s">
        <v>23</v>
      </c>
      <c r="L86" s="1026" t="s">
        <v>302</v>
      </c>
      <c r="M86" s="1033" t="s">
        <v>83</v>
      </c>
      <c r="N86" s="134"/>
      <c r="O86" s="118"/>
      <c r="P86" s="85"/>
      <c r="Q86" s="168"/>
      <c r="R86" s="168"/>
    </row>
    <row r="87" spans="1:22" s="74" customFormat="1" ht="16.5" thickBot="1" x14ac:dyDescent="0.25">
      <c r="A87" s="1072" t="s">
        <v>461</v>
      </c>
      <c r="B87" s="1073"/>
      <c r="C87" s="1073"/>
      <c r="D87" s="1073"/>
      <c r="E87" s="1073"/>
      <c r="F87" s="1073"/>
      <c r="G87" s="1074"/>
      <c r="H87" s="1088"/>
      <c r="I87" s="1068"/>
      <c r="J87" s="1068"/>
      <c r="K87" s="1068"/>
      <c r="L87" s="1068"/>
      <c r="M87" s="1069"/>
      <c r="N87" s="177"/>
      <c r="O87" s="177"/>
      <c r="P87" s="177"/>
      <c r="Q87" s="177"/>
      <c r="R87" s="177"/>
    </row>
    <row r="88" spans="1:22" s="74" customFormat="1" ht="15.75" customHeight="1" thickBot="1" x14ac:dyDescent="0.25">
      <c r="A88" s="1072" t="s">
        <v>353</v>
      </c>
      <c r="B88" s="1073"/>
      <c r="C88" s="1073"/>
      <c r="D88" s="1073"/>
      <c r="E88" s="1073"/>
      <c r="F88" s="1073"/>
      <c r="G88" s="1074"/>
      <c r="H88" s="1089"/>
      <c r="I88" s="1027"/>
      <c r="J88" s="1027"/>
      <c r="K88" s="1027"/>
      <c r="L88" s="1027"/>
      <c r="M88" s="1034"/>
      <c r="N88" s="177"/>
      <c r="O88" s="177"/>
      <c r="P88" s="177"/>
      <c r="Q88" s="177"/>
      <c r="R88" s="177"/>
    </row>
    <row r="89" spans="1:22" s="122" customFormat="1" x14ac:dyDescent="0.2">
      <c r="A89" s="178" t="s">
        <v>89</v>
      </c>
      <c r="B89" s="942" t="str">
        <f>IF($A89="","",VLOOKUP($A89,Listes!$A$3:$C$193,2,FALSE))</f>
        <v>Origin THC / Origin Receiving Charge</v>
      </c>
      <c r="C89" s="942"/>
      <c r="D89" s="942"/>
      <c r="E89" s="941"/>
      <c r="F89" s="941"/>
      <c r="G89" s="941"/>
      <c r="H89" s="179"/>
      <c r="I89" s="180"/>
      <c r="J89" s="180"/>
      <c r="K89" s="180"/>
      <c r="L89" s="180"/>
      <c r="M89" s="181"/>
      <c r="N89" s="160"/>
      <c r="O89" s="160"/>
      <c r="P89" s="160"/>
      <c r="Q89" s="160"/>
      <c r="R89" s="159"/>
    </row>
    <row r="90" spans="1:22" s="122" customFormat="1" ht="15.75" customHeight="1" x14ac:dyDescent="0.2">
      <c r="A90" s="182" t="s">
        <v>234</v>
      </c>
      <c r="B90" s="813" t="str">
        <f>IF($A90="","",VLOOKUP($A90,Listes!$A$3:$C$193,2,FALSE))</f>
        <v>Bunker Adjustment Factor</v>
      </c>
      <c r="C90" s="813"/>
      <c r="D90" s="813"/>
      <c r="E90" s="814"/>
      <c r="F90" s="814"/>
      <c r="G90" s="814"/>
      <c r="H90" s="66"/>
      <c r="I90" s="183"/>
      <c r="J90" s="183"/>
      <c r="K90" s="183"/>
      <c r="L90" s="183"/>
      <c r="M90" s="184"/>
      <c r="N90" s="160"/>
      <c r="O90" s="160"/>
      <c r="P90" s="160"/>
      <c r="Q90" s="160"/>
      <c r="R90" s="159"/>
    </row>
    <row r="91" spans="1:22" s="122" customFormat="1" ht="15.75" customHeight="1" x14ac:dyDescent="0.2">
      <c r="A91" s="182" t="s">
        <v>97</v>
      </c>
      <c r="B91" s="813" t="str">
        <f>IF($A91="","",VLOOKUP($A91,Listes!$A$3:$C$193,2,FALSE))</f>
        <v>Panama Canal Surcharge</v>
      </c>
      <c r="C91" s="813"/>
      <c r="D91" s="813"/>
      <c r="E91" s="814"/>
      <c r="F91" s="814"/>
      <c r="G91" s="814"/>
      <c r="H91" s="66"/>
      <c r="I91" s="183"/>
      <c r="J91" s="183"/>
      <c r="K91" s="183"/>
      <c r="L91" s="183"/>
      <c r="M91" s="184"/>
      <c r="N91" s="160"/>
      <c r="O91" s="160"/>
      <c r="P91" s="160"/>
      <c r="Q91" s="160"/>
      <c r="R91" s="159"/>
    </row>
    <row r="92" spans="1:22" s="122" customFormat="1" ht="15.75" customHeight="1" x14ac:dyDescent="0.2">
      <c r="A92" s="182" t="s">
        <v>263</v>
      </c>
      <c r="B92" s="813" t="str">
        <f>IF($A92="","",VLOOKUP($A92,Listes!$A$3:$C$193,2,FALSE))</f>
        <v>Carrier Security Charge</v>
      </c>
      <c r="C92" s="813"/>
      <c r="D92" s="813"/>
      <c r="E92" s="814"/>
      <c r="F92" s="814"/>
      <c r="G92" s="814"/>
      <c r="H92" s="66"/>
      <c r="I92" s="183"/>
      <c r="J92" s="183"/>
      <c r="K92" s="183"/>
      <c r="L92" s="183"/>
      <c r="M92" s="184"/>
      <c r="N92" s="160"/>
      <c r="O92" s="160"/>
      <c r="P92" s="160"/>
      <c r="Q92" s="160"/>
      <c r="R92" s="159"/>
    </row>
    <row r="93" spans="1:22" s="122" customFormat="1" ht="15.75" customHeight="1" x14ac:dyDescent="0.2">
      <c r="A93" s="182" t="s">
        <v>853</v>
      </c>
      <c r="B93" s="813" t="e">
        <f>IF($A93="","",VLOOKUP($A93,Listes!$A$3:$C$193,2,FALSE))</f>
        <v>#N/A</v>
      </c>
      <c r="C93" s="813"/>
      <c r="D93" s="813"/>
      <c r="E93" s="814"/>
      <c r="F93" s="814"/>
      <c r="G93" s="814"/>
      <c r="H93" s="66"/>
      <c r="I93" s="183"/>
      <c r="J93" s="183"/>
      <c r="K93" s="183"/>
      <c r="L93" s="183"/>
      <c r="M93" s="184"/>
      <c r="N93" s="160"/>
      <c r="O93" s="160"/>
      <c r="P93" s="160"/>
      <c r="Q93" s="160"/>
      <c r="R93" s="159"/>
    </row>
    <row r="94" spans="1:22" s="122" customFormat="1" ht="15.75" customHeight="1" x14ac:dyDescent="0.2">
      <c r="A94" s="182" t="s">
        <v>204</v>
      </c>
      <c r="B94" s="813" t="e">
        <f>IF($A94="","",VLOOKUP($A94,Listes!$A$3:$C$193,2,FALSE))</f>
        <v>#N/A</v>
      </c>
      <c r="C94" s="813"/>
      <c r="D94" s="813"/>
      <c r="E94" s="814"/>
      <c r="F94" s="814"/>
      <c r="G94" s="814"/>
      <c r="H94" s="66"/>
      <c r="I94" s="183"/>
      <c r="J94" s="183"/>
      <c r="K94" s="183"/>
      <c r="L94" s="183"/>
      <c r="M94" s="184"/>
      <c r="N94" s="160"/>
      <c r="O94" s="160"/>
      <c r="P94" s="160"/>
      <c r="Q94" s="160"/>
      <c r="R94" s="159"/>
    </row>
    <row r="95" spans="1:22" s="122" customFormat="1" ht="15.75" customHeight="1" x14ac:dyDescent="0.2">
      <c r="A95" s="182" t="s">
        <v>113</v>
      </c>
      <c r="B95" s="813" t="str">
        <f>IF($A95="","",VLOOKUP($A95,Listes!$A$3:$C$193,2,FALSE))</f>
        <v>Reefer Consumption Surcharge</v>
      </c>
      <c r="C95" s="813"/>
      <c r="D95" s="813"/>
      <c r="E95" s="814"/>
      <c r="F95" s="814"/>
      <c r="G95" s="814"/>
      <c r="H95" s="66"/>
      <c r="I95" s="183"/>
      <c r="J95" s="183"/>
      <c r="K95" s="183"/>
      <c r="L95" s="183"/>
      <c r="M95" s="184"/>
      <c r="N95" s="160"/>
      <c r="O95" s="160"/>
      <c r="P95" s="160"/>
      <c r="Q95" s="160"/>
      <c r="R95" s="159"/>
    </row>
    <row r="96" spans="1:22" s="122" customFormat="1" ht="15.75" customHeight="1" x14ac:dyDescent="0.2">
      <c r="A96" s="182" t="s">
        <v>82</v>
      </c>
      <c r="B96" s="813" t="str">
        <f>IF($A96="","",VLOOKUP($A96,Listes!$A$3:$C$193,2,FALSE))</f>
        <v>General Rate Increase</v>
      </c>
      <c r="C96" s="813"/>
      <c r="D96" s="813"/>
      <c r="E96" s="814"/>
      <c r="F96" s="814"/>
      <c r="G96" s="814"/>
      <c r="H96" s="66"/>
      <c r="I96" s="183"/>
      <c r="J96" s="183"/>
      <c r="K96" s="183"/>
      <c r="L96" s="183"/>
      <c r="M96" s="184"/>
      <c r="N96" s="160"/>
      <c r="O96" s="160"/>
      <c r="P96" s="160"/>
      <c r="Q96" s="160"/>
      <c r="R96" s="159"/>
    </row>
    <row r="97" spans="1:21" s="122" customFormat="1" ht="15.75" customHeight="1" x14ac:dyDescent="0.2">
      <c r="A97" s="182" t="s">
        <v>87</v>
      </c>
      <c r="B97" s="813" t="str">
        <f>IF($A97="","",VLOOKUP($A97,Listes!$A$3:$C$193,2,FALSE))</f>
        <v>Peak Season</v>
      </c>
      <c r="C97" s="813"/>
      <c r="D97" s="813"/>
      <c r="E97" s="814"/>
      <c r="F97" s="814"/>
      <c r="G97" s="814"/>
      <c r="H97" s="66"/>
      <c r="I97" s="183"/>
      <c r="J97" s="183"/>
      <c r="K97" s="183"/>
      <c r="L97" s="183"/>
      <c r="M97" s="184"/>
      <c r="N97" s="160"/>
      <c r="O97" s="160"/>
      <c r="P97" s="160"/>
      <c r="Q97" s="160"/>
      <c r="R97" s="159"/>
    </row>
    <row r="98" spans="1:21" s="122" customFormat="1" ht="15.75" customHeight="1" x14ac:dyDescent="0.2">
      <c r="A98" s="182" t="s">
        <v>260</v>
      </c>
      <c r="B98" s="813" t="str">
        <f>IF($A98="","",VLOOKUP($A98,Listes!$A$3:$C$193,2,FALSE))</f>
        <v>Hazardous Fees (Ocean)</v>
      </c>
      <c r="C98" s="813"/>
      <c r="D98" s="813"/>
      <c r="E98" s="814"/>
      <c r="F98" s="814"/>
      <c r="G98" s="814"/>
      <c r="H98" s="66"/>
      <c r="I98" s="183"/>
      <c r="J98" s="183"/>
      <c r="K98" s="183"/>
      <c r="L98" s="183"/>
      <c r="M98" s="184"/>
      <c r="N98" s="160"/>
      <c r="O98" s="160"/>
      <c r="P98" s="160"/>
      <c r="Q98" s="160"/>
      <c r="R98" s="159"/>
    </row>
    <row r="99" spans="1:21" s="122" customFormat="1" ht="15.75" customHeight="1" x14ac:dyDescent="0.2">
      <c r="A99" s="182" t="s">
        <v>500</v>
      </c>
      <c r="B99" s="960" t="str">
        <f>IF($A99="","",VLOOKUP($A99,Listes!$A$3:$C$193,2,FALSE))</f>
        <v>Inland Hazardous Charge Precarriage</v>
      </c>
      <c r="C99" s="961"/>
      <c r="D99" s="962"/>
      <c r="E99" s="963" t="s">
        <v>51</v>
      </c>
      <c r="F99" s="964"/>
      <c r="G99" s="965"/>
      <c r="H99" s="66"/>
      <c r="I99" s="183"/>
      <c r="J99" s="183"/>
      <c r="K99" s="183"/>
      <c r="L99" s="183"/>
      <c r="M99" s="184"/>
      <c r="N99" s="160"/>
      <c r="O99" s="160"/>
      <c r="P99" s="160"/>
      <c r="Q99" s="160"/>
      <c r="R99" s="159"/>
    </row>
    <row r="100" spans="1:21" s="122" customFormat="1" ht="15.75" customHeight="1" x14ac:dyDescent="0.2">
      <c r="A100" s="182" t="s">
        <v>497</v>
      </c>
      <c r="B100" s="960" t="str">
        <f>IF($A100="","",VLOOKUP($A100,Listes!$A$3:$C$193,2,FALSE))</f>
        <v>Inland Hazardous Charge Oncarriage</v>
      </c>
      <c r="C100" s="961"/>
      <c r="D100" s="962"/>
      <c r="E100" s="963" t="s">
        <v>51</v>
      </c>
      <c r="F100" s="964"/>
      <c r="G100" s="965"/>
      <c r="H100" s="66"/>
      <c r="I100" s="183"/>
      <c r="J100" s="183"/>
      <c r="K100" s="183"/>
      <c r="L100" s="183"/>
      <c r="M100" s="184"/>
      <c r="N100" s="160"/>
      <c r="O100" s="160"/>
      <c r="P100" s="160"/>
      <c r="Q100" s="160"/>
      <c r="R100" s="159"/>
    </row>
    <row r="101" spans="1:21" s="122" customFormat="1" ht="15.75" customHeight="1" x14ac:dyDescent="0.2">
      <c r="A101" s="182" t="s">
        <v>277</v>
      </c>
      <c r="B101" s="813" t="str">
        <f>IF($A101="","",VLOOKUP($A101,Listes!$A$3:$C$193,2,FALSE))</f>
        <v>Origin Terminal Security Charge</v>
      </c>
      <c r="C101" s="813"/>
      <c r="D101" s="813"/>
      <c r="E101" s="814"/>
      <c r="F101" s="814"/>
      <c r="G101" s="814"/>
      <c r="H101" s="66"/>
      <c r="I101" s="183"/>
      <c r="J101" s="183"/>
      <c r="K101" s="183"/>
      <c r="L101" s="183"/>
      <c r="M101" s="184"/>
      <c r="N101" s="160"/>
      <c r="O101" s="160"/>
      <c r="P101" s="160"/>
      <c r="Q101" s="160"/>
      <c r="R101" s="159"/>
    </row>
    <row r="102" spans="1:21" s="122" customFormat="1" ht="15.75" customHeight="1" x14ac:dyDescent="0.2">
      <c r="A102" s="182" t="s">
        <v>278</v>
      </c>
      <c r="B102" s="813" t="str">
        <f>IF($A102="","",VLOOKUP($A102,Listes!$A$3:$C$193,2,FALSE))</f>
        <v>Destination Terminal Security Charge</v>
      </c>
      <c r="C102" s="813"/>
      <c r="D102" s="813"/>
      <c r="E102" s="814"/>
      <c r="F102" s="814"/>
      <c r="G102" s="814"/>
      <c r="H102" s="66"/>
      <c r="I102" s="183"/>
      <c r="J102" s="183"/>
      <c r="K102" s="183"/>
      <c r="L102" s="183"/>
      <c r="M102" s="184"/>
      <c r="N102" s="160"/>
      <c r="O102" s="160"/>
      <c r="P102" s="160"/>
      <c r="Q102" s="160"/>
      <c r="R102" s="159"/>
    </row>
    <row r="103" spans="1:21" s="122" customFormat="1" ht="15.75" customHeight="1" x14ac:dyDescent="0.2">
      <c r="A103" s="182" t="s">
        <v>147</v>
      </c>
      <c r="B103" s="813" t="str">
        <f>IF($A103="","",VLOOKUP($A103,Listes!$A$3:$C$193,2,FALSE))</f>
        <v>Open Top</v>
      </c>
      <c r="C103" s="813"/>
      <c r="D103" s="813"/>
      <c r="E103" s="814"/>
      <c r="F103" s="814"/>
      <c r="G103" s="814"/>
      <c r="H103" s="66"/>
      <c r="I103" s="183"/>
      <c r="J103" s="183"/>
      <c r="K103" s="183"/>
      <c r="L103" s="183"/>
      <c r="M103" s="184"/>
      <c r="N103" s="160"/>
      <c r="O103" s="160"/>
      <c r="P103" s="160"/>
      <c r="Q103" s="160"/>
      <c r="R103" s="159"/>
    </row>
    <row r="104" spans="1:21" s="122" customFormat="1" ht="15.75" customHeight="1" x14ac:dyDescent="0.2">
      <c r="A104" s="182" t="s">
        <v>71</v>
      </c>
      <c r="B104" s="813" t="str">
        <f>IF($A104="","",VLOOKUP($A104,Listes!$A$3:$C$193,2,FALSE))</f>
        <v>Flat Rack</v>
      </c>
      <c r="C104" s="813"/>
      <c r="D104" s="813"/>
      <c r="E104" s="814"/>
      <c r="F104" s="814"/>
      <c r="G104" s="814"/>
      <c r="H104" s="66"/>
      <c r="I104" s="183"/>
      <c r="J104" s="183"/>
      <c r="K104" s="183"/>
      <c r="L104" s="183"/>
      <c r="M104" s="184"/>
      <c r="N104" s="160"/>
      <c r="O104" s="160"/>
      <c r="P104" s="160"/>
      <c r="Q104" s="160"/>
      <c r="R104" s="159"/>
    </row>
    <row r="105" spans="1:21" s="122" customFormat="1" ht="156" customHeight="1" thickBot="1" x14ac:dyDescent="0.25">
      <c r="A105" s="185" t="s">
        <v>93</v>
      </c>
      <c r="B105" s="998" t="str">
        <f>IF($A105="","",VLOOKUP($A105,Listes!$A$3:$C$193,2,FALSE))</f>
        <v>Garments on Hanger Additional</v>
      </c>
      <c r="C105" s="999"/>
      <c r="D105" s="1000"/>
      <c r="E105" s="815"/>
      <c r="F105" s="815"/>
      <c r="G105" s="815"/>
      <c r="H105" s="65"/>
      <c r="I105" s="186"/>
      <c r="J105" s="186"/>
      <c r="K105" s="186"/>
      <c r="L105" s="186"/>
      <c r="M105" s="224"/>
      <c r="N105" s="160"/>
      <c r="O105" s="160"/>
      <c r="P105" s="160"/>
      <c r="Q105" s="160"/>
      <c r="R105" s="159"/>
    </row>
    <row r="106" spans="1:21" s="70" customFormat="1" ht="16.5" thickBot="1" x14ac:dyDescent="0.25">
      <c r="A106" s="995" t="s">
        <v>216</v>
      </c>
      <c r="B106" s="996"/>
      <c r="C106" s="996"/>
      <c r="D106" s="996"/>
      <c r="E106" s="1065"/>
      <c r="F106" s="1065"/>
      <c r="G106" s="1065"/>
      <c r="H106" s="1065"/>
      <c r="I106" s="1066"/>
      <c r="J106" s="169"/>
      <c r="K106" s="118"/>
      <c r="L106" s="134"/>
      <c r="M106" s="134"/>
      <c r="N106" s="134"/>
      <c r="O106" s="134"/>
      <c r="P106" s="134"/>
      <c r="Q106" s="118"/>
    </row>
    <row r="107" spans="1:21" s="70" customFormat="1" ht="16.5" thickBot="1" x14ac:dyDescent="0.25">
      <c r="A107" s="1067" t="s">
        <v>597</v>
      </c>
      <c r="B107" s="1057"/>
      <c r="C107" s="1057"/>
      <c r="D107" s="1057"/>
      <c r="E107" s="1057"/>
      <c r="F107" s="1057"/>
      <c r="G107" s="1057"/>
      <c r="H107" s="1057"/>
      <c r="I107" s="1058"/>
      <c r="J107" s="169"/>
      <c r="K107" s="134"/>
      <c r="L107" s="134"/>
      <c r="M107" s="134"/>
      <c r="N107" s="134"/>
      <c r="O107" s="118"/>
    </row>
    <row r="108" spans="1:21" s="70" customFormat="1" ht="16.5" thickBot="1" x14ac:dyDescent="0.25">
      <c r="A108" s="187"/>
      <c r="B108" s="187"/>
      <c r="C108" s="188"/>
      <c r="D108" s="189"/>
      <c r="E108" s="170"/>
      <c r="F108" s="170"/>
      <c r="G108" s="170"/>
      <c r="H108" s="170"/>
      <c r="I108" s="170"/>
      <c r="J108" s="189"/>
      <c r="K108" s="169"/>
      <c r="L108" s="118"/>
      <c r="M108" s="134"/>
      <c r="N108" s="134"/>
      <c r="O108" s="134"/>
      <c r="P108" s="134"/>
      <c r="Q108" s="134"/>
      <c r="R108" s="118"/>
    </row>
    <row r="109" spans="1:21" s="70" customFormat="1" ht="15.6" customHeight="1" x14ac:dyDescent="0.2">
      <c r="A109" s="1059" t="s">
        <v>523</v>
      </c>
      <c r="B109" s="1060"/>
      <c r="C109" s="1060"/>
      <c r="D109" s="1060"/>
      <c r="E109" s="1044" t="s">
        <v>288</v>
      </c>
      <c r="F109" s="1044">
        <v>20</v>
      </c>
      <c r="G109" s="1044">
        <v>40</v>
      </c>
      <c r="H109" s="1044" t="s">
        <v>19</v>
      </c>
      <c r="I109" s="1044" t="s">
        <v>20</v>
      </c>
      <c r="J109" s="1047" t="s">
        <v>297</v>
      </c>
      <c r="K109" s="1047" t="s">
        <v>33</v>
      </c>
      <c r="L109" s="1061" t="s">
        <v>217</v>
      </c>
      <c r="M109" s="189"/>
      <c r="N109" s="134"/>
      <c r="O109" s="134"/>
      <c r="P109" s="134"/>
      <c r="Q109" s="134"/>
      <c r="R109" s="134"/>
      <c r="S109" s="134"/>
      <c r="T109" s="134"/>
      <c r="U109" s="134"/>
    </row>
    <row r="110" spans="1:21" s="70" customFormat="1" x14ac:dyDescent="0.2">
      <c r="A110" s="17" t="s">
        <v>218</v>
      </c>
      <c r="B110" s="18" t="s">
        <v>11</v>
      </c>
      <c r="C110" s="18" t="s">
        <v>12</v>
      </c>
      <c r="D110" s="18" t="s">
        <v>219</v>
      </c>
      <c r="E110" s="1045"/>
      <c r="F110" s="1045"/>
      <c r="G110" s="1045"/>
      <c r="H110" s="1045"/>
      <c r="I110" s="1045"/>
      <c r="J110" s="1048"/>
      <c r="K110" s="1048"/>
      <c r="L110" s="1062"/>
      <c r="M110" s="189"/>
      <c r="N110" s="134"/>
      <c r="O110" s="134"/>
      <c r="P110" s="134"/>
      <c r="Q110" s="134"/>
      <c r="R110" s="134"/>
      <c r="S110" s="134"/>
      <c r="T110" s="134"/>
      <c r="U110" s="134"/>
    </row>
    <row r="111" spans="1:21" s="122" customFormat="1" x14ac:dyDescent="0.2">
      <c r="A111" s="19"/>
      <c r="B111" s="20"/>
      <c r="C111" s="20"/>
      <c r="D111" s="20"/>
      <c r="E111" s="20"/>
      <c r="F111" s="255"/>
      <c r="G111" s="255"/>
      <c r="H111" s="255"/>
      <c r="I111" s="255"/>
      <c r="J111" s="20"/>
      <c r="K111" s="21"/>
      <c r="L111" s="22"/>
      <c r="M111" s="190"/>
      <c r="N111" s="160"/>
      <c r="O111" s="160"/>
      <c r="P111" s="160"/>
      <c r="Q111" s="160"/>
      <c r="R111" s="160"/>
      <c r="S111" s="160"/>
      <c r="T111" s="160"/>
      <c r="U111" s="160"/>
    </row>
    <row r="112" spans="1:21" s="122" customFormat="1" x14ac:dyDescent="0.2">
      <c r="A112" s="23"/>
      <c r="B112" s="20"/>
      <c r="C112" s="20"/>
      <c r="D112" s="20"/>
      <c r="E112" s="20"/>
      <c r="F112" s="255"/>
      <c r="G112" s="255"/>
      <c r="H112" s="255"/>
      <c r="I112" s="255"/>
      <c r="J112" s="24"/>
      <c r="K112" s="21"/>
      <c r="L112" s="25"/>
      <c r="M112" s="191"/>
      <c r="N112" s="160"/>
      <c r="O112" s="160"/>
      <c r="P112" s="160"/>
      <c r="Q112" s="160"/>
      <c r="R112" s="160"/>
      <c r="S112" s="160"/>
      <c r="T112" s="160"/>
      <c r="U112" s="160"/>
    </row>
    <row r="113" spans="1:23" s="122" customFormat="1" x14ac:dyDescent="0.2">
      <c r="A113" s="23"/>
      <c r="B113" s="20"/>
      <c r="C113" s="20"/>
      <c r="D113" s="20"/>
      <c r="E113" s="20"/>
      <c r="F113" s="255"/>
      <c r="G113" s="255"/>
      <c r="H113" s="255"/>
      <c r="I113" s="255"/>
      <c r="J113" s="24"/>
      <c r="K113" s="21"/>
      <c r="L113" s="25"/>
      <c r="M113" s="191"/>
      <c r="N113" s="160"/>
      <c r="O113" s="160"/>
      <c r="P113" s="160"/>
      <c r="Q113" s="160"/>
      <c r="R113" s="160"/>
      <c r="S113" s="160"/>
      <c r="T113" s="160"/>
      <c r="U113" s="160"/>
    </row>
    <row r="114" spans="1:23" s="122" customFormat="1" ht="16.5" thickBot="1" x14ac:dyDescent="0.25">
      <c r="A114" s="26"/>
      <c r="B114" s="27"/>
      <c r="C114" s="27"/>
      <c r="D114" s="27"/>
      <c r="E114" s="27"/>
      <c r="F114" s="256"/>
      <c r="G114" s="256"/>
      <c r="H114" s="256"/>
      <c r="I114" s="256"/>
      <c r="J114" s="28"/>
      <c r="K114" s="29"/>
      <c r="L114" s="30"/>
      <c r="M114" s="191"/>
      <c r="N114" s="160"/>
      <c r="O114" s="160"/>
      <c r="P114" s="160"/>
      <c r="Q114" s="160"/>
      <c r="R114" s="160"/>
      <c r="S114" s="160"/>
      <c r="T114" s="160"/>
      <c r="U114" s="160"/>
    </row>
    <row r="115" spans="1:23" s="122" customFormat="1" x14ac:dyDescent="0.2">
      <c r="A115" s="31"/>
      <c r="B115" s="32"/>
      <c r="C115" s="32"/>
      <c r="D115" s="32"/>
      <c r="E115" s="32"/>
      <c r="F115" s="32"/>
      <c r="G115" s="32"/>
      <c r="H115" s="32"/>
      <c r="I115" s="32"/>
      <c r="J115" s="33"/>
      <c r="K115" s="33"/>
      <c r="L115" s="34"/>
      <c r="M115" s="191"/>
      <c r="N115" s="160"/>
      <c r="O115" s="160"/>
      <c r="P115" s="160"/>
      <c r="Q115" s="160"/>
      <c r="R115" s="160"/>
      <c r="S115" s="160"/>
      <c r="T115" s="160"/>
      <c r="U115" s="160"/>
    </row>
    <row r="116" spans="1:23" s="70" customFormat="1" ht="15.6" hidden="1" customHeight="1" x14ac:dyDescent="0.2">
      <c r="A116" s="1049" t="s">
        <v>596</v>
      </c>
      <c r="B116" s="1046"/>
      <c r="C116" s="1046"/>
      <c r="D116" s="1046"/>
      <c r="E116" s="1042" t="s">
        <v>288</v>
      </c>
      <c r="F116" s="1042">
        <v>20</v>
      </c>
      <c r="G116" s="1042">
        <v>40</v>
      </c>
      <c r="H116" s="1042" t="s">
        <v>19</v>
      </c>
      <c r="I116" s="1042" t="s">
        <v>20</v>
      </c>
      <c r="J116" s="1041" t="s">
        <v>297</v>
      </c>
      <c r="K116" s="1041" t="s">
        <v>33</v>
      </c>
      <c r="L116" s="1043" t="s">
        <v>217</v>
      </c>
      <c r="M116" s="1043" t="s">
        <v>23</v>
      </c>
      <c r="N116" s="169"/>
      <c r="O116" s="118"/>
      <c r="P116" s="134"/>
      <c r="Q116" s="134"/>
      <c r="R116" s="134"/>
      <c r="S116" s="134"/>
      <c r="T116" s="134"/>
      <c r="U116" s="134"/>
      <c r="V116" s="134"/>
      <c r="W116" s="134"/>
    </row>
    <row r="117" spans="1:23" s="70" customFormat="1" hidden="1" x14ac:dyDescent="0.2">
      <c r="A117" s="374" t="s">
        <v>218</v>
      </c>
      <c r="B117" s="374" t="s">
        <v>11</v>
      </c>
      <c r="C117" s="374" t="s">
        <v>12</v>
      </c>
      <c r="D117" s="374" t="s">
        <v>219</v>
      </c>
      <c r="E117" s="1046"/>
      <c r="F117" s="1046"/>
      <c r="G117" s="1046"/>
      <c r="H117" s="1046"/>
      <c r="I117" s="1046"/>
      <c r="J117" s="1042"/>
      <c r="K117" s="1042"/>
      <c r="L117" s="1043"/>
      <c r="M117" s="1043"/>
      <c r="N117" s="169"/>
      <c r="O117" s="118"/>
      <c r="P117" s="134"/>
      <c r="Q117" s="134"/>
      <c r="R117" s="134"/>
      <c r="S117" s="134"/>
      <c r="T117" s="134"/>
      <c r="U117" s="134"/>
      <c r="V117" s="134"/>
      <c r="W117" s="134"/>
    </row>
    <row r="118" spans="1:23" s="122" customFormat="1" hidden="1" x14ac:dyDescent="0.2">
      <c r="A118" s="372"/>
      <c r="B118" s="367"/>
      <c r="C118" s="367"/>
      <c r="D118" s="367"/>
      <c r="E118" s="367"/>
      <c r="F118" s="368"/>
      <c r="G118" s="368"/>
      <c r="H118" s="368"/>
      <c r="I118" s="368"/>
      <c r="J118" s="369"/>
      <c r="K118" s="370"/>
      <c r="L118" s="371"/>
      <c r="M118" s="371"/>
      <c r="N118" s="192"/>
      <c r="O118" s="159"/>
      <c r="P118" s="160"/>
      <c r="Q118" s="160"/>
      <c r="R118" s="160"/>
      <c r="S118" s="160"/>
      <c r="T118" s="160"/>
      <c r="U118" s="160"/>
      <c r="V118" s="160"/>
      <c r="W118" s="160"/>
    </row>
    <row r="119" spans="1:23" s="122" customFormat="1" hidden="1" x14ac:dyDescent="0.2">
      <c r="A119" s="372"/>
      <c r="B119" s="367"/>
      <c r="C119" s="367"/>
      <c r="D119" s="367"/>
      <c r="E119" s="367"/>
      <c r="F119" s="368"/>
      <c r="G119" s="368"/>
      <c r="H119" s="368"/>
      <c r="I119" s="368"/>
      <c r="J119" s="369"/>
      <c r="K119" s="370"/>
      <c r="L119" s="371"/>
      <c r="M119" s="371"/>
      <c r="N119" s="192"/>
      <c r="O119" s="159"/>
      <c r="P119" s="160"/>
      <c r="Q119" s="160"/>
      <c r="R119" s="160"/>
      <c r="S119" s="160"/>
      <c r="T119" s="160"/>
      <c r="U119" s="160"/>
      <c r="V119" s="160"/>
      <c r="W119" s="160"/>
    </row>
    <row r="120" spans="1:23" s="122" customFormat="1" hidden="1" x14ac:dyDescent="0.2">
      <c r="A120" s="372"/>
      <c r="B120" s="367"/>
      <c r="C120" s="367"/>
      <c r="D120" s="367"/>
      <c r="E120" s="367"/>
      <c r="F120" s="368"/>
      <c r="G120" s="368"/>
      <c r="H120" s="368"/>
      <c r="I120" s="368"/>
      <c r="J120" s="369"/>
      <c r="K120" s="370"/>
      <c r="L120" s="371"/>
      <c r="M120" s="371"/>
      <c r="N120" s="192"/>
      <c r="O120" s="159"/>
      <c r="P120" s="160"/>
      <c r="Q120" s="160"/>
      <c r="R120" s="160"/>
      <c r="S120" s="160"/>
      <c r="T120" s="160"/>
      <c r="U120" s="160"/>
      <c r="V120" s="160"/>
      <c r="W120" s="160"/>
    </row>
    <row r="121" spans="1:23" s="122" customFormat="1" hidden="1" x14ac:dyDescent="0.2">
      <c r="A121" s="372"/>
      <c r="B121" s="367"/>
      <c r="C121" s="367"/>
      <c r="D121" s="367"/>
      <c r="E121" s="367"/>
      <c r="F121" s="368"/>
      <c r="G121" s="368"/>
      <c r="H121" s="368"/>
      <c r="I121" s="368"/>
      <c r="J121" s="369"/>
      <c r="K121" s="370"/>
      <c r="L121" s="373"/>
      <c r="M121" s="373"/>
      <c r="N121" s="191"/>
      <c r="O121" s="159"/>
      <c r="P121" s="160"/>
      <c r="Q121" s="160"/>
      <c r="R121" s="160"/>
      <c r="S121" s="160"/>
      <c r="T121" s="160"/>
      <c r="U121" s="160"/>
      <c r="V121" s="160"/>
      <c r="W121" s="160"/>
    </row>
    <row r="122" spans="1:23" s="70" customFormat="1" x14ac:dyDescent="0.2">
      <c r="A122" s="85"/>
      <c r="B122" s="193"/>
      <c r="C122" s="193"/>
      <c r="D122" s="193"/>
      <c r="E122" s="193"/>
      <c r="F122" s="194"/>
      <c r="G122" s="162"/>
      <c r="H122" s="195"/>
      <c r="I122" s="195"/>
      <c r="J122" s="176"/>
      <c r="K122" s="118"/>
      <c r="L122" s="134"/>
      <c r="M122" s="134"/>
      <c r="N122" s="134"/>
      <c r="O122" s="134"/>
      <c r="P122" s="134"/>
      <c r="Q122" s="134"/>
    </row>
    <row r="123" spans="1:23" s="85" customFormat="1" ht="16.5" thickBot="1" x14ac:dyDescent="0.25">
      <c r="A123" s="196"/>
      <c r="B123" s="197"/>
      <c r="C123" s="198"/>
      <c r="D123" s="198"/>
      <c r="E123" s="169"/>
      <c r="F123" s="176"/>
      <c r="G123" s="176"/>
      <c r="H123" s="176"/>
      <c r="I123" s="176"/>
      <c r="J123" s="170"/>
      <c r="K123" s="118"/>
      <c r="L123" s="134"/>
      <c r="M123" s="134"/>
      <c r="N123" s="134"/>
      <c r="O123" s="134"/>
      <c r="P123" s="134"/>
      <c r="Q123" s="134"/>
      <c r="R123" s="134"/>
      <c r="S123" s="118"/>
      <c r="T123" s="118"/>
      <c r="U123" s="118"/>
    </row>
    <row r="124" spans="1:23" s="85" customFormat="1" ht="16.5" thickBot="1" x14ac:dyDescent="0.25">
      <c r="A124" s="1054" t="s">
        <v>220</v>
      </c>
      <c r="B124" s="1055"/>
      <c r="C124" s="1055"/>
      <c r="D124" s="1055"/>
      <c r="E124" s="1056"/>
      <c r="F124" s="176"/>
      <c r="G124" s="176"/>
      <c r="H124" s="176"/>
      <c r="I124" s="176"/>
      <c r="J124" s="170"/>
      <c r="K124" s="118"/>
      <c r="L124" s="134"/>
      <c r="M124" s="134"/>
      <c r="N124" s="134"/>
      <c r="O124" s="134"/>
      <c r="P124" s="134"/>
      <c r="Q124" s="134"/>
      <c r="R124" s="134"/>
      <c r="S124" s="118"/>
      <c r="T124" s="118"/>
      <c r="U124" s="118"/>
    </row>
    <row r="125" spans="1:23" s="70" customFormat="1" ht="16.5" thickBot="1" x14ac:dyDescent="0.25">
      <c r="A125" s="199"/>
      <c r="B125" s="85"/>
      <c r="C125" s="85"/>
      <c r="D125" s="85"/>
      <c r="E125" s="85"/>
      <c r="F125" s="194"/>
      <c r="G125" s="85"/>
      <c r="H125" s="200"/>
      <c r="I125" s="194"/>
      <c r="J125" s="194"/>
      <c r="K125" s="118"/>
      <c r="L125" s="134"/>
      <c r="M125" s="134"/>
      <c r="N125" s="134"/>
      <c r="O125" s="134"/>
      <c r="P125" s="134"/>
      <c r="Q125" s="134"/>
      <c r="R125" s="134"/>
      <c r="S125" s="118"/>
      <c r="T125" s="118"/>
      <c r="U125" s="118"/>
    </row>
    <row r="126" spans="1:23" s="70" customFormat="1" ht="16.5" thickBot="1" x14ac:dyDescent="0.25">
      <c r="A126" s="1039" t="s">
        <v>221</v>
      </c>
      <c r="B126" s="1063"/>
      <c r="C126" s="1063"/>
      <c r="D126" s="1063"/>
      <c r="E126" s="1063"/>
      <c r="F126" s="1064"/>
      <c r="G126" s="85"/>
      <c r="H126" s="200"/>
      <c r="I126" s="194"/>
      <c r="J126" s="194"/>
      <c r="K126" s="118"/>
      <c r="L126" s="134"/>
      <c r="M126" s="134"/>
      <c r="N126" s="134"/>
      <c r="O126" s="134"/>
      <c r="P126" s="134"/>
      <c r="Q126" s="134"/>
      <c r="R126" s="134"/>
      <c r="S126" s="118"/>
      <c r="T126" s="118"/>
      <c r="U126" s="118"/>
    </row>
    <row r="127" spans="1:23" s="70" customFormat="1" ht="16.5" customHeight="1" x14ac:dyDescent="0.2">
      <c r="A127" s="835" t="s">
        <v>222</v>
      </c>
      <c r="B127" s="1050"/>
      <c r="C127" s="1050"/>
      <c r="D127" s="1050"/>
      <c r="E127" s="1050"/>
      <c r="F127" s="1051"/>
      <c r="G127" s="85"/>
      <c r="H127" s="201"/>
      <c r="I127" s="170"/>
      <c r="J127" s="170"/>
      <c r="K127" s="118"/>
      <c r="L127" s="134"/>
      <c r="M127" s="134"/>
      <c r="N127" s="134"/>
      <c r="O127" s="134"/>
      <c r="P127" s="134"/>
      <c r="Q127" s="134"/>
      <c r="R127" s="134"/>
      <c r="S127" s="118"/>
      <c r="T127" s="118"/>
      <c r="U127" s="118"/>
    </row>
    <row r="128" spans="1:23" ht="16.5" thickBot="1" x14ac:dyDescent="0.25">
      <c r="A128" s="832" t="s">
        <v>223</v>
      </c>
      <c r="B128" s="1057"/>
      <c r="C128" s="1057"/>
      <c r="D128" s="1057"/>
      <c r="E128" s="1057"/>
      <c r="F128" s="1058"/>
      <c r="G128" s="176"/>
      <c r="H128" s="176"/>
      <c r="I128" s="176"/>
      <c r="J128" s="169"/>
      <c r="K128" s="169"/>
      <c r="L128" s="169"/>
      <c r="M128" s="169"/>
      <c r="N128" s="169"/>
      <c r="O128" s="169"/>
      <c r="P128" s="169"/>
      <c r="Q128" s="169"/>
      <c r="R128" s="169"/>
      <c r="S128" s="169"/>
      <c r="T128" s="169"/>
      <c r="U128" s="169"/>
    </row>
    <row r="129" spans="1:21" x14ac:dyDescent="0.2">
      <c r="A129" s="280" t="s">
        <v>224</v>
      </c>
      <c r="B129" s="3" t="s">
        <v>225</v>
      </c>
      <c r="C129" s="79" t="s">
        <v>226</v>
      </c>
      <c r="D129" s="202" t="s">
        <v>227</v>
      </c>
      <c r="E129" s="176"/>
      <c r="F129" s="176"/>
      <c r="G129" s="176"/>
      <c r="H129" s="169"/>
      <c r="I129" s="169"/>
      <c r="J129" s="169"/>
      <c r="K129" s="169"/>
      <c r="L129" s="169"/>
      <c r="M129" s="169"/>
      <c r="N129" s="169"/>
      <c r="O129" s="169"/>
      <c r="P129" s="169"/>
      <c r="Q129" s="169"/>
      <c r="R129" s="169"/>
    </row>
    <row r="130" spans="1:21" s="192" customFormat="1" x14ac:dyDescent="0.2">
      <c r="A130" s="203"/>
      <c r="B130" s="204"/>
      <c r="C130" s="205"/>
      <c r="D130" s="206"/>
      <c r="E130" s="191"/>
      <c r="F130" s="191"/>
      <c r="G130" s="191"/>
    </row>
    <row r="131" spans="1:21" s="192" customFormat="1" x14ac:dyDescent="0.2">
      <c r="A131" s="203"/>
      <c r="B131" s="204"/>
      <c r="C131" s="205"/>
      <c r="D131" s="206"/>
      <c r="E131" s="191"/>
      <c r="F131" s="191"/>
      <c r="G131" s="191"/>
    </row>
    <row r="132" spans="1:21" s="192" customFormat="1" ht="16.5" thickBot="1" x14ac:dyDescent="0.25">
      <c r="A132" s="207"/>
      <c r="B132" s="208"/>
      <c r="C132" s="209"/>
      <c r="D132" s="210"/>
      <c r="E132" s="191"/>
      <c r="F132" s="191"/>
      <c r="G132" s="191"/>
    </row>
    <row r="133" spans="1:21" ht="16.5" thickBot="1" x14ac:dyDescent="0.25"/>
    <row r="134" spans="1:21" s="70" customFormat="1" ht="16.5" thickBot="1" x14ac:dyDescent="0.25">
      <c r="A134" s="1054" t="s">
        <v>228</v>
      </c>
      <c r="B134" s="1055"/>
      <c r="C134" s="1055"/>
      <c r="D134" s="1055"/>
      <c r="E134" s="1055"/>
      <c r="F134" s="1055"/>
      <c r="G134" s="1055"/>
      <c r="H134" s="1055"/>
      <c r="I134" s="1056"/>
      <c r="J134" s="169"/>
      <c r="K134" s="118"/>
      <c r="L134" s="134"/>
      <c r="M134" s="134"/>
      <c r="N134" s="134"/>
      <c r="O134" s="134"/>
      <c r="P134" s="134"/>
      <c r="Q134" s="134"/>
      <c r="R134" s="134"/>
      <c r="S134" s="118"/>
      <c r="T134" s="118"/>
      <c r="U134" s="118"/>
    </row>
    <row r="135" spans="1:21" s="70" customFormat="1" ht="16.5" thickBot="1" x14ac:dyDescent="0.25">
      <c r="A135" s="212" t="s">
        <v>229</v>
      </c>
      <c r="B135" s="213"/>
      <c r="C135" s="214"/>
      <c r="D135" s="214"/>
      <c r="E135" s="214"/>
      <c r="F135" s="214"/>
      <c r="G135" s="215"/>
      <c r="H135" s="216"/>
      <c r="I135" s="217"/>
      <c r="J135" s="170"/>
      <c r="K135" s="118"/>
      <c r="L135" s="134"/>
      <c r="M135" s="134"/>
      <c r="N135" s="134"/>
      <c r="O135" s="134"/>
      <c r="P135" s="134"/>
      <c r="Q135" s="134"/>
      <c r="R135" s="134"/>
      <c r="S135" s="118"/>
      <c r="T135" s="118"/>
      <c r="U135" s="118"/>
    </row>
    <row r="136" spans="1:21" s="174" customFormat="1" x14ac:dyDescent="0.2">
      <c r="A136" s="228"/>
      <c r="B136" s="949"/>
      <c r="C136" s="1052"/>
      <c r="D136" s="1052"/>
      <c r="E136" s="1052"/>
      <c r="F136" s="1052"/>
      <c r="G136" s="1052"/>
      <c r="H136" s="1052"/>
      <c r="I136" s="1053"/>
      <c r="J136" s="171"/>
      <c r="K136" s="172"/>
      <c r="L136" s="173"/>
      <c r="M136" s="173"/>
      <c r="N136" s="173"/>
      <c r="O136" s="173"/>
      <c r="P136" s="173"/>
      <c r="Q136" s="173"/>
      <c r="R136" s="173"/>
      <c r="S136" s="172"/>
      <c r="T136" s="172"/>
      <c r="U136" s="172"/>
    </row>
    <row r="137" spans="1:21" s="218" customFormat="1" x14ac:dyDescent="0.2">
      <c r="A137" s="281"/>
      <c r="B137" s="816"/>
      <c r="C137" s="1035"/>
      <c r="D137" s="1035"/>
      <c r="E137" s="1035"/>
      <c r="F137" s="1035"/>
      <c r="G137" s="1035"/>
      <c r="H137" s="1035"/>
      <c r="I137" s="1036"/>
    </row>
    <row r="138" spans="1:21" s="218" customFormat="1" x14ac:dyDescent="0.2">
      <c r="A138" s="281"/>
      <c r="B138" s="816"/>
      <c r="C138" s="1035"/>
      <c r="D138" s="1035"/>
      <c r="E138" s="1035"/>
      <c r="F138" s="1035"/>
      <c r="G138" s="1035"/>
      <c r="H138" s="1035"/>
      <c r="I138" s="1036"/>
    </row>
    <row r="139" spans="1:21" s="218" customFormat="1" x14ac:dyDescent="0.2">
      <c r="A139" s="281"/>
      <c r="B139" s="816"/>
      <c r="C139" s="1035"/>
      <c r="D139" s="1035"/>
      <c r="E139" s="1035"/>
      <c r="F139" s="1035"/>
      <c r="G139" s="1035"/>
      <c r="H139" s="1035"/>
      <c r="I139" s="1036"/>
    </row>
    <row r="140" spans="1:21" s="218" customFormat="1" x14ac:dyDescent="0.2">
      <c r="A140" s="281"/>
      <c r="B140" s="816"/>
      <c r="C140" s="1035"/>
      <c r="D140" s="1035"/>
      <c r="E140" s="1035"/>
      <c r="F140" s="1035"/>
      <c r="G140" s="1035"/>
      <c r="H140" s="1035"/>
      <c r="I140" s="1036"/>
    </row>
    <row r="141" spans="1:21" s="218" customFormat="1" x14ac:dyDescent="0.2">
      <c r="A141" s="281"/>
      <c r="B141" s="816"/>
      <c r="C141" s="1035"/>
      <c r="D141" s="1035"/>
      <c r="E141" s="1035"/>
      <c r="F141" s="1035"/>
      <c r="G141" s="1035"/>
      <c r="H141" s="1035"/>
      <c r="I141" s="1036"/>
    </row>
    <row r="142" spans="1:21" s="218" customFormat="1" x14ac:dyDescent="0.2">
      <c r="A142" s="281"/>
      <c r="B142" s="816"/>
      <c r="C142" s="1035"/>
      <c r="D142" s="1035"/>
      <c r="E142" s="1035"/>
      <c r="F142" s="1035"/>
      <c r="G142" s="1035"/>
      <c r="H142" s="1035"/>
      <c r="I142" s="1036"/>
    </row>
    <row r="143" spans="1:21" s="218" customFormat="1" x14ac:dyDescent="0.2">
      <c r="A143" s="281"/>
      <c r="B143" s="816"/>
      <c r="C143" s="1035"/>
      <c r="D143" s="1035"/>
      <c r="E143" s="1035"/>
      <c r="F143" s="1035"/>
      <c r="G143" s="1035"/>
      <c r="H143" s="1035"/>
      <c r="I143" s="1036"/>
    </row>
    <row r="144" spans="1:21" s="218" customFormat="1" x14ac:dyDescent="0.2">
      <c r="A144" s="281"/>
      <c r="B144" s="816"/>
      <c r="C144" s="1035"/>
      <c r="D144" s="1035"/>
      <c r="E144" s="1035"/>
      <c r="F144" s="1035"/>
      <c r="G144" s="1035"/>
      <c r="H144" s="1035"/>
      <c r="I144" s="1036"/>
    </row>
    <row r="145" spans="1:13" s="218" customFormat="1" x14ac:dyDescent="0.2">
      <c r="A145" s="281"/>
      <c r="B145" s="816"/>
      <c r="C145" s="1035"/>
      <c r="D145" s="1035"/>
      <c r="E145" s="1035"/>
      <c r="F145" s="1035"/>
      <c r="G145" s="1035"/>
      <c r="H145" s="1035"/>
      <c r="I145" s="1036"/>
    </row>
    <row r="146" spans="1:13" s="218" customFormat="1" x14ac:dyDescent="0.2">
      <c r="A146" s="281"/>
      <c r="B146" s="816"/>
      <c r="C146" s="1035"/>
      <c r="D146" s="1035"/>
      <c r="E146" s="1035"/>
      <c r="F146" s="1035"/>
      <c r="G146" s="1035"/>
      <c r="H146" s="1035"/>
      <c r="I146" s="1036"/>
    </row>
    <row r="147" spans="1:13" s="218" customFormat="1" x14ac:dyDescent="0.2">
      <c r="A147" s="281"/>
      <c r="B147" s="816"/>
      <c r="C147" s="1035"/>
      <c r="D147" s="1035"/>
      <c r="E147" s="1035"/>
      <c r="F147" s="1035"/>
      <c r="G147" s="1035"/>
      <c r="H147" s="1035"/>
      <c r="I147" s="1036"/>
    </row>
    <row r="148" spans="1:13" s="218" customFormat="1" x14ac:dyDescent="0.2">
      <c r="A148" s="281"/>
      <c r="B148" s="816"/>
      <c r="C148" s="1035"/>
      <c r="D148" s="1035"/>
      <c r="E148" s="1035"/>
      <c r="F148" s="1035"/>
      <c r="G148" s="1035"/>
      <c r="H148" s="1035"/>
      <c r="I148" s="1036"/>
    </row>
    <row r="149" spans="1:13" s="218" customFormat="1" x14ac:dyDescent="0.2">
      <c r="A149" s="281"/>
      <c r="B149" s="816"/>
      <c r="C149" s="1035"/>
      <c r="D149" s="1035"/>
      <c r="E149" s="1035"/>
      <c r="F149" s="1035"/>
      <c r="G149" s="1035"/>
      <c r="H149" s="1035"/>
      <c r="I149" s="1036"/>
    </row>
    <row r="150" spans="1:13" s="218" customFormat="1" ht="16.5" thickBot="1" x14ac:dyDescent="0.25">
      <c r="A150" s="282"/>
      <c r="B150" s="819"/>
      <c r="C150" s="1037"/>
      <c r="D150" s="1037"/>
      <c r="E150" s="1037"/>
      <c r="F150" s="1037"/>
      <c r="G150" s="1037"/>
      <c r="H150" s="1037"/>
      <c r="I150" s="1038"/>
    </row>
    <row r="152" spans="1:13" s="218" customFormat="1" x14ac:dyDescent="0.2">
      <c r="F152" s="337"/>
      <c r="G152" s="337"/>
      <c r="H152" s="337"/>
      <c r="I152" s="337"/>
    </row>
    <row r="153" spans="1:13" s="218" customFormat="1" ht="16.5" thickBot="1" x14ac:dyDescent="0.25">
      <c r="F153" s="337"/>
      <c r="G153" s="337"/>
      <c r="H153" s="337"/>
      <c r="I153" s="337"/>
    </row>
    <row r="154" spans="1:13" s="218" customFormat="1" ht="16.5" thickBot="1" x14ac:dyDescent="0.25">
      <c r="A154" s="1039" t="s">
        <v>3</v>
      </c>
      <c r="B154" s="1040"/>
      <c r="F154" s="337"/>
      <c r="G154" s="337"/>
      <c r="H154" s="337"/>
      <c r="I154" s="337"/>
    </row>
    <row r="155" spans="1:13" s="347" customFormat="1" ht="16.5" thickBot="1" x14ac:dyDescent="0.25">
      <c r="A155" s="338"/>
      <c r="B155" s="338"/>
      <c r="F155" s="348"/>
      <c r="G155" s="348"/>
      <c r="H155" s="348"/>
      <c r="I155" s="348"/>
    </row>
    <row r="156" spans="1:13" s="218" customFormat="1" ht="15.75" customHeight="1" thickBot="1" x14ac:dyDescent="0.25">
      <c r="A156" s="1023" t="s">
        <v>2</v>
      </c>
      <c r="B156" s="1024"/>
      <c r="C156" s="1024"/>
      <c r="D156" s="1024"/>
      <c r="E156" s="1024"/>
      <c r="F156" s="1024"/>
      <c r="G156" s="1025"/>
      <c r="H156" s="337"/>
      <c r="I156" s="337"/>
    </row>
    <row r="157" spans="1:13" s="347" customFormat="1" ht="15.75" customHeight="1" thickBot="1" x14ac:dyDescent="0.25">
      <c r="A157" s="338"/>
      <c r="B157" s="338"/>
      <c r="C157" s="338"/>
      <c r="D157" s="338"/>
      <c r="E157" s="338"/>
      <c r="F157" s="338"/>
      <c r="G157" s="338"/>
      <c r="H157" s="348"/>
      <c r="I157" s="348"/>
    </row>
    <row r="158" spans="1:13" s="218" customFormat="1" ht="15.75" customHeight="1" thickBot="1" x14ac:dyDescent="0.25">
      <c r="A158" s="1020" t="s">
        <v>1</v>
      </c>
      <c r="B158" s="1021"/>
      <c r="C158" s="1021"/>
      <c r="D158" s="1021"/>
      <c r="E158" s="1022"/>
      <c r="F158" s="339"/>
      <c r="G158" s="339"/>
      <c r="H158" s="337"/>
      <c r="I158" s="337"/>
    </row>
    <row r="159" spans="1:13" s="218" customFormat="1" x14ac:dyDescent="0.2">
      <c r="A159" s="1030" t="s">
        <v>627</v>
      </c>
      <c r="B159" s="1028" t="s">
        <v>427</v>
      </c>
      <c r="C159" s="1026" t="s">
        <v>0</v>
      </c>
      <c r="D159" s="1026" t="s">
        <v>609</v>
      </c>
      <c r="E159" s="1028" t="s">
        <v>426</v>
      </c>
      <c r="F159" s="1026" t="s">
        <v>436</v>
      </c>
      <c r="G159" s="1026" t="s">
        <v>421</v>
      </c>
      <c r="H159" s="1026" t="s">
        <v>628</v>
      </c>
      <c r="I159" s="1026" t="s">
        <v>11</v>
      </c>
      <c r="J159" s="1026" t="s">
        <v>12</v>
      </c>
      <c r="K159" s="1026" t="s">
        <v>13</v>
      </c>
      <c r="L159" s="1026" t="s">
        <v>610</v>
      </c>
      <c r="M159" s="1033"/>
    </row>
    <row r="160" spans="1:13" s="218" customFormat="1" ht="32.25" customHeight="1" thickBot="1" x14ac:dyDescent="0.25">
      <c r="A160" s="1031"/>
      <c r="B160" s="1029"/>
      <c r="C160" s="1027"/>
      <c r="D160" s="1027"/>
      <c r="E160" s="1029"/>
      <c r="F160" s="1027"/>
      <c r="G160" s="1027"/>
      <c r="H160" s="1027"/>
      <c r="I160" s="1027"/>
      <c r="J160" s="1027"/>
      <c r="K160" s="1027"/>
      <c r="L160" s="1027"/>
      <c r="M160" s="1034"/>
    </row>
    <row r="161" spans="1:22" s="218" customFormat="1" x14ac:dyDescent="0.2">
      <c r="A161" s="344"/>
      <c r="B161" s="340"/>
      <c r="C161" s="332"/>
      <c r="D161" s="340"/>
      <c r="E161" s="340"/>
      <c r="F161" s="340"/>
      <c r="G161" s="340"/>
      <c r="H161" s="340"/>
      <c r="I161" s="340"/>
      <c r="J161" s="340"/>
      <c r="K161" s="340"/>
      <c r="L161" s="810"/>
      <c r="M161" s="811"/>
    </row>
    <row r="162" spans="1:22" s="218" customFormat="1" x14ac:dyDescent="0.2">
      <c r="A162" s="345"/>
      <c r="B162" s="341"/>
      <c r="C162" s="331"/>
      <c r="D162" s="341"/>
      <c r="E162" s="341"/>
      <c r="F162" s="341"/>
      <c r="G162" s="341"/>
      <c r="H162" s="341"/>
      <c r="I162" s="341"/>
      <c r="J162" s="341"/>
      <c r="K162" s="341"/>
      <c r="L162" s="790"/>
      <c r="M162" s="791"/>
    </row>
    <row r="163" spans="1:22" s="218" customFormat="1" x14ac:dyDescent="0.2">
      <c r="A163" s="345"/>
      <c r="B163" s="341"/>
      <c r="C163" s="331"/>
      <c r="D163" s="341"/>
      <c r="E163" s="341"/>
      <c r="F163" s="341"/>
      <c r="G163" s="341"/>
      <c r="H163" s="341"/>
      <c r="I163" s="341"/>
      <c r="J163" s="341"/>
      <c r="K163" s="341"/>
      <c r="L163" s="790"/>
      <c r="M163" s="791"/>
    </row>
    <row r="164" spans="1:22" s="218" customFormat="1" x14ac:dyDescent="0.2">
      <c r="A164" s="345"/>
      <c r="B164" s="341"/>
      <c r="C164" s="331"/>
      <c r="D164" s="341"/>
      <c r="E164" s="341"/>
      <c r="F164" s="341"/>
      <c r="G164" s="341"/>
      <c r="H164" s="341"/>
      <c r="I164" s="341"/>
      <c r="J164" s="341"/>
      <c r="K164" s="341"/>
      <c r="L164" s="790"/>
      <c r="M164" s="791"/>
    </row>
    <row r="165" spans="1:22" s="218" customFormat="1" x14ac:dyDescent="0.2">
      <c r="A165" s="345"/>
      <c r="B165" s="341"/>
      <c r="C165" s="331"/>
      <c r="D165" s="341"/>
      <c r="E165" s="341"/>
      <c r="F165" s="341"/>
      <c r="G165" s="341"/>
      <c r="H165" s="341"/>
      <c r="I165" s="341"/>
      <c r="J165" s="341"/>
      <c r="K165" s="341"/>
      <c r="L165" s="790"/>
      <c r="M165" s="791"/>
    </row>
    <row r="166" spans="1:22" s="218" customFormat="1" ht="16.5" thickBot="1" x14ac:dyDescent="0.25">
      <c r="A166" s="346"/>
      <c r="B166" s="342"/>
      <c r="C166" s="336"/>
      <c r="D166" s="342"/>
      <c r="E166" s="342"/>
      <c r="F166" s="342"/>
      <c r="G166" s="342"/>
      <c r="H166" s="342"/>
      <c r="I166" s="342"/>
      <c r="J166" s="342"/>
      <c r="K166" s="342"/>
      <c r="L166" s="794"/>
      <c r="M166" s="795"/>
    </row>
    <row r="167" spans="1:22" s="218" customFormat="1" x14ac:dyDescent="0.2">
      <c r="F167" s="337"/>
      <c r="G167" s="337"/>
      <c r="H167" s="337"/>
      <c r="I167" s="337"/>
    </row>
    <row r="168" spans="1:22" s="218" customFormat="1" ht="16.5" hidden="1" thickBot="1" x14ac:dyDescent="0.25">
      <c r="F168" s="337"/>
      <c r="G168" s="337"/>
      <c r="H168" s="337"/>
      <c r="I168" s="337"/>
    </row>
    <row r="169" spans="1:22" s="218" customFormat="1" ht="16.5" hidden="1" thickBot="1" x14ac:dyDescent="0.25">
      <c r="A169" s="1023" t="s">
        <v>790</v>
      </c>
      <c r="B169" s="1024"/>
      <c r="C169" s="1024"/>
      <c r="D169" s="1024"/>
      <c r="E169" s="1024"/>
      <c r="F169" s="1024"/>
      <c r="G169" s="1025"/>
      <c r="H169" s="337"/>
      <c r="I169" s="337"/>
    </row>
    <row r="170" spans="1:22" s="192" customFormat="1" ht="16.5" hidden="1" thickBot="1" x14ac:dyDescent="0.25">
      <c r="F170" s="191"/>
      <c r="G170" s="191"/>
      <c r="H170" s="191"/>
      <c r="I170" s="191"/>
    </row>
    <row r="171" spans="1:22" s="218" customFormat="1" ht="16.5" hidden="1" thickBot="1" x14ac:dyDescent="0.25">
      <c r="A171" s="1020" t="s">
        <v>1</v>
      </c>
      <c r="B171" s="1021"/>
      <c r="C171" s="1021"/>
      <c r="D171" s="1021"/>
      <c r="E171" s="1021"/>
      <c r="F171" s="1021"/>
      <c r="G171" s="1021"/>
      <c r="H171" s="1022"/>
      <c r="I171" s="337"/>
    </row>
    <row r="172" spans="1:22" s="218" customFormat="1" ht="16.5" hidden="1" customHeight="1" thickBot="1" x14ac:dyDescent="0.25">
      <c r="A172" s="1030" t="s">
        <v>627</v>
      </c>
      <c r="B172" s="1028" t="s">
        <v>427</v>
      </c>
      <c r="C172" s="1026" t="s">
        <v>0</v>
      </c>
      <c r="D172" s="1026" t="s">
        <v>609</v>
      </c>
      <c r="E172" s="1028" t="s">
        <v>426</v>
      </c>
      <c r="F172" s="1026" t="s">
        <v>42</v>
      </c>
      <c r="G172" s="1032" t="s">
        <v>789</v>
      </c>
      <c r="H172" s="1032"/>
      <c r="I172" s="1032"/>
      <c r="J172" s="1032"/>
      <c r="K172" s="1032"/>
      <c r="L172" s="1032"/>
      <c r="M172" s="1032"/>
      <c r="N172" s="1032"/>
      <c r="O172" s="1026" t="s">
        <v>436</v>
      </c>
      <c r="P172" s="1026" t="s">
        <v>421</v>
      </c>
      <c r="Q172" s="1026" t="s">
        <v>628</v>
      </c>
      <c r="R172" s="1026" t="s">
        <v>11</v>
      </c>
      <c r="S172" s="1026" t="s">
        <v>12</v>
      </c>
      <c r="T172" s="1026" t="s">
        <v>13</v>
      </c>
      <c r="U172" s="1026" t="s">
        <v>610</v>
      </c>
      <c r="V172" s="1033"/>
    </row>
    <row r="173" spans="1:22" s="218" customFormat="1" ht="32.25" hidden="1" thickBot="1" x14ac:dyDescent="0.25">
      <c r="A173" s="1031"/>
      <c r="B173" s="1029"/>
      <c r="C173" s="1027"/>
      <c r="D173" s="1027"/>
      <c r="E173" s="1029"/>
      <c r="F173" s="1027"/>
      <c r="G173" s="12" t="s">
        <v>432</v>
      </c>
      <c r="H173" s="12" t="s">
        <v>43</v>
      </c>
      <c r="I173" s="12" t="s">
        <v>433</v>
      </c>
      <c r="J173" s="12" t="s">
        <v>44</v>
      </c>
      <c r="K173" s="12" t="s">
        <v>434</v>
      </c>
      <c r="L173" s="12" t="s">
        <v>45</v>
      </c>
      <c r="M173" s="12" t="s">
        <v>435</v>
      </c>
      <c r="N173" s="12" t="s">
        <v>46</v>
      </c>
      <c r="O173" s="1027"/>
      <c r="P173" s="1027"/>
      <c r="Q173" s="1027"/>
      <c r="R173" s="1027"/>
      <c r="S173" s="1027"/>
      <c r="T173" s="1027"/>
      <c r="U173" s="1027"/>
      <c r="V173" s="1034"/>
    </row>
    <row r="174" spans="1:22" s="218" customFormat="1" hidden="1" x14ac:dyDescent="0.2">
      <c r="A174" s="344"/>
      <c r="B174" s="340"/>
      <c r="C174" s="332"/>
      <c r="D174" s="340"/>
      <c r="E174" s="340"/>
      <c r="F174" s="362"/>
      <c r="G174" s="340"/>
      <c r="H174" s="340"/>
      <c r="I174" s="340"/>
      <c r="J174" s="340"/>
      <c r="K174" s="340"/>
      <c r="L174" s="340"/>
      <c r="M174" s="340"/>
      <c r="N174" s="340"/>
      <c r="O174" s="340"/>
      <c r="P174" s="340"/>
      <c r="Q174" s="340"/>
      <c r="R174" s="340"/>
      <c r="S174" s="340"/>
      <c r="T174" s="340"/>
      <c r="U174" s="796"/>
      <c r="V174" s="797"/>
    </row>
    <row r="175" spans="1:22" s="218" customFormat="1" hidden="1" x14ac:dyDescent="0.2">
      <c r="A175" s="345"/>
      <c r="B175" s="341"/>
      <c r="C175" s="331"/>
      <c r="D175" s="341"/>
      <c r="E175" s="341"/>
      <c r="F175" s="363"/>
      <c r="G175" s="341"/>
      <c r="H175" s="341"/>
      <c r="I175" s="341"/>
      <c r="J175" s="341"/>
      <c r="K175" s="341"/>
      <c r="L175" s="341"/>
      <c r="M175" s="341"/>
      <c r="N175" s="341"/>
      <c r="O175" s="341"/>
      <c r="P175" s="341"/>
      <c r="Q175" s="341"/>
      <c r="R175" s="341"/>
      <c r="S175" s="341"/>
      <c r="T175" s="341"/>
      <c r="U175" s="798"/>
      <c r="V175" s="799"/>
    </row>
    <row r="176" spans="1:22" s="218" customFormat="1" hidden="1" x14ac:dyDescent="0.2">
      <c r="A176" s="345"/>
      <c r="B176" s="341"/>
      <c r="C176" s="331"/>
      <c r="D176" s="341"/>
      <c r="E176" s="341"/>
      <c r="F176" s="363"/>
      <c r="G176" s="341"/>
      <c r="H176" s="341"/>
      <c r="I176" s="341"/>
      <c r="J176" s="341"/>
      <c r="K176" s="341"/>
      <c r="L176" s="341"/>
      <c r="M176" s="341"/>
      <c r="N176" s="341"/>
      <c r="O176" s="341"/>
      <c r="P176" s="341"/>
      <c r="Q176" s="341"/>
      <c r="R176" s="341"/>
      <c r="S176" s="341"/>
      <c r="T176" s="341"/>
      <c r="U176" s="798"/>
      <c r="V176" s="799"/>
    </row>
    <row r="177" spans="1:22" s="218" customFormat="1" hidden="1" x14ac:dyDescent="0.2">
      <c r="A177" s="345"/>
      <c r="B177" s="341"/>
      <c r="C177" s="331"/>
      <c r="D177" s="341"/>
      <c r="E177" s="341"/>
      <c r="F177" s="363"/>
      <c r="G177" s="341"/>
      <c r="H177" s="341"/>
      <c r="I177" s="341"/>
      <c r="J177" s="341"/>
      <c r="K177" s="341"/>
      <c r="L177" s="341"/>
      <c r="M177" s="341"/>
      <c r="N177" s="341"/>
      <c r="O177" s="341"/>
      <c r="P177" s="341"/>
      <c r="Q177" s="341"/>
      <c r="R177" s="341"/>
      <c r="S177" s="341"/>
      <c r="T177" s="341"/>
      <c r="U177" s="798"/>
      <c r="V177" s="799"/>
    </row>
    <row r="178" spans="1:22" s="218" customFormat="1" hidden="1" x14ac:dyDescent="0.2">
      <c r="A178" s="345"/>
      <c r="B178" s="341"/>
      <c r="C178" s="331"/>
      <c r="D178" s="341"/>
      <c r="E178" s="341"/>
      <c r="F178" s="363"/>
      <c r="G178" s="341"/>
      <c r="H178" s="341"/>
      <c r="I178" s="341"/>
      <c r="J178" s="341"/>
      <c r="K178" s="341"/>
      <c r="L178" s="341"/>
      <c r="M178" s="341"/>
      <c r="N178" s="341"/>
      <c r="O178" s="341"/>
      <c r="P178" s="341"/>
      <c r="Q178" s="341"/>
      <c r="R178" s="341"/>
      <c r="S178" s="341"/>
      <c r="T178" s="341"/>
      <c r="U178" s="798"/>
      <c r="V178" s="799"/>
    </row>
    <row r="179" spans="1:22" s="218" customFormat="1" ht="16.5" hidden="1" thickBot="1" x14ac:dyDescent="0.25">
      <c r="A179" s="346"/>
      <c r="B179" s="342"/>
      <c r="C179" s="336"/>
      <c r="D179" s="342"/>
      <c r="E179" s="342"/>
      <c r="F179" s="364"/>
      <c r="G179" s="342"/>
      <c r="H179" s="342"/>
      <c r="I179" s="342"/>
      <c r="J179" s="342"/>
      <c r="K179" s="342"/>
      <c r="L179" s="342"/>
      <c r="M179" s="342"/>
      <c r="N179" s="342"/>
      <c r="O179" s="342"/>
      <c r="P179" s="342"/>
      <c r="Q179" s="342"/>
      <c r="R179" s="342"/>
      <c r="S179" s="342"/>
      <c r="T179" s="342"/>
      <c r="U179" s="792"/>
      <c r="V179" s="793"/>
    </row>
    <row r="180" spans="1:22" s="218" customFormat="1" hidden="1" x14ac:dyDescent="0.2">
      <c r="F180" s="337"/>
      <c r="G180" s="337"/>
      <c r="H180" s="337"/>
      <c r="I180" s="337"/>
    </row>
    <row r="181" spans="1:22" s="218" customFormat="1" x14ac:dyDescent="0.2">
      <c r="F181" s="337"/>
      <c r="G181" s="337"/>
      <c r="H181" s="337"/>
      <c r="I181" s="337"/>
    </row>
    <row r="182" spans="1:22" s="218" customFormat="1" ht="16.5" thickBot="1" x14ac:dyDescent="0.25">
      <c r="F182" s="337"/>
      <c r="G182" s="337"/>
      <c r="H182" s="337"/>
      <c r="I182" s="337"/>
    </row>
    <row r="183" spans="1:22" ht="16.5" thickBot="1" x14ac:dyDescent="0.25">
      <c r="A183" s="285" t="s">
        <v>454</v>
      </c>
      <c r="B183" s="286" t="s">
        <v>455</v>
      </c>
    </row>
    <row r="184" spans="1:22" x14ac:dyDescent="0.2">
      <c r="A184" s="3" t="s">
        <v>456</v>
      </c>
      <c r="B184" s="289"/>
      <c r="F184" s="69"/>
      <c r="G184" s="69"/>
      <c r="H184" s="69"/>
      <c r="I184" s="69"/>
    </row>
    <row r="185" spans="1:22" x14ac:dyDescent="0.2">
      <c r="A185" s="287" t="s">
        <v>65</v>
      </c>
      <c r="B185" s="290"/>
      <c r="F185" s="69"/>
      <c r="G185" s="69"/>
      <c r="H185" s="69"/>
      <c r="I185" s="69"/>
    </row>
    <row r="186" spans="1:22" x14ac:dyDescent="0.2">
      <c r="A186" s="287" t="s">
        <v>257</v>
      </c>
      <c r="B186" s="290"/>
      <c r="F186" s="69"/>
      <c r="G186" s="69"/>
      <c r="H186" s="69"/>
      <c r="I186" s="69"/>
    </row>
    <row r="187" spans="1:22" x14ac:dyDescent="0.2">
      <c r="A187" s="287" t="s">
        <v>258</v>
      </c>
      <c r="B187" s="290"/>
      <c r="F187" s="69"/>
      <c r="G187" s="69"/>
      <c r="H187" s="69"/>
      <c r="I187" s="69"/>
    </row>
    <row r="188" spans="1:22" x14ac:dyDescent="0.2">
      <c r="A188" s="287" t="s">
        <v>259</v>
      </c>
      <c r="B188" s="290"/>
      <c r="F188" s="69"/>
      <c r="G188" s="69"/>
      <c r="H188" s="69"/>
      <c r="I188" s="69"/>
    </row>
    <row r="189" spans="1:22" x14ac:dyDescent="0.2">
      <c r="A189" s="287" t="s">
        <v>281</v>
      </c>
      <c r="B189" s="290"/>
      <c r="F189" s="69"/>
      <c r="G189" s="69"/>
      <c r="H189" s="69"/>
      <c r="I189" s="69"/>
    </row>
    <row r="190" spans="1:22" x14ac:dyDescent="0.2">
      <c r="A190" s="292" t="s">
        <v>279</v>
      </c>
      <c r="B190" s="293"/>
      <c r="F190" s="69"/>
      <c r="G190" s="69"/>
      <c r="H190" s="69"/>
      <c r="I190" s="69"/>
    </row>
    <row r="191" spans="1:22" x14ac:dyDescent="0.2">
      <c r="A191" s="292" t="s">
        <v>457</v>
      </c>
      <c r="B191" s="293"/>
      <c r="F191" s="69"/>
      <c r="G191" s="69"/>
      <c r="H191" s="69"/>
      <c r="I191" s="69"/>
    </row>
    <row r="192" spans="1:22" ht="16.5" thickBot="1" x14ac:dyDescent="0.25">
      <c r="A192" s="288" t="s">
        <v>460</v>
      </c>
      <c r="B192" s="291" t="s">
        <v>51</v>
      </c>
      <c r="F192" s="69"/>
      <c r="G192" s="69"/>
      <c r="H192" s="69"/>
      <c r="I192" s="69"/>
    </row>
  </sheetData>
  <sheetProtection formatCells="0" formatColumns="0" formatRows="0" insertColumns="0" insertRows="0" deleteColumns="0" deleteRows="0" sort="0" autoFilter="0"/>
  <autoFilter ref="A30:AB30" xr:uid="{00000000-0009-0000-0000-00001E000000}"/>
  <dataConsolidate>
    <dataRefs count="2">
      <dataRef ref="B9" sheet="APPENDIX B-1  (FE - USWC)"/>
      <dataRef ref="A14:A18" sheet="APPENDIX B-1  (FE - USWC)"/>
    </dataRefs>
  </dataConsolidate>
  <mergeCells count="231">
    <mergeCell ref="Y30:Y31"/>
    <mergeCell ref="Z30:Z31"/>
    <mergeCell ref="Y39:Y40"/>
    <mergeCell ref="Z39:Z40"/>
    <mergeCell ref="J30:J31"/>
    <mergeCell ref="K30:K31"/>
    <mergeCell ref="L30:L31"/>
    <mergeCell ref="X30:X31"/>
    <mergeCell ref="AC48:AC49"/>
    <mergeCell ref="AA48:AA49"/>
    <mergeCell ref="AB48:AB49"/>
    <mergeCell ref="AA30:AA31"/>
    <mergeCell ref="AA39:AA40"/>
    <mergeCell ref="X39:X40"/>
    <mergeCell ref="J48:J49"/>
    <mergeCell ref="M48:M49"/>
    <mergeCell ref="Z48:Z49"/>
    <mergeCell ref="L48:L49"/>
    <mergeCell ref="K48:K49"/>
    <mergeCell ref="L13:M13"/>
    <mergeCell ref="J14:K14"/>
    <mergeCell ref="L14:M14"/>
    <mergeCell ref="A1:B1"/>
    <mergeCell ref="C1:F1"/>
    <mergeCell ref="A2:B2"/>
    <mergeCell ref="C2:F2"/>
    <mergeCell ref="A3:B3"/>
    <mergeCell ref="C3:F3"/>
    <mergeCell ref="A12:J12"/>
    <mergeCell ref="J13:K13"/>
    <mergeCell ref="A7:B7"/>
    <mergeCell ref="C7:F7"/>
    <mergeCell ref="A8:B8"/>
    <mergeCell ref="C8:F8"/>
    <mergeCell ref="B9:F9"/>
    <mergeCell ref="B14:I14"/>
    <mergeCell ref="B13:I13"/>
    <mergeCell ref="A4:B4"/>
    <mergeCell ref="C4:F4"/>
    <mergeCell ref="A5:B5"/>
    <mergeCell ref="C5:F5"/>
    <mergeCell ref="A6:B6"/>
    <mergeCell ref="C6:F6"/>
    <mergeCell ref="L17:M17"/>
    <mergeCell ref="J15:K15"/>
    <mergeCell ref="L15:M15"/>
    <mergeCell ref="C39:C40"/>
    <mergeCell ref="D30:D31"/>
    <mergeCell ref="L16:M16"/>
    <mergeCell ref="J16:K16"/>
    <mergeCell ref="B17:I17"/>
    <mergeCell ref="B21:H21"/>
    <mergeCell ref="B20:H20"/>
    <mergeCell ref="B16:I16"/>
    <mergeCell ref="B15:I15"/>
    <mergeCell ref="B23:H23"/>
    <mergeCell ref="B22:H22"/>
    <mergeCell ref="B24:H24"/>
    <mergeCell ref="F30:F31"/>
    <mergeCell ref="J17:K17"/>
    <mergeCell ref="J39:J40"/>
    <mergeCell ref="K39:K40"/>
    <mergeCell ref="G30:G31"/>
    <mergeCell ref="F39:F40"/>
    <mergeCell ref="G39:G40"/>
    <mergeCell ref="H39:H40"/>
    <mergeCell ref="B39:B40"/>
    <mergeCell ref="B48:B49"/>
    <mergeCell ref="I48:I49"/>
    <mergeCell ref="A70:C70"/>
    <mergeCell ref="B84:I84"/>
    <mergeCell ref="E39:E40"/>
    <mergeCell ref="H30:H31"/>
    <mergeCell ref="I39:I40"/>
    <mergeCell ref="C30:C31"/>
    <mergeCell ref="I30:I31"/>
    <mergeCell ref="A30:A31"/>
    <mergeCell ref="B63:D63"/>
    <mergeCell ref="C48:C49"/>
    <mergeCell ref="B67:D67"/>
    <mergeCell ref="D39:D40"/>
    <mergeCell ref="E30:E31"/>
    <mergeCell ref="A57:C57"/>
    <mergeCell ref="A58:C58"/>
    <mergeCell ref="E48:E49"/>
    <mergeCell ref="B30:B31"/>
    <mergeCell ref="A39:A40"/>
    <mergeCell ref="A47:D47"/>
    <mergeCell ref="M86:M88"/>
    <mergeCell ref="B79:D79"/>
    <mergeCell ref="B80:D80"/>
    <mergeCell ref="A82:I82"/>
    <mergeCell ref="A87:G87"/>
    <mergeCell ref="G48:G49"/>
    <mergeCell ref="H48:H49"/>
    <mergeCell ref="A48:A49"/>
    <mergeCell ref="B64:D64"/>
    <mergeCell ref="B65:D65"/>
    <mergeCell ref="A71:C71"/>
    <mergeCell ref="B66:D66"/>
    <mergeCell ref="A83:I83"/>
    <mergeCell ref="B76:D76"/>
    <mergeCell ref="B78:D78"/>
    <mergeCell ref="B77:D77"/>
    <mergeCell ref="L86:L88"/>
    <mergeCell ref="I86:I88"/>
    <mergeCell ref="A88:G88"/>
    <mergeCell ref="H86:H88"/>
    <mergeCell ref="A86:G86"/>
    <mergeCell ref="J86:J88"/>
    <mergeCell ref="F48:F49"/>
    <mergeCell ref="D48:D49"/>
    <mergeCell ref="B89:D89"/>
    <mergeCell ref="E90:G90"/>
    <mergeCell ref="K86:K88"/>
    <mergeCell ref="E94:G94"/>
    <mergeCell ref="B94:D94"/>
    <mergeCell ref="B91:D91"/>
    <mergeCell ref="B90:D90"/>
    <mergeCell ref="E89:G89"/>
    <mergeCell ref="E93:G93"/>
    <mergeCell ref="E91:G91"/>
    <mergeCell ref="B92:D92"/>
    <mergeCell ref="E92:G92"/>
    <mergeCell ref="B93:D93"/>
    <mergeCell ref="M116:M117"/>
    <mergeCell ref="A107:I107"/>
    <mergeCell ref="B102:D102"/>
    <mergeCell ref="E102:G102"/>
    <mergeCell ref="B103:D103"/>
    <mergeCell ref="E103:G103"/>
    <mergeCell ref="E105:G105"/>
    <mergeCell ref="J116:J117"/>
    <mergeCell ref="B104:D104"/>
    <mergeCell ref="B101:D101"/>
    <mergeCell ref="E101:G101"/>
    <mergeCell ref="B105:D105"/>
    <mergeCell ref="B95:D95"/>
    <mergeCell ref="H109:H110"/>
    <mergeCell ref="I109:I110"/>
    <mergeCell ref="A109:D109"/>
    <mergeCell ref="L109:L110"/>
    <mergeCell ref="A126:F126"/>
    <mergeCell ref="A124:E124"/>
    <mergeCell ref="E104:G104"/>
    <mergeCell ref="A106:I106"/>
    <mergeCell ref="B99:D99"/>
    <mergeCell ref="E99:G99"/>
    <mergeCell ref="B98:D98"/>
    <mergeCell ref="B100:D100"/>
    <mergeCell ref="E100:G100"/>
    <mergeCell ref="E95:G95"/>
    <mergeCell ref="E96:G96"/>
    <mergeCell ref="E98:G98"/>
    <mergeCell ref="E97:G97"/>
    <mergeCell ref="B97:D97"/>
    <mergeCell ref="B96:D96"/>
    <mergeCell ref="B141:I141"/>
    <mergeCell ref="K116:K117"/>
    <mergeCell ref="L116:L117"/>
    <mergeCell ref="F109:F110"/>
    <mergeCell ref="G116:G117"/>
    <mergeCell ref="G109:G110"/>
    <mergeCell ref="E109:E110"/>
    <mergeCell ref="J109:J110"/>
    <mergeCell ref="K109:K110"/>
    <mergeCell ref="H116:H117"/>
    <mergeCell ref="F116:F117"/>
    <mergeCell ref="E116:E117"/>
    <mergeCell ref="A116:D116"/>
    <mergeCell ref="I116:I117"/>
    <mergeCell ref="A127:F127"/>
    <mergeCell ref="B137:I137"/>
    <mergeCell ref="B138:I138"/>
    <mergeCell ref="B136:I136"/>
    <mergeCell ref="B140:I140"/>
    <mergeCell ref="A134:I134"/>
    <mergeCell ref="A128:F128"/>
    <mergeCell ref="B139:I139"/>
    <mergeCell ref="B143:I143"/>
    <mergeCell ref="B144:I144"/>
    <mergeCell ref="B159:B160"/>
    <mergeCell ref="C159:C160"/>
    <mergeCell ref="D159:D160"/>
    <mergeCell ref="E159:E160"/>
    <mergeCell ref="B148:I148"/>
    <mergeCell ref="B147:I147"/>
    <mergeCell ref="B142:I142"/>
    <mergeCell ref="B146:I146"/>
    <mergeCell ref="L163:M163"/>
    <mergeCell ref="L164:M164"/>
    <mergeCell ref="L161:M161"/>
    <mergeCell ref="L162:M162"/>
    <mergeCell ref="K159:K160"/>
    <mergeCell ref="L159:M160"/>
    <mergeCell ref="A158:E158"/>
    <mergeCell ref="B145:I145"/>
    <mergeCell ref="B149:I149"/>
    <mergeCell ref="H159:H160"/>
    <mergeCell ref="A159:A160"/>
    <mergeCell ref="I159:I160"/>
    <mergeCell ref="J159:J160"/>
    <mergeCell ref="F159:F160"/>
    <mergeCell ref="G159:G160"/>
    <mergeCell ref="B150:I150"/>
    <mergeCell ref="A154:B154"/>
    <mergeCell ref="A156:G156"/>
    <mergeCell ref="L165:M165"/>
    <mergeCell ref="U179:V179"/>
    <mergeCell ref="U177:V177"/>
    <mergeCell ref="U178:V178"/>
    <mergeCell ref="A171:H171"/>
    <mergeCell ref="A169:G169"/>
    <mergeCell ref="U176:V176"/>
    <mergeCell ref="Q172:Q173"/>
    <mergeCell ref="E172:E173"/>
    <mergeCell ref="U174:V174"/>
    <mergeCell ref="L166:M166"/>
    <mergeCell ref="F172:F173"/>
    <mergeCell ref="A172:A173"/>
    <mergeCell ref="B172:B173"/>
    <mergeCell ref="C172:C173"/>
    <mergeCell ref="D172:D173"/>
    <mergeCell ref="G172:N172"/>
    <mergeCell ref="S172:S173"/>
    <mergeCell ref="U175:V175"/>
    <mergeCell ref="R172:R173"/>
    <mergeCell ref="O172:O173"/>
    <mergeCell ref="P172:P173"/>
    <mergeCell ref="U172:V173"/>
    <mergeCell ref="T172:T173"/>
  </mergeCells>
  <phoneticPr fontId="11" type="noConversion"/>
  <dataValidations count="33">
    <dataValidation type="list" allowBlank="1" showInputMessage="1" showErrorMessage="1" sqref="B184:B192" xr:uid="{00000000-0002-0000-1E00-000000000000}">
      <formula1>Autom</formula1>
    </dataValidation>
    <dataValidation type="list" showInputMessage="1" showErrorMessage="1" sqref="C161:C166 C174:C179" xr:uid="{00000000-0002-0000-1E00-000001000000}">
      <formula1>IF($B161="I",DDTARIFFUS,DDTARIFF)</formula1>
    </dataValidation>
    <dataValidation type="list" allowBlank="1" showInputMessage="1" showErrorMessage="1" sqref="B174:B179 B161:B166" xr:uid="{00000000-0002-0000-1E00-000002000000}">
      <formula1>EXPIMP</formula1>
    </dataValidation>
    <dataValidation type="list" allowBlank="1" showInputMessage="1" showErrorMessage="1" sqref="O174:O179 F161:F166" xr:uid="{00000000-0002-0000-1E00-000003000000}">
      <formula1>EQTYPE</formula1>
    </dataValidation>
    <dataValidation type="list" allowBlank="1" showInputMessage="1" showErrorMessage="1" sqref="P174:P179 G161:G166" xr:uid="{00000000-0002-0000-1E00-000004000000}">
      <formula1>OPREEFER</formula1>
    </dataValidation>
    <dataValidation type="list" allowBlank="1" showInputMessage="1" showErrorMessage="1" sqref="F174:F179" xr:uid="{00000000-0002-0000-1E00-000005000000}">
      <formula1>CURRENCY</formula1>
    </dataValidation>
    <dataValidation type="whole" allowBlank="1" showInputMessage="1" showErrorMessage="1" error="Only whole numbers can be entered into this field" sqref="D161:D166 D174:D179" xr:uid="{00000000-0002-0000-1E00-000006000000}">
      <formula1>1</formula1>
      <formula2>99</formula2>
    </dataValidation>
    <dataValidation type="list" showInputMessage="1" showErrorMessage="1" sqref="E174:E179 E161:E166" xr:uid="{00000000-0002-0000-1E00-000007000000}">
      <formula1>DAYS</formula1>
    </dataValidation>
    <dataValidation type="whole" allowBlank="1" showInputMessage="1" showErrorMessage="1" error="Only whole numbers may be entered into this field_x000a_" sqref="G174:G179 M174:M179 K174:K179 I174:I179" xr:uid="{00000000-0002-0000-1E00-000008000000}">
      <formula1>1</formula1>
      <formula2>99</formula2>
    </dataValidation>
    <dataValidation type="decimal" allowBlank="1" showInputMessage="1" showErrorMessage="1" error="Only numbers may be entered into this field" sqref="H174:H179 N174:N179 L174:L179 J174:J179" xr:uid="{00000000-0002-0000-1E00-000009000000}">
      <formula1>1</formula1>
      <formula2>1000000000</formula2>
    </dataValidation>
    <dataValidation type="list" showInputMessage="1" showErrorMessage="1" sqref="K111:K114 K118:K121 N64:N67 A41:A44 A50:A53 A32:A35 N77:N80" xr:uid="{00000000-0002-0000-1E00-00000A000000}">
      <formula1>$A$14:$A$18</formula1>
    </dataValidation>
    <dataValidation type="list" allowBlank="1" showInputMessage="1" showErrorMessage="1" sqref="J111:J114 J118:J121" xr:uid="{00000000-0002-0000-1E00-00000B000000}">
      <formula1>GRIPSS</formula1>
    </dataValidation>
    <dataValidation type="decimal" allowBlank="1" showInputMessage="1" showErrorMessage="1" sqref="F118:I121 F111:I114 I32:L35 I41:K44 J77:M80 I50:L53" xr:uid="{00000000-0002-0000-1E00-00000C000000}">
      <formula1>0</formula1>
      <formula2>999999999999999</formula2>
    </dataValidation>
    <dataValidation type="list" allowBlank="1" showInputMessage="1" showErrorMessage="1" sqref="E111:E114 E118:E121" xr:uid="{00000000-0002-0000-1E00-00000D000000}">
      <formula1>GRIPSS_EQ</formula1>
    </dataValidation>
    <dataValidation type="list" allowBlank="1" showInputMessage="1" showErrorMessage="1" sqref="I89:I105" xr:uid="{00000000-0002-0000-1E00-00000E000000}">
      <formula1>$A$14:$A$18</formula1>
    </dataValidation>
    <dataValidation type="list" allowBlank="1" showErrorMessage="1" sqref="A89:A105" xr:uid="{00000000-0002-0000-1E00-00000F000000}">
      <formula1>Charges</formula1>
    </dataValidation>
    <dataValidation type="date" allowBlank="1" showInputMessage="1" showErrorMessage="1" sqref="X32:Y35 J89:K105" xr:uid="{00000000-0002-0000-1E00-000010000000}">
      <formula1>10101</formula1>
      <formula2>311299</formula2>
    </dataValidation>
    <dataValidation allowBlank="1" showInputMessage="1" showErrorMessage="1" promptTitle="Acceptable Values:" prompt="- Applicable _x000a_- Not applicable _x000a_- Included_x000a_- Amount and OSPF for cases of fixed per D40 OSPF_x000a_    (example-  &quot;375 OSPF&quot;)" sqref="E89:G105" xr:uid="{00000000-0002-0000-1E00-000011000000}"/>
    <dataValidation type="list" allowBlank="1" showInputMessage="1" showErrorMessage="1" errorTitle="Pick up the list" promptTitle="Blank = ALL" sqref="H89:H105" xr:uid="{00000000-0002-0000-1E00-000012000000}">
      <formula1>Type_note2</formula1>
    </dataValidation>
    <dataValidation type="list" showDropDown="1" showErrorMessage="1" sqref="O63:P63 O76:P76" xr:uid="{00000000-0002-0000-1E00-000013000000}">
      <formula1>Charges</formula1>
    </dataValidation>
    <dataValidation type="list" allowBlank="1" showInputMessage="1" showErrorMessage="1" sqref="O64:P67 O77:P80" xr:uid="{00000000-0002-0000-1E00-000014000000}">
      <formula1 xml:space="preserve"> droppull</formula1>
    </dataValidation>
    <dataValidation type="list" allowBlank="1" showInputMessage="1" showErrorMessage="1" sqref="L41:L44 G64:G67 P50:P53 N41:N44 G77:G80" xr:uid="{00000000-0002-0000-1E00-000015000000}">
      <formula1>YesNo</formula1>
    </dataValidation>
    <dataValidation type="list" allowBlank="1" showInputMessage="1" showErrorMessage="1" sqref="M50:M53" xr:uid="{00000000-0002-0000-1E00-000016000000}">
      <formula1>Equip</formula1>
    </dataValidation>
    <dataValidation type="list" allowBlank="1" showInputMessage="1" showErrorMessage="1" sqref="F64:F67 F77:F80" xr:uid="{00000000-0002-0000-1E00-000017000000}">
      <formula1>ArbMode</formula1>
    </dataValidation>
    <dataValidation type="list" allowBlank="1" showInputMessage="1" showErrorMessage="1" sqref="G41:G44 G50:G53 G32:G35" xr:uid="{00000000-0002-0000-1E00-000018000000}">
      <formula1>SDD</formula1>
    </dataValidation>
    <dataValidation type="list" allowBlank="1" showInputMessage="1" showErrorMessage="1" sqref="M31:W31 Q49:Y49" xr:uid="{00000000-0002-0000-1E00-000019000000}">
      <formula1>Container</formula1>
    </dataValidation>
    <dataValidation type="list" allowBlank="1" showInputMessage="1" showErrorMessage="1" sqref="O40:W40" xr:uid="{00000000-0002-0000-1E00-00001A000000}">
      <formula1>Reefer</formula1>
    </dataValidation>
    <dataValidation type="list" allowBlank="1" showInputMessage="1" showErrorMessage="1" sqref="F32:F35 F50:F53 F41:F44" xr:uid="{00000000-0002-0000-1E00-00001B000000}">
      <formula1>Mode</formula1>
    </dataValidation>
    <dataValidation type="list" allowBlank="1" showInputMessage="1" showErrorMessage="1" sqref="M41:M44 O50:O53" xr:uid="{00000000-0002-0000-1E00-00001C000000}">
      <formula1>ShipperOwn</formula1>
    </dataValidation>
    <dataValidation type="list" allowBlank="1" showInputMessage="1" showErrorMessage="1" sqref="N50:N53" xr:uid="{00000000-0002-0000-1E00-00001D000000}">
      <formula1>OOG</formula1>
    </dataValidation>
    <dataValidation type="list" allowBlank="1" showErrorMessage="1" sqref="M30:W30 Q48:Y48 O39:W39" xr:uid="{00000000-0002-0000-1E00-00001E000000}">
      <formula1>Exceptions</formula1>
    </dataValidation>
    <dataValidation type="list" allowBlank="1" showInputMessage="1" showErrorMessage="1" sqref="AA32:AA35 AC50:AC53 AA41:AA44" xr:uid="{00000000-0002-0000-1E00-00001F000000}">
      <formula1>CST</formula1>
    </dataValidation>
    <dataValidation type="list" showInputMessage="1" showErrorMessage="1" sqref="A161:A166 A174:A179" xr:uid="{00000000-0002-0000-1E00-000020000000}">
      <formula1>BULLET</formula1>
    </dataValidation>
  </dataValidations>
  <pageMargins left="0.25" right="0.25" top="0.25" bottom="0.25" header="0.5" footer="0"/>
  <pageSetup scale="28" fitToHeight="3" orientation="landscape" r:id="rId1"/>
  <headerFooter alignWithMargins="0"/>
  <rowBreaks count="1" manualBreakCount="1">
    <brk id="84" max="16383" man="1"/>
  </rowBreaks>
  <legacy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Feuil3">
    <pageSetUpPr fitToPage="1"/>
  </sheetPr>
  <dimension ref="A1:I50"/>
  <sheetViews>
    <sheetView showGridLines="0" workbookViewId="0">
      <selection activeCell="A10" sqref="A10"/>
    </sheetView>
  </sheetViews>
  <sheetFormatPr defaultColWidth="9.140625" defaultRowHeight="12.75" x14ac:dyDescent="0.2"/>
  <cols>
    <col min="1" max="1" width="21.85546875" style="385" bestFit="1" customWidth="1"/>
    <col min="2" max="2" width="27.140625" style="385" customWidth="1"/>
    <col min="3" max="3" width="31.42578125" style="385" customWidth="1"/>
    <col min="4" max="4" width="20.7109375" style="385" customWidth="1"/>
    <col min="5" max="5" width="17.85546875" style="385" bestFit="1" customWidth="1"/>
    <col min="6" max="6" width="20.85546875" style="385" customWidth="1"/>
    <col min="7" max="7" width="23.42578125" style="385" bestFit="1" customWidth="1"/>
    <col min="8" max="8" width="10" style="385" customWidth="1"/>
    <col min="9" max="16384" width="9.140625" style="385"/>
  </cols>
  <sheetData>
    <row r="1" spans="1:9" ht="15.75" x14ac:dyDescent="0.25">
      <c r="A1" s="393" t="s">
        <v>511</v>
      </c>
      <c r="B1" s="570" t="str">
        <f>Cover!B1</f>
        <v>22-XXXX</v>
      </c>
      <c r="I1" s="294">
        <v>21</v>
      </c>
    </row>
    <row r="2" spans="1:9" ht="15.75" x14ac:dyDescent="0.25">
      <c r="A2" s="571" t="s">
        <v>1237</v>
      </c>
      <c r="B2" s="572"/>
    </row>
    <row r="3" spans="1:9" ht="15.75" x14ac:dyDescent="0.25">
      <c r="A3" s="571" t="s">
        <v>522</v>
      </c>
      <c r="B3" s="573">
        <f>Cover!B2</f>
        <v>0</v>
      </c>
    </row>
    <row r="4" spans="1:9" ht="15.75" x14ac:dyDescent="0.25">
      <c r="A4" s="571" t="s">
        <v>1229</v>
      </c>
      <c r="B4" s="574">
        <f>Cover!B7</f>
        <v>0</v>
      </c>
    </row>
    <row r="5" spans="1:9" ht="16.5" thickBot="1" x14ac:dyDescent="0.3">
      <c r="A5" s="391" t="s">
        <v>528</v>
      </c>
      <c r="B5" s="575" t="str">
        <f>Cover!C62</f>
        <v>Affiliates</v>
      </c>
    </row>
    <row r="6" spans="1:9" ht="16.5" thickBot="1" x14ac:dyDescent="0.25">
      <c r="A6" s="442">
        <v>39</v>
      </c>
    </row>
    <row r="7" spans="1:9" ht="16.5" thickBot="1" x14ac:dyDescent="0.3">
      <c r="A7" s="1152" t="s">
        <v>452</v>
      </c>
      <c r="B7" s="1153"/>
      <c r="C7" s="1153"/>
      <c r="D7" s="1153"/>
      <c r="E7" s="1153"/>
      <c r="F7" s="1153"/>
      <c r="G7" s="1154"/>
    </row>
    <row r="8" spans="1:9" s="577" customFormat="1" ht="16.5" thickBot="1" x14ac:dyDescent="0.3">
      <c r="A8" s="800" t="s">
        <v>72</v>
      </c>
      <c r="B8" s="801"/>
      <c r="C8" s="801"/>
      <c r="D8" s="801"/>
      <c r="E8" s="801"/>
      <c r="F8" s="802"/>
      <c r="G8" s="576" t="s">
        <v>451</v>
      </c>
    </row>
    <row r="9" spans="1:9" s="577" customFormat="1" ht="16.5" thickBot="1" x14ac:dyDescent="0.3">
      <c r="A9" s="578" t="s">
        <v>623</v>
      </c>
      <c r="B9" s="579" t="s">
        <v>73</v>
      </c>
      <c r="C9" s="579" t="s">
        <v>446</v>
      </c>
      <c r="D9" s="579" t="s">
        <v>447</v>
      </c>
      <c r="E9" s="579" t="s">
        <v>448</v>
      </c>
      <c r="F9" s="579" t="s">
        <v>449</v>
      </c>
      <c r="G9" s="580" t="s">
        <v>450</v>
      </c>
    </row>
    <row r="10" spans="1:9" s="582" customFormat="1" ht="15.75" customHeight="1" x14ac:dyDescent="0.2">
      <c r="A10" s="581"/>
      <c r="B10" s="581"/>
      <c r="C10" s="581"/>
      <c r="D10" s="581"/>
      <c r="E10" s="581"/>
      <c r="F10" s="581"/>
      <c r="G10" s="581"/>
    </row>
    <row r="11" spans="1:9" s="582" customFormat="1" ht="15.75" customHeight="1" x14ac:dyDescent="0.2">
      <c r="A11" s="583"/>
      <c r="B11" s="583"/>
      <c r="C11" s="583"/>
      <c r="D11" s="583"/>
      <c r="E11" s="583"/>
      <c r="F11" s="583"/>
      <c r="G11" s="583"/>
    </row>
    <row r="12" spans="1:9" s="582" customFormat="1" ht="15.75" customHeight="1" x14ac:dyDescent="0.2">
      <c r="A12" s="583"/>
      <c r="B12" s="583"/>
      <c r="C12" s="583"/>
      <c r="D12" s="583"/>
      <c r="E12" s="583"/>
      <c r="F12" s="583"/>
      <c r="G12" s="583"/>
    </row>
    <row r="13" spans="1:9" s="582" customFormat="1" ht="15.75" customHeight="1" x14ac:dyDescent="0.2">
      <c r="A13" s="583"/>
      <c r="B13" s="583"/>
      <c r="C13" s="583"/>
      <c r="D13" s="583"/>
      <c r="E13" s="583"/>
      <c r="F13" s="583"/>
      <c r="G13" s="583"/>
    </row>
    <row r="14" spans="1:9" s="582" customFormat="1" ht="15.75" customHeight="1" x14ac:dyDescent="0.2">
      <c r="A14" s="583"/>
      <c r="B14" s="583"/>
      <c r="C14" s="583"/>
      <c r="D14" s="583"/>
      <c r="E14" s="583"/>
      <c r="F14" s="583"/>
      <c r="G14" s="583"/>
    </row>
    <row r="15" spans="1:9" s="582" customFormat="1" ht="15.75" customHeight="1" x14ac:dyDescent="0.2">
      <c r="A15" s="583"/>
      <c r="B15" s="583"/>
      <c r="C15" s="583"/>
      <c r="D15" s="583"/>
      <c r="E15" s="583"/>
      <c r="F15" s="583"/>
      <c r="G15" s="583"/>
    </row>
    <row r="16" spans="1:9" s="582" customFormat="1" ht="15.75" customHeight="1" x14ac:dyDescent="0.2">
      <c r="A16" s="583"/>
      <c r="B16" s="583"/>
      <c r="C16" s="583"/>
      <c r="D16" s="583"/>
      <c r="E16" s="583"/>
      <c r="F16" s="583"/>
      <c r="G16" s="583"/>
    </row>
    <row r="17" spans="1:7" s="582" customFormat="1" ht="15.75" customHeight="1" x14ac:dyDescent="0.2">
      <c r="A17" s="583"/>
      <c r="B17" s="583"/>
      <c r="C17" s="583"/>
      <c r="D17" s="583"/>
      <c r="E17" s="583"/>
      <c r="F17" s="583"/>
      <c r="G17" s="583"/>
    </row>
    <row r="18" spans="1:7" s="582" customFormat="1" ht="15.75" customHeight="1" x14ac:dyDescent="0.2">
      <c r="A18" s="583"/>
      <c r="B18" s="583"/>
      <c r="C18" s="583"/>
      <c r="D18" s="583"/>
      <c r="E18" s="583"/>
      <c r="F18" s="583"/>
      <c r="G18" s="583"/>
    </row>
    <row r="19" spans="1:7" s="582" customFormat="1" ht="15.75" customHeight="1" x14ac:dyDescent="0.2">
      <c r="A19" s="583"/>
      <c r="B19" s="583"/>
      <c r="C19" s="583"/>
      <c r="D19" s="583"/>
      <c r="E19" s="583"/>
      <c r="F19" s="583"/>
      <c r="G19" s="583"/>
    </row>
    <row r="20" spans="1:7" s="582" customFormat="1" ht="15.75" customHeight="1" x14ac:dyDescent="0.2">
      <c r="A20" s="583"/>
      <c r="B20" s="583"/>
      <c r="C20" s="583"/>
      <c r="D20" s="583"/>
      <c r="E20" s="583"/>
      <c r="F20" s="583"/>
      <c r="G20" s="583"/>
    </row>
    <row r="21" spans="1:7" s="582" customFormat="1" ht="15.75" customHeight="1" x14ac:dyDescent="0.2">
      <c r="A21" s="583"/>
      <c r="B21" s="583"/>
      <c r="C21" s="583"/>
      <c r="D21" s="583"/>
      <c r="E21" s="583"/>
      <c r="F21" s="583"/>
      <c r="G21" s="583"/>
    </row>
    <row r="22" spans="1:7" s="582" customFormat="1" ht="15.75" customHeight="1" x14ac:dyDescent="0.2">
      <c r="A22" s="583"/>
      <c r="B22" s="583"/>
      <c r="C22" s="583"/>
      <c r="D22" s="583"/>
      <c r="E22" s="583"/>
      <c r="F22" s="583"/>
      <c r="G22" s="583"/>
    </row>
    <row r="23" spans="1:7" s="582" customFormat="1" ht="15.75" customHeight="1" x14ac:dyDescent="0.2">
      <c r="A23" s="583"/>
      <c r="B23" s="583"/>
      <c r="C23" s="583"/>
      <c r="D23" s="583"/>
      <c r="E23" s="583"/>
      <c r="F23" s="583"/>
      <c r="G23" s="583"/>
    </row>
    <row r="24" spans="1:7" s="582" customFormat="1" ht="15.75" customHeight="1" x14ac:dyDescent="0.2">
      <c r="A24" s="583"/>
      <c r="B24" s="583"/>
      <c r="C24" s="583"/>
      <c r="D24" s="583"/>
      <c r="E24" s="583"/>
      <c r="F24" s="583"/>
      <c r="G24" s="583"/>
    </row>
    <row r="25" spans="1:7" s="582" customFormat="1" ht="15.75" customHeight="1" x14ac:dyDescent="0.2">
      <c r="A25" s="583"/>
      <c r="B25" s="583"/>
      <c r="C25" s="583"/>
      <c r="D25" s="583"/>
      <c r="E25" s="583"/>
      <c r="F25" s="583"/>
      <c r="G25" s="583"/>
    </row>
    <row r="26" spans="1:7" s="582" customFormat="1" ht="15.75" customHeight="1" x14ac:dyDescent="0.2">
      <c r="A26" s="583"/>
      <c r="B26" s="583"/>
      <c r="C26" s="583"/>
      <c r="D26" s="583"/>
      <c r="E26" s="583"/>
      <c r="F26" s="583"/>
      <c r="G26" s="583"/>
    </row>
    <row r="27" spans="1:7" s="582" customFormat="1" ht="15.75" customHeight="1" x14ac:dyDescent="0.2">
      <c r="A27" s="583"/>
      <c r="B27" s="583"/>
      <c r="C27" s="583"/>
      <c r="D27" s="583"/>
      <c r="E27" s="583"/>
      <c r="F27" s="583"/>
      <c r="G27" s="583"/>
    </row>
    <row r="28" spans="1:7" s="582" customFormat="1" ht="15.75" customHeight="1" x14ac:dyDescent="0.2">
      <c r="A28" s="583"/>
      <c r="B28" s="583"/>
      <c r="C28" s="583"/>
      <c r="D28" s="583"/>
      <c r="E28" s="583"/>
      <c r="F28" s="583"/>
      <c r="G28" s="583"/>
    </row>
    <row r="29" spans="1:7" s="582" customFormat="1" ht="15.75" customHeight="1" x14ac:dyDescent="0.2">
      <c r="A29" s="583"/>
      <c r="B29" s="583"/>
      <c r="C29" s="583"/>
      <c r="D29" s="583"/>
      <c r="E29" s="583"/>
      <c r="F29" s="583"/>
      <c r="G29" s="583"/>
    </row>
    <row r="30" spans="1:7" s="582" customFormat="1" ht="15.75" customHeight="1" x14ac:dyDescent="0.2">
      <c r="A30" s="583"/>
      <c r="B30" s="583"/>
      <c r="C30" s="583"/>
      <c r="D30" s="583"/>
      <c r="E30" s="583"/>
      <c r="F30" s="583"/>
      <c r="G30" s="583"/>
    </row>
    <row r="31" spans="1:7" s="582" customFormat="1" ht="15.75" customHeight="1" x14ac:dyDescent="0.2">
      <c r="A31" s="583"/>
      <c r="B31" s="583"/>
      <c r="C31" s="583"/>
      <c r="D31" s="583"/>
      <c r="E31" s="583"/>
      <c r="F31" s="583"/>
      <c r="G31" s="583"/>
    </row>
    <row r="32" spans="1:7" s="582" customFormat="1" ht="15.75" customHeight="1" x14ac:dyDescent="0.2">
      <c r="A32" s="583"/>
      <c r="B32" s="583"/>
      <c r="C32" s="583"/>
      <c r="D32" s="583"/>
      <c r="E32" s="583"/>
      <c r="F32" s="583"/>
      <c r="G32" s="583"/>
    </row>
    <row r="33" spans="1:7" s="582" customFormat="1" ht="15.75" customHeight="1" x14ac:dyDescent="0.2">
      <c r="A33" s="583"/>
      <c r="B33" s="583"/>
      <c r="C33" s="583"/>
      <c r="D33" s="583"/>
      <c r="E33" s="583"/>
      <c r="F33" s="583"/>
      <c r="G33" s="583"/>
    </row>
    <row r="34" spans="1:7" s="582" customFormat="1" ht="15.75" customHeight="1" x14ac:dyDescent="0.2">
      <c r="A34" s="583"/>
      <c r="B34" s="583"/>
      <c r="C34" s="583"/>
      <c r="D34" s="583"/>
      <c r="E34" s="583"/>
      <c r="F34" s="583"/>
      <c r="G34" s="583"/>
    </row>
    <row r="35" spans="1:7" s="582" customFormat="1" ht="15.75" customHeight="1" x14ac:dyDescent="0.2">
      <c r="A35" s="583"/>
      <c r="B35" s="583"/>
      <c r="C35" s="583"/>
      <c r="D35" s="583"/>
      <c r="E35" s="583"/>
      <c r="F35" s="583"/>
      <c r="G35" s="583"/>
    </row>
    <row r="36" spans="1:7" s="582" customFormat="1" ht="15.75" customHeight="1" x14ac:dyDescent="0.2">
      <c r="A36" s="583"/>
      <c r="B36" s="583"/>
      <c r="C36" s="583"/>
      <c r="D36" s="583"/>
      <c r="E36" s="583"/>
      <c r="F36" s="583"/>
      <c r="G36" s="583"/>
    </row>
    <row r="37" spans="1:7" s="582" customFormat="1" ht="15.75" customHeight="1" x14ac:dyDescent="0.2">
      <c r="A37" s="583"/>
      <c r="B37" s="583"/>
      <c r="C37" s="583"/>
      <c r="D37" s="583"/>
      <c r="E37" s="583"/>
      <c r="F37" s="583"/>
      <c r="G37" s="583"/>
    </row>
    <row r="38" spans="1:7" s="582" customFormat="1" ht="15.75" customHeight="1" x14ac:dyDescent="0.2">
      <c r="A38" s="583"/>
      <c r="B38" s="583"/>
      <c r="C38" s="583"/>
      <c r="D38" s="583"/>
      <c r="E38" s="583"/>
      <c r="F38" s="583"/>
      <c r="G38" s="583"/>
    </row>
    <row r="39" spans="1:7" s="582" customFormat="1" ht="15.75" customHeight="1" x14ac:dyDescent="0.2">
      <c r="A39" s="583"/>
      <c r="B39" s="583"/>
      <c r="C39" s="583"/>
      <c r="D39" s="583"/>
      <c r="E39" s="583"/>
      <c r="F39" s="583"/>
      <c r="G39" s="583"/>
    </row>
    <row r="40" spans="1:7" s="582" customFormat="1" ht="15.75" customHeight="1" x14ac:dyDescent="0.2">
      <c r="A40" s="583"/>
      <c r="B40" s="583"/>
      <c r="C40" s="583"/>
      <c r="D40" s="583"/>
      <c r="E40" s="583"/>
      <c r="F40" s="583"/>
      <c r="G40" s="583"/>
    </row>
    <row r="41" spans="1:7" s="582" customFormat="1" ht="15.75" customHeight="1" x14ac:dyDescent="0.2">
      <c r="A41" s="583"/>
      <c r="B41" s="583"/>
      <c r="C41" s="583"/>
      <c r="D41" s="583"/>
      <c r="E41" s="583"/>
      <c r="F41" s="583"/>
      <c r="G41" s="583"/>
    </row>
    <row r="42" spans="1:7" s="582" customFormat="1" ht="15.75" customHeight="1" x14ac:dyDescent="0.2">
      <c r="A42" s="583"/>
      <c r="B42" s="583"/>
      <c r="C42" s="583"/>
      <c r="D42" s="583"/>
      <c r="E42" s="583"/>
      <c r="F42" s="583"/>
      <c r="G42" s="583"/>
    </row>
    <row r="43" spans="1:7" s="582" customFormat="1" ht="15.75" customHeight="1" x14ac:dyDescent="0.2">
      <c r="A43" s="583"/>
      <c r="B43" s="583"/>
      <c r="C43" s="583"/>
      <c r="D43" s="583"/>
      <c r="E43" s="583"/>
      <c r="F43" s="583"/>
      <c r="G43" s="583"/>
    </row>
    <row r="44" spans="1:7" s="582" customFormat="1" ht="15.75" customHeight="1" x14ac:dyDescent="0.2">
      <c r="A44" s="583"/>
      <c r="B44" s="583"/>
      <c r="C44" s="583"/>
      <c r="D44" s="583"/>
      <c r="E44" s="583"/>
      <c r="F44" s="583"/>
      <c r="G44" s="583"/>
    </row>
    <row r="45" spans="1:7" s="582" customFormat="1" ht="15.75" customHeight="1" x14ac:dyDescent="0.2">
      <c r="A45" s="583"/>
      <c r="B45" s="583"/>
      <c r="C45" s="583"/>
      <c r="D45" s="583"/>
      <c r="E45" s="583"/>
      <c r="F45" s="583"/>
      <c r="G45" s="583"/>
    </row>
    <row r="46" spans="1:7" s="582" customFormat="1" ht="15.75" customHeight="1" x14ac:dyDescent="0.2">
      <c r="A46" s="583"/>
      <c r="B46" s="583"/>
      <c r="C46" s="583"/>
      <c r="D46" s="583"/>
      <c r="E46" s="583"/>
      <c r="F46" s="583"/>
      <c r="G46" s="583"/>
    </row>
    <row r="47" spans="1:7" s="582" customFormat="1" ht="15.75" customHeight="1" x14ac:dyDescent="0.2">
      <c r="A47" s="583"/>
      <c r="B47" s="583"/>
      <c r="C47" s="583"/>
      <c r="D47" s="583"/>
      <c r="E47" s="583"/>
      <c r="F47" s="583"/>
      <c r="G47" s="583"/>
    </row>
    <row r="48" spans="1:7" s="582" customFormat="1" ht="15.75" customHeight="1" x14ac:dyDescent="0.2">
      <c r="A48" s="583"/>
      <c r="B48" s="583"/>
      <c r="C48" s="583"/>
      <c r="D48" s="583"/>
      <c r="E48" s="583"/>
      <c r="F48" s="583"/>
      <c r="G48" s="583"/>
    </row>
    <row r="49" spans="1:7" s="582" customFormat="1" ht="15.75" customHeight="1" x14ac:dyDescent="0.2">
      <c r="A49" s="583"/>
      <c r="B49" s="583"/>
      <c r="C49" s="583"/>
      <c r="D49" s="583"/>
      <c r="E49" s="583"/>
      <c r="F49" s="583"/>
      <c r="G49" s="583"/>
    </row>
    <row r="50" spans="1:7" s="582" customFormat="1" ht="15.75" customHeight="1" thickBot="1" x14ac:dyDescent="0.25">
      <c r="A50" s="584"/>
      <c r="B50" s="584"/>
      <c r="C50" s="584"/>
      <c r="D50" s="584"/>
      <c r="E50" s="584"/>
      <c r="F50" s="584"/>
      <c r="G50" s="584"/>
    </row>
  </sheetData>
  <sheetProtection formatCells="0" formatColumns="0" formatRows="0" insertColumns="0" insertRows="0" deleteColumns="0" deleteRows="0" sort="0" autoFilter="0"/>
  <mergeCells count="2">
    <mergeCell ref="A7:G7"/>
    <mergeCell ref="A8:F8"/>
  </mergeCells>
  <phoneticPr fontId="11" type="noConversion"/>
  <pageMargins left="0.25" right="0.25" top="0.25" bottom="0.25" header="0.5" footer="0.5"/>
  <pageSetup scale="57" fitToHeight="3" orientation="portrait" r:id="rId1"/>
  <headerFooter alignWithMargins="0"/>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Feuil27">
    <pageSetUpPr fitToPage="1"/>
  </sheetPr>
  <dimension ref="A1:H578"/>
  <sheetViews>
    <sheetView zoomScale="112" zoomScaleNormal="112" zoomScaleSheetLayoutView="100" workbookViewId="0">
      <pane ySplit="2" topLeftCell="A3" activePane="bottomLeft" state="frozen"/>
      <selection activeCell="B1" sqref="B1"/>
      <selection pane="bottomLeft" activeCell="A2" sqref="A2:C2"/>
    </sheetView>
  </sheetViews>
  <sheetFormatPr defaultColWidth="11.42578125" defaultRowHeight="12.75" x14ac:dyDescent="0.2"/>
  <cols>
    <col min="1" max="1" width="31.42578125" style="2" customWidth="1"/>
    <col min="2" max="2" width="50.28515625" style="2" customWidth="1"/>
    <col min="3" max="3" width="11.42578125" style="2" customWidth="1"/>
    <col min="4" max="4" width="14.28515625" style="2" bestFit="1" customWidth="1"/>
    <col min="5" max="5" width="14.28515625" style="2" customWidth="1"/>
    <col min="6" max="6" width="11.42578125" style="2" customWidth="1"/>
    <col min="7" max="7" width="5.28515625" style="2" customWidth="1"/>
    <col min="8" max="8" width="24.5703125" style="2" customWidth="1"/>
    <col min="9" max="16384" width="11.42578125" style="2"/>
  </cols>
  <sheetData>
    <row r="1" spans="1:8" ht="13.5" thickBot="1" x14ac:dyDescent="0.25">
      <c r="A1" s="2" t="s">
        <v>303</v>
      </c>
      <c r="B1" s="385" t="s">
        <v>1371</v>
      </c>
    </row>
    <row r="2" spans="1:8" ht="13.5" thickBot="1" x14ac:dyDescent="0.25">
      <c r="A2" s="1155" t="s">
        <v>78</v>
      </c>
      <c r="B2" s="1156"/>
      <c r="C2" s="1157"/>
      <c r="D2" s="60" t="s">
        <v>298</v>
      </c>
      <c r="E2" s="52" t="s">
        <v>331</v>
      </c>
      <c r="F2" s="53" t="s">
        <v>317</v>
      </c>
      <c r="H2" s="283" t="s">
        <v>201</v>
      </c>
    </row>
    <row r="3" spans="1:8" s="249" customFormat="1" x14ac:dyDescent="0.2">
      <c r="A3" s="378" t="s">
        <v>936</v>
      </c>
      <c r="B3" s="50" t="s">
        <v>105</v>
      </c>
      <c r="C3" s="58" t="s">
        <v>104</v>
      </c>
      <c r="D3" s="56" t="s">
        <v>300</v>
      </c>
      <c r="E3" s="51" t="s">
        <v>330</v>
      </c>
      <c r="F3" s="54" t="s">
        <v>318</v>
      </c>
      <c r="H3" s="621" t="s">
        <v>936</v>
      </c>
    </row>
    <row r="4" spans="1:8" s="249" customFormat="1" x14ac:dyDescent="0.2">
      <c r="A4" s="55" t="s">
        <v>102</v>
      </c>
      <c r="B4" s="50" t="s">
        <v>101</v>
      </c>
      <c r="C4" s="58" t="s">
        <v>253</v>
      </c>
      <c r="D4" s="56" t="s">
        <v>300</v>
      </c>
      <c r="E4" s="51" t="s">
        <v>330</v>
      </c>
      <c r="F4" s="54" t="s">
        <v>318</v>
      </c>
      <c r="H4" s="669" t="s">
        <v>102</v>
      </c>
    </row>
    <row r="5" spans="1:8" s="249" customFormat="1" x14ac:dyDescent="0.2">
      <c r="A5" s="55" t="s">
        <v>346</v>
      </c>
      <c r="B5" s="50" t="s">
        <v>346</v>
      </c>
      <c r="C5" s="58" t="s">
        <v>347</v>
      </c>
      <c r="D5" s="56" t="s">
        <v>300</v>
      </c>
      <c r="E5" s="51" t="s">
        <v>330</v>
      </c>
      <c r="F5" s="54" t="s">
        <v>318</v>
      </c>
      <c r="H5" s="607" t="s">
        <v>346</v>
      </c>
    </row>
    <row r="6" spans="1:8" s="324" customFormat="1" ht="25.5" x14ac:dyDescent="0.2">
      <c r="A6" s="55" t="s">
        <v>176</v>
      </c>
      <c r="B6" s="50" t="s">
        <v>177</v>
      </c>
      <c r="C6" s="58" t="s">
        <v>180</v>
      </c>
      <c r="D6" s="382" t="s">
        <v>301</v>
      </c>
      <c r="E6" s="51" t="s">
        <v>330</v>
      </c>
      <c r="F6" s="54" t="s">
        <v>318</v>
      </c>
      <c r="G6" s="249"/>
      <c r="H6" s="607" t="s">
        <v>176</v>
      </c>
    </row>
    <row r="7" spans="1:8" s="249" customFormat="1" ht="12" customHeight="1" x14ac:dyDescent="0.2">
      <c r="A7" s="55" t="s">
        <v>175</v>
      </c>
      <c r="B7" s="50" t="s">
        <v>179</v>
      </c>
      <c r="C7" s="58" t="s">
        <v>181</v>
      </c>
      <c r="D7" s="56" t="s">
        <v>300</v>
      </c>
      <c r="E7" s="51" t="s">
        <v>330</v>
      </c>
      <c r="F7" s="54" t="s">
        <v>318</v>
      </c>
      <c r="H7" s="607" t="s">
        <v>175</v>
      </c>
    </row>
    <row r="8" spans="1:8" s="249" customFormat="1" x14ac:dyDescent="0.2">
      <c r="A8" s="55" t="s">
        <v>232</v>
      </c>
      <c r="B8" s="379" t="s">
        <v>933</v>
      </c>
      <c r="C8" s="58" t="s">
        <v>233</v>
      </c>
      <c r="D8" s="56" t="s">
        <v>300</v>
      </c>
      <c r="E8" s="51" t="s">
        <v>330</v>
      </c>
      <c r="F8" s="54" t="s">
        <v>318</v>
      </c>
      <c r="H8" s="607" t="s">
        <v>232</v>
      </c>
    </row>
    <row r="9" spans="1:8" s="249" customFormat="1" x14ac:dyDescent="0.2">
      <c r="A9" s="55" t="s">
        <v>467</v>
      </c>
      <c r="B9" s="50" t="s">
        <v>468</v>
      </c>
      <c r="C9" s="58" t="s">
        <v>469</v>
      </c>
      <c r="D9" s="56" t="s">
        <v>300</v>
      </c>
      <c r="E9" s="51" t="s">
        <v>330</v>
      </c>
      <c r="F9" s="54" t="s">
        <v>318</v>
      </c>
      <c r="H9" s="607" t="s">
        <v>467</v>
      </c>
    </row>
    <row r="10" spans="1:8" s="249" customFormat="1" x14ac:dyDescent="0.2">
      <c r="A10" s="55" t="s">
        <v>234</v>
      </c>
      <c r="B10" s="50" t="s">
        <v>235</v>
      </c>
      <c r="C10" s="58" t="s">
        <v>236</v>
      </c>
      <c r="D10" s="56" t="s">
        <v>300</v>
      </c>
      <c r="E10" s="51" t="s">
        <v>330</v>
      </c>
      <c r="F10" s="54" t="s">
        <v>318</v>
      </c>
      <c r="H10" s="607" t="s">
        <v>234</v>
      </c>
    </row>
    <row r="11" spans="1:8" s="249" customFormat="1" x14ac:dyDescent="0.2">
      <c r="A11" s="55" t="s">
        <v>354</v>
      </c>
      <c r="B11" s="50" t="s">
        <v>355</v>
      </c>
      <c r="C11" s="58" t="s">
        <v>357</v>
      </c>
      <c r="D11" s="56" t="s">
        <v>300</v>
      </c>
      <c r="E11" s="51" t="s">
        <v>330</v>
      </c>
      <c r="F11" s="54" t="s">
        <v>318</v>
      </c>
      <c r="H11" s="607" t="s">
        <v>354</v>
      </c>
    </row>
    <row r="12" spans="1:8" s="249" customFormat="1" x14ac:dyDescent="0.2">
      <c r="A12" s="378" t="s">
        <v>1270</v>
      </c>
      <c r="B12" s="379" t="s">
        <v>1271</v>
      </c>
      <c r="C12" s="380" t="s">
        <v>1272</v>
      </c>
      <c r="D12" s="56" t="s">
        <v>300</v>
      </c>
      <c r="E12" s="51" t="s">
        <v>330</v>
      </c>
      <c r="F12" s="54" t="s">
        <v>318</v>
      </c>
      <c r="H12" s="608" t="s">
        <v>1270</v>
      </c>
    </row>
    <row r="13" spans="1:8" s="249" customFormat="1" x14ac:dyDescent="0.2">
      <c r="A13" s="378" t="s">
        <v>1273</v>
      </c>
      <c r="B13" s="379" t="s">
        <v>1274</v>
      </c>
      <c r="C13" s="58" t="s">
        <v>474</v>
      </c>
      <c r="D13" s="56" t="s">
        <v>300</v>
      </c>
      <c r="E13" s="51" t="s">
        <v>330</v>
      </c>
      <c r="F13" s="54" t="s">
        <v>318</v>
      </c>
      <c r="H13" s="608" t="s">
        <v>1273</v>
      </c>
    </row>
    <row r="14" spans="1:8" s="324" customFormat="1" x14ac:dyDescent="0.2">
      <c r="A14" s="378" t="s">
        <v>1324</v>
      </c>
      <c r="B14" s="379" t="s">
        <v>934</v>
      </c>
      <c r="C14" s="681" t="s">
        <v>873</v>
      </c>
      <c r="D14" s="56" t="s">
        <v>300</v>
      </c>
      <c r="E14" s="51" t="s">
        <v>330</v>
      </c>
      <c r="F14" s="54" t="s">
        <v>319</v>
      </c>
      <c r="G14" s="249"/>
      <c r="H14" s="608" t="s">
        <v>1324</v>
      </c>
    </row>
    <row r="15" spans="1:8" s="324" customFormat="1" x14ac:dyDescent="0.2">
      <c r="A15" s="680" t="s">
        <v>1325</v>
      </c>
      <c r="B15" s="679" t="s">
        <v>1326</v>
      </c>
      <c r="C15" s="681" t="s">
        <v>878</v>
      </c>
      <c r="D15" s="56" t="s">
        <v>300</v>
      </c>
      <c r="E15" s="51" t="s">
        <v>330</v>
      </c>
      <c r="F15" s="54" t="s">
        <v>319</v>
      </c>
      <c r="G15" s="249"/>
      <c r="H15" s="608" t="s">
        <v>1325</v>
      </c>
    </row>
    <row r="16" spans="1:8" s="249" customFormat="1" x14ac:dyDescent="0.2">
      <c r="A16" s="378" t="s">
        <v>1053</v>
      </c>
      <c r="B16" s="379" t="s">
        <v>1053</v>
      </c>
      <c r="C16" s="58" t="s">
        <v>237</v>
      </c>
      <c r="D16" s="56" t="s">
        <v>300</v>
      </c>
      <c r="E16" s="51" t="s">
        <v>330</v>
      </c>
      <c r="F16" s="54" t="s">
        <v>318</v>
      </c>
      <c r="H16" s="608" t="s">
        <v>1053</v>
      </c>
    </row>
    <row r="17" spans="1:8" s="249" customFormat="1" x14ac:dyDescent="0.2">
      <c r="A17" s="55" t="s">
        <v>86</v>
      </c>
      <c r="B17" s="379" t="s">
        <v>935</v>
      </c>
      <c r="C17" s="58" t="s">
        <v>88</v>
      </c>
      <c r="D17" s="56" t="s">
        <v>300</v>
      </c>
      <c r="E17" s="51" t="s">
        <v>330</v>
      </c>
      <c r="F17" s="54" t="s">
        <v>318</v>
      </c>
      <c r="H17" s="607" t="s">
        <v>86</v>
      </c>
    </row>
    <row r="18" spans="1:8" s="249" customFormat="1" x14ac:dyDescent="0.2">
      <c r="A18" s="378" t="s">
        <v>1127</v>
      </c>
      <c r="B18" s="379" t="s">
        <v>1127</v>
      </c>
      <c r="C18" s="380" t="s">
        <v>1128</v>
      </c>
      <c r="D18" s="382" t="s">
        <v>300</v>
      </c>
      <c r="E18" s="383" t="s">
        <v>330</v>
      </c>
      <c r="F18" s="384" t="s">
        <v>318</v>
      </c>
      <c r="H18" s="608" t="s">
        <v>1127</v>
      </c>
    </row>
    <row r="19" spans="1:8" s="249" customFormat="1" x14ac:dyDescent="0.2">
      <c r="A19" s="55" t="s">
        <v>557</v>
      </c>
      <c r="B19" s="50" t="s">
        <v>558</v>
      </c>
      <c r="C19" s="58" t="s">
        <v>559</v>
      </c>
      <c r="D19" s="56" t="s">
        <v>300</v>
      </c>
      <c r="E19" s="51" t="s">
        <v>330</v>
      </c>
      <c r="F19" s="54" t="s">
        <v>318</v>
      </c>
      <c r="H19" s="607" t="s">
        <v>557</v>
      </c>
    </row>
    <row r="20" spans="1:8" s="249" customFormat="1" x14ac:dyDescent="0.2">
      <c r="A20" s="378" t="s">
        <v>1105</v>
      </c>
      <c r="B20" s="381" t="s">
        <v>1108</v>
      </c>
      <c r="C20" s="380" t="s">
        <v>1106</v>
      </c>
      <c r="D20" s="382" t="s">
        <v>301</v>
      </c>
      <c r="E20" s="383" t="s">
        <v>330</v>
      </c>
      <c r="F20" s="384" t="s">
        <v>318</v>
      </c>
      <c r="G20" s="585"/>
      <c r="H20" s="608" t="s">
        <v>1105</v>
      </c>
    </row>
    <row r="21" spans="1:8" s="585" customFormat="1" x14ac:dyDescent="0.2">
      <c r="A21" s="378" t="s">
        <v>1103</v>
      </c>
      <c r="B21" s="381" t="s">
        <v>1107</v>
      </c>
      <c r="C21" s="380" t="s">
        <v>1104</v>
      </c>
      <c r="D21" s="382" t="s">
        <v>300</v>
      </c>
      <c r="E21" s="383" t="s">
        <v>330</v>
      </c>
      <c r="F21" s="384" t="s">
        <v>318</v>
      </c>
      <c r="H21" s="608" t="s">
        <v>1103</v>
      </c>
    </row>
    <row r="22" spans="1:8" s="585" customFormat="1" x14ac:dyDescent="0.2">
      <c r="A22" s="680" t="s">
        <v>1307</v>
      </c>
      <c r="B22" s="679" t="s">
        <v>1307</v>
      </c>
      <c r="C22" s="681" t="s">
        <v>1308</v>
      </c>
      <c r="D22" s="56" t="s">
        <v>300</v>
      </c>
      <c r="E22" s="51" t="s">
        <v>330</v>
      </c>
      <c r="F22" s="384" t="s">
        <v>318</v>
      </c>
      <c r="G22" s="249"/>
      <c r="H22" s="608" t="s">
        <v>1307</v>
      </c>
    </row>
    <row r="23" spans="1:8" s="585" customFormat="1" x14ac:dyDescent="0.2">
      <c r="A23" s="680" t="s">
        <v>1309</v>
      </c>
      <c r="B23" s="679" t="s">
        <v>1309</v>
      </c>
      <c r="C23" s="681" t="s">
        <v>1310</v>
      </c>
      <c r="D23" s="56" t="s">
        <v>300</v>
      </c>
      <c r="E23" s="51" t="s">
        <v>330</v>
      </c>
      <c r="F23" s="384" t="s">
        <v>318</v>
      </c>
      <c r="G23" s="249"/>
      <c r="H23" s="608" t="s">
        <v>1309</v>
      </c>
    </row>
    <row r="24" spans="1:8" s="585" customFormat="1" ht="25.5" x14ac:dyDescent="0.2">
      <c r="A24" s="680" t="s">
        <v>1311</v>
      </c>
      <c r="B24" s="679" t="s">
        <v>1311</v>
      </c>
      <c r="C24" s="681" t="s">
        <v>1312</v>
      </c>
      <c r="D24" s="56" t="s">
        <v>300</v>
      </c>
      <c r="E24" s="51" t="s">
        <v>330</v>
      </c>
      <c r="F24" s="384" t="s">
        <v>318</v>
      </c>
      <c r="G24" s="249"/>
      <c r="H24" s="608" t="s">
        <v>1311</v>
      </c>
    </row>
    <row r="25" spans="1:8" s="249" customFormat="1" ht="11.25" customHeight="1" x14ac:dyDescent="0.2">
      <c r="A25" s="55" t="s">
        <v>246</v>
      </c>
      <c r="B25" s="50" t="s">
        <v>247</v>
      </c>
      <c r="C25" s="58" t="s">
        <v>248</v>
      </c>
      <c r="D25" s="56" t="s">
        <v>300</v>
      </c>
      <c r="E25" s="51" t="s">
        <v>330</v>
      </c>
      <c r="F25" s="54" t="s">
        <v>318</v>
      </c>
      <c r="H25" s="607" t="s">
        <v>246</v>
      </c>
    </row>
    <row r="26" spans="1:8" s="385" customFormat="1" x14ac:dyDescent="0.2">
      <c r="A26" s="678" t="s">
        <v>1335</v>
      </c>
      <c r="B26" s="677" t="s">
        <v>1336</v>
      </c>
      <c r="C26" s="684" t="s">
        <v>820</v>
      </c>
      <c r="D26" s="689" t="s">
        <v>300</v>
      </c>
      <c r="E26" s="690" t="s">
        <v>330</v>
      </c>
      <c r="F26" s="691" t="s">
        <v>318</v>
      </c>
      <c r="H26" s="692" t="s">
        <v>1335</v>
      </c>
    </row>
    <row r="27" spans="1:8" s="385" customFormat="1" x14ac:dyDescent="0.2">
      <c r="A27" s="678" t="s">
        <v>1337</v>
      </c>
      <c r="B27" s="677" t="s">
        <v>1338</v>
      </c>
      <c r="C27" s="684" t="s">
        <v>1339</v>
      </c>
      <c r="D27" s="689" t="s">
        <v>300</v>
      </c>
      <c r="E27" s="690" t="s">
        <v>330</v>
      </c>
      <c r="F27" s="691" t="s">
        <v>318</v>
      </c>
      <c r="H27" s="692" t="s">
        <v>1337</v>
      </c>
    </row>
    <row r="28" spans="1:8" s="385" customFormat="1" x14ac:dyDescent="0.2">
      <c r="A28" s="678" t="s">
        <v>1340</v>
      </c>
      <c r="B28" s="677" t="s">
        <v>1340</v>
      </c>
      <c r="C28" s="684" t="s">
        <v>1341</v>
      </c>
      <c r="D28" s="689" t="s">
        <v>300</v>
      </c>
      <c r="E28" s="690" t="s">
        <v>330</v>
      </c>
      <c r="F28" s="691" t="s">
        <v>318</v>
      </c>
      <c r="H28" s="692" t="s">
        <v>1340</v>
      </c>
    </row>
    <row r="29" spans="1:8" s="249" customFormat="1" x14ac:dyDescent="0.2">
      <c r="A29" s="378" t="s">
        <v>202</v>
      </c>
      <c r="B29" s="379" t="s">
        <v>916</v>
      </c>
      <c r="C29" s="380" t="s">
        <v>203</v>
      </c>
      <c r="D29" s="382" t="s">
        <v>301</v>
      </c>
      <c r="E29" s="383" t="s">
        <v>330</v>
      </c>
      <c r="F29" s="384" t="s">
        <v>318</v>
      </c>
      <c r="G29" s="585"/>
      <c r="H29" s="608" t="s">
        <v>202</v>
      </c>
    </row>
    <row r="30" spans="1:8" s="585" customFormat="1" x14ac:dyDescent="0.2">
      <c r="A30" s="676" t="s">
        <v>9</v>
      </c>
      <c r="B30" s="50" t="s">
        <v>9</v>
      </c>
      <c r="C30" s="58" t="s">
        <v>10</v>
      </c>
      <c r="D30" s="56" t="s">
        <v>301</v>
      </c>
      <c r="E30" s="51" t="s">
        <v>330</v>
      </c>
      <c r="F30" s="54" t="s">
        <v>318</v>
      </c>
      <c r="G30" s="249"/>
      <c r="H30" s="607" t="s">
        <v>9</v>
      </c>
    </row>
    <row r="31" spans="1:8" s="386" customFormat="1" x14ac:dyDescent="0.2">
      <c r="A31" s="55" t="s">
        <v>746</v>
      </c>
      <c r="B31" s="50" t="s">
        <v>747</v>
      </c>
      <c r="C31" s="58" t="s">
        <v>748</v>
      </c>
      <c r="D31" s="56" t="s">
        <v>300</v>
      </c>
      <c r="E31" s="51" t="s">
        <v>330</v>
      </c>
      <c r="F31" s="54" t="s">
        <v>318</v>
      </c>
      <c r="G31" s="249"/>
      <c r="H31" s="607" t="s">
        <v>746</v>
      </c>
    </row>
    <row r="32" spans="1:8" s="249" customFormat="1" x14ac:dyDescent="0.2">
      <c r="A32" s="55" t="s">
        <v>551</v>
      </c>
      <c r="B32" s="50" t="s">
        <v>552</v>
      </c>
      <c r="C32" s="58" t="s">
        <v>553</v>
      </c>
      <c r="D32" s="56" t="s">
        <v>300</v>
      </c>
      <c r="E32" s="51" t="s">
        <v>330</v>
      </c>
      <c r="F32" s="54" t="s">
        <v>318</v>
      </c>
      <c r="G32" s="585"/>
      <c r="H32" s="607" t="s">
        <v>551</v>
      </c>
    </row>
    <row r="33" spans="1:8" s="249" customFormat="1" x14ac:dyDescent="0.2">
      <c r="A33" s="55" t="s">
        <v>263</v>
      </c>
      <c r="B33" s="50" t="s">
        <v>264</v>
      </c>
      <c r="C33" s="58" t="s">
        <v>265</v>
      </c>
      <c r="D33" s="56" t="s">
        <v>300</v>
      </c>
      <c r="E33" s="51" t="s">
        <v>330</v>
      </c>
      <c r="F33" s="54" t="s">
        <v>318</v>
      </c>
      <c r="H33" s="607" t="s">
        <v>263</v>
      </c>
    </row>
    <row r="34" spans="1:8" s="386" customFormat="1" x14ac:dyDescent="0.2">
      <c r="A34" s="378" t="s">
        <v>1262</v>
      </c>
      <c r="B34" s="379" t="s">
        <v>1263</v>
      </c>
      <c r="C34" s="380" t="s">
        <v>909</v>
      </c>
      <c r="D34" s="382" t="s">
        <v>301</v>
      </c>
      <c r="E34" s="383" t="s">
        <v>330</v>
      </c>
      <c r="F34" s="384" t="s">
        <v>318</v>
      </c>
      <c r="G34" s="249"/>
      <c r="H34" s="608" t="s">
        <v>1262</v>
      </c>
    </row>
    <row r="35" spans="1:8" s="386" customFormat="1" x14ac:dyDescent="0.2">
      <c r="A35" s="378" t="s">
        <v>1266</v>
      </c>
      <c r="B35" s="379" t="s">
        <v>1265</v>
      </c>
      <c r="C35" s="380" t="s">
        <v>1264</v>
      </c>
      <c r="D35" s="382" t="s">
        <v>301</v>
      </c>
      <c r="E35" s="383" t="s">
        <v>330</v>
      </c>
      <c r="F35" s="384" t="s">
        <v>318</v>
      </c>
      <c r="G35" s="249"/>
      <c r="H35" s="608" t="s">
        <v>1266</v>
      </c>
    </row>
    <row r="36" spans="1:8" s="249" customFormat="1" x14ac:dyDescent="0.2">
      <c r="A36" s="55" t="s">
        <v>312</v>
      </c>
      <c r="B36" s="50" t="s">
        <v>106</v>
      </c>
      <c r="C36" s="58" t="s">
        <v>252</v>
      </c>
      <c r="D36" s="56" t="s">
        <v>300</v>
      </c>
      <c r="E36" s="51" t="s">
        <v>330</v>
      </c>
      <c r="F36" s="54" t="s">
        <v>318</v>
      </c>
      <c r="H36" s="607" t="s">
        <v>312</v>
      </c>
    </row>
    <row r="37" spans="1:8" s="249" customFormat="1" x14ac:dyDescent="0.2">
      <c r="A37" s="55" t="s">
        <v>313</v>
      </c>
      <c r="B37" s="50" t="s">
        <v>315</v>
      </c>
      <c r="C37" s="58" t="s">
        <v>314</v>
      </c>
      <c r="D37" s="56" t="s">
        <v>300</v>
      </c>
      <c r="E37" s="51" t="s">
        <v>330</v>
      </c>
      <c r="F37" s="54" t="s">
        <v>318</v>
      </c>
      <c r="H37" s="607" t="s">
        <v>313</v>
      </c>
    </row>
    <row r="38" spans="1:8" s="249" customFormat="1" x14ac:dyDescent="0.2">
      <c r="A38" s="378" t="s">
        <v>1003</v>
      </c>
      <c r="B38" s="379" t="s">
        <v>1003</v>
      </c>
      <c r="C38" s="380" t="s">
        <v>999</v>
      </c>
      <c r="D38" s="382" t="s">
        <v>301</v>
      </c>
      <c r="E38" s="51" t="s">
        <v>330</v>
      </c>
      <c r="F38" s="54" t="s">
        <v>318</v>
      </c>
      <c r="H38" s="608" t="s">
        <v>996</v>
      </c>
    </row>
    <row r="39" spans="1:8" s="249" customFormat="1" x14ac:dyDescent="0.2">
      <c r="A39" s="378" t="s">
        <v>997</v>
      </c>
      <c r="B39" s="379" t="s">
        <v>997</v>
      </c>
      <c r="C39" s="380" t="s">
        <v>1000</v>
      </c>
      <c r="D39" s="56" t="s">
        <v>300</v>
      </c>
      <c r="E39" s="51" t="s">
        <v>330</v>
      </c>
      <c r="F39" s="54" t="s">
        <v>318</v>
      </c>
      <c r="H39" s="608" t="s">
        <v>997</v>
      </c>
    </row>
    <row r="40" spans="1:8" s="249" customFormat="1" x14ac:dyDescent="0.2">
      <c r="A40" s="378" t="s">
        <v>1064</v>
      </c>
      <c r="B40" s="379" t="s">
        <v>1065</v>
      </c>
      <c r="C40" s="380" t="s">
        <v>1066</v>
      </c>
      <c r="D40" s="382" t="s">
        <v>300</v>
      </c>
      <c r="E40" s="51" t="s">
        <v>330</v>
      </c>
      <c r="F40" s="54" t="s">
        <v>318</v>
      </c>
      <c r="H40" s="608" t="s">
        <v>1064</v>
      </c>
    </row>
    <row r="41" spans="1:8" s="249" customFormat="1" x14ac:dyDescent="0.2">
      <c r="A41" s="378" t="s">
        <v>1282</v>
      </c>
      <c r="B41" s="379" t="s">
        <v>1286</v>
      </c>
      <c r="C41" s="380" t="s">
        <v>1066</v>
      </c>
      <c r="D41" s="382" t="s">
        <v>300</v>
      </c>
      <c r="E41" s="51" t="s">
        <v>330</v>
      </c>
      <c r="F41" s="54" t="s">
        <v>318</v>
      </c>
      <c r="H41" s="608" t="s">
        <v>1282</v>
      </c>
    </row>
    <row r="42" spans="1:8" s="249" customFormat="1" x14ac:dyDescent="0.2">
      <c r="A42" s="378" t="s">
        <v>1067</v>
      </c>
      <c r="B42" s="379" t="s">
        <v>1070</v>
      </c>
      <c r="C42" s="380" t="s">
        <v>1073</v>
      </c>
      <c r="D42" s="382" t="s">
        <v>300</v>
      </c>
      <c r="E42" s="51" t="s">
        <v>330</v>
      </c>
      <c r="F42" s="54" t="s">
        <v>318</v>
      </c>
      <c r="H42" s="608" t="s">
        <v>1067</v>
      </c>
    </row>
    <row r="43" spans="1:8" s="249" customFormat="1" x14ac:dyDescent="0.2">
      <c r="A43" s="378" t="s">
        <v>1283</v>
      </c>
      <c r="B43" s="379" t="s">
        <v>1287</v>
      </c>
      <c r="C43" s="380" t="s">
        <v>1073</v>
      </c>
      <c r="D43" s="382" t="s">
        <v>300</v>
      </c>
      <c r="E43" s="51" t="s">
        <v>330</v>
      </c>
      <c r="F43" s="54" t="s">
        <v>318</v>
      </c>
      <c r="H43" s="608" t="s">
        <v>1283</v>
      </c>
    </row>
    <row r="44" spans="1:8" s="249" customFormat="1" x14ac:dyDescent="0.2">
      <c r="A44" s="378" t="s">
        <v>1068</v>
      </c>
      <c r="B44" s="379" t="s">
        <v>1071</v>
      </c>
      <c r="C44" s="380" t="s">
        <v>1074</v>
      </c>
      <c r="D44" s="382" t="s">
        <v>300</v>
      </c>
      <c r="E44" s="51" t="s">
        <v>330</v>
      </c>
      <c r="F44" s="54" t="s">
        <v>318</v>
      </c>
      <c r="H44" s="608" t="s">
        <v>1068</v>
      </c>
    </row>
    <row r="45" spans="1:8" s="249" customFormat="1" x14ac:dyDescent="0.2">
      <c r="A45" s="378" t="s">
        <v>1284</v>
      </c>
      <c r="B45" s="379" t="s">
        <v>1288</v>
      </c>
      <c r="C45" s="380" t="s">
        <v>1074</v>
      </c>
      <c r="D45" s="382" t="s">
        <v>300</v>
      </c>
      <c r="E45" s="51" t="s">
        <v>330</v>
      </c>
      <c r="F45" s="54" t="s">
        <v>318</v>
      </c>
      <c r="H45" s="608" t="s">
        <v>1284</v>
      </c>
    </row>
    <row r="46" spans="1:8" s="249" customFormat="1" x14ac:dyDescent="0.2">
      <c r="A46" s="378" t="s">
        <v>1069</v>
      </c>
      <c r="B46" s="379" t="s">
        <v>1072</v>
      </c>
      <c r="C46" s="380" t="s">
        <v>1075</v>
      </c>
      <c r="D46" s="382" t="s">
        <v>300</v>
      </c>
      <c r="E46" s="51" t="s">
        <v>330</v>
      </c>
      <c r="F46" s="54" t="s">
        <v>318</v>
      </c>
      <c r="H46" s="608" t="s">
        <v>1069</v>
      </c>
    </row>
    <row r="47" spans="1:8" s="249" customFormat="1" ht="13.5" customHeight="1" x14ac:dyDescent="0.2">
      <c r="A47" s="378" t="s">
        <v>1285</v>
      </c>
      <c r="B47" s="379" t="s">
        <v>1289</v>
      </c>
      <c r="C47" s="380" t="s">
        <v>1075</v>
      </c>
      <c r="D47" s="382" t="s">
        <v>300</v>
      </c>
      <c r="E47" s="51" t="s">
        <v>330</v>
      </c>
      <c r="F47" s="54" t="s">
        <v>318</v>
      </c>
      <c r="H47" s="608" t="s">
        <v>1285</v>
      </c>
    </row>
    <row r="48" spans="1:8" s="249" customFormat="1" x14ac:dyDescent="0.2">
      <c r="A48" s="378" t="s">
        <v>1089</v>
      </c>
      <c r="B48" s="379" t="s">
        <v>1090</v>
      </c>
      <c r="C48" s="380" t="s">
        <v>1076</v>
      </c>
      <c r="D48" s="382" t="s">
        <v>300</v>
      </c>
      <c r="E48" s="383" t="s">
        <v>330</v>
      </c>
      <c r="F48" s="384" t="s">
        <v>318</v>
      </c>
      <c r="G48" s="585"/>
      <c r="H48" s="608" t="s">
        <v>1089</v>
      </c>
    </row>
    <row r="49" spans="1:8" s="249" customFormat="1" x14ac:dyDescent="0.2">
      <c r="A49" s="55" t="s">
        <v>213</v>
      </c>
      <c r="B49" s="379" t="s">
        <v>937</v>
      </c>
      <c r="C49" s="380" t="s">
        <v>1327</v>
      </c>
      <c r="D49" s="56" t="s">
        <v>300</v>
      </c>
      <c r="E49" s="51" t="s">
        <v>330</v>
      </c>
      <c r="F49" s="54" t="s">
        <v>319</v>
      </c>
      <c r="G49" s="387"/>
      <c r="H49" s="607" t="s">
        <v>213</v>
      </c>
    </row>
    <row r="50" spans="1:8" s="249" customFormat="1" x14ac:dyDescent="0.2">
      <c r="A50" s="378" t="s">
        <v>1121</v>
      </c>
      <c r="B50" s="379" t="s">
        <v>1122</v>
      </c>
      <c r="C50" s="380" t="s">
        <v>1123</v>
      </c>
      <c r="D50" s="382" t="s">
        <v>300</v>
      </c>
      <c r="E50" s="383" t="s">
        <v>330</v>
      </c>
      <c r="F50" s="384" t="s">
        <v>318</v>
      </c>
      <c r="G50" s="387"/>
      <c r="H50" s="608" t="s">
        <v>1121</v>
      </c>
    </row>
    <row r="51" spans="1:8" s="386" customFormat="1" x14ac:dyDescent="0.2">
      <c r="A51" s="55" t="s">
        <v>325</v>
      </c>
      <c r="B51" s="50" t="s">
        <v>326</v>
      </c>
      <c r="C51" s="58" t="s">
        <v>327</v>
      </c>
      <c r="D51" s="56" t="s">
        <v>300</v>
      </c>
      <c r="E51" s="51" t="s">
        <v>330</v>
      </c>
      <c r="F51" s="54" t="s">
        <v>319</v>
      </c>
      <c r="G51" s="585"/>
      <c r="H51" s="607" t="s">
        <v>325</v>
      </c>
    </row>
    <row r="52" spans="1:8" s="386" customFormat="1" x14ac:dyDescent="0.2">
      <c r="A52" s="378" t="s">
        <v>1077</v>
      </c>
      <c r="B52" s="379" t="s">
        <v>1078</v>
      </c>
      <c r="C52" s="380" t="s">
        <v>1328</v>
      </c>
      <c r="D52" s="382" t="s">
        <v>300</v>
      </c>
      <c r="E52" s="383" t="s">
        <v>330</v>
      </c>
      <c r="F52" s="384" t="s">
        <v>319</v>
      </c>
      <c r="G52" s="249"/>
      <c r="H52" s="608" t="s">
        <v>1077</v>
      </c>
    </row>
    <row r="53" spans="1:8" s="249" customFormat="1" x14ac:dyDescent="0.2">
      <c r="A53" s="378" t="s">
        <v>1095</v>
      </c>
      <c r="B53" s="379" t="s">
        <v>1096</v>
      </c>
      <c r="C53" s="380" t="s">
        <v>1097</v>
      </c>
      <c r="D53" s="382" t="s">
        <v>301</v>
      </c>
      <c r="E53" s="383" t="s">
        <v>330</v>
      </c>
      <c r="F53" s="384" t="s">
        <v>318</v>
      </c>
      <c r="G53" s="585"/>
      <c r="H53" s="608" t="s">
        <v>1098</v>
      </c>
    </row>
    <row r="54" spans="1:8" s="585" customFormat="1" x14ac:dyDescent="0.2">
      <c r="A54" s="378" t="s">
        <v>1091</v>
      </c>
      <c r="B54" s="379" t="s">
        <v>1092</v>
      </c>
      <c r="C54" s="380" t="s">
        <v>1093</v>
      </c>
      <c r="D54" s="382" t="s">
        <v>300</v>
      </c>
      <c r="E54" s="383" t="s">
        <v>330</v>
      </c>
      <c r="F54" s="384" t="s">
        <v>318</v>
      </c>
      <c r="H54" s="608" t="s">
        <v>1094</v>
      </c>
    </row>
    <row r="55" spans="1:8" s="585" customFormat="1" ht="89.25" x14ac:dyDescent="0.2">
      <c r="A55" s="378" t="s">
        <v>809</v>
      </c>
      <c r="B55" s="379" t="s">
        <v>938</v>
      </c>
      <c r="C55" s="380" t="s">
        <v>808</v>
      </c>
      <c r="D55" s="382" t="s">
        <v>301</v>
      </c>
      <c r="E55" s="383" t="s">
        <v>316</v>
      </c>
      <c r="F55" s="384" t="s">
        <v>318</v>
      </c>
      <c r="G55" s="249"/>
      <c r="H55" s="608" t="s">
        <v>809</v>
      </c>
    </row>
    <row r="56" spans="1:8" s="249" customFormat="1" ht="89.25" x14ac:dyDescent="0.2">
      <c r="A56" s="378" t="s">
        <v>807</v>
      </c>
      <c r="B56" s="379" t="s">
        <v>938</v>
      </c>
      <c r="C56" s="380" t="s">
        <v>810</v>
      </c>
      <c r="D56" s="382" t="s">
        <v>300</v>
      </c>
      <c r="E56" s="383" t="s">
        <v>316</v>
      </c>
      <c r="F56" s="384" t="s">
        <v>318</v>
      </c>
      <c r="H56" s="608" t="s">
        <v>807</v>
      </c>
    </row>
    <row r="57" spans="1:8" s="249" customFormat="1" x14ac:dyDescent="0.2">
      <c r="A57" s="55" t="s">
        <v>744</v>
      </c>
      <c r="B57" s="50" t="s">
        <v>745</v>
      </c>
      <c r="C57" s="380" t="s">
        <v>840</v>
      </c>
      <c r="D57" s="56" t="s">
        <v>300</v>
      </c>
      <c r="E57" s="51" t="s">
        <v>330</v>
      </c>
      <c r="F57" s="54" t="s">
        <v>318</v>
      </c>
      <c r="H57" s="607" t="s">
        <v>744</v>
      </c>
    </row>
    <row r="58" spans="1:8" s="249" customFormat="1" x14ac:dyDescent="0.2">
      <c r="A58" s="55" t="s">
        <v>230</v>
      </c>
      <c r="B58" s="379" t="s">
        <v>884</v>
      </c>
      <c r="C58" s="58" t="s">
        <v>268</v>
      </c>
      <c r="D58" s="56" t="s">
        <v>301</v>
      </c>
      <c r="E58" s="51" t="s">
        <v>330</v>
      </c>
      <c r="F58" s="54" t="s">
        <v>318</v>
      </c>
      <c r="H58" s="607" t="s">
        <v>230</v>
      </c>
    </row>
    <row r="59" spans="1:8" s="249" customFormat="1" x14ac:dyDescent="0.2">
      <c r="A59" s="55" t="s">
        <v>21</v>
      </c>
      <c r="B59" s="50" t="s">
        <v>238</v>
      </c>
      <c r="C59" s="58" t="s">
        <v>239</v>
      </c>
      <c r="D59" s="56" t="s">
        <v>300</v>
      </c>
      <c r="E59" s="51" t="s">
        <v>330</v>
      </c>
      <c r="F59" s="54" t="s">
        <v>318</v>
      </c>
      <c r="H59" s="607" t="s">
        <v>21</v>
      </c>
    </row>
    <row r="60" spans="1:8" s="249" customFormat="1" ht="25.5" x14ac:dyDescent="0.2">
      <c r="A60" s="55" t="s">
        <v>159</v>
      </c>
      <c r="B60" s="50" t="s">
        <v>160</v>
      </c>
      <c r="C60" s="58" t="s">
        <v>240</v>
      </c>
      <c r="D60" s="56" t="s">
        <v>300</v>
      </c>
      <c r="E60" s="51" t="s">
        <v>330</v>
      </c>
      <c r="F60" s="54" t="s">
        <v>318</v>
      </c>
      <c r="H60" s="607" t="s">
        <v>159</v>
      </c>
    </row>
    <row r="61" spans="1:8" s="249" customFormat="1" x14ac:dyDescent="0.2">
      <c r="A61" s="378" t="s">
        <v>1082</v>
      </c>
      <c r="B61" s="379" t="s">
        <v>1084</v>
      </c>
      <c r="C61" s="58" t="s">
        <v>256</v>
      </c>
      <c r="D61" s="382" t="s">
        <v>301</v>
      </c>
      <c r="E61" s="51" t="s">
        <v>330</v>
      </c>
      <c r="F61" s="54" t="s">
        <v>318</v>
      </c>
      <c r="H61" s="608" t="s">
        <v>1086</v>
      </c>
    </row>
    <row r="62" spans="1:8" s="249" customFormat="1" x14ac:dyDescent="0.2">
      <c r="A62" s="378" t="s">
        <v>1081</v>
      </c>
      <c r="B62" s="379" t="s">
        <v>1083</v>
      </c>
      <c r="C62" s="380" t="s">
        <v>1085</v>
      </c>
      <c r="D62" s="56" t="s">
        <v>300</v>
      </c>
      <c r="E62" s="51" t="s">
        <v>330</v>
      </c>
      <c r="F62" s="54" t="s">
        <v>318</v>
      </c>
      <c r="H62" s="608" t="s">
        <v>1087</v>
      </c>
    </row>
    <row r="63" spans="1:8" s="249" customFormat="1" x14ac:dyDescent="0.2">
      <c r="A63" s="55" t="s">
        <v>494</v>
      </c>
      <c r="B63" s="50" t="s">
        <v>494</v>
      </c>
      <c r="C63" s="58" t="s">
        <v>495</v>
      </c>
      <c r="D63" s="56" t="s">
        <v>300</v>
      </c>
      <c r="E63" s="51" t="s">
        <v>330</v>
      </c>
      <c r="F63" s="54" t="s">
        <v>318</v>
      </c>
      <c r="H63" s="607" t="s">
        <v>496</v>
      </c>
    </row>
    <row r="64" spans="1:8" s="249" customFormat="1" ht="25.5" x14ac:dyDescent="0.2">
      <c r="A64" s="55" t="s">
        <v>470</v>
      </c>
      <c r="B64" s="379" t="s">
        <v>940</v>
      </c>
      <c r="C64" s="58" t="s">
        <v>471</v>
      </c>
      <c r="D64" s="56" t="s">
        <v>300</v>
      </c>
      <c r="E64" s="51" t="s">
        <v>330</v>
      </c>
      <c r="F64" s="54" t="s">
        <v>318</v>
      </c>
      <c r="G64" s="585"/>
      <c r="H64" s="607" t="s">
        <v>470</v>
      </c>
    </row>
    <row r="65" spans="1:8" s="249" customFormat="1" x14ac:dyDescent="0.2">
      <c r="A65" s="55" t="s">
        <v>619</v>
      </c>
      <c r="B65" s="50" t="s">
        <v>620</v>
      </c>
      <c r="C65" s="58" t="s">
        <v>621</v>
      </c>
      <c r="D65" s="56" t="s">
        <v>300</v>
      </c>
      <c r="E65" s="51" t="s">
        <v>330</v>
      </c>
      <c r="F65" s="54" t="s">
        <v>318</v>
      </c>
      <c r="H65" s="607" t="s">
        <v>619</v>
      </c>
    </row>
    <row r="66" spans="1:8" s="249" customFormat="1" x14ac:dyDescent="0.2">
      <c r="A66" s="378" t="s">
        <v>874</v>
      </c>
      <c r="B66" s="379" t="s">
        <v>939</v>
      </c>
      <c r="C66" s="380" t="s">
        <v>1329</v>
      </c>
      <c r="D66" s="56" t="s">
        <v>300</v>
      </c>
      <c r="E66" s="51" t="s">
        <v>330</v>
      </c>
      <c r="F66" s="54" t="s">
        <v>319</v>
      </c>
      <c r="H66" s="608" t="s">
        <v>874</v>
      </c>
    </row>
    <row r="67" spans="1:8" s="249" customFormat="1" x14ac:dyDescent="0.2">
      <c r="A67" s="378" t="s">
        <v>1099</v>
      </c>
      <c r="B67" s="379" t="s">
        <v>1099</v>
      </c>
      <c r="C67" s="380" t="s">
        <v>1100</v>
      </c>
      <c r="D67" s="382" t="s">
        <v>301</v>
      </c>
      <c r="E67" s="383" t="s">
        <v>330</v>
      </c>
      <c r="F67" s="384" t="s">
        <v>318</v>
      </c>
      <c r="G67" s="585"/>
      <c r="H67" s="608" t="s">
        <v>1099</v>
      </c>
    </row>
    <row r="68" spans="1:8" s="585" customFormat="1" x14ac:dyDescent="0.2">
      <c r="A68" s="378" t="s">
        <v>854</v>
      </c>
      <c r="B68" s="379" t="s">
        <v>855</v>
      </c>
      <c r="C68" s="380" t="s">
        <v>85</v>
      </c>
      <c r="D68" s="382" t="s">
        <v>300</v>
      </c>
      <c r="E68" s="383" t="s">
        <v>330</v>
      </c>
      <c r="F68" s="384" t="s">
        <v>319</v>
      </c>
      <c r="G68" s="249"/>
      <c r="H68" s="608" t="s">
        <v>854</v>
      </c>
    </row>
    <row r="69" spans="1:8" s="249" customFormat="1" x14ac:dyDescent="0.2">
      <c r="A69" s="680" t="s">
        <v>1320</v>
      </c>
      <c r="B69" s="679" t="s">
        <v>1320</v>
      </c>
      <c r="C69" s="681" t="s">
        <v>360</v>
      </c>
      <c r="D69" s="382" t="s">
        <v>300</v>
      </c>
      <c r="E69" s="383" t="s">
        <v>330</v>
      </c>
      <c r="F69" s="384" t="s">
        <v>318</v>
      </c>
      <c r="H69" s="608" t="s">
        <v>1320</v>
      </c>
    </row>
    <row r="70" spans="1:8" s="249" customFormat="1" ht="25.5" x14ac:dyDescent="0.2">
      <c r="A70" s="55" t="s">
        <v>472</v>
      </c>
      <c r="B70" s="50" t="s">
        <v>196</v>
      </c>
      <c r="C70" s="58" t="s">
        <v>198</v>
      </c>
      <c r="D70" s="56" t="s">
        <v>301</v>
      </c>
      <c r="E70" s="51" t="s">
        <v>330</v>
      </c>
      <c r="F70" s="54" t="s">
        <v>318</v>
      </c>
      <c r="H70" s="607" t="s">
        <v>472</v>
      </c>
    </row>
    <row r="71" spans="1:8" s="249" customFormat="1" ht="25.5" x14ac:dyDescent="0.2">
      <c r="A71" s="55" t="s">
        <v>194</v>
      </c>
      <c r="B71" s="50" t="s">
        <v>195</v>
      </c>
      <c r="C71" s="58" t="s">
        <v>197</v>
      </c>
      <c r="D71" s="56" t="s">
        <v>300</v>
      </c>
      <c r="E71" s="51" t="s">
        <v>330</v>
      </c>
      <c r="F71" s="54" t="s">
        <v>318</v>
      </c>
      <c r="G71" s="2"/>
      <c r="H71" s="607" t="s">
        <v>194</v>
      </c>
    </row>
    <row r="72" spans="1:8" s="249" customFormat="1" x14ac:dyDescent="0.2">
      <c r="A72" s="378" t="s">
        <v>1114</v>
      </c>
      <c r="B72" s="379" t="s">
        <v>1112</v>
      </c>
      <c r="C72" s="380" t="s">
        <v>835</v>
      </c>
      <c r="D72" s="56" t="s">
        <v>300</v>
      </c>
      <c r="E72" s="51" t="s">
        <v>330</v>
      </c>
      <c r="F72" s="54" t="s">
        <v>318</v>
      </c>
      <c r="G72" s="2"/>
      <c r="H72" s="608" t="s">
        <v>1114</v>
      </c>
    </row>
    <row r="73" spans="1:8" s="249" customFormat="1" x14ac:dyDescent="0.2">
      <c r="A73" s="680" t="s">
        <v>1115</v>
      </c>
      <c r="B73" s="379" t="s">
        <v>1113</v>
      </c>
      <c r="C73" s="681" t="s">
        <v>273</v>
      </c>
      <c r="D73" s="56" t="s">
        <v>300</v>
      </c>
      <c r="E73" s="51" t="s">
        <v>330</v>
      </c>
      <c r="F73" s="54" t="s">
        <v>318</v>
      </c>
      <c r="H73" s="608" t="s">
        <v>1115</v>
      </c>
    </row>
    <row r="74" spans="1:8" s="249" customFormat="1" x14ac:dyDescent="0.2">
      <c r="A74" s="56" t="s">
        <v>293</v>
      </c>
      <c r="B74" s="679" t="s">
        <v>941</v>
      </c>
      <c r="C74" s="58" t="s">
        <v>294</v>
      </c>
      <c r="D74" s="56" t="s">
        <v>300</v>
      </c>
      <c r="E74" s="51" t="s">
        <v>330</v>
      </c>
      <c r="F74" s="54" t="s">
        <v>318</v>
      </c>
      <c r="H74" s="329" t="s">
        <v>293</v>
      </c>
    </row>
    <row r="75" spans="1:8" s="249" customFormat="1" x14ac:dyDescent="0.2">
      <c r="A75" s="57" t="s">
        <v>98</v>
      </c>
      <c r="B75" s="51" t="s">
        <v>99</v>
      </c>
      <c r="C75" s="58" t="s">
        <v>100</v>
      </c>
      <c r="D75" s="56" t="s">
        <v>300</v>
      </c>
      <c r="E75" s="51" t="s">
        <v>330</v>
      </c>
      <c r="F75" s="54" t="s">
        <v>318</v>
      </c>
      <c r="H75" s="609" t="s">
        <v>98</v>
      </c>
    </row>
    <row r="76" spans="1:8" s="249" customFormat="1" x14ac:dyDescent="0.2">
      <c r="A76" s="55" t="s">
        <v>71</v>
      </c>
      <c r="B76" s="50" t="s">
        <v>257</v>
      </c>
      <c r="C76" s="58" t="s">
        <v>376</v>
      </c>
      <c r="D76" s="56" t="s">
        <v>300</v>
      </c>
      <c r="E76" s="51" t="s">
        <v>330</v>
      </c>
      <c r="F76" s="54" t="s">
        <v>318</v>
      </c>
      <c r="H76" s="607" t="s">
        <v>71</v>
      </c>
    </row>
    <row r="77" spans="1:8" s="249" customFormat="1" x14ac:dyDescent="0.2">
      <c r="A77" s="680" t="s">
        <v>910</v>
      </c>
      <c r="B77" s="679" t="s">
        <v>911</v>
      </c>
      <c r="C77" s="681" t="s">
        <v>912</v>
      </c>
      <c r="D77" s="382" t="s">
        <v>300</v>
      </c>
      <c r="E77" s="383" t="s">
        <v>330</v>
      </c>
      <c r="F77" s="384" t="s">
        <v>318</v>
      </c>
      <c r="H77" s="608" t="s">
        <v>913</v>
      </c>
    </row>
    <row r="78" spans="1:8" s="249" customFormat="1" x14ac:dyDescent="0.2">
      <c r="A78" s="55" t="s">
        <v>791</v>
      </c>
      <c r="B78" s="50" t="s">
        <v>792</v>
      </c>
      <c r="C78" s="58" t="s">
        <v>357</v>
      </c>
      <c r="D78" s="56" t="s">
        <v>301</v>
      </c>
      <c r="E78" s="51" t="s">
        <v>330</v>
      </c>
      <c r="F78" s="54" t="s">
        <v>318</v>
      </c>
      <c r="H78" s="607" t="s">
        <v>791</v>
      </c>
    </row>
    <row r="79" spans="1:8" s="249" customFormat="1" x14ac:dyDescent="0.2">
      <c r="A79" s="55" t="s">
        <v>513</v>
      </c>
      <c r="B79" s="660" t="s">
        <v>514</v>
      </c>
      <c r="C79" s="58" t="s">
        <v>178</v>
      </c>
      <c r="D79" s="56" t="s">
        <v>301</v>
      </c>
      <c r="E79" s="51" t="s">
        <v>330</v>
      </c>
      <c r="F79" s="54" t="s">
        <v>318</v>
      </c>
      <c r="H79" s="607" t="s">
        <v>513</v>
      </c>
    </row>
    <row r="80" spans="1:8" s="249" customFormat="1" x14ac:dyDescent="0.2">
      <c r="A80" s="680" t="s">
        <v>1315</v>
      </c>
      <c r="B80" s="381" t="s">
        <v>1315</v>
      </c>
      <c r="C80" s="681" t="s">
        <v>1316</v>
      </c>
      <c r="D80" s="382" t="s">
        <v>300</v>
      </c>
      <c r="E80" s="383" t="s">
        <v>330</v>
      </c>
      <c r="F80" s="384" t="s">
        <v>318</v>
      </c>
      <c r="H80" s="608" t="s">
        <v>1315</v>
      </c>
    </row>
    <row r="81" spans="1:8" s="249" customFormat="1" x14ac:dyDescent="0.2">
      <c r="A81" s="55" t="s">
        <v>581</v>
      </c>
      <c r="B81" s="50" t="s">
        <v>581</v>
      </c>
      <c r="C81" s="58" t="s">
        <v>582</v>
      </c>
      <c r="D81" s="56" t="s">
        <v>300</v>
      </c>
      <c r="E81" s="51" t="s">
        <v>330</v>
      </c>
      <c r="F81" s="54" t="s">
        <v>318</v>
      </c>
      <c r="H81" s="607" t="s">
        <v>581</v>
      </c>
    </row>
    <row r="82" spans="1:8" s="249" customFormat="1" x14ac:dyDescent="0.2">
      <c r="A82" s="378" t="s">
        <v>942</v>
      </c>
      <c r="B82" s="379" t="s">
        <v>942</v>
      </c>
      <c r="C82" s="58" t="s">
        <v>357</v>
      </c>
      <c r="D82" s="56" t="s">
        <v>300</v>
      </c>
      <c r="E82" s="51" t="s">
        <v>330</v>
      </c>
      <c r="F82" s="54" t="s">
        <v>318</v>
      </c>
      <c r="H82" s="608" t="s">
        <v>942</v>
      </c>
    </row>
    <row r="83" spans="1:8" s="249" customFormat="1" x14ac:dyDescent="0.2">
      <c r="A83" s="378" t="s">
        <v>93</v>
      </c>
      <c r="B83" s="379" t="s">
        <v>836</v>
      </c>
      <c r="C83" s="380" t="s">
        <v>119</v>
      </c>
      <c r="D83" s="56" t="s">
        <v>300</v>
      </c>
      <c r="E83" s="51" t="s">
        <v>330</v>
      </c>
      <c r="F83" s="54" t="s">
        <v>318</v>
      </c>
      <c r="H83" s="608" t="s">
        <v>93</v>
      </c>
    </row>
    <row r="84" spans="1:8" s="249" customFormat="1" x14ac:dyDescent="0.2">
      <c r="A84" s="55" t="s">
        <v>358</v>
      </c>
      <c r="B84" s="379" t="s">
        <v>944</v>
      </c>
      <c r="C84" s="58" t="s">
        <v>359</v>
      </c>
      <c r="D84" s="56" t="s">
        <v>300</v>
      </c>
      <c r="E84" s="51" t="s">
        <v>330</v>
      </c>
      <c r="F84" s="54" t="s">
        <v>318</v>
      </c>
      <c r="H84" s="608" t="s">
        <v>358</v>
      </c>
    </row>
    <row r="85" spans="1:8" s="249" customFormat="1" x14ac:dyDescent="0.2">
      <c r="A85" s="680" t="s">
        <v>969</v>
      </c>
      <c r="B85" s="679" t="s">
        <v>945</v>
      </c>
      <c r="C85" s="58" t="s">
        <v>261</v>
      </c>
      <c r="D85" s="56" t="s">
        <v>300</v>
      </c>
      <c r="E85" s="51" t="s">
        <v>330</v>
      </c>
      <c r="F85" s="54" t="s">
        <v>318</v>
      </c>
      <c r="H85" s="608" t="s">
        <v>969</v>
      </c>
    </row>
    <row r="86" spans="1:8" s="249" customFormat="1" x14ac:dyDescent="0.2">
      <c r="A86" s="55" t="s">
        <v>555</v>
      </c>
      <c r="B86" s="50" t="s">
        <v>554</v>
      </c>
      <c r="C86" s="58" t="s">
        <v>556</v>
      </c>
      <c r="D86" s="56" t="s">
        <v>272</v>
      </c>
      <c r="E86" s="51" t="s">
        <v>330</v>
      </c>
      <c r="F86" s="54" t="s">
        <v>318</v>
      </c>
      <c r="H86" s="607" t="s">
        <v>555</v>
      </c>
    </row>
    <row r="87" spans="1:8" s="249" customFormat="1" x14ac:dyDescent="0.2">
      <c r="A87" s="55" t="s">
        <v>310</v>
      </c>
      <c r="B87" s="50" t="s">
        <v>168</v>
      </c>
      <c r="C87" s="58" t="s">
        <v>311</v>
      </c>
      <c r="D87" s="56" t="s">
        <v>300</v>
      </c>
      <c r="E87" s="51" t="s">
        <v>330</v>
      </c>
      <c r="F87" s="54" t="s">
        <v>318</v>
      </c>
      <c r="H87" s="607" t="s">
        <v>310</v>
      </c>
    </row>
    <row r="88" spans="1:8" s="249" customFormat="1" x14ac:dyDescent="0.2">
      <c r="A88" s="378" t="s">
        <v>898</v>
      </c>
      <c r="B88" s="379" t="s">
        <v>899</v>
      </c>
      <c r="C88" s="380" t="s">
        <v>900</v>
      </c>
      <c r="D88" s="382" t="s">
        <v>301</v>
      </c>
      <c r="E88" s="383" t="s">
        <v>330</v>
      </c>
      <c r="F88" s="384" t="s">
        <v>318</v>
      </c>
      <c r="H88" s="683" t="s">
        <v>898</v>
      </c>
    </row>
    <row r="89" spans="1:8" s="249" customFormat="1" x14ac:dyDescent="0.2">
      <c r="A89" s="378" t="s">
        <v>897</v>
      </c>
      <c r="B89" s="379" t="s">
        <v>946</v>
      </c>
      <c r="C89" s="380" t="s">
        <v>819</v>
      </c>
      <c r="D89" s="382" t="s">
        <v>300</v>
      </c>
      <c r="E89" s="383" t="s">
        <v>330</v>
      </c>
      <c r="F89" s="384" t="s">
        <v>318</v>
      </c>
      <c r="H89" s="683" t="s">
        <v>897</v>
      </c>
    </row>
    <row r="90" spans="1:8" s="249" customFormat="1" ht="27" customHeight="1" x14ac:dyDescent="0.2">
      <c r="A90" s="378" t="s">
        <v>877</v>
      </c>
      <c r="B90" s="379" t="s">
        <v>947</v>
      </c>
      <c r="C90" s="380" t="s">
        <v>1330</v>
      </c>
      <c r="D90" s="382" t="s">
        <v>300</v>
      </c>
      <c r="E90" s="383" t="s">
        <v>330</v>
      </c>
      <c r="F90" s="384" t="s">
        <v>319</v>
      </c>
      <c r="H90" s="608" t="s">
        <v>877</v>
      </c>
    </row>
    <row r="91" spans="1:8" s="249" customFormat="1" x14ac:dyDescent="0.2">
      <c r="A91" s="378" t="s">
        <v>905</v>
      </c>
      <c r="B91" s="379" t="s">
        <v>905</v>
      </c>
      <c r="C91" s="681" t="s">
        <v>906</v>
      </c>
      <c r="D91" s="382" t="s">
        <v>301</v>
      </c>
      <c r="E91" s="383" t="s">
        <v>330</v>
      </c>
      <c r="F91" s="384" t="s">
        <v>318</v>
      </c>
      <c r="H91" s="608" t="s">
        <v>905</v>
      </c>
    </row>
    <row r="92" spans="1:8" s="249" customFormat="1" ht="25.5" x14ac:dyDescent="0.2">
      <c r="A92" s="378" t="s">
        <v>967</v>
      </c>
      <c r="B92" s="379" t="s">
        <v>948</v>
      </c>
      <c r="C92" s="58" t="s">
        <v>95</v>
      </c>
      <c r="D92" s="56" t="s">
        <v>300</v>
      </c>
      <c r="E92" s="51" t="s">
        <v>330</v>
      </c>
      <c r="F92" s="54" t="s">
        <v>318</v>
      </c>
      <c r="H92" s="608" t="s">
        <v>967</v>
      </c>
    </row>
    <row r="93" spans="1:8" s="249" customFormat="1" ht="25.5" x14ac:dyDescent="0.2">
      <c r="A93" s="680" t="s">
        <v>968</v>
      </c>
      <c r="B93" s="679" t="s">
        <v>949</v>
      </c>
      <c r="C93" s="58" t="s">
        <v>254</v>
      </c>
      <c r="D93" s="56" t="s">
        <v>300</v>
      </c>
      <c r="E93" s="51" t="s">
        <v>330</v>
      </c>
      <c r="F93" s="54" t="s">
        <v>318</v>
      </c>
      <c r="H93" s="608" t="s">
        <v>968</v>
      </c>
    </row>
    <row r="94" spans="1:8" s="249" customFormat="1" x14ac:dyDescent="0.2">
      <c r="A94" s="55" t="s">
        <v>283</v>
      </c>
      <c r="B94" s="50" t="s">
        <v>283</v>
      </c>
      <c r="C94" s="58" t="s">
        <v>351</v>
      </c>
      <c r="D94" s="56" t="s">
        <v>300</v>
      </c>
      <c r="E94" s="51" t="s">
        <v>330</v>
      </c>
      <c r="F94" s="54" t="s">
        <v>318</v>
      </c>
      <c r="H94" s="607" t="s">
        <v>283</v>
      </c>
    </row>
    <row r="95" spans="1:8" s="249" customFormat="1" x14ac:dyDescent="0.2">
      <c r="A95" s="55" t="s">
        <v>795</v>
      </c>
      <c r="B95" s="50" t="s">
        <v>795</v>
      </c>
      <c r="C95" s="58" t="s">
        <v>796</v>
      </c>
      <c r="D95" s="56" t="s">
        <v>301</v>
      </c>
      <c r="E95" s="51" t="s">
        <v>330</v>
      </c>
      <c r="F95" s="54" t="s">
        <v>318</v>
      </c>
      <c r="H95" s="609" t="s">
        <v>795</v>
      </c>
    </row>
    <row r="96" spans="1:8" s="249" customFormat="1" ht="25.5" x14ac:dyDescent="0.2">
      <c r="A96" s="378" t="s">
        <v>1290</v>
      </c>
      <c r="B96" s="383" t="s">
        <v>1291</v>
      </c>
      <c r="C96" s="380" t="s">
        <v>814</v>
      </c>
      <c r="D96" s="382" t="s">
        <v>301</v>
      </c>
      <c r="E96" s="383" t="s">
        <v>330</v>
      </c>
      <c r="F96" s="384" t="s">
        <v>318</v>
      </c>
      <c r="H96" s="608" t="s">
        <v>1290</v>
      </c>
    </row>
    <row r="97" spans="1:8" s="249" customFormat="1" ht="25.5" x14ac:dyDescent="0.2">
      <c r="A97" s="378" t="s">
        <v>1292</v>
      </c>
      <c r="B97" s="679" t="s">
        <v>1293</v>
      </c>
      <c r="C97" s="380" t="s">
        <v>1005</v>
      </c>
      <c r="D97" s="56" t="s">
        <v>300</v>
      </c>
      <c r="E97" s="51" t="s">
        <v>330</v>
      </c>
      <c r="F97" s="54" t="s">
        <v>318</v>
      </c>
      <c r="H97" s="608" t="s">
        <v>1292</v>
      </c>
    </row>
    <row r="98" spans="1:8" s="249" customFormat="1" ht="25.5" x14ac:dyDescent="0.2">
      <c r="A98" s="378" t="s">
        <v>1006</v>
      </c>
      <c r="B98" s="383" t="s">
        <v>1006</v>
      </c>
      <c r="C98" s="380" t="s">
        <v>814</v>
      </c>
      <c r="D98" s="382" t="s">
        <v>301</v>
      </c>
      <c r="E98" s="383" t="s">
        <v>330</v>
      </c>
      <c r="F98" s="384" t="s">
        <v>318</v>
      </c>
      <c r="H98" s="608" t="s">
        <v>1006</v>
      </c>
    </row>
    <row r="99" spans="1:8" s="249" customFormat="1" x14ac:dyDescent="0.2">
      <c r="A99" s="680" t="s">
        <v>1004</v>
      </c>
      <c r="B99" s="679" t="s">
        <v>1004</v>
      </c>
      <c r="C99" s="681" t="s">
        <v>1005</v>
      </c>
      <c r="D99" s="56" t="s">
        <v>300</v>
      </c>
      <c r="E99" s="51" t="s">
        <v>330</v>
      </c>
      <c r="F99" s="54" t="s">
        <v>318</v>
      </c>
      <c r="H99" s="608" t="s">
        <v>1004</v>
      </c>
    </row>
    <row r="100" spans="1:8" s="249" customFormat="1" x14ac:dyDescent="0.2">
      <c r="A100" s="57" t="s">
        <v>108</v>
      </c>
      <c r="B100" s="383" t="s">
        <v>950</v>
      </c>
      <c r="C100" s="59" t="s">
        <v>110</v>
      </c>
      <c r="D100" s="56" t="s">
        <v>300</v>
      </c>
      <c r="E100" s="51" t="s">
        <v>330</v>
      </c>
      <c r="F100" s="54" t="s">
        <v>318</v>
      </c>
      <c r="H100" s="609" t="s">
        <v>108</v>
      </c>
    </row>
    <row r="101" spans="1:8" s="585" customFormat="1" x14ac:dyDescent="0.2">
      <c r="A101" s="55" t="s">
        <v>107</v>
      </c>
      <c r="B101" s="383" t="s">
        <v>951</v>
      </c>
      <c r="C101" s="58" t="s">
        <v>109</v>
      </c>
      <c r="D101" s="56" t="s">
        <v>300</v>
      </c>
      <c r="E101" s="51" t="s">
        <v>330</v>
      </c>
      <c r="F101" s="54" t="s">
        <v>318</v>
      </c>
      <c r="G101" s="249"/>
      <c r="H101" s="607" t="s">
        <v>107</v>
      </c>
    </row>
    <row r="102" spans="1:8" s="249" customFormat="1" x14ac:dyDescent="0.2">
      <c r="A102" s="55" t="s">
        <v>199</v>
      </c>
      <c r="B102" s="51" t="s">
        <v>200</v>
      </c>
      <c r="C102" s="380" t="s">
        <v>893</v>
      </c>
      <c r="D102" s="56" t="s">
        <v>300</v>
      </c>
      <c r="E102" s="51" t="s">
        <v>330</v>
      </c>
      <c r="F102" s="54" t="s">
        <v>318</v>
      </c>
      <c r="H102" s="607" t="s">
        <v>199</v>
      </c>
    </row>
    <row r="103" spans="1:8" s="249" customFormat="1" x14ac:dyDescent="0.2">
      <c r="A103" s="378" t="s">
        <v>1124</v>
      </c>
      <c r="B103" s="383" t="s">
        <v>1126</v>
      </c>
      <c r="C103" s="380" t="s">
        <v>1125</v>
      </c>
      <c r="D103" s="56" t="s">
        <v>300</v>
      </c>
      <c r="E103" s="51" t="s">
        <v>330</v>
      </c>
      <c r="F103" s="54" t="s">
        <v>318</v>
      </c>
      <c r="G103" s="585"/>
      <c r="H103" s="608" t="s">
        <v>1124</v>
      </c>
    </row>
    <row r="104" spans="1:8" s="249" customFormat="1" x14ac:dyDescent="0.2">
      <c r="A104" s="680" t="s">
        <v>1101</v>
      </c>
      <c r="B104" s="383" t="s">
        <v>1101</v>
      </c>
      <c r="C104" s="681" t="s">
        <v>1102</v>
      </c>
      <c r="D104" s="382" t="s">
        <v>300</v>
      </c>
      <c r="E104" s="383" t="s">
        <v>330</v>
      </c>
      <c r="F104" s="384" t="s">
        <v>318</v>
      </c>
      <c r="H104" s="608" t="s">
        <v>1101</v>
      </c>
    </row>
    <row r="105" spans="1:8" s="249" customFormat="1" x14ac:dyDescent="0.2">
      <c r="A105" s="55" t="s">
        <v>356</v>
      </c>
      <c r="B105" s="50" t="s">
        <v>356</v>
      </c>
      <c r="C105" s="58" t="s">
        <v>806</v>
      </c>
      <c r="D105" s="56" t="s">
        <v>300</v>
      </c>
      <c r="E105" s="51" t="s">
        <v>330</v>
      </c>
      <c r="F105" s="54" t="s">
        <v>318</v>
      </c>
      <c r="H105" s="607" t="s">
        <v>356</v>
      </c>
    </row>
    <row r="106" spans="1:8" s="249" customFormat="1" x14ac:dyDescent="0.2">
      <c r="A106" s="378" t="s">
        <v>1059</v>
      </c>
      <c r="B106" s="379" t="s">
        <v>1057</v>
      </c>
      <c r="C106" s="380" t="s">
        <v>1058</v>
      </c>
      <c r="D106" s="382" t="s">
        <v>300</v>
      </c>
      <c r="E106" s="383" t="s">
        <v>330</v>
      </c>
      <c r="F106" s="384" t="s">
        <v>318</v>
      </c>
      <c r="H106" s="608" t="s">
        <v>1059</v>
      </c>
    </row>
    <row r="107" spans="1:8" s="386" customFormat="1" x14ac:dyDescent="0.2">
      <c r="A107" s="378" t="s">
        <v>1109</v>
      </c>
      <c r="B107" s="379" t="s">
        <v>1110</v>
      </c>
      <c r="C107" s="380" t="s">
        <v>1111</v>
      </c>
      <c r="D107" s="382" t="s">
        <v>301</v>
      </c>
      <c r="E107" s="383" t="s">
        <v>330</v>
      </c>
      <c r="F107" s="384" t="s">
        <v>318</v>
      </c>
      <c r="G107" s="249"/>
      <c r="H107" s="608" t="s">
        <v>1109</v>
      </c>
    </row>
    <row r="108" spans="1:8" s="386" customFormat="1" x14ac:dyDescent="0.2">
      <c r="A108" s="378" t="s">
        <v>875</v>
      </c>
      <c r="B108" s="379" t="s">
        <v>952</v>
      </c>
      <c r="C108" s="380" t="s">
        <v>876</v>
      </c>
      <c r="D108" s="382" t="s">
        <v>301</v>
      </c>
      <c r="E108" s="51" t="s">
        <v>330</v>
      </c>
      <c r="F108" s="54" t="s">
        <v>318</v>
      </c>
      <c r="G108" s="585"/>
      <c r="H108" s="608" t="s">
        <v>875</v>
      </c>
    </row>
    <row r="109" spans="1:8" s="386" customFormat="1" x14ac:dyDescent="0.2">
      <c r="A109" s="378" t="s">
        <v>1001</v>
      </c>
      <c r="B109" s="379" t="s">
        <v>1002</v>
      </c>
      <c r="C109" s="380" t="s">
        <v>998</v>
      </c>
      <c r="D109" s="382" t="s">
        <v>301</v>
      </c>
      <c r="E109" s="51" t="s">
        <v>330</v>
      </c>
      <c r="F109" s="54" t="s">
        <v>318</v>
      </c>
      <c r="G109" s="585"/>
      <c r="H109" s="608" t="s">
        <v>995</v>
      </c>
    </row>
    <row r="110" spans="1:8" s="386" customFormat="1" x14ac:dyDescent="0.2">
      <c r="A110" s="378" t="s">
        <v>837</v>
      </c>
      <c r="B110" s="379" t="s">
        <v>838</v>
      </c>
      <c r="C110" s="380" t="s">
        <v>839</v>
      </c>
      <c r="D110" s="382" t="s">
        <v>301</v>
      </c>
      <c r="E110" s="383" t="s">
        <v>330</v>
      </c>
      <c r="F110" s="384" t="s">
        <v>318</v>
      </c>
      <c r="G110" s="585"/>
      <c r="H110" s="608" t="s">
        <v>837</v>
      </c>
    </row>
    <row r="111" spans="1:8" s="386" customFormat="1" x14ac:dyDescent="0.2">
      <c r="A111" s="680" t="s">
        <v>1029</v>
      </c>
      <c r="B111" s="679" t="s">
        <v>1031</v>
      </c>
      <c r="C111" s="681" t="s">
        <v>900</v>
      </c>
      <c r="D111" s="382" t="s">
        <v>301</v>
      </c>
      <c r="E111" s="51" t="s">
        <v>330</v>
      </c>
      <c r="F111" s="54" t="s">
        <v>318</v>
      </c>
      <c r="G111" s="682"/>
      <c r="H111" s="608" t="s">
        <v>1033</v>
      </c>
    </row>
    <row r="112" spans="1:8" s="386" customFormat="1" ht="27.75" customHeight="1" x14ac:dyDescent="0.2">
      <c r="A112" s="378" t="s">
        <v>1317</v>
      </c>
      <c r="B112" s="379" t="s">
        <v>1318</v>
      </c>
      <c r="C112" s="380" t="s">
        <v>1319</v>
      </c>
      <c r="D112" s="382" t="s">
        <v>301</v>
      </c>
      <c r="E112" s="51" t="s">
        <v>330</v>
      </c>
      <c r="F112" s="54" t="s">
        <v>318</v>
      </c>
      <c r="G112" s="585"/>
      <c r="H112" s="608" t="s">
        <v>1318</v>
      </c>
    </row>
    <row r="113" spans="1:8" s="386" customFormat="1" ht="25.5" x14ac:dyDescent="0.2">
      <c r="A113" s="680" t="s">
        <v>1088</v>
      </c>
      <c r="B113" s="679" t="s">
        <v>1048</v>
      </c>
      <c r="C113" s="681" t="s">
        <v>1045</v>
      </c>
      <c r="D113" s="382" t="s">
        <v>300</v>
      </c>
      <c r="E113" s="51" t="s">
        <v>330</v>
      </c>
      <c r="F113" s="54" t="s">
        <v>318</v>
      </c>
      <c r="G113" s="585"/>
      <c r="H113" s="608" t="s">
        <v>1050</v>
      </c>
    </row>
    <row r="114" spans="1:8" s="386" customFormat="1" ht="25.5" x14ac:dyDescent="0.2">
      <c r="A114" s="55" t="s">
        <v>497</v>
      </c>
      <c r="B114" s="50" t="s">
        <v>498</v>
      </c>
      <c r="C114" s="58" t="s">
        <v>499</v>
      </c>
      <c r="D114" s="382" t="s">
        <v>301</v>
      </c>
      <c r="E114" s="51" t="s">
        <v>330</v>
      </c>
      <c r="F114" s="54" t="s">
        <v>318</v>
      </c>
      <c r="G114" s="585"/>
      <c r="H114" s="607" t="s">
        <v>497</v>
      </c>
    </row>
    <row r="115" spans="1:8" s="386" customFormat="1" x14ac:dyDescent="0.2">
      <c r="A115" s="55" t="s">
        <v>372</v>
      </c>
      <c r="B115" s="679" t="s">
        <v>953</v>
      </c>
      <c r="C115" s="58" t="s">
        <v>373</v>
      </c>
      <c r="D115" s="382" t="s">
        <v>301</v>
      </c>
      <c r="E115" s="51" t="s">
        <v>330</v>
      </c>
      <c r="F115" s="54" t="s">
        <v>318</v>
      </c>
      <c r="G115" s="585"/>
      <c r="H115" s="607" t="s">
        <v>372</v>
      </c>
    </row>
    <row r="116" spans="1:8" s="386" customFormat="1" ht="15.75" customHeight="1" x14ac:dyDescent="0.2">
      <c r="A116" s="55" t="s">
        <v>69</v>
      </c>
      <c r="B116" s="50" t="s">
        <v>279</v>
      </c>
      <c r="C116" s="58" t="s">
        <v>280</v>
      </c>
      <c r="D116" s="56" t="s">
        <v>300</v>
      </c>
      <c r="E116" s="51" t="s">
        <v>330</v>
      </c>
      <c r="F116" s="54" t="s">
        <v>318</v>
      </c>
      <c r="G116" s="585"/>
      <c r="H116" s="607" t="s">
        <v>69</v>
      </c>
    </row>
    <row r="117" spans="1:8" s="386" customFormat="1" x14ac:dyDescent="0.2">
      <c r="A117" s="680" t="s">
        <v>815</v>
      </c>
      <c r="B117" s="679" t="s">
        <v>815</v>
      </c>
      <c r="C117" s="681" t="s">
        <v>816</v>
      </c>
      <c r="D117" s="382" t="s">
        <v>300</v>
      </c>
      <c r="E117" s="383" t="s">
        <v>330</v>
      </c>
      <c r="F117" s="384" t="s">
        <v>318</v>
      </c>
      <c r="G117" s="585"/>
      <c r="H117" s="608" t="s">
        <v>815</v>
      </c>
    </row>
    <row r="118" spans="1:8" s="386" customFormat="1" x14ac:dyDescent="0.2">
      <c r="A118" s="55" t="s">
        <v>147</v>
      </c>
      <c r="B118" s="50" t="s">
        <v>258</v>
      </c>
      <c r="C118" s="58" t="s">
        <v>377</v>
      </c>
      <c r="D118" s="56" t="s">
        <v>300</v>
      </c>
      <c r="E118" s="51" t="s">
        <v>330</v>
      </c>
      <c r="F118" s="54" t="s">
        <v>318</v>
      </c>
      <c r="G118" s="585"/>
      <c r="H118" s="607" t="s">
        <v>147</v>
      </c>
    </row>
    <row r="119" spans="1:8" s="386" customFormat="1" x14ac:dyDescent="0.2">
      <c r="A119" s="55" t="s">
        <v>89</v>
      </c>
      <c r="B119" s="50" t="s">
        <v>797</v>
      </c>
      <c r="C119" s="58" t="s">
        <v>118</v>
      </c>
      <c r="D119" s="56" t="s">
        <v>300</v>
      </c>
      <c r="E119" s="51" t="s">
        <v>330</v>
      </c>
      <c r="F119" s="54" t="s">
        <v>318</v>
      </c>
      <c r="G119" s="585"/>
      <c r="H119" s="607" t="s">
        <v>89</v>
      </c>
    </row>
    <row r="120" spans="1:8" s="386" customFormat="1" x14ac:dyDescent="0.2">
      <c r="A120" s="378" t="s">
        <v>894</v>
      </c>
      <c r="B120" s="379" t="s">
        <v>895</v>
      </c>
      <c r="C120" s="380" t="s">
        <v>896</v>
      </c>
      <c r="D120" s="382" t="s">
        <v>301</v>
      </c>
      <c r="E120" s="383" t="s">
        <v>330</v>
      </c>
      <c r="F120" s="384" t="s">
        <v>318</v>
      </c>
      <c r="G120" s="585"/>
      <c r="H120" s="683" t="s">
        <v>894</v>
      </c>
    </row>
    <row r="121" spans="1:8" s="386" customFormat="1" x14ac:dyDescent="0.2">
      <c r="A121" s="378" t="s">
        <v>1060</v>
      </c>
      <c r="B121" s="379" t="s">
        <v>1055</v>
      </c>
      <c r="C121" s="380" t="s">
        <v>1056</v>
      </c>
      <c r="D121" s="56" t="s">
        <v>300</v>
      </c>
      <c r="E121" s="51" t="s">
        <v>330</v>
      </c>
      <c r="F121" s="54" t="s">
        <v>318</v>
      </c>
      <c r="G121" s="585"/>
      <c r="H121" s="608" t="s">
        <v>1060</v>
      </c>
    </row>
    <row r="122" spans="1:8" s="386" customFormat="1" ht="26.25" customHeight="1" x14ac:dyDescent="0.2">
      <c r="A122" s="378" t="s">
        <v>1061</v>
      </c>
      <c r="B122" s="379" t="s">
        <v>1062</v>
      </c>
      <c r="C122" s="380" t="s">
        <v>311</v>
      </c>
      <c r="D122" s="382" t="s">
        <v>300</v>
      </c>
      <c r="E122" s="51" t="s">
        <v>330</v>
      </c>
      <c r="F122" s="54" t="s">
        <v>318</v>
      </c>
      <c r="G122" s="585"/>
      <c r="H122" s="608" t="s">
        <v>1061</v>
      </c>
    </row>
    <row r="123" spans="1:8" s="386" customFormat="1" ht="26.25" customHeight="1" x14ac:dyDescent="0.2">
      <c r="A123" s="55" t="s">
        <v>97</v>
      </c>
      <c r="B123" s="50" t="s">
        <v>250</v>
      </c>
      <c r="C123" s="58" t="s">
        <v>453</v>
      </c>
      <c r="D123" s="56" t="s">
        <v>300</v>
      </c>
      <c r="E123" s="51" t="s">
        <v>330</v>
      </c>
      <c r="F123" s="54" t="s">
        <v>318</v>
      </c>
      <c r="G123" s="585"/>
      <c r="H123" s="607" t="s">
        <v>97</v>
      </c>
    </row>
    <row r="124" spans="1:8" s="386" customFormat="1" x14ac:dyDescent="0.2">
      <c r="A124" s="378" t="s">
        <v>1257</v>
      </c>
      <c r="B124" s="379" t="s">
        <v>1257</v>
      </c>
      <c r="C124" s="380" t="s">
        <v>1258</v>
      </c>
      <c r="D124" s="56" t="s">
        <v>300</v>
      </c>
      <c r="E124" s="51" t="s">
        <v>330</v>
      </c>
      <c r="F124" s="54" t="s">
        <v>318</v>
      </c>
      <c r="G124" s="585"/>
      <c r="H124" s="608" t="s">
        <v>1257</v>
      </c>
    </row>
    <row r="125" spans="1:8" s="386" customFormat="1" ht="25.5" x14ac:dyDescent="0.2">
      <c r="A125" s="378" t="s">
        <v>210</v>
      </c>
      <c r="B125" s="379" t="s">
        <v>211</v>
      </c>
      <c r="C125" s="380" t="s">
        <v>212</v>
      </c>
      <c r="D125" s="382" t="s">
        <v>300</v>
      </c>
      <c r="E125" s="383" t="s">
        <v>330</v>
      </c>
      <c r="F125" s="384" t="s">
        <v>318</v>
      </c>
      <c r="G125" s="585"/>
      <c r="H125" s="607" t="s">
        <v>210</v>
      </c>
    </row>
    <row r="126" spans="1:8" s="386" customFormat="1" x14ac:dyDescent="0.2">
      <c r="A126" s="378" t="s">
        <v>1034</v>
      </c>
      <c r="B126" s="379" t="s">
        <v>1035</v>
      </c>
      <c r="C126" s="380" t="s">
        <v>1036</v>
      </c>
      <c r="D126" s="382" t="s">
        <v>300</v>
      </c>
      <c r="E126" s="51" t="s">
        <v>330</v>
      </c>
      <c r="F126" s="54" t="s">
        <v>318</v>
      </c>
      <c r="G126" s="585"/>
      <c r="H126" s="608" t="s">
        <v>1037</v>
      </c>
    </row>
    <row r="127" spans="1:8" s="386" customFormat="1" x14ac:dyDescent="0.2">
      <c r="A127" s="378" t="s">
        <v>832</v>
      </c>
      <c r="B127" s="379" t="s">
        <v>871</v>
      </c>
      <c r="C127" s="380" t="s">
        <v>266</v>
      </c>
      <c r="D127" s="382" t="s">
        <v>300</v>
      </c>
      <c r="E127" s="383" t="s">
        <v>330</v>
      </c>
      <c r="F127" s="384" t="s">
        <v>318</v>
      </c>
      <c r="G127" s="585"/>
      <c r="H127" s="608" t="s">
        <v>832</v>
      </c>
    </row>
    <row r="128" spans="1:8" s="386" customFormat="1" x14ac:dyDescent="0.2">
      <c r="A128" s="378" t="s">
        <v>829</v>
      </c>
      <c r="B128" s="379" t="s">
        <v>830</v>
      </c>
      <c r="C128" s="380" t="s">
        <v>831</v>
      </c>
      <c r="D128" s="382" t="s">
        <v>300</v>
      </c>
      <c r="E128" s="383" t="s">
        <v>330</v>
      </c>
      <c r="F128" s="384" t="s">
        <v>318</v>
      </c>
      <c r="G128" s="585"/>
      <c r="H128" s="608" t="s">
        <v>829</v>
      </c>
    </row>
    <row r="129" spans="1:8" s="386" customFormat="1" x14ac:dyDescent="0.2">
      <c r="A129" s="378" t="s">
        <v>269</v>
      </c>
      <c r="B129" s="379" t="s">
        <v>270</v>
      </c>
      <c r="C129" s="380" t="s">
        <v>271</v>
      </c>
      <c r="D129" s="382" t="s">
        <v>272</v>
      </c>
      <c r="E129" s="383" t="s">
        <v>330</v>
      </c>
      <c r="F129" s="384" t="s">
        <v>318</v>
      </c>
      <c r="G129" s="585"/>
      <c r="H129" s="608" t="s">
        <v>269</v>
      </c>
    </row>
    <row r="130" spans="1:8" s="386" customFormat="1" x14ac:dyDescent="0.2">
      <c r="A130" s="378" t="s">
        <v>348</v>
      </c>
      <c r="B130" s="379" t="s">
        <v>348</v>
      </c>
      <c r="C130" s="380" t="s">
        <v>349</v>
      </c>
      <c r="D130" s="382" t="s">
        <v>300</v>
      </c>
      <c r="E130" s="383" t="s">
        <v>330</v>
      </c>
      <c r="F130" s="384" t="s">
        <v>318</v>
      </c>
      <c r="G130" s="585"/>
      <c r="H130" s="608" t="s">
        <v>348</v>
      </c>
    </row>
    <row r="131" spans="1:8" s="386" customFormat="1" x14ac:dyDescent="0.2">
      <c r="A131" s="378" t="s">
        <v>813</v>
      </c>
      <c r="B131" s="379" t="s">
        <v>811</v>
      </c>
      <c r="C131" s="380" t="s">
        <v>812</v>
      </c>
      <c r="D131" s="382" t="s">
        <v>272</v>
      </c>
      <c r="E131" s="383" t="s">
        <v>330</v>
      </c>
      <c r="F131" s="384" t="s">
        <v>318</v>
      </c>
      <c r="G131" s="585"/>
      <c r="H131" s="608" t="s">
        <v>813</v>
      </c>
    </row>
    <row r="132" spans="1:8" s="386" customFormat="1" x14ac:dyDescent="0.2">
      <c r="A132" s="378" t="s">
        <v>1374</v>
      </c>
      <c r="B132" s="379" t="s">
        <v>1374</v>
      </c>
      <c r="C132" s="380" t="s">
        <v>741</v>
      </c>
      <c r="D132" s="382" t="s">
        <v>300</v>
      </c>
      <c r="E132" s="383" t="s">
        <v>330</v>
      </c>
      <c r="F132" s="384" t="s">
        <v>318</v>
      </c>
      <c r="G132" s="585"/>
      <c r="H132" s="608" t="s">
        <v>1374</v>
      </c>
    </row>
    <row r="133" spans="1:8" s="386" customFormat="1" ht="12.75" customHeight="1" x14ac:dyDescent="0.2">
      <c r="A133" s="680" t="s">
        <v>1375</v>
      </c>
      <c r="B133" s="679" t="s">
        <v>1375</v>
      </c>
      <c r="C133" s="681" t="s">
        <v>1376</v>
      </c>
      <c r="D133" s="382" t="s">
        <v>301</v>
      </c>
      <c r="E133" s="383" t="s">
        <v>330</v>
      </c>
      <c r="F133" s="384" t="s">
        <v>318</v>
      </c>
      <c r="G133" s="682"/>
      <c r="H133" s="608" t="s">
        <v>1375</v>
      </c>
    </row>
    <row r="134" spans="1:8" s="386" customFormat="1" x14ac:dyDescent="0.2">
      <c r="A134" s="378" t="s">
        <v>1116</v>
      </c>
      <c r="B134" s="379" t="s">
        <v>1117</v>
      </c>
      <c r="C134" s="380" t="s">
        <v>359</v>
      </c>
      <c r="D134" s="382" t="s">
        <v>300</v>
      </c>
      <c r="E134" s="383" t="s">
        <v>330</v>
      </c>
      <c r="F134" s="384" t="s">
        <v>318</v>
      </c>
      <c r="G134" s="585"/>
      <c r="H134" s="608" t="s">
        <v>1116</v>
      </c>
    </row>
    <row r="135" spans="1:8" s="386" customFormat="1" x14ac:dyDescent="0.2">
      <c r="A135" s="680" t="s">
        <v>1118</v>
      </c>
      <c r="B135" s="679" t="s">
        <v>1119</v>
      </c>
      <c r="C135" s="681" t="s">
        <v>1120</v>
      </c>
      <c r="D135" s="382" t="s">
        <v>300</v>
      </c>
      <c r="E135" s="383" t="s">
        <v>330</v>
      </c>
      <c r="F135" s="384" t="s">
        <v>318</v>
      </c>
      <c r="G135" s="682"/>
      <c r="H135" s="608" t="s">
        <v>1118</v>
      </c>
    </row>
    <row r="136" spans="1:8" s="386" customFormat="1" x14ac:dyDescent="0.2">
      <c r="A136" s="678" t="s">
        <v>1313</v>
      </c>
      <c r="B136" s="677" t="s">
        <v>1313</v>
      </c>
      <c r="C136" s="684" t="s">
        <v>1314</v>
      </c>
      <c r="D136" s="56" t="s">
        <v>300</v>
      </c>
      <c r="E136" s="51" t="s">
        <v>330</v>
      </c>
      <c r="F136" s="54" t="s">
        <v>318</v>
      </c>
      <c r="G136" s="585"/>
      <c r="H136" s="608" t="s">
        <v>1313</v>
      </c>
    </row>
    <row r="137" spans="1:8" s="386" customFormat="1" x14ac:dyDescent="0.2">
      <c r="A137" s="378" t="s">
        <v>1028</v>
      </c>
      <c r="B137" s="379" t="s">
        <v>1030</v>
      </c>
      <c r="C137" s="380" t="s">
        <v>819</v>
      </c>
      <c r="D137" s="56" t="s">
        <v>300</v>
      </c>
      <c r="E137" s="51" t="s">
        <v>330</v>
      </c>
      <c r="F137" s="54" t="s">
        <v>318</v>
      </c>
      <c r="G137" s="585"/>
      <c r="H137" s="608" t="s">
        <v>1032</v>
      </c>
    </row>
    <row r="138" spans="1:8" s="386" customFormat="1" x14ac:dyDescent="0.2">
      <c r="A138" s="378" t="s">
        <v>1304</v>
      </c>
      <c r="B138" s="379" t="s">
        <v>1305</v>
      </c>
      <c r="C138" s="380" t="s">
        <v>1306</v>
      </c>
      <c r="D138" s="56" t="s">
        <v>300</v>
      </c>
      <c r="E138" s="51" t="s">
        <v>330</v>
      </c>
      <c r="F138" s="54" t="s">
        <v>318</v>
      </c>
      <c r="G138" s="585"/>
      <c r="H138" s="608" t="s">
        <v>1305</v>
      </c>
    </row>
    <row r="139" spans="1:8" s="386" customFormat="1" ht="12.75" customHeight="1" x14ac:dyDescent="0.2">
      <c r="A139" s="378" t="s">
        <v>1046</v>
      </c>
      <c r="B139" s="379" t="s">
        <v>1047</v>
      </c>
      <c r="C139" s="380" t="s">
        <v>1044</v>
      </c>
      <c r="D139" s="382" t="s">
        <v>300</v>
      </c>
      <c r="E139" s="51" t="s">
        <v>330</v>
      </c>
      <c r="F139" s="54" t="s">
        <v>318</v>
      </c>
      <c r="G139" s="585"/>
      <c r="H139" s="608" t="s">
        <v>1049</v>
      </c>
    </row>
    <row r="140" spans="1:8" s="386" customFormat="1" ht="25.5" x14ac:dyDescent="0.2">
      <c r="A140" s="378" t="s">
        <v>500</v>
      </c>
      <c r="B140" s="379" t="s">
        <v>501</v>
      </c>
      <c r="C140" s="380" t="s">
        <v>502</v>
      </c>
      <c r="D140" s="382" t="s">
        <v>300</v>
      </c>
      <c r="E140" s="383" t="s">
        <v>330</v>
      </c>
      <c r="F140" s="384" t="s">
        <v>318</v>
      </c>
      <c r="G140" s="585"/>
      <c r="H140" s="608" t="s">
        <v>500</v>
      </c>
    </row>
    <row r="141" spans="1:8" s="386" customFormat="1" x14ac:dyDescent="0.2">
      <c r="A141" s="378" t="s">
        <v>374</v>
      </c>
      <c r="B141" s="379" t="s">
        <v>954</v>
      </c>
      <c r="C141" s="380" t="s">
        <v>375</v>
      </c>
      <c r="D141" s="382" t="s">
        <v>300</v>
      </c>
      <c r="E141" s="383" t="s">
        <v>330</v>
      </c>
      <c r="F141" s="384" t="s">
        <v>318</v>
      </c>
      <c r="G141" s="585"/>
      <c r="H141" s="608" t="s">
        <v>374</v>
      </c>
    </row>
    <row r="142" spans="1:8" s="386" customFormat="1" ht="25.5" x14ac:dyDescent="0.2">
      <c r="A142" s="378" t="s">
        <v>1297</v>
      </c>
      <c r="B142" s="379" t="s">
        <v>1298</v>
      </c>
      <c r="C142" s="380" t="s">
        <v>1299</v>
      </c>
      <c r="D142" s="382" t="s">
        <v>301</v>
      </c>
      <c r="E142" s="383" t="s">
        <v>330</v>
      </c>
      <c r="F142" s="384" t="s">
        <v>318</v>
      </c>
      <c r="G142" s="585"/>
      <c r="H142" s="608" t="s">
        <v>1297</v>
      </c>
    </row>
    <row r="143" spans="1:8" s="386" customFormat="1" ht="25.5" x14ac:dyDescent="0.2">
      <c r="A143" s="378" t="s">
        <v>1300</v>
      </c>
      <c r="B143" s="379" t="s">
        <v>1300</v>
      </c>
      <c r="C143" s="380" t="s">
        <v>1301</v>
      </c>
      <c r="D143" s="382" t="s">
        <v>300</v>
      </c>
      <c r="E143" s="383" t="s">
        <v>330</v>
      </c>
      <c r="F143" s="384" t="s">
        <v>318</v>
      </c>
      <c r="G143" s="585"/>
      <c r="H143" s="608" t="s">
        <v>1300</v>
      </c>
    </row>
    <row r="144" spans="1:8" s="386" customFormat="1" x14ac:dyDescent="0.2">
      <c r="A144" s="378" t="s">
        <v>91</v>
      </c>
      <c r="B144" s="379" t="s">
        <v>156</v>
      </c>
      <c r="C144" s="380" t="s">
        <v>92</v>
      </c>
      <c r="D144" s="382" t="s">
        <v>300</v>
      </c>
      <c r="E144" s="383" t="s">
        <v>330</v>
      </c>
      <c r="F144" s="384" t="s">
        <v>318</v>
      </c>
      <c r="G144" s="585"/>
      <c r="H144" s="608" t="s">
        <v>91</v>
      </c>
    </row>
    <row r="145" spans="1:8" s="386" customFormat="1" x14ac:dyDescent="0.2">
      <c r="A145" s="378" t="s">
        <v>1259</v>
      </c>
      <c r="B145" s="379" t="s">
        <v>1260</v>
      </c>
      <c r="C145" s="380" t="s">
        <v>1261</v>
      </c>
      <c r="D145" s="382" t="s">
        <v>301</v>
      </c>
      <c r="E145" s="383" t="s">
        <v>330</v>
      </c>
      <c r="F145" s="384" t="s">
        <v>318</v>
      </c>
      <c r="G145" s="585"/>
      <c r="H145" s="608" t="s">
        <v>1259</v>
      </c>
    </row>
    <row r="146" spans="1:8" s="386" customFormat="1" ht="25.5" x14ac:dyDescent="0.2">
      <c r="A146" s="378" t="s">
        <v>826</v>
      </c>
      <c r="B146" s="379" t="s">
        <v>827</v>
      </c>
      <c r="C146" s="380" t="s">
        <v>828</v>
      </c>
      <c r="D146" s="382" t="s">
        <v>300</v>
      </c>
      <c r="E146" s="383" t="s">
        <v>330</v>
      </c>
      <c r="F146" s="384" t="s">
        <v>318</v>
      </c>
      <c r="G146" s="585"/>
      <c r="H146" s="608" t="s">
        <v>826</v>
      </c>
    </row>
    <row r="147" spans="1:8" s="386" customFormat="1" x14ac:dyDescent="0.2">
      <c r="A147" s="378" t="s">
        <v>834</v>
      </c>
      <c r="B147" s="379" t="s">
        <v>872</v>
      </c>
      <c r="C147" s="380" t="s">
        <v>267</v>
      </c>
      <c r="D147" s="382" t="s">
        <v>300</v>
      </c>
      <c r="E147" s="383" t="s">
        <v>330</v>
      </c>
      <c r="F147" s="384" t="s">
        <v>318</v>
      </c>
      <c r="G147" s="585"/>
      <c r="H147" s="608" t="s">
        <v>834</v>
      </c>
    </row>
    <row r="148" spans="1:8" s="386" customFormat="1" x14ac:dyDescent="0.2">
      <c r="A148" s="378" t="s">
        <v>87</v>
      </c>
      <c r="B148" s="379" t="s">
        <v>955</v>
      </c>
      <c r="C148" s="380" t="s">
        <v>332</v>
      </c>
      <c r="D148" s="382" t="s">
        <v>300</v>
      </c>
      <c r="E148" s="383" t="s">
        <v>330</v>
      </c>
      <c r="F148" s="384" t="s">
        <v>318</v>
      </c>
      <c r="G148" s="585"/>
      <c r="H148" s="608" t="s">
        <v>87</v>
      </c>
    </row>
    <row r="149" spans="1:8" s="386" customFormat="1" x14ac:dyDescent="0.2">
      <c r="A149" s="378" t="s">
        <v>859</v>
      </c>
      <c r="B149" s="379" t="s">
        <v>956</v>
      </c>
      <c r="C149" s="380" t="s">
        <v>860</v>
      </c>
      <c r="D149" s="382" t="s">
        <v>300</v>
      </c>
      <c r="E149" s="383" t="s">
        <v>330</v>
      </c>
      <c r="F149" s="384" t="s">
        <v>318</v>
      </c>
      <c r="G149" s="585"/>
      <c r="H149" s="608" t="s">
        <v>859</v>
      </c>
    </row>
    <row r="150" spans="1:8" s="386" customFormat="1" x14ac:dyDescent="0.2">
      <c r="A150" s="378" t="s">
        <v>1038</v>
      </c>
      <c r="B150" s="379" t="s">
        <v>1039</v>
      </c>
      <c r="C150" s="380" t="s">
        <v>1040</v>
      </c>
      <c r="D150" s="382" t="s">
        <v>300</v>
      </c>
      <c r="E150" s="383" t="s">
        <v>330</v>
      </c>
      <c r="F150" s="384" t="s">
        <v>318</v>
      </c>
      <c r="G150" s="585"/>
      <c r="H150" s="608" t="s">
        <v>1038</v>
      </c>
    </row>
    <row r="151" spans="1:8" s="386" customFormat="1" x14ac:dyDescent="0.2">
      <c r="A151" s="378" t="s">
        <v>1132</v>
      </c>
      <c r="B151" s="379" t="s">
        <v>1133</v>
      </c>
      <c r="C151" s="380" t="s">
        <v>1134</v>
      </c>
      <c r="D151" s="382" t="s">
        <v>300</v>
      </c>
      <c r="E151" s="383" t="s">
        <v>330</v>
      </c>
      <c r="F151" s="384" t="s">
        <v>318</v>
      </c>
      <c r="G151" s="585"/>
      <c r="H151" s="608" t="s">
        <v>1132</v>
      </c>
    </row>
    <row r="152" spans="1:8" s="386" customFormat="1" x14ac:dyDescent="0.2">
      <c r="A152" s="378" t="s">
        <v>1294</v>
      </c>
      <c r="B152" s="379" t="s">
        <v>1295</v>
      </c>
      <c r="C152" s="380" t="s">
        <v>1296</v>
      </c>
      <c r="D152" s="382" t="s">
        <v>300</v>
      </c>
      <c r="E152" s="383" t="s">
        <v>330</v>
      </c>
      <c r="F152" s="384" t="s">
        <v>318</v>
      </c>
      <c r="G152" s="585"/>
      <c r="H152" s="608" t="s">
        <v>1294</v>
      </c>
    </row>
    <row r="153" spans="1:8" s="386" customFormat="1" ht="25.5" x14ac:dyDescent="0.2">
      <c r="A153" s="378" t="s">
        <v>369</v>
      </c>
      <c r="B153" s="379" t="s">
        <v>370</v>
      </c>
      <c r="C153" s="380" t="s">
        <v>371</v>
      </c>
      <c r="D153" s="382" t="s">
        <v>300</v>
      </c>
      <c r="E153" s="383" t="s">
        <v>330</v>
      </c>
      <c r="F153" s="384" t="s">
        <v>318</v>
      </c>
      <c r="G153" s="585"/>
      <c r="H153" s="608" t="s">
        <v>369</v>
      </c>
    </row>
    <row r="154" spans="1:8" s="386" customFormat="1" x14ac:dyDescent="0.2">
      <c r="A154" s="378" t="s">
        <v>113</v>
      </c>
      <c r="B154" s="379" t="s">
        <v>114</v>
      </c>
      <c r="C154" s="380" t="s">
        <v>115</v>
      </c>
      <c r="D154" s="382" t="s">
        <v>300</v>
      </c>
      <c r="E154" s="383" t="s">
        <v>330</v>
      </c>
      <c r="F154" s="384" t="s">
        <v>318</v>
      </c>
      <c r="G154" s="585"/>
      <c r="H154" s="608" t="s">
        <v>113</v>
      </c>
    </row>
    <row r="155" spans="1:8" s="249" customFormat="1" x14ac:dyDescent="0.2">
      <c r="A155" s="378" t="s">
        <v>259</v>
      </c>
      <c r="B155" s="379" t="s">
        <v>259</v>
      </c>
      <c r="C155" s="380" t="s">
        <v>378</v>
      </c>
      <c r="D155" s="382" t="s">
        <v>300</v>
      </c>
      <c r="E155" s="383" t="s">
        <v>330</v>
      </c>
      <c r="F155" s="384" t="s">
        <v>318</v>
      </c>
      <c r="G155" s="585"/>
      <c r="H155" s="608" t="s">
        <v>259</v>
      </c>
    </row>
    <row r="156" spans="1:8" s="249" customFormat="1" x14ac:dyDescent="0.2">
      <c r="A156" s="378" t="s">
        <v>111</v>
      </c>
      <c r="B156" s="379" t="s">
        <v>112</v>
      </c>
      <c r="C156" s="380" t="s">
        <v>116</v>
      </c>
      <c r="D156" s="382" t="s">
        <v>300</v>
      </c>
      <c r="E156" s="383" t="s">
        <v>330</v>
      </c>
      <c r="F156" s="384" t="s">
        <v>318</v>
      </c>
      <c r="H156" s="608" t="s">
        <v>111</v>
      </c>
    </row>
    <row r="157" spans="1:8" s="249" customFormat="1" x14ac:dyDescent="0.2">
      <c r="A157" s="378" t="s">
        <v>1267</v>
      </c>
      <c r="B157" s="379" t="s">
        <v>1267</v>
      </c>
      <c r="C157" s="380" t="s">
        <v>1268</v>
      </c>
      <c r="D157" s="382" t="s">
        <v>300</v>
      </c>
      <c r="E157" s="383" t="s">
        <v>330</v>
      </c>
      <c r="F157" s="384" t="s">
        <v>318</v>
      </c>
      <c r="H157" s="608" t="s">
        <v>1267</v>
      </c>
    </row>
    <row r="158" spans="1:8" s="386" customFormat="1" x14ac:dyDescent="0.2">
      <c r="A158" s="378" t="s">
        <v>817</v>
      </c>
      <c r="B158" s="379" t="s">
        <v>817</v>
      </c>
      <c r="C158" s="380" t="s">
        <v>818</v>
      </c>
      <c r="D158" s="382" t="s">
        <v>300</v>
      </c>
      <c r="E158" s="383" t="s">
        <v>330</v>
      </c>
      <c r="F158" s="384" t="s">
        <v>318</v>
      </c>
      <c r="G158" s="249"/>
      <c r="H158" s="608" t="s">
        <v>817</v>
      </c>
    </row>
    <row r="159" spans="1:8" s="386" customFormat="1" x14ac:dyDescent="0.2">
      <c r="A159" s="378" t="s">
        <v>957</v>
      </c>
      <c r="B159" s="379" t="s">
        <v>957</v>
      </c>
      <c r="C159" s="380" t="s">
        <v>819</v>
      </c>
      <c r="D159" s="382" t="s">
        <v>300</v>
      </c>
      <c r="E159" s="383" t="s">
        <v>330</v>
      </c>
      <c r="F159" s="384" t="s">
        <v>318</v>
      </c>
      <c r="G159" s="585"/>
      <c r="H159" s="608" t="s">
        <v>957</v>
      </c>
    </row>
    <row r="160" spans="1:8" s="386" customFormat="1" x14ac:dyDescent="0.2">
      <c r="A160" s="378" t="s">
        <v>966</v>
      </c>
      <c r="B160" s="379" t="s">
        <v>958</v>
      </c>
      <c r="C160" s="380" t="s">
        <v>292</v>
      </c>
      <c r="D160" s="382" t="s">
        <v>300</v>
      </c>
      <c r="E160" s="383" t="s">
        <v>330</v>
      </c>
      <c r="F160" s="384" t="s">
        <v>318</v>
      </c>
      <c r="G160" s="585"/>
      <c r="H160" s="608" t="s">
        <v>966</v>
      </c>
    </row>
    <row r="161" spans="1:8" s="386" customFormat="1" x14ac:dyDescent="0.2">
      <c r="A161" s="378" t="s">
        <v>738</v>
      </c>
      <c r="B161" s="381" t="s">
        <v>739</v>
      </c>
      <c r="C161" s="380" t="s">
        <v>740</v>
      </c>
      <c r="D161" s="382" t="s">
        <v>272</v>
      </c>
      <c r="E161" s="383" t="s">
        <v>330</v>
      </c>
      <c r="F161" s="384" t="s">
        <v>318</v>
      </c>
      <c r="G161" s="249"/>
      <c r="H161" s="608" t="s">
        <v>738</v>
      </c>
    </row>
    <row r="162" spans="1:8" s="386" customFormat="1" x14ac:dyDescent="0.2">
      <c r="A162" s="378" t="s">
        <v>980</v>
      </c>
      <c r="B162" s="381" t="s">
        <v>982</v>
      </c>
      <c r="C162" s="380" t="s">
        <v>980</v>
      </c>
      <c r="D162" s="382" t="s">
        <v>272</v>
      </c>
      <c r="E162" s="383" t="s">
        <v>330</v>
      </c>
      <c r="F162" s="384" t="s">
        <v>318</v>
      </c>
      <c r="G162" s="249"/>
      <c r="H162" s="608" t="s">
        <v>980</v>
      </c>
    </row>
    <row r="163" spans="1:8" s="386" customFormat="1" x14ac:dyDescent="0.2">
      <c r="A163" s="378" t="s">
        <v>981</v>
      </c>
      <c r="B163" s="679" t="s">
        <v>983</v>
      </c>
      <c r="C163" s="380" t="s">
        <v>981</v>
      </c>
      <c r="D163" s="382" t="s">
        <v>272</v>
      </c>
      <c r="E163" s="383" t="s">
        <v>330</v>
      </c>
      <c r="F163" s="384" t="s">
        <v>318</v>
      </c>
      <c r="G163" s="585"/>
      <c r="H163" s="608" t="s">
        <v>981</v>
      </c>
    </row>
    <row r="164" spans="1:8" s="386" customFormat="1" x14ac:dyDescent="0.2">
      <c r="A164" s="378" t="s">
        <v>801</v>
      </c>
      <c r="B164" s="379" t="s">
        <v>802</v>
      </c>
      <c r="C164" s="380" t="s">
        <v>800</v>
      </c>
      <c r="D164" s="382" t="s">
        <v>272</v>
      </c>
      <c r="E164" s="383" t="s">
        <v>330</v>
      </c>
      <c r="F164" s="384" t="s">
        <v>318</v>
      </c>
      <c r="G164" s="585"/>
      <c r="H164" s="608" t="s">
        <v>801</v>
      </c>
    </row>
    <row r="165" spans="1:8" s="386" customFormat="1" x14ac:dyDescent="0.2">
      <c r="A165" s="378" t="s">
        <v>803</v>
      </c>
      <c r="B165" s="379" t="s">
        <v>804</v>
      </c>
      <c r="C165" s="380" t="s">
        <v>805</v>
      </c>
      <c r="D165" s="382" t="s">
        <v>272</v>
      </c>
      <c r="E165" s="383" t="s">
        <v>330</v>
      </c>
      <c r="F165" s="384" t="s">
        <v>318</v>
      </c>
      <c r="G165" s="585"/>
      <c r="H165" s="608" t="s">
        <v>803</v>
      </c>
    </row>
    <row r="166" spans="1:8" x14ac:dyDescent="0.2">
      <c r="A166" s="378" t="s">
        <v>861</v>
      </c>
      <c r="B166" s="379" t="s">
        <v>862</v>
      </c>
      <c r="C166" s="380" t="s">
        <v>863</v>
      </c>
      <c r="D166" s="382" t="s">
        <v>272</v>
      </c>
      <c r="E166" s="383" t="s">
        <v>330</v>
      </c>
      <c r="F166" s="384" t="s">
        <v>318</v>
      </c>
      <c r="G166" s="585"/>
      <c r="H166" s="608" t="s">
        <v>861</v>
      </c>
    </row>
    <row r="167" spans="1:8" x14ac:dyDescent="0.2">
      <c r="A167" s="378" t="s">
        <v>864</v>
      </c>
      <c r="B167" s="379" t="s">
        <v>865</v>
      </c>
      <c r="C167" s="380" t="s">
        <v>866</v>
      </c>
      <c r="D167" s="382" t="s">
        <v>272</v>
      </c>
      <c r="E167" s="383" t="s">
        <v>330</v>
      </c>
      <c r="F167" s="384" t="s">
        <v>318</v>
      </c>
      <c r="G167" s="585"/>
      <c r="H167" s="608" t="s">
        <v>864</v>
      </c>
    </row>
    <row r="168" spans="1:8" x14ac:dyDescent="0.2">
      <c r="A168" s="378" t="s">
        <v>879</v>
      </c>
      <c r="B168" s="379" t="s">
        <v>880</v>
      </c>
      <c r="C168" s="380" t="s">
        <v>881</v>
      </c>
      <c r="D168" s="382" t="s">
        <v>272</v>
      </c>
      <c r="E168" s="383" t="s">
        <v>330</v>
      </c>
      <c r="F168" s="384" t="s">
        <v>318</v>
      </c>
      <c r="G168" s="585"/>
      <c r="H168" s="608" t="s">
        <v>879</v>
      </c>
    </row>
    <row r="169" spans="1:8" x14ac:dyDescent="0.2">
      <c r="A169" s="378" t="s">
        <v>929</v>
      </c>
      <c r="B169" s="379" t="s">
        <v>927</v>
      </c>
      <c r="C169" s="380" t="s">
        <v>931</v>
      </c>
      <c r="D169" s="382" t="s">
        <v>272</v>
      </c>
      <c r="E169" s="383" t="s">
        <v>330</v>
      </c>
      <c r="F169" s="384" t="s">
        <v>318</v>
      </c>
      <c r="G169" s="249"/>
      <c r="H169" s="608" t="s">
        <v>929</v>
      </c>
    </row>
    <row r="170" spans="1:8" x14ac:dyDescent="0.2">
      <c r="A170" s="378" t="s">
        <v>930</v>
      </c>
      <c r="B170" s="379" t="s">
        <v>928</v>
      </c>
      <c r="C170" s="380" t="s">
        <v>932</v>
      </c>
      <c r="D170" s="382" t="s">
        <v>272</v>
      </c>
      <c r="E170" s="383" t="s">
        <v>330</v>
      </c>
      <c r="F170" s="384" t="s">
        <v>318</v>
      </c>
      <c r="G170" s="249"/>
      <c r="H170" s="608" t="s">
        <v>930</v>
      </c>
    </row>
    <row r="171" spans="1:8" x14ac:dyDescent="0.2">
      <c r="A171" s="378" t="s">
        <v>977</v>
      </c>
      <c r="B171" s="379" t="s">
        <v>978</v>
      </c>
      <c r="C171" s="380" t="s">
        <v>979</v>
      </c>
      <c r="D171" s="382" t="s">
        <v>272</v>
      </c>
      <c r="E171" s="383" t="s">
        <v>330</v>
      </c>
      <c r="F171" s="384" t="s">
        <v>318</v>
      </c>
      <c r="G171" s="249"/>
      <c r="H171" s="610" t="s">
        <v>977</v>
      </c>
    </row>
    <row r="172" spans="1:8" x14ac:dyDescent="0.2">
      <c r="A172" s="378" t="s">
        <v>1269</v>
      </c>
      <c r="B172" s="379" t="s">
        <v>1269</v>
      </c>
      <c r="C172" s="380" t="s">
        <v>1100</v>
      </c>
      <c r="D172" s="382" t="s">
        <v>300</v>
      </c>
      <c r="E172" s="383" t="s">
        <v>330</v>
      </c>
      <c r="F172" s="384" t="s">
        <v>318</v>
      </c>
      <c r="G172" s="249"/>
      <c r="H172" s="610" t="s">
        <v>1269</v>
      </c>
    </row>
    <row r="173" spans="1:8" x14ac:dyDescent="0.2">
      <c r="A173" s="378" t="s">
        <v>278</v>
      </c>
      <c r="B173" s="379" t="s">
        <v>90</v>
      </c>
      <c r="C173" s="380" t="s">
        <v>299</v>
      </c>
      <c r="D173" s="382" t="s">
        <v>301</v>
      </c>
      <c r="E173" s="379" t="s">
        <v>330</v>
      </c>
      <c r="F173" s="384" t="s">
        <v>318</v>
      </c>
      <c r="G173" s="249"/>
      <c r="H173" s="610" t="s">
        <v>278</v>
      </c>
    </row>
    <row r="174" spans="1:8" x14ac:dyDescent="0.2">
      <c r="A174" s="378" t="s">
        <v>277</v>
      </c>
      <c r="B174" s="379" t="s">
        <v>959</v>
      </c>
      <c r="C174" s="380" t="s">
        <v>262</v>
      </c>
      <c r="D174" s="382" t="s">
        <v>300</v>
      </c>
      <c r="E174" s="379" t="s">
        <v>330</v>
      </c>
      <c r="F174" s="384" t="s">
        <v>318</v>
      </c>
      <c r="G174" s="249"/>
      <c r="H174" s="608" t="s">
        <v>277</v>
      </c>
    </row>
    <row r="175" spans="1:8" x14ac:dyDescent="0.2">
      <c r="A175" s="378" t="s">
        <v>867</v>
      </c>
      <c r="B175" s="379" t="s">
        <v>868</v>
      </c>
      <c r="C175" s="380" t="s">
        <v>869</v>
      </c>
      <c r="D175" s="382" t="s">
        <v>300</v>
      </c>
      <c r="E175" s="379" t="s">
        <v>330</v>
      </c>
      <c r="F175" s="384" t="s">
        <v>318</v>
      </c>
      <c r="G175" s="249"/>
      <c r="H175" s="608" t="s">
        <v>867</v>
      </c>
    </row>
    <row r="176" spans="1:8" ht="25.5" x14ac:dyDescent="0.2">
      <c r="A176" s="378" t="s">
        <v>1253</v>
      </c>
      <c r="B176" s="379" t="s">
        <v>1252</v>
      </c>
      <c r="C176" s="380" t="s">
        <v>1251</v>
      </c>
      <c r="D176" s="382" t="s">
        <v>300</v>
      </c>
      <c r="E176" s="383" t="s">
        <v>330</v>
      </c>
      <c r="F176" s="384" t="s">
        <v>318</v>
      </c>
      <c r="G176" s="249"/>
      <c r="H176" s="608" t="s">
        <v>1253</v>
      </c>
    </row>
    <row r="177" spans="1:8" ht="25.5" x14ac:dyDescent="0.2">
      <c r="A177" s="378" t="s">
        <v>1254</v>
      </c>
      <c r="B177" s="379" t="s">
        <v>1249</v>
      </c>
      <c r="C177" s="380" t="s">
        <v>1250</v>
      </c>
      <c r="D177" s="382" t="s">
        <v>300</v>
      </c>
      <c r="E177" s="383" t="s">
        <v>330</v>
      </c>
      <c r="F177" s="384" t="s">
        <v>318</v>
      </c>
      <c r="G177" s="249"/>
      <c r="H177" s="608" t="s">
        <v>1254</v>
      </c>
    </row>
    <row r="178" spans="1:8" x14ac:dyDescent="0.2">
      <c r="A178" s="55" t="s">
        <v>489</v>
      </c>
      <c r="B178" s="50" t="s">
        <v>490</v>
      </c>
      <c r="C178" s="58" t="s">
        <v>491</v>
      </c>
      <c r="D178" s="56" t="s">
        <v>300</v>
      </c>
      <c r="E178" s="50" t="s">
        <v>330</v>
      </c>
      <c r="F178" s="54" t="s">
        <v>318</v>
      </c>
      <c r="G178" s="249"/>
      <c r="H178" s="608" t="s">
        <v>489</v>
      </c>
    </row>
    <row r="179" spans="1:8" x14ac:dyDescent="0.2">
      <c r="A179" s="55" t="s">
        <v>361</v>
      </c>
      <c r="B179" s="50" t="s">
        <v>362</v>
      </c>
      <c r="C179" s="58" t="s">
        <v>251</v>
      </c>
      <c r="D179" s="56" t="s">
        <v>300</v>
      </c>
      <c r="E179" s="51" t="s">
        <v>330</v>
      </c>
      <c r="F179" s="54" t="s">
        <v>318</v>
      </c>
      <c r="G179" s="249"/>
      <c r="H179" s="607" t="s">
        <v>361</v>
      </c>
    </row>
    <row r="180" spans="1:8" x14ac:dyDescent="0.2">
      <c r="A180" s="55" t="s">
        <v>281</v>
      </c>
      <c r="B180" s="50" t="s">
        <v>281</v>
      </c>
      <c r="C180" s="58" t="s">
        <v>282</v>
      </c>
      <c r="D180" s="56" t="s">
        <v>300</v>
      </c>
      <c r="E180" s="51" t="s">
        <v>330</v>
      </c>
      <c r="F180" s="54" t="s">
        <v>318</v>
      </c>
      <c r="G180" s="249"/>
      <c r="H180" s="607" t="s">
        <v>281</v>
      </c>
    </row>
    <row r="181" spans="1:8" x14ac:dyDescent="0.2">
      <c r="A181" s="378" t="s">
        <v>907</v>
      </c>
      <c r="B181" s="379" t="s">
        <v>960</v>
      </c>
      <c r="C181" s="380" t="s">
        <v>908</v>
      </c>
      <c r="D181" s="382" t="s">
        <v>300</v>
      </c>
      <c r="E181" s="383" t="s">
        <v>330</v>
      </c>
      <c r="F181" s="384" t="s">
        <v>318</v>
      </c>
      <c r="G181" s="249"/>
      <c r="H181" s="608" t="s">
        <v>907</v>
      </c>
    </row>
    <row r="182" spans="1:8" x14ac:dyDescent="0.2">
      <c r="A182" s="378" t="s">
        <v>1051</v>
      </c>
      <c r="B182" s="379" t="s">
        <v>1052</v>
      </c>
      <c r="C182" s="380" t="s">
        <v>908</v>
      </c>
      <c r="D182" s="382" t="s">
        <v>300</v>
      </c>
      <c r="E182" s="383" t="s">
        <v>330</v>
      </c>
      <c r="F182" s="384" t="s">
        <v>318</v>
      </c>
      <c r="G182" s="249"/>
      <c r="H182" s="608" t="s">
        <v>1052</v>
      </c>
    </row>
    <row r="183" spans="1:8" x14ac:dyDescent="0.2">
      <c r="A183" s="680" t="s">
        <v>1332</v>
      </c>
      <c r="B183" s="679" t="s">
        <v>1333</v>
      </c>
      <c r="C183" s="681" t="s">
        <v>1334</v>
      </c>
      <c r="D183" s="382" t="s">
        <v>301</v>
      </c>
      <c r="E183" s="383" t="s">
        <v>330</v>
      </c>
      <c r="F183" s="384" t="s">
        <v>318</v>
      </c>
      <c r="G183" s="249"/>
      <c r="H183" s="608" t="s">
        <v>1333</v>
      </c>
    </row>
    <row r="184" spans="1:8" ht="25.5" x14ac:dyDescent="0.2">
      <c r="A184" s="378" t="s">
        <v>367</v>
      </c>
      <c r="B184" s="379" t="s">
        <v>961</v>
      </c>
      <c r="C184" s="380" t="s">
        <v>363</v>
      </c>
      <c r="D184" s="382" t="s">
        <v>301</v>
      </c>
      <c r="E184" s="383" t="s">
        <v>330</v>
      </c>
      <c r="F184" s="384" t="s">
        <v>318</v>
      </c>
      <c r="G184" s="249"/>
      <c r="H184" s="608" t="s">
        <v>367</v>
      </c>
    </row>
    <row r="185" spans="1:8" ht="25.5" x14ac:dyDescent="0.2">
      <c r="A185" s="378" t="s">
        <v>368</v>
      </c>
      <c r="B185" s="379" t="s">
        <v>962</v>
      </c>
      <c r="C185" s="380" t="s">
        <v>255</v>
      </c>
      <c r="D185" s="382" t="s">
        <v>300</v>
      </c>
      <c r="E185" s="383" t="s">
        <v>330</v>
      </c>
      <c r="F185" s="384" t="s">
        <v>318</v>
      </c>
      <c r="G185" s="249"/>
      <c r="H185" s="608" t="s">
        <v>368</v>
      </c>
    </row>
    <row r="186" spans="1:8" x14ac:dyDescent="0.2">
      <c r="A186" s="378" t="s">
        <v>129</v>
      </c>
      <c r="B186" s="379" t="s">
        <v>129</v>
      </c>
      <c r="C186" s="380" t="s">
        <v>130</v>
      </c>
      <c r="D186" s="382" t="s">
        <v>300</v>
      </c>
      <c r="E186" s="383" t="s">
        <v>330</v>
      </c>
      <c r="F186" s="384" t="s">
        <v>318</v>
      </c>
      <c r="G186" s="249"/>
      <c r="H186" s="608" t="s">
        <v>129</v>
      </c>
    </row>
    <row r="187" spans="1:8" s="385" customFormat="1" x14ac:dyDescent="0.2">
      <c r="A187" s="678" t="s">
        <v>1372</v>
      </c>
      <c r="B187" s="677" t="s">
        <v>1372</v>
      </c>
      <c r="C187" s="684" t="s">
        <v>1373</v>
      </c>
      <c r="D187" s="689" t="s">
        <v>300</v>
      </c>
      <c r="E187" s="690" t="s">
        <v>330</v>
      </c>
      <c r="F187" s="691" t="s">
        <v>318</v>
      </c>
      <c r="G187"/>
      <c r="H187" s="692" t="s">
        <v>1372</v>
      </c>
    </row>
    <row r="188" spans="1:8" x14ac:dyDescent="0.2">
      <c r="A188" s="55" t="s">
        <v>742</v>
      </c>
      <c r="B188" s="50" t="s">
        <v>742</v>
      </c>
      <c r="C188" s="58" t="s">
        <v>743</v>
      </c>
      <c r="D188" s="56" t="s">
        <v>301</v>
      </c>
      <c r="E188" s="51" t="s">
        <v>330</v>
      </c>
      <c r="F188" s="54" t="s">
        <v>318</v>
      </c>
      <c r="G188" s="249"/>
      <c r="H188" s="608" t="s">
        <v>742</v>
      </c>
    </row>
    <row r="189" spans="1:8" x14ac:dyDescent="0.2">
      <c r="A189" s="378" t="s">
        <v>833</v>
      </c>
      <c r="B189" s="379" t="s">
        <v>833</v>
      </c>
      <c r="C189" s="380" t="s">
        <v>117</v>
      </c>
      <c r="D189" s="382" t="s">
        <v>300</v>
      </c>
      <c r="E189" s="383" t="s">
        <v>330</v>
      </c>
      <c r="F189" s="384" t="s">
        <v>318</v>
      </c>
      <c r="H189" s="608" t="s">
        <v>833</v>
      </c>
    </row>
    <row r="190" spans="1:8" x14ac:dyDescent="0.2">
      <c r="A190" s="55" t="s">
        <v>274</v>
      </c>
      <c r="B190" s="50" t="s">
        <v>274</v>
      </c>
      <c r="C190" s="58" t="s">
        <v>275</v>
      </c>
      <c r="D190" s="56" t="s">
        <v>300</v>
      </c>
      <c r="E190" s="51" t="s">
        <v>330</v>
      </c>
      <c r="F190" s="54" t="s">
        <v>318</v>
      </c>
      <c r="H190" s="607" t="s">
        <v>274</v>
      </c>
    </row>
    <row r="191" spans="1:8" x14ac:dyDescent="0.2">
      <c r="A191" s="378" t="s">
        <v>870</v>
      </c>
      <c r="B191" s="379" t="s">
        <v>963</v>
      </c>
      <c r="C191" s="380" t="s">
        <v>350</v>
      </c>
      <c r="D191" s="56" t="s">
        <v>300</v>
      </c>
      <c r="E191" s="51" t="s">
        <v>330</v>
      </c>
      <c r="F191" s="54" t="s">
        <v>318</v>
      </c>
      <c r="H191" s="608" t="s">
        <v>870</v>
      </c>
    </row>
    <row r="192" spans="1:8" x14ac:dyDescent="0.2">
      <c r="A192" s="378" t="s">
        <v>965</v>
      </c>
      <c r="B192" s="379" t="s">
        <v>964</v>
      </c>
      <c r="C192" s="380" t="s">
        <v>350</v>
      </c>
      <c r="D192" s="56" t="s">
        <v>300</v>
      </c>
      <c r="E192" s="51" t="s">
        <v>330</v>
      </c>
      <c r="F192" s="54" t="s">
        <v>318</v>
      </c>
      <c r="H192" s="608" t="s">
        <v>965</v>
      </c>
    </row>
    <row r="193" spans="1:8" ht="13.5" thickBot="1" x14ac:dyDescent="0.25">
      <c r="A193" s="637" t="s">
        <v>82</v>
      </c>
      <c r="B193" s="638" t="s">
        <v>943</v>
      </c>
      <c r="C193" s="639" t="s">
        <v>284</v>
      </c>
      <c r="D193" s="634" t="s">
        <v>300</v>
      </c>
      <c r="E193" s="635" t="s">
        <v>330</v>
      </c>
      <c r="F193" s="636" t="s">
        <v>318</v>
      </c>
      <c r="H193" s="608"/>
    </row>
    <row r="194" spans="1:8" x14ac:dyDescent="0.2">
      <c r="F194" s="37"/>
      <c r="H194" s="608"/>
    </row>
    <row r="195" spans="1:8" ht="13.5" thickBot="1" x14ac:dyDescent="0.25">
      <c r="H195" s="608"/>
    </row>
    <row r="196" spans="1:8" x14ac:dyDescent="0.2">
      <c r="B196" s="38" t="s">
        <v>47</v>
      </c>
      <c r="H196" s="608"/>
    </row>
    <row r="197" spans="1:8" x14ac:dyDescent="0.2">
      <c r="B197" s="39" t="s">
        <v>48</v>
      </c>
      <c r="H197" s="608"/>
    </row>
    <row r="198" spans="1:8" x14ac:dyDescent="0.2">
      <c r="B198" s="39" t="s">
        <v>611</v>
      </c>
      <c r="H198" s="608"/>
    </row>
    <row r="199" spans="1:8" x14ac:dyDescent="0.2">
      <c r="B199" s="39" t="s">
        <v>49</v>
      </c>
      <c r="H199" s="608"/>
    </row>
    <row r="200" spans="1:8" ht="13.5" thickBot="1" x14ac:dyDescent="0.25">
      <c r="B200" s="260" t="s">
        <v>50</v>
      </c>
      <c r="H200" s="608"/>
    </row>
    <row r="201" spans="1:8" ht="13.5" thickBot="1" x14ac:dyDescent="0.25">
      <c r="H201" s="633"/>
    </row>
    <row r="202" spans="1:8" x14ac:dyDescent="0.2">
      <c r="B202" s="1"/>
      <c r="H202" s="249"/>
    </row>
    <row r="204" spans="1:8" hidden="1" x14ac:dyDescent="0.2"/>
    <row r="206" spans="1:8" ht="13.5" thickBot="1" x14ac:dyDescent="0.25">
      <c r="B206" s="1" t="s">
        <v>77</v>
      </c>
    </row>
    <row r="207" spans="1:8" ht="15.75" x14ac:dyDescent="0.25">
      <c r="B207" s="48" t="s">
        <v>231</v>
      </c>
    </row>
    <row r="208" spans="1:8" ht="15" x14ac:dyDescent="0.2">
      <c r="B208" s="42" t="s">
        <v>84</v>
      </c>
    </row>
    <row r="209" spans="1:8" ht="15" x14ac:dyDescent="0.2">
      <c r="B209" s="42" t="s">
        <v>379</v>
      </c>
    </row>
    <row r="210" spans="1:8" ht="15" x14ac:dyDescent="0.2">
      <c r="B210" s="42" t="s">
        <v>285</v>
      </c>
    </row>
    <row r="211" spans="1:8" ht="15" x14ac:dyDescent="0.2">
      <c r="B211" s="42" t="s">
        <v>286</v>
      </c>
    </row>
    <row r="212" spans="1:8" ht="15" x14ac:dyDescent="0.2">
      <c r="B212" s="42" t="s">
        <v>74</v>
      </c>
    </row>
    <row r="213" spans="1:8" ht="15" x14ac:dyDescent="0.2">
      <c r="B213" s="42" t="s">
        <v>75</v>
      </c>
    </row>
    <row r="214" spans="1:8" ht="15" x14ac:dyDescent="0.2">
      <c r="B214" s="42" t="s">
        <v>289</v>
      </c>
    </row>
    <row r="215" spans="1:8" s="249" customFormat="1" ht="15" x14ac:dyDescent="0.2">
      <c r="A215" s="2"/>
      <c r="B215" s="42" t="s">
        <v>493</v>
      </c>
      <c r="C215" s="2"/>
      <c r="D215" s="2"/>
      <c r="E215" s="2"/>
      <c r="F215" s="2"/>
      <c r="H215" s="2"/>
    </row>
    <row r="216" spans="1:8" s="249" customFormat="1" ht="15" x14ac:dyDescent="0.2">
      <c r="A216" s="2"/>
      <c r="B216" s="42" t="s">
        <v>76</v>
      </c>
      <c r="C216" s="2"/>
      <c r="D216" s="2"/>
      <c r="E216" s="2"/>
      <c r="F216" s="2"/>
      <c r="H216" s="2"/>
    </row>
    <row r="217" spans="1:8" s="249" customFormat="1" ht="15.75" thickBot="1" x14ac:dyDescent="0.25">
      <c r="A217" s="2"/>
      <c r="B217" s="43" t="s">
        <v>205</v>
      </c>
      <c r="C217" s="2"/>
      <c r="D217" s="2"/>
      <c r="E217" s="2"/>
      <c r="F217" s="2"/>
      <c r="H217" s="2"/>
    </row>
    <row r="218" spans="1:8" s="249" customFormat="1" x14ac:dyDescent="0.2">
      <c r="A218" s="2"/>
      <c r="B218" s="2"/>
      <c r="C218" s="2"/>
      <c r="D218" s="2"/>
      <c r="E218" s="2"/>
      <c r="F218" s="2"/>
      <c r="H218" s="2"/>
    </row>
    <row r="219" spans="1:8" s="249" customFormat="1" ht="13.5" thickBot="1" x14ac:dyDescent="0.25">
      <c r="A219" s="2"/>
      <c r="B219" s="2"/>
      <c r="C219" s="2"/>
      <c r="D219" s="2"/>
      <c r="E219" s="2"/>
      <c r="F219" s="2"/>
      <c r="H219" s="2"/>
    </row>
    <row r="220" spans="1:8" s="249" customFormat="1" ht="15.75" x14ac:dyDescent="0.25">
      <c r="A220" s="2"/>
      <c r="B220" s="45" t="s">
        <v>25</v>
      </c>
      <c r="C220" s="2"/>
      <c r="D220" s="2"/>
      <c r="E220" s="2"/>
      <c r="F220" s="2"/>
      <c r="H220" s="2"/>
    </row>
    <row r="221" spans="1:8" s="249" customFormat="1" ht="15" x14ac:dyDescent="0.2">
      <c r="A221" s="2"/>
      <c r="B221" s="42" t="s">
        <v>84</v>
      </c>
      <c r="C221" s="2"/>
      <c r="D221" s="2"/>
      <c r="E221" s="2"/>
      <c r="F221" s="2"/>
      <c r="H221" s="2"/>
    </row>
    <row r="222" spans="1:8" s="249" customFormat="1" ht="15" x14ac:dyDescent="0.2">
      <c r="A222" s="2"/>
      <c r="B222" s="42" t="s">
        <v>379</v>
      </c>
      <c r="C222" s="2"/>
      <c r="D222" s="2"/>
      <c r="E222" s="2"/>
      <c r="F222" s="2"/>
      <c r="H222" s="2"/>
    </row>
    <row r="223" spans="1:8" s="249" customFormat="1" ht="15" x14ac:dyDescent="0.2">
      <c r="A223" s="2"/>
      <c r="B223" s="42" t="s">
        <v>32</v>
      </c>
      <c r="C223" s="2"/>
      <c r="D223" s="2"/>
      <c r="E223" s="2"/>
      <c r="F223" s="2"/>
      <c r="H223" s="2"/>
    </row>
    <row r="224" spans="1:8" s="249" customFormat="1" ht="15" x14ac:dyDescent="0.2">
      <c r="A224" s="2"/>
      <c r="B224" s="42" t="s">
        <v>81</v>
      </c>
      <c r="C224" s="2"/>
      <c r="D224" s="2"/>
      <c r="E224" s="2"/>
      <c r="F224" s="2"/>
      <c r="H224" s="2"/>
    </row>
    <row r="225" spans="1:8" s="249" customFormat="1" ht="15" x14ac:dyDescent="0.2">
      <c r="A225" s="2"/>
      <c r="B225" s="42" t="s">
        <v>79</v>
      </c>
      <c r="C225" s="2"/>
      <c r="D225" s="2"/>
      <c r="E225" s="2"/>
      <c r="F225" s="2"/>
      <c r="H225" s="2"/>
    </row>
    <row r="226" spans="1:8" s="249" customFormat="1" ht="15" x14ac:dyDescent="0.2">
      <c r="A226" s="2"/>
      <c r="B226" s="42" t="s">
        <v>290</v>
      </c>
      <c r="C226" s="2"/>
      <c r="D226" s="2"/>
      <c r="E226" s="2"/>
      <c r="F226" s="2"/>
      <c r="H226" s="2"/>
    </row>
    <row r="227" spans="1:8" s="249" customFormat="1" ht="15.75" thickBot="1" x14ac:dyDescent="0.25">
      <c r="A227" s="2"/>
      <c r="B227" s="43" t="s">
        <v>205</v>
      </c>
      <c r="C227" s="2"/>
      <c r="D227" s="2"/>
      <c r="E227" s="2"/>
      <c r="F227" s="2"/>
      <c r="H227" s="2"/>
    </row>
    <row r="228" spans="1:8" s="249" customFormat="1" ht="13.5" thickBot="1" x14ac:dyDescent="0.25">
      <c r="A228" s="2"/>
      <c r="B228" s="2"/>
      <c r="C228" s="2"/>
      <c r="D228" s="2"/>
      <c r="E228" s="2"/>
      <c r="F228" s="2"/>
      <c r="H228" s="2"/>
    </row>
    <row r="229" spans="1:8" s="249" customFormat="1" ht="15.75" x14ac:dyDescent="0.25">
      <c r="A229" s="2"/>
      <c r="B229" s="45" t="s">
        <v>306</v>
      </c>
      <c r="C229" s="2"/>
      <c r="D229" s="2"/>
      <c r="E229" s="2"/>
      <c r="F229" s="2"/>
      <c r="H229" s="2"/>
    </row>
    <row r="230" spans="1:8" s="249" customFormat="1" ht="15" x14ac:dyDescent="0.2">
      <c r="B230" s="46" t="s">
        <v>438</v>
      </c>
      <c r="H230" s="2"/>
    </row>
    <row r="231" spans="1:8" s="249" customFormat="1" ht="15" x14ac:dyDescent="0.2">
      <c r="B231" s="46" t="s">
        <v>439</v>
      </c>
      <c r="H231" s="2"/>
    </row>
    <row r="232" spans="1:8" s="249" customFormat="1" ht="15" x14ac:dyDescent="0.2">
      <c r="B232" s="46" t="s">
        <v>62</v>
      </c>
      <c r="H232" s="2"/>
    </row>
    <row r="233" spans="1:8" s="249" customFormat="1" ht="15" x14ac:dyDescent="0.2">
      <c r="B233" s="46" t="s">
        <v>344</v>
      </c>
      <c r="H233" s="2"/>
    </row>
    <row r="234" spans="1:8" ht="15" x14ac:dyDescent="0.2">
      <c r="A234" s="249"/>
      <c r="B234" s="46" t="s">
        <v>417</v>
      </c>
      <c r="C234" s="249"/>
      <c r="D234" s="249"/>
      <c r="E234" s="249"/>
      <c r="F234" s="249"/>
    </row>
    <row r="235" spans="1:8" ht="15" x14ac:dyDescent="0.2">
      <c r="A235" s="249"/>
      <c r="B235" s="46" t="s">
        <v>418</v>
      </c>
      <c r="C235" s="249"/>
      <c r="D235" s="249"/>
      <c r="E235" s="249"/>
      <c r="F235" s="249"/>
    </row>
    <row r="236" spans="1:8" ht="15" x14ac:dyDescent="0.2">
      <c r="A236" s="249"/>
      <c r="B236" s="46" t="s">
        <v>440</v>
      </c>
      <c r="C236" s="249"/>
      <c r="D236" s="249"/>
      <c r="E236" s="249"/>
      <c r="F236" s="249"/>
    </row>
    <row r="237" spans="1:8" ht="15" x14ac:dyDescent="0.2">
      <c r="A237" s="249"/>
      <c r="B237" s="46" t="s">
        <v>345</v>
      </c>
      <c r="C237" s="249"/>
      <c r="D237" s="249"/>
      <c r="E237" s="249"/>
      <c r="F237" s="249"/>
    </row>
    <row r="238" spans="1:8" ht="15" x14ac:dyDescent="0.2">
      <c r="A238" s="249"/>
      <c r="B238" s="46" t="s">
        <v>441</v>
      </c>
      <c r="C238" s="249"/>
      <c r="D238" s="249"/>
      <c r="E238" s="249"/>
      <c r="F238" s="249"/>
    </row>
    <row r="239" spans="1:8" ht="15" x14ac:dyDescent="0.2">
      <c r="A239" s="249"/>
      <c r="B239" s="46" t="s">
        <v>442</v>
      </c>
      <c r="C239" s="249"/>
      <c r="D239" s="249"/>
      <c r="E239" s="249"/>
      <c r="F239" s="249"/>
      <c r="H239" s="249"/>
    </row>
    <row r="240" spans="1:8" ht="15" x14ac:dyDescent="0.2">
      <c r="A240" s="249"/>
      <c r="B240" s="46" t="s">
        <v>443</v>
      </c>
      <c r="C240" s="249"/>
      <c r="D240" s="249"/>
      <c r="E240" s="249"/>
      <c r="F240" s="249"/>
      <c r="H240" s="249"/>
    </row>
    <row r="241" spans="1:8" ht="15" x14ac:dyDescent="0.2">
      <c r="A241" s="249"/>
      <c r="B241" s="46" t="s">
        <v>444</v>
      </c>
      <c r="C241" s="249"/>
      <c r="D241" s="249"/>
      <c r="E241" s="249"/>
      <c r="F241" s="249"/>
      <c r="H241" s="249"/>
    </row>
    <row r="242" spans="1:8" ht="15" x14ac:dyDescent="0.2">
      <c r="A242" s="249"/>
      <c r="B242" s="46" t="s">
        <v>445</v>
      </c>
      <c r="C242" s="249"/>
      <c r="D242" s="249"/>
      <c r="E242" s="249"/>
      <c r="F242" s="249"/>
      <c r="H242" s="249"/>
    </row>
    <row r="243" spans="1:8" ht="15" x14ac:dyDescent="0.2">
      <c r="A243" s="249"/>
      <c r="B243" s="46" t="s">
        <v>207</v>
      </c>
      <c r="C243" s="249"/>
      <c r="D243" s="249"/>
      <c r="E243" s="249"/>
      <c r="F243" s="249"/>
      <c r="H243" s="249"/>
    </row>
    <row r="244" spans="1:8" ht="15" x14ac:dyDescent="0.2">
      <c r="A244" s="249"/>
      <c r="B244" s="46" t="s">
        <v>208</v>
      </c>
      <c r="C244" s="249"/>
      <c r="D244" s="249"/>
      <c r="E244" s="249"/>
      <c r="F244" s="249"/>
      <c r="H244" s="249"/>
    </row>
    <row r="245" spans="1:8" ht="15" x14ac:dyDescent="0.2">
      <c r="A245" s="249"/>
      <c r="B245" s="46" t="s">
        <v>209</v>
      </c>
      <c r="C245" s="249"/>
      <c r="D245" s="249"/>
      <c r="E245" s="249"/>
      <c r="F245" s="249"/>
      <c r="H245" s="249"/>
    </row>
    <row r="246" spans="1:8" ht="15" x14ac:dyDescent="0.2">
      <c r="A246" s="249"/>
      <c r="B246" s="46" t="s">
        <v>206</v>
      </c>
      <c r="C246" s="249"/>
      <c r="D246" s="249"/>
      <c r="E246" s="249"/>
      <c r="F246" s="249"/>
      <c r="H246" s="249"/>
    </row>
    <row r="247" spans="1:8" ht="15" x14ac:dyDescent="0.2">
      <c r="A247" s="249"/>
      <c r="B247" s="313" t="s">
        <v>466</v>
      </c>
      <c r="C247" s="249"/>
      <c r="D247" s="249"/>
      <c r="E247" s="249"/>
      <c r="F247" s="249"/>
      <c r="H247" s="249"/>
    </row>
    <row r="248" spans="1:8" ht="15" x14ac:dyDescent="0.2">
      <c r="A248" s="249"/>
      <c r="B248" s="46" t="s">
        <v>205</v>
      </c>
      <c r="C248" s="249"/>
      <c r="D248" s="249"/>
      <c r="E248" s="249"/>
      <c r="F248" s="249"/>
      <c r="H248" s="249"/>
    </row>
    <row r="249" spans="1:8" ht="15" x14ac:dyDescent="0.2">
      <c r="B249" s="46" t="s">
        <v>304</v>
      </c>
      <c r="H249" s="249"/>
    </row>
    <row r="250" spans="1:8" ht="15" x14ac:dyDescent="0.2">
      <c r="B250" s="46" t="s">
        <v>309</v>
      </c>
      <c r="H250" s="249"/>
    </row>
    <row r="251" spans="1:8" ht="15" x14ac:dyDescent="0.2">
      <c r="B251" s="46" t="s">
        <v>259</v>
      </c>
      <c r="H251" s="249"/>
    </row>
    <row r="252" spans="1:8" ht="15.75" thickBot="1" x14ac:dyDescent="0.25">
      <c r="B252" s="47" t="s">
        <v>305</v>
      </c>
      <c r="H252" s="249"/>
    </row>
    <row r="253" spans="1:8" ht="15.75" thickBot="1" x14ac:dyDescent="0.25">
      <c r="B253" s="44"/>
      <c r="H253" s="249"/>
    </row>
    <row r="254" spans="1:8" ht="15.75" x14ac:dyDescent="0.25">
      <c r="B254" s="45" t="s">
        <v>333</v>
      </c>
      <c r="H254" s="249"/>
    </row>
    <row r="255" spans="1:8" ht="15" x14ac:dyDescent="0.2">
      <c r="B255" s="46" t="s">
        <v>51</v>
      </c>
      <c r="H255" s="249"/>
    </row>
    <row r="256" spans="1:8" ht="15.75" thickBot="1" x14ac:dyDescent="0.25">
      <c r="B256" s="47" t="s">
        <v>53</v>
      </c>
      <c r="H256" s="249"/>
    </row>
    <row r="257" spans="2:8" ht="13.5" thickBot="1" x14ac:dyDescent="0.25">
      <c r="H257" s="249"/>
    </row>
    <row r="258" spans="2:8" ht="15.75" x14ac:dyDescent="0.25">
      <c r="B258" s="48" t="s">
        <v>124</v>
      </c>
    </row>
    <row r="259" spans="2:8" ht="15" x14ac:dyDescent="0.2">
      <c r="B259" s="42" t="s">
        <v>52</v>
      </c>
    </row>
    <row r="260" spans="2:8" ht="15" x14ac:dyDescent="0.2">
      <c r="B260" s="42" t="s">
        <v>54</v>
      </c>
    </row>
    <row r="261" spans="2:8" ht="15" x14ac:dyDescent="0.2">
      <c r="B261" s="46" t="s">
        <v>125</v>
      </c>
    </row>
    <row r="262" spans="2:8" ht="15" x14ac:dyDescent="0.2">
      <c r="B262" s="46" t="s">
        <v>126</v>
      </c>
    </row>
    <row r="263" spans="2:8" ht="15" x14ac:dyDescent="0.2">
      <c r="B263" s="46" t="s">
        <v>380</v>
      </c>
    </row>
    <row r="264" spans="2:8" ht="15" x14ac:dyDescent="0.2">
      <c r="B264" s="46" t="s">
        <v>381</v>
      </c>
    </row>
    <row r="265" spans="2:8" ht="15" x14ac:dyDescent="0.2">
      <c r="B265" s="46" t="s">
        <v>382</v>
      </c>
    </row>
    <row r="266" spans="2:8" ht="15" x14ac:dyDescent="0.2">
      <c r="B266" s="46" t="s">
        <v>132</v>
      </c>
    </row>
    <row r="267" spans="2:8" ht="15" x14ac:dyDescent="0.2">
      <c r="B267" s="46" t="s">
        <v>127</v>
      </c>
    </row>
    <row r="268" spans="2:8" ht="15" x14ac:dyDescent="0.2">
      <c r="B268" s="46" t="s">
        <v>128</v>
      </c>
    </row>
    <row r="269" spans="2:8" ht="15" x14ac:dyDescent="0.2">
      <c r="B269" s="46" t="s">
        <v>131</v>
      </c>
    </row>
    <row r="270" spans="2:8" ht="15" x14ac:dyDescent="0.2">
      <c r="B270" s="46" t="s">
        <v>383</v>
      </c>
    </row>
    <row r="271" spans="2:8" ht="15" x14ac:dyDescent="0.2">
      <c r="B271" s="46" t="s">
        <v>384</v>
      </c>
    </row>
    <row r="272" spans="2:8" ht="15" x14ac:dyDescent="0.2">
      <c r="B272" s="46" t="s">
        <v>385</v>
      </c>
    </row>
    <row r="273" spans="2:2" ht="15" x14ac:dyDescent="0.2">
      <c r="B273" s="46" t="s">
        <v>339</v>
      </c>
    </row>
    <row r="274" spans="2:2" ht="15" x14ac:dyDescent="0.2">
      <c r="B274" s="46" t="s">
        <v>133</v>
      </c>
    </row>
    <row r="275" spans="2:2" ht="15" x14ac:dyDescent="0.2">
      <c r="B275" s="46" t="s">
        <v>341</v>
      </c>
    </row>
    <row r="276" spans="2:2" ht="15" x14ac:dyDescent="0.2">
      <c r="B276" s="46" t="s">
        <v>134</v>
      </c>
    </row>
    <row r="277" spans="2:2" ht="15" x14ac:dyDescent="0.2">
      <c r="B277" s="46" t="s">
        <v>386</v>
      </c>
    </row>
    <row r="278" spans="2:2" ht="15" x14ac:dyDescent="0.2">
      <c r="B278" s="46" t="s">
        <v>387</v>
      </c>
    </row>
    <row r="279" spans="2:2" ht="15" x14ac:dyDescent="0.2">
      <c r="B279" s="46" t="s">
        <v>388</v>
      </c>
    </row>
    <row r="280" spans="2:2" ht="15" x14ac:dyDescent="0.2">
      <c r="B280" s="46" t="s">
        <v>138</v>
      </c>
    </row>
    <row r="281" spans="2:2" ht="15" x14ac:dyDescent="0.2">
      <c r="B281" s="46" t="s">
        <v>135</v>
      </c>
    </row>
    <row r="282" spans="2:2" ht="15" x14ac:dyDescent="0.2">
      <c r="B282" s="46" t="s">
        <v>136</v>
      </c>
    </row>
    <row r="283" spans="2:2" ht="15" x14ac:dyDescent="0.2">
      <c r="B283" s="46" t="s">
        <v>137</v>
      </c>
    </row>
    <row r="284" spans="2:2" ht="15" x14ac:dyDescent="0.2">
      <c r="B284" s="46" t="s">
        <v>389</v>
      </c>
    </row>
    <row r="285" spans="2:2" ht="15" x14ac:dyDescent="0.2">
      <c r="B285" s="46" t="s">
        <v>390</v>
      </c>
    </row>
    <row r="286" spans="2:2" ht="15" x14ac:dyDescent="0.2">
      <c r="B286" s="46" t="s">
        <v>391</v>
      </c>
    </row>
    <row r="287" spans="2:2" ht="15" x14ac:dyDescent="0.2">
      <c r="B287" s="46" t="s">
        <v>392</v>
      </c>
    </row>
    <row r="288" spans="2:2" ht="15" x14ac:dyDescent="0.2">
      <c r="B288" s="46" t="s">
        <v>393</v>
      </c>
    </row>
    <row r="289" spans="2:2" ht="15" x14ac:dyDescent="0.2">
      <c r="B289" s="46" t="s">
        <v>394</v>
      </c>
    </row>
    <row r="290" spans="2:2" ht="15" x14ac:dyDescent="0.2">
      <c r="B290" s="46" t="s">
        <v>395</v>
      </c>
    </row>
    <row r="291" spans="2:2" ht="15" x14ac:dyDescent="0.2">
      <c r="B291" s="46" t="s">
        <v>396</v>
      </c>
    </row>
    <row r="292" spans="2:2" ht="15" x14ac:dyDescent="0.2">
      <c r="B292" s="46" t="s">
        <v>397</v>
      </c>
    </row>
    <row r="293" spans="2:2" ht="15" x14ac:dyDescent="0.2">
      <c r="B293" s="46" t="s">
        <v>398</v>
      </c>
    </row>
    <row r="294" spans="2:2" ht="15" x14ac:dyDescent="0.2">
      <c r="B294" s="46" t="s">
        <v>399</v>
      </c>
    </row>
    <row r="295" spans="2:2" ht="15" x14ac:dyDescent="0.2">
      <c r="B295" s="46" t="s">
        <v>400</v>
      </c>
    </row>
    <row r="296" spans="2:2" ht="15" x14ac:dyDescent="0.2">
      <c r="B296" s="46" t="s">
        <v>401</v>
      </c>
    </row>
    <row r="297" spans="2:2" ht="15" x14ac:dyDescent="0.2">
      <c r="B297" s="46" t="s">
        <v>402</v>
      </c>
    </row>
    <row r="298" spans="2:2" ht="15" x14ac:dyDescent="0.2">
      <c r="B298" s="46" t="s">
        <v>403</v>
      </c>
    </row>
    <row r="299" spans="2:2" ht="15" x14ac:dyDescent="0.2">
      <c r="B299" s="46" t="s">
        <v>404</v>
      </c>
    </row>
    <row r="300" spans="2:2" ht="15" x14ac:dyDescent="0.2">
      <c r="B300" s="46" t="s">
        <v>405</v>
      </c>
    </row>
    <row r="301" spans="2:2" ht="15" x14ac:dyDescent="0.2">
      <c r="B301" s="46" t="s">
        <v>406</v>
      </c>
    </row>
    <row r="302" spans="2:2" ht="15" x14ac:dyDescent="0.2">
      <c r="B302" s="46" t="s">
        <v>407</v>
      </c>
    </row>
    <row r="303" spans="2:2" ht="15" x14ac:dyDescent="0.2">
      <c r="B303" s="46" t="s">
        <v>408</v>
      </c>
    </row>
    <row r="304" spans="2:2" ht="15" x14ac:dyDescent="0.2">
      <c r="B304" s="46" t="s">
        <v>409</v>
      </c>
    </row>
    <row r="305" spans="2:2" ht="15" x14ac:dyDescent="0.2">
      <c r="B305" s="46" t="s">
        <v>410</v>
      </c>
    </row>
    <row r="306" spans="2:2" ht="15" x14ac:dyDescent="0.2">
      <c r="B306" s="46" t="s">
        <v>409</v>
      </c>
    </row>
    <row r="307" spans="2:2" ht="15.75" thickBot="1" x14ac:dyDescent="0.25">
      <c r="B307" s="47" t="s">
        <v>411</v>
      </c>
    </row>
    <row r="308" spans="2:2" ht="13.5" thickBot="1" x14ac:dyDescent="0.25"/>
    <row r="309" spans="2:2" ht="15.75" x14ac:dyDescent="0.25">
      <c r="B309" s="45" t="s">
        <v>320</v>
      </c>
    </row>
    <row r="310" spans="2:2" ht="15" x14ac:dyDescent="0.2">
      <c r="B310" s="46" t="s">
        <v>56</v>
      </c>
    </row>
    <row r="311" spans="2:2" ht="15.75" thickBot="1" x14ac:dyDescent="0.25">
      <c r="B311" s="47" t="s">
        <v>58</v>
      </c>
    </row>
    <row r="312" spans="2:2" ht="13.5" thickBot="1" x14ac:dyDescent="0.25"/>
    <row r="313" spans="2:2" ht="15.75" x14ac:dyDescent="0.25">
      <c r="B313" s="48" t="s">
        <v>139</v>
      </c>
    </row>
    <row r="314" spans="2:2" ht="15" x14ac:dyDescent="0.2">
      <c r="B314" s="42" t="s">
        <v>338</v>
      </c>
    </row>
    <row r="315" spans="2:2" ht="15" x14ac:dyDescent="0.2">
      <c r="B315" s="46" t="s">
        <v>340</v>
      </c>
    </row>
    <row r="316" spans="2:2" ht="13.5" thickBot="1" x14ac:dyDescent="0.25"/>
    <row r="317" spans="2:2" ht="15.75" x14ac:dyDescent="0.25">
      <c r="B317" s="48" t="s">
        <v>69</v>
      </c>
    </row>
    <row r="318" spans="2:2" ht="15" x14ac:dyDescent="0.2">
      <c r="B318" s="42" t="s">
        <v>140</v>
      </c>
    </row>
    <row r="319" spans="2:2" ht="15.75" thickBot="1" x14ac:dyDescent="0.25">
      <c r="B319" s="47" t="s">
        <v>69</v>
      </c>
    </row>
    <row r="320" spans="2:2" ht="13.5" thickBot="1" x14ac:dyDescent="0.25"/>
    <row r="321" spans="2:3" ht="15.75" x14ac:dyDescent="0.25">
      <c r="B321" s="48" t="s">
        <v>141</v>
      </c>
    </row>
    <row r="322" spans="2:3" ht="15" x14ac:dyDescent="0.2">
      <c r="B322" s="42" t="s">
        <v>55</v>
      </c>
    </row>
    <row r="323" spans="2:3" ht="15" x14ac:dyDescent="0.2">
      <c r="B323" s="46" t="s">
        <v>537</v>
      </c>
    </row>
    <row r="324" spans="2:3" ht="15" x14ac:dyDescent="0.2">
      <c r="B324" s="46" t="s">
        <v>57</v>
      </c>
    </row>
    <row r="325" spans="2:3" ht="15" x14ac:dyDescent="0.2">
      <c r="B325" s="250" t="s">
        <v>59</v>
      </c>
    </row>
    <row r="326" spans="2:3" ht="15" x14ac:dyDescent="0.2">
      <c r="B326" s="250" t="s">
        <v>412</v>
      </c>
    </row>
    <row r="327" spans="2:3" ht="15" x14ac:dyDescent="0.2">
      <c r="B327" s="250" t="s">
        <v>413</v>
      </c>
    </row>
    <row r="328" spans="2:3" ht="15.75" thickBot="1" x14ac:dyDescent="0.25">
      <c r="B328" s="47" t="s">
        <v>414</v>
      </c>
    </row>
    <row r="329" spans="2:3" ht="13.5" thickBot="1" x14ac:dyDescent="0.25"/>
    <row r="330" spans="2:3" ht="15.75" x14ac:dyDescent="0.25">
      <c r="B330" s="45" t="s">
        <v>142</v>
      </c>
    </row>
    <row r="331" spans="2:3" ht="15" x14ac:dyDescent="0.2">
      <c r="B331" s="46" t="s">
        <v>143</v>
      </c>
    </row>
    <row r="332" spans="2:3" ht="15" x14ac:dyDescent="0.2">
      <c r="B332" s="46" t="s">
        <v>343</v>
      </c>
    </row>
    <row r="333" spans="2:3" ht="15" x14ac:dyDescent="0.2">
      <c r="B333" s="46" t="s">
        <v>61</v>
      </c>
    </row>
    <row r="334" spans="2:3" ht="15.75" thickBot="1" x14ac:dyDescent="0.25">
      <c r="B334" s="47" t="s">
        <v>221</v>
      </c>
      <c r="C334" s="251"/>
    </row>
    <row r="335" spans="2:3" ht="13.5" thickBot="1" x14ac:dyDescent="0.25"/>
    <row r="336" spans="2:3" ht="15.75" x14ac:dyDescent="0.25">
      <c r="B336" s="45" t="s">
        <v>144</v>
      </c>
    </row>
    <row r="337" spans="2:2" ht="15" x14ac:dyDescent="0.2">
      <c r="B337" s="46" t="s">
        <v>145</v>
      </c>
    </row>
    <row r="338" spans="2:2" ht="15" x14ac:dyDescent="0.2">
      <c r="B338" s="46" t="s">
        <v>336</v>
      </c>
    </row>
    <row r="339" spans="2:2" ht="15" x14ac:dyDescent="0.2">
      <c r="B339" s="46" t="s">
        <v>71</v>
      </c>
    </row>
    <row r="340" spans="2:2" ht="15" x14ac:dyDescent="0.2">
      <c r="B340" s="46" t="s">
        <v>169</v>
      </c>
    </row>
    <row r="341" spans="2:2" ht="15" x14ac:dyDescent="0.2">
      <c r="B341" s="46" t="s">
        <v>241</v>
      </c>
    </row>
    <row r="342" spans="2:2" ht="15" x14ac:dyDescent="0.2">
      <c r="B342" s="46" t="s">
        <v>1342</v>
      </c>
    </row>
    <row r="343" spans="2:2" ht="15" x14ac:dyDescent="0.2">
      <c r="B343" s="46" t="s">
        <v>146</v>
      </c>
    </row>
    <row r="344" spans="2:2" ht="15" x14ac:dyDescent="0.2">
      <c r="B344" s="46" t="s">
        <v>147</v>
      </c>
    </row>
    <row r="345" spans="2:2" ht="15" x14ac:dyDescent="0.2">
      <c r="B345" s="62" t="s">
        <v>171</v>
      </c>
    </row>
    <row r="346" spans="2:2" ht="15" x14ac:dyDescent="0.2">
      <c r="B346" s="46" t="s">
        <v>148</v>
      </c>
    </row>
    <row r="347" spans="2:2" ht="15" x14ac:dyDescent="0.2">
      <c r="B347" s="46" t="s">
        <v>149</v>
      </c>
    </row>
    <row r="348" spans="2:2" ht="15" x14ac:dyDescent="0.2">
      <c r="B348" s="46" t="s">
        <v>1042</v>
      </c>
    </row>
    <row r="349" spans="2:2" ht="15" x14ac:dyDescent="0.2">
      <c r="B349" s="46" t="s">
        <v>150</v>
      </c>
    </row>
    <row r="350" spans="2:2" ht="15" x14ac:dyDescent="0.2">
      <c r="B350" s="46" t="s">
        <v>151</v>
      </c>
    </row>
    <row r="351" spans="2:2" ht="15" x14ac:dyDescent="0.2">
      <c r="B351" s="46" t="s">
        <v>60</v>
      </c>
    </row>
    <row r="352" spans="2:2" ht="15" x14ac:dyDescent="0.2">
      <c r="B352" s="46" t="s">
        <v>1041</v>
      </c>
    </row>
    <row r="353" spans="2:2" ht="15" x14ac:dyDescent="0.2">
      <c r="B353" s="46" t="s">
        <v>1043</v>
      </c>
    </row>
    <row r="354" spans="2:2" ht="15" x14ac:dyDescent="0.2">
      <c r="B354" s="46" t="s">
        <v>152</v>
      </c>
    </row>
    <row r="355" spans="2:2" ht="15" x14ac:dyDescent="0.2">
      <c r="B355" s="46" t="s">
        <v>153</v>
      </c>
    </row>
    <row r="356" spans="2:2" ht="15" x14ac:dyDescent="0.2">
      <c r="B356" s="250" t="s">
        <v>154</v>
      </c>
    </row>
    <row r="357" spans="2:2" ht="15.75" thickBot="1" x14ac:dyDescent="0.25">
      <c r="B357" s="295">
        <v>53</v>
      </c>
    </row>
    <row r="358" spans="2:2" ht="13.5" thickBot="1" x14ac:dyDescent="0.25"/>
    <row r="359" spans="2:2" ht="15.75" x14ac:dyDescent="0.25">
      <c r="B359" s="63" t="s">
        <v>161</v>
      </c>
    </row>
    <row r="360" spans="2:2" x14ac:dyDescent="0.2">
      <c r="B360" s="39"/>
    </row>
    <row r="361" spans="2:2" ht="15" x14ac:dyDescent="0.2">
      <c r="B361" s="62" t="s">
        <v>162</v>
      </c>
    </row>
    <row r="362" spans="2:2" ht="15.75" thickBot="1" x14ac:dyDescent="0.25">
      <c r="B362" s="64" t="s">
        <v>163</v>
      </c>
    </row>
    <row r="363" spans="2:2" ht="13.5" thickBot="1" x14ac:dyDescent="0.25"/>
    <row r="364" spans="2:2" ht="15.75" x14ac:dyDescent="0.25">
      <c r="B364" s="252" t="s">
        <v>415</v>
      </c>
    </row>
    <row r="365" spans="2:2" ht="15" x14ac:dyDescent="0.2">
      <c r="B365" s="253"/>
    </row>
    <row r="366" spans="2:2" ht="15.75" thickBot="1" x14ac:dyDescent="0.25">
      <c r="B366" s="254" t="s">
        <v>416</v>
      </c>
    </row>
    <row r="368" spans="2:2" ht="13.5" thickBot="1" x14ac:dyDescent="0.25"/>
    <row r="369" spans="2:2" ht="15.75" x14ac:dyDescent="0.25">
      <c r="B369" s="45" t="s">
        <v>454</v>
      </c>
    </row>
    <row r="370" spans="2:2" ht="15" x14ac:dyDescent="0.2">
      <c r="B370" s="46" t="s">
        <v>51</v>
      </c>
    </row>
    <row r="371" spans="2:2" ht="15.75" thickBot="1" x14ac:dyDescent="0.25">
      <c r="B371" s="47" t="s">
        <v>53</v>
      </c>
    </row>
    <row r="373" spans="2:2" ht="13.5" thickBot="1" x14ac:dyDescent="0.25"/>
    <row r="374" spans="2:2" ht="15.75" x14ac:dyDescent="0.25">
      <c r="B374" s="45" t="s">
        <v>458</v>
      </c>
    </row>
    <row r="375" spans="2:2" ht="15" x14ac:dyDescent="0.2">
      <c r="B375" s="46" t="s">
        <v>145</v>
      </c>
    </row>
    <row r="376" spans="2:2" ht="15" x14ac:dyDescent="0.2">
      <c r="B376" s="46" t="s">
        <v>71</v>
      </c>
    </row>
    <row r="377" spans="2:2" ht="15" x14ac:dyDescent="0.2">
      <c r="B377" s="46" t="s">
        <v>169</v>
      </c>
    </row>
    <row r="378" spans="2:2" ht="15" x14ac:dyDescent="0.2">
      <c r="B378" s="46" t="s">
        <v>170</v>
      </c>
    </row>
    <row r="379" spans="2:2" ht="15" x14ac:dyDescent="0.2">
      <c r="B379" s="46" t="s">
        <v>146</v>
      </c>
    </row>
    <row r="380" spans="2:2" ht="15" x14ac:dyDescent="0.2">
      <c r="B380" s="46" t="s">
        <v>147</v>
      </c>
    </row>
    <row r="381" spans="2:2" ht="15" x14ac:dyDescent="0.2">
      <c r="B381" s="62" t="s">
        <v>171</v>
      </c>
    </row>
    <row r="382" spans="2:2" ht="15" x14ac:dyDescent="0.2">
      <c r="B382" s="46" t="s">
        <v>148</v>
      </c>
    </row>
    <row r="383" spans="2:2" ht="15" x14ac:dyDescent="0.2">
      <c r="B383" s="46" t="s">
        <v>149</v>
      </c>
    </row>
    <row r="384" spans="2:2" ht="15" x14ac:dyDescent="0.2">
      <c r="B384" s="46" t="s">
        <v>342</v>
      </c>
    </row>
    <row r="385" spans="2:2" ht="15" x14ac:dyDescent="0.2">
      <c r="B385" s="46" t="s">
        <v>150</v>
      </c>
    </row>
    <row r="386" spans="2:2" ht="15" x14ac:dyDescent="0.2">
      <c r="B386" s="46" t="s">
        <v>151</v>
      </c>
    </row>
    <row r="387" spans="2:2" ht="15" x14ac:dyDescent="0.2">
      <c r="B387" s="46" t="s">
        <v>60</v>
      </c>
    </row>
    <row r="388" spans="2:2" ht="15" x14ac:dyDescent="0.2">
      <c r="B388" s="46" t="s">
        <v>152</v>
      </c>
    </row>
    <row r="389" spans="2:2" ht="15" x14ac:dyDescent="0.2">
      <c r="B389" s="46" t="s">
        <v>153</v>
      </c>
    </row>
    <row r="390" spans="2:2" ht="15.75" thickBot="1" x14ac:dyDescent="0.25">
      <c r="B390" s="47" t="s">
        <v>154</v>
      </c>
    </row>
    <row r="392" spans="2:2" ht="13.5" thickBot="1" x14ac:dyDescent="0.25"/>
    <row r="393" spans="2:2" ht="15.75" x14ac:dyDescent="0.25">
      <c r="B393" s="45" t="s">
        <v>352</v>
      </c>
    </row>
    <row r="394" spans="2:2" ht="15" x14ac:dyDescent="0.2">
      <c r="B394" s="46"/>
    </row>
    <row r="395" spans="2:2" ht="15" x14ac:dyDescent="0.2">
      <c r="B395" s="46" t="s">
        <v>412</v>
      </c>
    </row>
    <row r="396" spans="2:2" ht="15" x14ac:dyDescent="0.2">
      <c r="B396" s="46" t="s">
        <v>321</v>
      </c>
    </row>
    <row r="397" spans="2:2" ht="15" x14ac:dyDescent="0.2">
      <c r="B397" s="46" t="s">
        <v>322</v>
      </c>
    </row>
    <row r="398" spans="2:2" ht="15" x14ac:dyDescent="0.2">
      <c r="B398" s="46" t="s">
        <v>56</v>
      </c>
    </row>
    <row r="399" spans="2:2" ht="15" x14ac:dyDescent="0.2">
      <c r="B399" s="250" t="s">
        <v>323</v>
      </c>
    </row>
    <row r="400" spans="2:2" ht="15.75" thickBot="1" x14ac:dyDescent="0.25">
      <c r="B400" s="47" t="s">
        <v>58</v>
      </c>
    </row>
    <row r="402" spans="2:2" ht="13.5" thickBot="1" x14ac:dyDescent="0.25"/>
    <row r="403" spans="2:2" x14ac:dyDescent="0.2">
      <c r="B403" s="326" t="s">
        <v>422</v>
      </c>
    </row>
    <row r="404" spans="2:2" x14ac:dyDescent="0.2">
      <c r="B404" s="325" t="s">
        <v>321</v>
      </c>
    </row>
    <row r="405" spans="2:2" ht="13.5" thickBot="1" x14ac:dyDescent="0.25">
      <c r="B405" s="327" t="s">
        <v>322</v>
      </c>
    </row>
    <row r="407" spans="2:2" ht="13.5" thickBot="1" x14ac:dyDescent="0.25"/>
    <row r="408" spans="2:2" x14ac:dyDescent="0.2">
      <c r="B408" s="326" t="s">
        <v>423</v>
      </c>
    </row>
    <row r="409" spans="2:2" x14ac:dyDescent="0.2">
      <c r="B409" s="325" t="s">
        <v>424</v>
      </c>
    </row>
    <row r="410" spans="2:2" ht="13.5" thickBot="1" x14ac:dyDescent="0.25">
      <c r="B410" s="327" t="s">
        <v>425</v>
      </c>
    </row>
    <row r="412" spans="2:2" ht="13.5" thickBot="1" x14ac:dyDescent="0.25"/>
    <row r="413" spans="2:2" x14ac:dyDescent="0.2">
      <c r="B413" s="328" t="s">
        <v>5</v>
      </c>
    </row>
    <row r="414" spans="2:2" x14ac:dyDescent="0.2">
      <c r="B414" s="325" t="s">
        <v>6</v>
      </c>
    </row>
    <row r="415" spans="2:2" x14ac:dyDescent="0.2">
      <c r="B415" s="623" t="s">
        <v>991</v>
      </c>
    </row>
    <row r="416" spans="2:2" x14ac:dyDescent="0.2">
      <c r="B416" s="377" t="s">
        <v>7</v>
      </c>
    </row>
    <row r="417" spans="2:2" ht="13.5" thickBot="1" x14ac:dyDescent="0.25">
      <c r="B417" s="327" t="s">
        <v>535</v>
      </c>
    </row>
    <row r="419" spans="2:2" ht="13.5" thickBot="1" x14ac:dyDescent="0.25"/>
    <row r="420" spans="2:2" x14ac:dyDescent="0.2">
      <c r="B420" s="328" t="s">
        <v>992</v>
      </c>
    </row>
    <row r="421" spans="2:2" x14ac:dyDescent="0.2">
      <c r="B421" s="325" t="s">
        <v>6</v>
      </c>
    </row>
    <row r="422" spans="2:2" x14ac:dyDescent="0.2">
      <c r="B422" s="623" t="s">
        <v>989</v>
      </c>
    </row>
    <row r="423" spans="2:2" ht="13.5" thickBot="1" x14ac:dyDescent="0.25">
      <c r="B423" s="624" t="s">
        <v>990</v>
      </c>
    </row>
    <row r="424" spans="2:2" ht="13.5" thickBot="1" x14ac:dyDescent="0.25"/>
    <row r="425" spans="2:2" x14ac:dyDescent="0.2">
      <c r="B425" s="328" t="s">
        <v>993</v>
      </c>
    </row>
    <row r="426" spans="2:2" x14ac:dyDescent="0.2">
      <c r="B426" s="325" t="s">
        <v>6</v>
      </c>
    </row>
    <row r="427" spans="2:2" x14ac:dyDescent="0.2">
      <c r="B427" s="623" t="s">
        <v>8</v>
      </c>
    </row>
    <row r="429" spans="2:2" ht="13.5" thickBot="1" x14ac:dyDescent="0.25"/>
    <row r="430" spans="2:2" x14ac:dyDescent="0.2">
      <c r="B430" s="328" t="s">
        <v>428</v>
      </c>
    </row>
    <row r="431" spans="2:2" x14ac:dyDescent="0.2">
      <c r="B431" s="329" t="s">
        <v>429</v>
      </c>
    </row>
    <row r="432" spans="2:2" x14ac:dyDescent="0.2">
      <c r="B432" s="329" t="s">
        <v>57</v>
      </c>
    </row>
    <row r="433" spans="1:2" x14ac:dyDescent="0.2">
      <c r="B433" s="329" t="s">
        <v>147</v>
      </c>
    </row>
    <row r="434" spans="1:2" ht="13.5" thickBot="1" x14ac:dyDescent="0.25">
      <c r="B434" s="330" t="s">
        <v>71</v>
      </c>
    </row>
    <row r="436" spans="1:2" ht="13.5" thickBot="1" x14ac:dyDescent="0.25"/>
    <row r="437" spans="1:2" x14ac:dyDescent="0.2">
      <c r="B437" s="328" t="s">
        <v>430</v>
      </c>
    </row>
    <row r="438" spans="1:2" x14ac:dyDescent="0.2">
      <c r="B438" s="325"/>
    </row>
    <row r="439" spans="1:2" ht="13.5" thickBot="1" x14ac:dyDescent="0.25">
      <c r="B439" s="327" t="s">
        <v>431</v>
      </c>
    </row>
    <row r="441" spans="1:2" ht="13.5" thickBot="1" x14ac:dyDescent="0.25">
      <c r="A441" s="333"/>
    </row>
    <row r="442" spans="1:2" x14ac:dyDescent="0.2">
      <c r="A442" s="334"/>
      <c r="B442" s="335" t="s">
        <v>42</v>
      </c>
    </row>
    <row r="443" spans="1:2" x14ac:dyDescent="0.2">
      <c r="A443" s="334"/>
      <c r="B443" s="325" t="s">
        <v>642</v>
      </c>
    </row>
    <row r="444" spans="1:2" x14ac:dyDescent="0.2">
      <c r="A444" s="334"/>
      <c r="B444" s="325" t="s">
        <v>643</v>
      </c>
    </row>
    <row r="445" spans="1:2" x14ac:dyDescent="0.2">
      <c r="A445" s="334"/>
      <c r="B445" s="325" t="s">
        <v>644</v>
      </c>
    </row>
    <row r="446" spans="1:2" x14ac:dyDescent="0.2">
      <c r="A446" s="334"/>
      <c r="B446" s="325" t="s">
        <v>645</v>
      </c>
    </row>
    <row r="447" spans="1:2" x14ac:dyDescent="0.2">
      <c r="A447" s="334"/>
      <c r="B447" s="325" t="s">
        <v>646</v>
      </c>
    </row>
    <row r="448" spans="1:2" x14ac:dyDescent="0.2">
      <c r="A448" s="334"/>
      <c r="B448" s="325" t="s">
        <v>647</v>
      </c>
    </row>
    <row r="449" spans="1:2" x14ac:dyDescent="0.2">
      <c r="A449" s="334"/>
      <c r="B449" s="325" t="s">
        <v>648</v>
      </c>
    </row>
    <row r="450" spans="1:2" x14ac:dyDescent="0.2">
      <c r="A450" s="334"/>
      <c r="B450" s="325" t="s">
        <v>649</v>
      </c>
    </row>
    <row r="451" spans="1:2" x14ac:dyDescent="0.2">
      <c r="A451" s="334"/>
      <c r="B451" s="325" t="s">
        <v>650</v>
      </c>
    </row>
    <row r="452" spans="1:2" x14ac:dyDescent="0.2">
      <c r="A452" s="334"/>
      <c r="B452" s="325" t="s">
        <v>651</v>
      </c>
    </row>
    <row r="453" spans="1:2" x14ac:dyDescent="0.2">
      <c r="A453" s="334"/>
      <c r="B453" s="325" t="s">
        <v>652</v>
      </c>
    </row>
    <row r="454" spans="1:2" x14ac:dyDescent="0.2">
      <c r="A454" s="334"/>
      <c r="B454" s="325" t="s">
        <v>653</v>
      </c>
    </row>
    <row r="455" spans="1:2" x14ac:dyDescent="0.2">
      <c r="A455" s="334"/>
      <c r="B455" s="325" t="s">
        <v>654</v>
      </c>
    </row>
    <row r="456" spans="1:2" x14ac:dyDescent="0.2">
      <c r="A456" s="334"/>
      <c r="B456" s="325" t="s">
        <v>655</v>
      </c>
    </row>
    <row r="457" spans="1:2" x14ac:dyDescent="0.2">
      <c r="A457" s="334"/>
      <c r="B457" s="325" t="s">
        <v>656</v>
      </c>
    </row>
    <row r="458" spans="1:2" x14ac:dyDescent="0.2">
      <c r="A458" s="334"/>
      <c r="B458" s="325" t="s">
        <v>657</v>
      </c>
    </row>
    <row r="459" spans="1:2" x14ac:dyDescent="0.2">
      <c r="A459" s="334"/>
      <c r="B459" s="325" t="s">
        <v>658</v>
      </c>
    </row>
    <row r="460" spans="1:2" x14ac:dyDescent="0.2">
      <c r="A460" s="334"/>
      <c r="B460" s="325" t="s">
        <v>659</v>
      </c>
    </row>
    <row r="461" spans="1:2" x14ac:dyDescent="0.2">
      <c r="A461" s="334"/>
      <c r="B461" s="325" t="s">
        <v>660</v>
      </c>
    </row>
    <row r="462" spans="1:2" x14ac:dyDescent="0.2">
      <c r="A462" s="334"/>
      <c r="B462" s="325" t="s">
        <v>661</v>
      </c>
    </row>
    <row r="463" spans="1:2" x14ac:dyDescent="0.2">
      <c r="A463" s="334"/>
      <c r="B463" s="325" t="s">
        <v>662</v>
      </c>
    </row>
    <row r="464" spans="1:2" x14ac:dyDescent="0.2">
      <c r="A464" s="334"/>
      <c r="B464" s="325" t="s">
        <v>663</v>
      </c>
    </row>
    <row r="465" spans="1:2" x14ac:dyDescent="0.2">
      <c r="A465" s="334"/>
      <c r="B465" s="325" t="s">
        <v>664</v>
      </c>
    </row>
    <row r="466" spans="1:2" x14ac:dyDescent="0.2">
      <c r="A466" s="334"/>
      <c r="B466" s="325" t="s">
        <v>665</v>
      </c>
    </row>
    <row r="467" spans="1:2" x14ac:dyDescent="0.2">
      <c r="A467" s="334"/>
      <c r="B467" s="325" t="s">
        <v>666</v>
      </c>
    </row>
    <row r="468" spans="1:2" x14ac:dyDescent="0.2">
      <c r="A468" s="334"/>
      <c r="B468" s="325" t="s">
        <v>667</v>
      </c>
    </row>
    <row r="469" spans="1:2" x14ac:dyDescent="0.2">
      <c r="A469" s="334"/>
      <c r="B469" s="325" t="s">
        <v>668</v>
      </c>
    </row>
    <row r="470" spans="1:2" x14ac:dyDescent="0.2">
      <c r="A470" s="334"/>
      <c r="B470" s="325" t="s">
        <v>669</v>
      </c>
    </row>
    <row r="471" spans="1:2" x14ac:dyDescent="0.2">
      <c r="A471" s="334"/>
      <c r="B471" s="325" t="s">
        <v>670</v>
      </c>
    </row>
    <row r="472" spans="1:2" x14ac:dyDescent="0.2">
      <c r="A472" s="334"/>
      <c r="B472" s="325" t="s">
        <v>671</v>
      </c>
    </row>
    <row r="473" spans="1:2" x14ac:dyDescent="0.2">
      <c r="A473" s="334"/>
      <c r="B473" s="325" t="s">
        <v>672</v>
      </c>
    </row>
    <row r="474" spans="1:2" x14ac:dyDescent="0.2">
      <c r="A474" s="334"/>
      <c r="B474" s="325" t="s">
        <v>673</v>
      </c>
    </row>
    <row r="475" spans="1:2" x14ac:dyDescent="0.2">
      <c r="A475" s="334"/>
      <c r="B475" s="325" t="s">
        <v>674</v>
      </c>
    </row>
    <row r="476" spans="1:2" x14ac:dyDescent="0.2">
      <c r="A476" s="334"/>
      <c r="B476" s="325" t="s">
        <v>675</v>
      </c>
    </row>
    <row r="477" spans="1:2" x14ac:dyDescent="0.2">
      <c r="A477" s="334"/>
      <c r="B477" s="325" t="s">
        <v>676</v>
      </c>
    </row>
    <row r="478" spans="1:2" x14ac:dyDescent="0.2">
      <c r="A478" s="334"/>
      <c r="B478" s="325" t="s">
        <v>677</v>
      </c>
    </row>
    <row r="479" spans="1:2" x14ac:dyDescent="0.2">
      <c r="A479" s="334"/>
      <c r="B479" s="325" t="s">
        <v>678</v>
      </c>
    </row>
    <row r="480" spans="1:2" x14ac:dyDescent="0.2">
      <c r="A480" s="334"/>
      <c r="B480" s="325" t="s">
        <v>679</v>
      </c>
    </row>
    <row r="481" spans="1:2" x14ac:dyDescent="0.2">
      <c r="A481" s="334"/>
      <c r="B481" s="325" t="s">
        <v>680</v>
      </c>
    </row>
    <row r="482" spans="1:2" x14ac:dyDescent="0.2">
      <c r="A482" s="334"/>
      <c r="B482" s="325" t="s">
        <v>681</v>
      </c>
    </row>
    <row r="483" spans="1:2" x14ac:dyDescent="0.2">
      <c r="A483" s="334"/>
      <c r="B483" s="325" t="s">
        <v>682</v>
      </c>
    </row>
    <row r="484" spans="1:2" x14ac:dyDescent="0.2">
      <c r="A484" s="334"/>
      <c r="B484" s="325" t="s">
        <v>683</v>
      </c>
    </row>
    <row r="485" spans="1:2" x14ac:dyDescent="0.2">
      <c r="A485" s="334"/>
      <c r="B485" s="325" t="s">
        <v>684</v>
      </c>
    </row>
    <row r="486" spans="1:2" x14ac:dyDescent="0.2">
      <c r="A486" s="334"/>
      <c r="B486" s="325" t="s">
        <v>785</v>
      </c>
    </row>
    <row r="487" spans="1:2" x14ac:dyDescent="0.2">
      <c r="A487" s="334"/>
      <c r="B487" s="325" t="s">
        <v>685</v>
      </c>
    </row>
    <row r="488" spans="1:2" x14ac:dyDescent="0.2">
      <c r="A488" s="334"/>
      <c r="B488" s="325" t="s">
        <v>686</v>
      </c>
    </row>
    <row r="489" spans="1:2" x14ac:dyDescent="0.2">
      <c r="A489" s="334"/>
      <c r="B489" s="325" t="s">
        <v>687</v>
      </c>
    </row>
    <row r="490" spans="1:2" x14ac:dyDescent="0.2">
      <c r="A490" s="334"/>
      <c r="B490" s="325" t="s">
        <v>688</v>
      </c>
    </row>
    <row r="491" spans="1:2" x14ac:dyDescent="0.2">
      <c r="A491" s="334"/>
      <c r="B491" s="325" t="s">
        <v>689</v>
      </c>
    </row>
    <row r="492" spans="1:2" x14ac:dyDescent="0.2">
      <c r="A492" s="334"/>
      <c r="B492" s="325" t="s">
        <v>690</v>
      </c>
    </row>
    <row r="493" spans="1:2" x14ac:dyDescent="0.2">
      <c r="A493" s="334"/>
      <c r="B493" s="325" t="s">
        <v>691</v>
      </c>
    </row>
    <row r="494" spans="1:2" x14ac:dyDescent="0.2">
      <c r="A494" s="334"/>
      <c r="B494" s="325" t="s">
        <v>692</v>
      </c>
    </row>
    <row r="495" spans="1:2" x14ac:dyDescent="0.2">
      <c r="A495" s="334"/>
      <c r="B495" s="325" t="s">
        <v>693</v>
      </c>
    </row>
    <row r="496" spans="1:2" x14ac:dyDescent="0.2">
      <c r="A496" s="334"/>
      <c r="B496" s="325" t="s">
        <v>694</v>
      </c>
    </row>
    <row r="497" spans="1:2" x14ac:dyDescent="0.2">
      <c r="A497" s="334"/>
      <c r="B497" s="325" t="s">
        <v>695</v>
      </c>
    </row>
    <row r="498" spans="1:2" x14ac:dyDescent="0.2">
      <c r="A498" s="334"/>
      <c r="B498" s="325" t="s">
        <v>696</v>
      </c>
    </row>
    <row r="499" spans="1:2" x14ac:dyDescent="0.2">
      <c r="A499" s="334"/>
      <c r="B499" s="325" t="s">
        <v>697</v>
      </c>
    </row>
    <row r="500" spans="1:2" x14ac:dyDescent="0.2">
      <c r="A500" s="334"/>
      <c r="B500" s="325" t="s">
        <v>698</v>
      </c>
    </row>
    <row r="501" spans="1:2" x14ac:dyDescent="0.2">
      <c r="A501" s="334"/>
      <c r="B501" s="325" t="s">
        <v>699</v>
      </c>
    </row>
    <row r="502" spans="1:2" x14ac:dyDescent="0.2">
      <c r="A502" s="334"/>
      <c r="B502" s="325" t="s">
        <v>700</v>
      </c>
    </row>
    <row r="503" spans="1:2" x14ac:dyDescent="0.2">
      <c r="A503" s="334"/>
      <c r="B503" s="325" t="s">
        <v>701</v>
      </c>
    </row>
    <row r="504" spans="1:2" x14ac:dyDescent="0.2">
      <c r="A504" s="334"/>
      <c r="B504" s="325" t="s">
        <v>702</v>
      </c>
    </row>
    <row r="505" spans="1:2" x14ac:dyDescent="0.2">
      <c r="A505" s="334"/>
      <c r="B505" s="325" t="s">
        <v>703</v>
      </c>
    </row>
    <row r="506" spans="1:2" x14ac:dyDescent="0.2">
      <c r="A506" s="334"/>
      <c r="B506" s="325" t="s">
        <v>704</v>
      </c>
    </row>
    <row r="507" spans="1:2" x14ac:dyDescent="0.2">
      <c r="A507" s="334"/>
      <c r="B507" s="325" t="s">
        <v>705</v>
      </c>
    </row>
    <row r="508" spans="1:2" x14ac:dyDescent="0.2">
      <c r="A508" s="334"/>
      <c r="B508" s="325" t="s">
        <v>706</v>
      </c>
    </row>
    <row r="509" spans="1:2" x14ac:dyDescent="0.2">
      <c r="A509" s="334"/>
      <c r="B509" s="325" t="s">
        <v>707</v>
      </c>
    </row>
    <row r="510" spans="1:2" x14ac:dyDescent="0.2">
      <c r="A510" s="334"/>
      <c r="B510" s="325" t="s">
        <v>708</v>
      </c>
    </row>
    <row r="511" spans="1:2" x14ac:dyDescent="0.2">
      <c r="A511" s="334"/>
      <c r="B511" s="325" t="s">
        <v>709</v>
      </c>
    </row>
    <row r="512" spans="1:2" x14ac:dyDescent="0.2">
      <c r="A512" s="334"/>
      <c r="B512" s="325" t="s">
        <v>710</v>
      </c>
    </row>
    <row r="513" spans="1:2" x14ac:dyDescent="0.2">
      <c r="A513" s="334"/>
      <c r="B513" s="325" t="s">
        <v>711</v>
      </c>
    </row>
    <row r="514" spans="1:2" x14ac:dyDescent="0.2">
      <c r="A514" s="334"/>
      <c r="B514" s="325" t="s">
        <v>712</v>
      </c>
    </row>
    <row r="515" spans="1:2" x14ac:dyDescent="0.2">
      <c r="A515" s="334"/>
      <c r="B515" s="325" t="s">
        <v>713</v>
      </c>
    </row>
    <row r="516" spans="1:2" x14ac:dyDescent="0.2">
      <c r="A516" s="334"/>
      <c r="B516" s="325" t="s">
        <v>714</v>
      </c>
    </row>
    <row r="517" spans="1:2" x14ac:dyDescent="0.2">
      <c r="A517" s="334"/>
      <c r="B517" s="325" t="s">
        <v>715</v>
      </c>
    </row>
    <row r="518" spans="1:2" x14ac:dyDescent="0.2">
      <c r="A518" s="334"/>
      <c r="B518" s="325" t="s">
        <v>782</v>
      </c>
    </row>
    <row r="519" spans="1:2" x14ac:dyDescent="0.2">
      <c r="A519" s="334"/>
      <c r="B519" s="325" t="s">
        <v>716</v>
      </c>
    </row>
    <row r="520" spans="1:2" x14ac:dyDescent="0.2">
      <c r="A520" s="334"/>
      <c r="B520" s="325" t="s">
        <v>717</v>
      </c>
    </row>
    <row r="521" spans="1:2" x14ac:dyDescent="0.2">
      <c r="A521" s="334"/>
      <c r="B521" s="325" t="s">
        <v>718</v>
      </c>
    </row>
    <row r="522" spans="1:2" x14ac:dyDescent="0.2">
      <c r="A522" s="334"/>
      <c r="B522" s="325" t="s">
        <v>719</v>
      </c>
    </row>
    <row r="523" spans="1:2" x14ac:dyDescent="0.2">
      <c r="A523" s="334"/>
      <c r="B523" s="325" t="s">
        <v>720</v>
      </c>
    </row>
    <row r="524" spans="1:2" x14ac:dyDescent="0.2">
      <c r="A524" s="334"/>
      <c r="B524" s="325" t="s">
        <v>721</v>
      </c>
    </row>
    <row r="525" spans="1:2" x14ac:dyDescent="0.2">
      <c r="A525" s="334"/>
      <c r="B525" s="325" t="s">
        <v>722</v>
      </c>
    </row>
    <row r="526" spans="1:2" x14ac:dyDescent="0.2">
      <c r="A526" s="334"/>
      <c r="B526" s="325" t="s">
        <v>723</v>
      </c>
    </row>
    <row r="527" spans="1:2" x14ac:dyDescent="0.2">
      <c r="A527" s="334"/>
      <c r="B527" s="325" t="s">
        <v>724</v>
      </c>
    </row>
    <row r="528" spans="1:2" x14ac:dyDescent="0.2">
      <c r="A528" s="334"/>
      <c r="B528" s="325" t="s">
        <v>788</v>
      </c>
    </row>
    <row r="529" spans="1:2" x14ac:dyDescent="0.2">
      <c r="A529" s="334"/>
      <c r="B529" s="325" t="s">
        <v>725</v>
      </c>
    </row>
    <row r="530" spans="1:2" x14ac:dyDescent="0.2">
      <c r="A530" s="334"/>
      <c r="B530" s="325" t="s">
        <v>726</v>
      </c>
    </row>
    <row r="531" spans="1:2" x14ac:dyDescent="0.2">
      <c r="A531" s="334"/>
      <c r="B531" s="325" t="s">
        <v>727</v>
      </c>
    </row>
    <row r="532" spans="1:2" x14ac:dyDescent="0.2">
      <c r="A532" s="334"/>
      <c r="B532" s="325" t="s">
        <v>728</v>
      </c>
    </row>
    <row r="533" spans="1:2" x14ac:dyDescent="0.2">
      <c r="A533" s="334"/>
      <c r="B533" s="325" t="s">
        <v>729</v>
      </c>
    </row>
    <row r="534" spans="1:2" x14ac:dyDescent="0.2">
      <c r="A534" s="334"/>
      <c r="B534" s="325" t="s">
        <v>730</v>
      </c>
    </row>
    <row r="535" spans="1:2" x14ac:dyDescent="0.2">
      <c r="A535" s="334"/>
      <c r="B535" s="325" t="s">
        <v>731</v>
      </c>
    </row>
    <row r="536" spans="1:2" x14ac:dyDescent="0.2">
      <c r="A536" s="334"/>
      <c r="B536" s="325" t="s">
        <v>732</v>
      </c>
    </row>
    <row r="537" spans="1:2" x14ac:dyDescent="0.2">
      <c r="A537" s="334"/>
      <c r="B537" s="325" t="s">
        <v>733</v>
      </c>
    </row>
    <row r="538" spans="1:2" x14ac:dyDescent="0.2">
      <c r="A538" s="334"/>
      <c r="B538" s="325" t="s">
        <v>734</v>
      </c>
    </row>
    <row r="539" spans="1:2" x14ac:dyDescent="0.2">
      <c r="A539" s="334"/>
      <c r="B539" s="325" t="s">
        <v>735</v>
      </c>
    </row>
    <row r="540" spans="1:2" x14ac:dyDescent="0.2">
      <c r="A540" s="334"/>
      <c r="B540" s="325" t="s">
        <v>736</v>
      </c>
    </row>
    <row r="541" spans="1:2" x14ac:dyDescent="0.2">
      <c r="A541" s="334"/>
      <c r="B541" s="325" t="s">
        <v>781</v>
      </c>
    </row>
    <row r="542" spans="1:2" x14ac:dyDescent="0.2">
      <c r="A542" s="334"/>
      <c r="B542" s="325" t="s">
        <v>783</v>
      </c>
    </row>
    <row r="543" spans="1:2" x14ac:dyDescent="0.2">
      <c r="A543" s="334"/>
      <c r="B543" s="325" t="s">
        <v>737</v>
      </c>
    </row>
    <row r="544" spans="1:2" x14ac:dyDescent="0.2">
      <c r="A544" s="334"/>
      <c r="B544" s="325" t="s">
        <v>749</v>
      </c>
    </row>
    <row r="545" spans="1:2" x14ac:dyDescent="0.2">
      <c r="A545" s="334"/>
      <c r="B545" s="325" t="s">
        <v>750</v>
      </c>
    </row>
    <row r="546" spans="1:2" x14ac:dyDescent="0.2">
      <c r="A546" s="334"/>
      <c r="B546" s="325" t="s">
        <v>751</v>
      </c>
    </row>
    <row r="547" spans="1:2" x14ac:dyDescent="0.2">
      <c r="A547" s="334"/>
      <c r="B547" s="325" t="s">
        <v>786</v>
      </c>
    </row>
    <row r="548" spans="1:2" x14ac:dyDescent="0.2">
      <c r="A548" s="334"/>
      <c r="B548" s="325" t="s">
        <v>752</v>
      </c>
    </row>
    <row r="549" spans="1:2" x14ac:dyDescent="0.2">
      <c r="A549" s="334"/>
      <c r="B549" s="325" t="s">
        <v>753</v>
      </c>
    </row>
    <row r="550" spans="1:2" x14ac:dyDescent="0.2">
      <c r="A550" s="334"/>
      <c r="B550" s="325" t="s">
        <v>754</v>
      </c>
    </row>
    <row r="551" spans="1:2" x14ac:dyDescent="0.2">
      <c r="A551" s="334"/>
      <c r="B551" s="325" t="s">
        <v>755</v>
      </c>
    </row>
    <row r="552" spans="1:2" x14ac:dyDescent="0.2">
      <c r="A552" s="334"/>
      <c r="B552" s="325" t="s">
        <v>787</v>
      </c>
    </row>
    <row r="553" spans="1:2" x14ac:dyDescent="0.2">
      <c r="A553" s="334"/>
      <c r="B553" s="325" t="s">
        <v>756</v>
      </c>
    </row>
    <row r="554" spans="1:2" x14ac:dyDescent="0.2">
      <c r="A554" s="334"/>
      <c r="B554" s="325" t="s">
        <v>757</v>
      </c>
    </row>
    <row r="555" spans="1:2" x14ac:dyDescent="0.2">
      <c r="A555" s="334"/>
      <c r="B555" s="325" t="s">
        <v>758</v>
      </c>
    </row>
    <row r="556" spans="1:2" x14ac:dyDescent="0.2">
      <c r="A556" s="334"/>
      <c r="B556" s="325" t="s">
        <v>759</v>
      </c>
    </row>
    <row r="557" spans="1:2" x14ac:dyDescent="0.2">
      <c r="A557" s="334"/>
      <c r="B557" s="325" t="s">
        <v>760</v>
      </c>
    </row>
    <row r="558" spans="1:2" x14ac:dyDescent="0.2">
      <c r="A558" s="334"/>
      <c r="B558" s="325" t="s">
        <v>761</v>
      </c>
    </row>
    <row r="559" spans="1:2" x14ac:dyDescent="0.2">
      <c r="A559" s="334"/>
      <c r="B559" s="325" t="s">
        <v>780</v>
      </c>
    </row>
    <row r="560" spans="1:2" x14ac:dyDescent="0.2">
      <c r="A560" s="334"/>
      <c r="B560" s="325" t="s">
        <v>762</v>
      </c>
    </row>
    <row r="561" spans="1:2" x14ac:dyDescent="0.2">
      <c r="A561" s="334"/>
      <c r="B561" s="325" t="s">
        <v>763</v>
      </c>
    </row>
    <row r="562" spans="1:2" x14ac:dyDescent="0.2">
      <c r="A562" s="334"/>
      <c r="B562" s="325" t="s">
        <v>764</v>
      </c>
    </row>
    <row r="563" spans="1:2" x14ac:dyDescent="0.2">
      <c r="A563" s="334"/>
      <c r="B563" s="325" t="s">
        <v>765</v>
      </c>
    </row>
    <row r="564" spans="1:2" x14ac:dyDescent="0.2">
      <c r="A564" s="334"/>
      <c r="B564" s="325" t="s">
        <v>766</v>
      </c>
    </row>
    <row r="565" spans="1:2" x14ac:dyDescent="0.2">
      <c r="A565" s="334"/>
      <c r="B565" s="325" t="s">
        <v>767</v>
      </c>
    </row>
    <row r="566" spans="1:2" x14ac:dyDescent="0.2">
      <c r="A566" s="334"/>
      <c r="B566" s="325" t="s">
        <v>768</v>
      </c>
    </row>
    <row r="567" spans="1:2" x14ac:dyDescent="0.2">
      <c r="A567" s="334"/>
      <c r="B567" s="325" t="s">
        <v>769</v>
      </c>
    </row>
    <row r="568" spans="1:2" x14ac:dyDescent="0.2">
      <c r="A568" s="334"/>
      <c r="B568" s="325" t="s">
        <v>784</v>
      </c>
    </row>
    <row r="569" spans="1:2" x14ac:dyDescent="0.2">
      <c r="A569" s="334"/>
      <c r="B569" s="325" t="s">
        <v>770</v>
      </c>
    </row>
    <row r="570" spans="1:2" x14ac:dyDescent="0.2">
      <c r="A570" s="334"/>
      <c r="B570" s="325" t="s">
        <v>771</v>
      </c>
    </row>
    <row r="571" spans="1:2" x14ac:dyDescent="0.2">
      <c r="A571" s="334"/>
      <c r="B571" s="325" t="s">
        <v>772</v>
      </c>
    </row>
    <row r="572" spans="1:2" x14ac:dyDescent="0.2">
      <c r="A572" s="334"/>
      <c r="B572" s="325" t="s">
        <v>773</v>
      </c>
    </row>
    <row r="573" spans="1:2" x14ac:dyDescent="0.2">
      <c r="A573" s="334"/>
      <c r="B573" s="325" t="s">
        <v>774</v>
      </c>
    </row>
    <row r="574" spans="1:2" x14ac:dyDescent="0.2">
      <c r="A574" s="334"/>
      <c r="B574" s="325" t="s">
        <v>775</v>
      </c>
    </row>
    <row r="575" spans="1:2" x14ac:dyDescent="0.2">
      <c r="A575" s="334"/>
      <c r="B575" s="325" t="s">
        <v>776</v>
      </c>
    </row>
    <row r="576" spans="1:2" x14ac:dyDescent="0.2">
      <c r="A576" s="334"/>
      <c r="B576" s="325" t="s">
        <v>777</v>
      </c>
    </row>
    <row r="577" spans="1:2" x14ac:dyDescent="0.2">
      <c r="A577" s="334"/>
      <c r="B577" s="325" t="s">
        <v>778</v>
      </c>
    </row>
    <row r="578" spans="1:2" ht="13.5" thickBot="1" x14ac:dyDescent="0.25">
      <c r="B578" s="327" t="s">
        <v>779</v>
      </c>
    </row>
  </sheetData>
  <sheetProtection formatCells="0" formatColumns="0" formatRows="0" insertColumns="0" insertRows="0" deleteColumns="0" deleteRows="0" sort="0" autoFilter="0"/>
  <sortState xmlns:xlrd2="http://schemas.microsoft.com/office/spreadsheetml/2017/richdata2" ref="H4:H192">
    <sortCondition ref="H3"/>
  </sortState>
  <mergeCells count="1">
    <mergeCell ref="A2:C2"/>
  </mergeCells>
  <phoneticPr fontId="11" type="noConversion"/>
  <pageMargins left="0.25" right="0.25" top="0.25" bottom="0.25" header="0.4921259845" footer="0.4921259845"/>
  <pageSetup paperSize="9" scale="63" orientation="portrait" r:id="rId1"/>
  <headerFooter alignWithMargins="0"/>
  <legacy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10"/>
  <dimension ref="A1:C1"/>
  <sheetViews>
    <sheetView workbookViewId="0">
      <selection activeCell="A2" sqref="A2"/>
    </sheetView>
  </sheetViews>
  <sheetFormatPr defaultRowHeight="12.75" x14ac:dyDescent="0.2"/>
  <cols>
    <col min="1" max="1" width="17.5703125" bestFit="1" customWidth="1"/>
    <col min="3" max="3" width="20.7109375" customWidth="1"/>
  </cols>
  <sheetData>
    <row r="1" spans="1:3" ht="40.5" customHeight="1" thickBot="1" x14ac:dyDescent="0.25">
      <c r="A1" s="1158" t="s">
        <v>986</v>
      </c>
      <c r="B1" s="1159"/>
      <c r="C1" s="1160"/>
    </row>
  </sheetData>
  <sheetProtection formatCells="0" formatColumns="0" formatRows="0" insertColumns="0" insertRows="0" deleteColumns="0" deleteRows="0" sort="0" autoFilter="0"/>
  <mergeCells count="1">
    <mergeCell ref="A1:C1"/>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Service Contract" ma:contentTypeID="0x010100C6A4C7CFE533404FB13F27B676F90DB4002FF9717D7369B1419AE9AEB7D3DD90E8" ma:contentTypeVersion="71" ma:contentTypeDescription="Service Contract - NON Exempt Commodities" ma:contentTypeScope="" ma:versionID="93099a2f94b83dfc5d72f911f4265535">
  <xsd:schema xmlns:xsd="http://www.w3.org/2001/XMLSchema" xmlns:xs="http://www.w3.org/2001/XMLSchema" xmlns:p="http://schemas.microsoft.com/office/2006/metadata/properties" xmlns:ns1="b121886f-e36a-4220-98b0-243cca56b8e2" xmlns:ns2="8a4fee11-60df-4c1a-bd7c-39e0c34242be" xmlns:ns3="http://schemas.microsoft.com/sharepoint/v3" xmlns:ns4="3b1d7f8f-9ee8-4681-8068-176d9bcb3f6a" targetNamespace="http://schemas.microsoft.com/office/2006/metadata/properties" ma:root="true" ma:fieldsID="4d4a873f3f8e8dfe16b0b33ca921ddd7" ns1:_="" ns2:_="" ns3:_="" ns4:_="">
    <xsd:import namespace="b121886f-e36a-4220-98b0-243cca56b8e2"/>
    <xsd:import namespace="8a4fee11-60df-4c1a-bd7c-39e0c34242be"/>
    <xsd:import namespace="http://schemas.microsoft.com/sharepoint/v3"/>
    <xsd:import namespace="3b1d7f8f-9ee8-4681-8068-176d9bcb3f6a"/>
    <xsd:element name="properties">
      <xsd:complexType>
        <xsd:sequence>
          <xsd:element name="documentManagement">
            <xsd:complexType>
              <xsd:all>
                <xsd:element ref="ns1:custtemp"/>
                <xsd:element ref="ns1:assignedTo" minOccurs="0"/>
                <xsd:element ref="ns1:contractstatus" minOccurs="0"/>
                <xsd:element ref="ns2:contractnum" minOccurs="0"/>
                <xsd:element ref="ns2:amdnum" minOccurs="0"/>
                <xsd:element ref="ns1:amdeffdate" minOccurs="0"/>
                <xsd:element ref="ns1:shippertype"/>
                <xsd:element ref="ns3:Company" minOccurs="0"/>
                <xsd:element ref="ns1:comcomments" minOccurs="0"/>
                <xsd:element ref="ns1:contexpires"/>
                <xsd:element ref="ns1:sigonfile" minOccurs="0"/>
                <xsd:element ref="ns1:exempt" minOccurs="0"/>
                <xsd:element ref="ns1:concomments" minOccurs="0"/>
                <xsd:element ref="ns1:UploadPriority" minOccurs="0"/>
                <xsd:element ref="ns1:uploadsts" minOccurs="0"/>
                <xsd:element ref="ns1:conversionstatus" minOccurs="0"/>
                <xsd:element ref="ns2:_dlc_DocIdUrl" minOccurs="0"/>
                <xsd:element ref="ns2:_dlc_DocIdPersistId" minOccurs="0"/>
                <xsd:element ref="ns2:_dlc_DocId" minOccurs="0"/>
                <xsd:element ref="ns1:Contract_x0020_Priority" minOccurs="0"/>
                <xsd:element ref="ns4:Amend_x0020_Ready"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121886f-e36a-4220-98b0-243cca56b8e2" elementFormDefault="qualified">
    <xsd:import namespace="http://schemas.microsoft.com/office/2006/documentManagement/types"/>
    <xsd:import namespace="http://schemas.microsoft.com/office/infopath/2007/PartnerControls"/>
    <xsd:element name="custtemp" ma:index="0" ma:displayName="Cust. Template" ma:format="Dropdown" ma:internalName="custtemp">
      <xsd:simpleType>
        <xsd:restriction base="dms:Choice">
          <xsd:enumeration value="No"/>
          <xsd:enumeration value="Yes"/>
        </xsd:restriction>
      </xsd:simpleType>
    </xsd:element>
    <xsd:element name="assignedTo" ma:index="1" nillable="true" ma:displayName="AssignedTo" ma:default="Commercial" ma:format="Dropdown" ma:internalName="assignedTo">
      <xsd:simpleType>
        <xsd:restriction base="dms:Choice">
          <xsd:enumeration value="Commercial"/>
          <xsd:enumeration value="Contracts"/>
          <xsd:enumeration value="Conversion"/>
          <xsd:enumeration value="Upload"/>
        </xsd:restriction>
      </xsd:simpleType>
    </xsd:element>
    <xsd:element name="contractstatus" ma:index="2" nillable="true" ma:displayName="Contract Status" ma:default="In Progress" ma:format="Dropdown" ma:internalName="contractstatus">
      <xsd:simpleType>
        <xsd:restriction base="dms:Choice">
          <xsd:enumeration value="In Progress"/>
          <xsd:enumeration value="Pending Sales"/>
          <xsd:enumeration value="Pending Trade"/>
          <xsd:enumeration value="Contract Compliance"/>
          <xsd:enumeration value="Review Problem"/>
          <xsd:enumeration value="Sent For Signature"/>
          <xsd:enumeration value="SFS-Reminder 1"/>
          <xsd:enumeration value="SFS-Reminder 2"/>
          <xsd:enumeration value="Signed/Sent"/>
          <xsd:enumeration value="Filed"/>
          <xsd:enumeration value="Staged"/>
        </xsd:restriction>
      </xsd:simpleType>
    </xsd:element>
    <xsd:element name="amdeffdate" ma:index="5" nillable="true" ma:displayName="Amd Eff Date" ma:format="DateOnly" ma:internalName="amdeffdate">
      <xsd:simpleType>
        <xsd:restriction base="dms:DateTime"/>
      </xsd:simpleType>
    </xsd:element>
    <xsd:element name="shippertype" ma:index="6" ma:displayName="Customer Type" ma:format="Dropdown" ma:internalName="shippertype">
      <xsd:simpleType>
        <xsd:restriction base="dms:Choice">
          <xsd:enumeration value="BCO"/>
          <xsd:enumeration value="NVO"/>
          <xsd:enumeration value="SA"/>
          <xsd:enumeration value="STRAT"/>
        </xsd:restriction>
      </xsd:simpleType>
    </xsd:element>
    <xsd:element name="comcomments" ma:index="9" nillable="true" ma:displayName="Commercial Comments" ma:internalName="comcomments">
      <xsd:simpleType>
        <xsd:restriction base="dms:Note">
          <xsd:maxLength value="255"/>
        </xsd:restriction>
      </xsd:simpleType>
    </xsd:element>
    <xsd:element name="contexpires" ma:index="10" ma:displayName="Contract Exp" ma:format="DateOnly" ma:internalName="contexpires">
      <xsd:simpleType>
        <xsd:restriction base="dms:DateTime"/>
      </xsd:simpleType>
    </xsd:element>
    <xsd:element name="sigonfile" ma:index="11" nillable="true" ma:displayName="Sig On File" ma:default="No" ma:format="Dropdown" ma:internalName="sigonfile" ma:readOnly="false">
      <xsd:simpleType>
        <xsd:restriction base="dms:Choice">
          <xsd:enumeration value="No"/>
          <xsd:enumeration value="Yes"/>
        </xsd:restriction>
      </xsd:simpleType>
    </xsd:element>
    <xsd:element name="exempt" ma:index="12" nillable="true" ma:displayName="Exempt Only" ma:default="No" ma:format="Dropdown" ma:internalName="exempt">
      <xsd:simpleType>
        <xsd:restriction base="dms:Choice">
          <xsd:enumeration value="No"/>
          <xsd:enumeration value="Yes-Sig Req"/>
          <xsd:enumeration value="Yes-Sig Not Req"/>
        </xsd:restriction>
      </xsd:simpleType>
    </xsd:element>
    <xsd:element name="concomments" ma:index="13" nillable="true" ma:displayName="Contracts Comments" ma:internalName="concomments">
      <xsd:simpleType>
        <xsd:restriction base="dms:Note">
          <xsd:maxLength value="255"/>
        </xsd:restriction>
      </xsd:simpleType>
    </xsd:element>
    <xsd:element name="UploadPriority" ma:index="14" nillable="true" ma:displayName="Upload Priority" ma:default="Normal" ma:format="Dropdown" ma:internalName="UploadPriority">
      <xsd:simpleType>
        <xsd:restriction base="dms:Choice">
          <xsd:enumeration value="Normal"/>
          <xsd:enumeration value="Urgent Upload"/>
        </xsd:restriction>
      </xsd:simpleType>
    </xsd:element>
    <xsd:element name="uploadsts" ma:index="15" nillable="true" ma:displayName="Upload Status" ma:default="Upload Queue" ma:format="Dropdown" ma:internalName="uploadsts">
      <xsd:simpleType>
        <xsd:restriction base="dms:Choice">
          <xsd:enumeration value="Upload Queue"/>
          <xsd:enumeration value="Upload Working"/>
          <xsd:enumeration value="Sent to Sunopsis"/>
          <xsd:enumeration value="Upload Issue/Delay"/>
          <xsd:enumeration value="Complete"/>
          <xsd:enumeration value="Complete/Modified"/>
          <xsd:enumeration value="Unlock VOID"/>
        </xsd:restriction>
      </xsd:simpleType>
    </xsd:element>
    <xsd:element name="conversionstatus" ma:index="16" nillable="true" ma:displayName="Conversion Status" ma:default="Not Started" ma:format="Dropdown" ma:internalName="conversionstatus">
      <xsd:simpleType>
        <xsd:restriction base="dms:Choice">
          <xsd:enumeration value="Not Started"/>
          <xsd:enumeration value="In Progress"/>
          <xsd:enumeration value="Issue Pending"/>
          <xsd:enumeration value="Complete"/>
        </xsd:restriction>
      </xsd:simpleType>
    </xsd:element>
    <xsd:element name="Contract_x0020_Priority" ma:index="28" nillable="true" ma:displayName="Contract Priority" ma:default="No" ma:format="Dropdown" ma:internalName="Contract_x0020_Priority">
      <xsd:simpleType>
        <xsd:restriction base="dms:Choice">
          <xsd:enumeration value="No"/>
          <xsd:enumeration value="Yes"/>
        </xsd:restriction>
      </xsd:simpleType>
    </xsd:element>
  </xsd:schema>
  <xsd:schema xmlns:xsd="http://www.w3.org/2001/XMLSchema" xmlns:xs="http://www.w3.org/2001/XMLSchema" xmlns:dms="http://schemas.microsoft.com/office/2006/documentManagement/types" xmlns:pc="http://schemas.microsoft.com/office/infopath/2007/PartnerControls" targetNamespace="8a4fee11-60df-4c1a-bd7c-39e0c34242be" elementFormDefault="qualified">
    <xsd:import namespace="http://schemas.microsoft.com/office/2006/documentManagement/types"/>
    <xsd:import namespace="http://schemas.microsoft.com/office/infopath/2007/PartnerControls"/>
    <xsd:element name="contractnum" ma:index="3" nillable="true" ma:displayName="Contract#" ma:indexed="true" ma:internalName="contractnum">
      <xsd:simpleType>
        <xsd:restriction base="dms:Text">
          <xsd:maxLength value="8"/>
        </xsd:restriction>
      </xsd:simpleType>
    </xsd:element>
    <xsd:element name="amdnum" ma:index="4" nillable="true" ma:displayName="Amend#" ma:decimals="0" ma:internalName="amdnum" ma:readOnly="false" ma:percentage="FALSE">
      <xsd:simpleType>
        <xsd:restriction base="dms:Number"/>
      </xsd:simpleType>
    </xsd:element>
    <xsd:element name="_dlc_DocIdUrl" ma:index="17"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8" nillable="true" ma:displayName="Persist ID" ma:description="Keep ID on add." ma:hidden="true" ma:internalName="_dlc_DocIdPersistId" ma:readOnly="true">
      <xsd:simpleType>
        <xsd:restriction base="dms:Boolean"/>
      </xsd:simpleType>
    </xsd:element>
    <xsd:element name="_dlc_DocId" ma:index="27" nillable="true" ma:displayName="Document ID Value" ma:description="The value of the document ID assigned to this item." ma:indexed="true" ma:internalName="_dlc_DocId"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Company" ma:index="7" nillable="true" ma:displayName="Company" ma:internalName="Company">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3b1d7f8f-9ee8-4681-8068-176d9bcb3f6a" elementFormDefault="qualified">
    <xsd:import namespace="http://schemas.microsoft.com/office/2006/documentManagement/types"/>
    <xsd:import namespace="http://schemas.microsoft.com/office/infopath/2007/PartnerControls"/>
    <xsd:element name="Amend_x0020_Ready" ma:index="29" nillable="true" ma:displayName="Amend Ready" ma:default="Not Ready" ma:format="Dropdown" ma:internalName="Amend_x0020_Ready">
      <xsd:simpleType>
        <xsd:restriction base="dms:Choice">
          <xsd:enumeration value="Not Ready"/>
          <xsd:enumeration value="Go"/>
          <xsd:enumeration value="Sent"/>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25" ma:displayName="Content Type"/>
        <xsd:element ref="dc:title" minOccurs="0" maxOccurs="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spe:Receivers xmlns:spe="http://schemas.microsoft.com/sharepoint/events">
  <Receiver>
    <Name>Document ID Generator</Name>
    <Synchronization>Synchronous</Synchronization>
    <Type>10001</Type>
    <SequenceNumber>1000</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10002</Type>
    <SequenceNumber>1001</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10004</Type>
    <SequenceNumber>1002</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10006</Type>
    <SequenceNumber>1003</SequenceNumber>
    <Assembly>Microsoft.Office.DocumentManagement, Version=14.0.0.0, Culture=neutral, PublicKeyToken=71e9bce111e9429c</Assembly>
    <Class>Microsoft.Office.DocumentManagement.Internal.DocIdHandler</Class>
    <Data/>
    <Filter/>
  </Receiver>
</spe:Receiver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sigonfile xmlns="b121886f-e36a-4220-98b0-243cca56b8e2">No</sigonfile>
    <concomments xmlns="b121886f-e36a-4220-98b0-243cca56b8e2" xsi:nil="true"/>
    <amdnum xmlns="8a4fee11-60df-4c1a-bd7c-39e0c34242be" xsi:nil="true"/>
    <conversionstatus xmlns="b121886f-e36a-4220-98b0-243cca56b8e2">Not Started</conversionstatus>
    <Amend_x0020_Ready xmlns="3b1d7f8f-9ee8-4681-8068-176d9bcb3f6a">Not Ready</Amend_x0020_Ready>
    <shippertype xmlns="b121886f-e36a-4220-98b0-243cca56b8e2"/>
    <Company xmlns="http://schemas.microsoft.com/sharepoint/v3" xsi:nil="true"/>
    <comcomments xmlns="b121886f-e36a-4220-98b0-243cca56b8e2" xsi:nil="true"/>
    <contexpires xmlns="b121886f-e36a-4220-98b0-243cca56b8e2"/>
    <uploadsts xmlns="b121886f-e36a-4220-98b0-243cca56b8e2">Upload Queue</uploadsts>
    <exempt xmlns="b121886f-e36a-4220-98b0-243cca56b8e2">No</exempt>
    <custtemp xmlns="b121886f-e36a-4220-98b0-243cca56b8e2"/>
    <contractstatus xmlns="b121886f-e36a-4220-98b0-243cca56b8e2">In Progress</contractstatus>
    <assignedTo xmlns="b121886f-e36a-4220-98b0-243cca56b8e2">Commercial</assignedTo>
    <amdeffdate xmlns="b121886f-e36a-4220-98b0-243cca56b8e2" xsi:nil="true"/>
    <UploadPriority xmlns="b121886f-e36a-4220-98b0-243cca56b8e2">Normal</UploadPriority>
    <Contract_x0020_Priority xmlns="b121886f-e36a-4220-98b0-243cca56b8e2">No</Contract_x0020_Priority>
    <contractnum xmlns="8a4fee11-60df-4c1a-bd7c-39e0c34242be" xsi:nil="true"/>
  </documentManagement>
</p:properties>
</file>

<file path=customXml/itemProps1.xml><?xml version="1.0" encoding="utf-8"?>
<ds:datastoreItem xmlns:ds="http://schemas.openxmlformats.org/officeDocument/2006/customXml" ds:itemID="{9A3820D7-D281-4420-9C81-C4103EC7E1D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121886f-e36a-4220-98b0-243cca56b8e2"/>
    <ds:schemaRef ds:uri="8a4fee11-60df-4c1a-bd7c-39e0c34242be"/>
    <ds:schemaRef ds:uri="http://schemas.microsoft.com/sharepoint/v3"/>
    <ds:schemaRef ds:uri="3b1d7f8f-9ee8-4681-8068-176d9bcb3f6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C358AE9E-9573-4785-9522-898212B6F895}">
  <ds:schemaRefs>
    <ds:schemaRef ds:uri="http://schemas.microsoft.com/sharepoint/events"/>
  </ds:schemaRefs>
</ds:datastoreItem>
</file>

<file path=customXml/itemProps3.xml><?xml version="1.0" encoding="utf-8"?>
<ds:datastoreItem xmlns:ds="http://schemas.openxmlformats.org/officeDocument/2006/customXml" ds:itemID="{F6B31ABE-5ADA-41CC-BA9C-1D347784C6E3}">
  <ds:schemaRefs>
    <ds:schemaRef ds:uri="http://schemas.microsoft.com/sharepoint/v3/contenttype/forms"/>
  </ds:schemaRefs>
</ds:datastoreItem>
</file>

<file path=customXml/itemProps4.xml><?xml version="1.0" encoding="utf-8"?>
<ds:datastoreItem xmlns:ds="http://schemas.openxmlformats.org/officeDocument/2006/customXml" ds:itemID="{981421E1-3F1A-4967-BFA5-233BD9B425D8}">
  <ds:schemaRefs>
    <ds:schemaRef ds:uri="http://schemas.microsoft.com/office/2006/documentManagement/types"/>
    <ds:schemaRef ds:uri="http://purl.org/dc/terms/"/>
    <ds:schemaRef ds:uri="3b1d7f8f-9ee8-4681-8068-176d9bcb3f6a"/>
    <ds:schemaRef ds:uri="http://www.w3.org/XML/1998/namespace"/>
    <ds:schemaRef ds:uri="http://schemas.microsoft.com/office/2006/metadata/properties"/>
    <ds:schemaRef ds:uri="http://purl.org/dc/elements/1.1/"/>
    <ds:schemaRef ds:uri="http://schemas.microsoft.com/office/infopath/2007/PartnerControls"/>
    <ds:schemaRef ds:uri="8a4fee11-60df-4c1a-bd7c-39e0c34242be"/>
    <ds:schemaRef ds:uri="http://schemas.openxmlformats.org/package/2006/metadata/core-properties"/>
    <ds:schemaRef ds:uri="http://schemas.microsoft.com/sharepoint/v3"/>
    <ds:schemaRef ds:uri="b121886f-e36a-4220-98b0-243cca56b8e2"/>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34</vt:i4>
      </vt:variant>
      <vt:variant>
        <vt:lpstr>Named Ranges</vt:lpstr>
      </vt:variant>
      <vt:variant>
        <vt:i4>88</vt:i4>
      </vt:variant>
    </vt:vector>
  </HeadingPairs>
  <TitlesOfParts>
    <vt:vector size="122" baseType="lpstr">
      <vt:lpstr>Boiler Plate</vt:lpstr>
      <vt:lpstr>Cover</vt:lpstr>
      <vt:lpstr>MQC</vt:lpstr>
      <vt:lpstr>APPENDIX A-1 (USWC-ASIA)</vt:lpstr>
      <vt:lpstr>APPENDIX A-2 (USEC &amp; USGC-ASIA)</vt:lpstr>
      <vt:lpstr>APPENDIX B-1  (FE - USWC)</vt:lpstr>
      <vt:lpstr>APPENDIX B-2  (FE - USEC&amp;GC)</vt:lpstr>
      <vt:lpstr>APPENDIX C-1 (USA-MED)</vt:lpstr>
      <vt:lpstr>APPENDIX C-2 (USA-GULF&amp;RED SEA)</vt:lpstr>
      <vt:lpstr>APPENDIX C-3 (USWC-MEG &amp; MED)</vt:lpstr>
      <vt:lpstr>APPENDIX C-5 (USA-E &amp; W AFRICA)</vt:lpstr>
      <vt:lpstr>APPENDIX D-1 MED-US</vt:lpstr>
      <vt:lpstr>APPENDIX D-2 MED-USWC</vt:lpstr>
      <vt:lpstr>APPENDIX D-5 E &amp; W AFRICA-USA</vt:lpstr>
      <vt:lpstr>APPENDIX E-1 (USEC-ISC)</vt:lpstr>
      <vt:lpstr>APPENDIX E-2 (USWC-ISC)</vt:lpstr>
      <vt:lpstr>APPENDIX F-1 ISC-US</vt:lpstr>
      <vt:lpstr>APPENDIX F-2 ISC-USWC</vt:lpstr>
      <vt:lpstr>APPENDIX F-3 (ISC-USVI PR)</vt:lpstr>
      <vt:lpstr>APPENDIX G-1 (USA - N. Europe)</vt:lpstr>
      <vt:lpstr>APPENDIX H-1 NE-USEC</vt:lpstr>
      <vt:lpstr>APPENDIX H-2 NE-USWC</vt:lpstr>
      <vt:lpstr>APPENDIX I-1 (USWC-AUST &amp; NZD)</vt:lpstr>
      <vt:lpstr>APPENDIX I-2 (USEC-AUST &amp; NZD)</vt:lpstr>
      <vt:lpstr>APPENDIX J-1 RTW TO USA</vt:lpstr>
      <vt:lpstr>APPENDIX N-1 (ASIA - CARIBBEAN)</vt:lpstr>
      <vt:lpstr>APPENDIX P-1 (USA-CARIB LATAM) </vt:lpstr>
      <vt:lpstr>APPENDIX P-2 (CARIB LATAM-USA)</vt:lpstr>
      <vt:lpstr>APPENDIX P-3 (PRICO&amp;USVI-LATAM)</vt:lpstr>
      <vt:lpstr>APPENDIX P-4 (LATM-PRICO&amp;USVI) </vt:lpstr>
      <vt:lpstr>FOREIGN TO FOREIGN</vt:lpstr>
      <vt:lpstr>Affiliates</vt:lpstr>
      <vt:lpstr>Listes</vt:lpstr>
      <vt:lpstr>SOF BR</vt:lpstr>
      <vt:lpstr>ArbMode</vt:lpstr>
      <vt:lpstr>Autom</vt:lpstr>
      <vt:lpstr>'APPENDIX A-1 (USWC-ASIA)'!BULLET</vt:lpstr>
      <vt:lpstr>'APPENDIX A-2 (USEC &amp; USGC-ASIA)'!BULLET</vt:lpstr>
      <vt:lpstr>'APPENDIX B-2  (FE - USEC&amp;GC)'!BULLET</vt:lpstr>
      <vt:lpstr>'APPENDIX C-1 (USA-MED)'!BULLET</vt:lpstr>
      <vt:lpstr>'APPENDIX C-2 (USA-GULF&amp;RED SEA)'!BULLET</vt:lpstr>
      <vt:lpstr>'APPENDIX C-3 (USWC-MEG &amp; MED)'!BULLET</vt:lpstr>
      <vt:lpstr>'APPENDIX C-5 (USA-E &amp; W AFRICA)'!BULLET</vt:lpstr>
      <vt:lpstr>'APPENDIX D-1 MED-US'!BULLET</vt:lpstr>
      <vt:lpstr>'APPENDIX D-2 MED-USWC'!BULLET</vt:lpstr>
      <vt:lpstr>'APPENDIX D-5 E &amp; W AFRICA-USA'!BULLET</vt:lpstr>
      <vt:lpstr>'APPENDIX E-1 (USEC-ISC)'!BULLET</vt:lpstr>
      <vt:lpstr>'APPENDIX E-2 (USWC-ISC)'!BULLET</vt:lpstr>
      <vt:lpstr>'APPENDIX F-1 ISC-US'!BULLET</vt:lpstr>
      <vt:lpstr>'APPENDIX F-2 ISC-USWC'!BULLET</vt:lpstr>
      <vt:lpstr>'APPENDIX F-3 (ISC-USVI PR)'!BULLET</vt:lpstr>
      <vt:lpstr>'APPENDIX G-1 (USA - N. Europe)'!BULLET</vt:lpstr>
      <vt:lpstr>'APPENDIX H-1 NE-USEC'!BULLET</vt:lpstr>
      <vt:lpstr>'APPENDIX H-2 NE-USWC'!BULLET</vt:lpstr>
      <vt:lpstr>'APPENDIX I-1 (USWC-AUST &amp; NZD)'!BULLET</vt:lpstr>
      <vt:lpstr>'APPENDIX I-2 (USEC-AUST &amp; NZD)'!BULLET</vt:lpstr>
      <vt:lpstr>'APPENDIX J-1 RTW TO USA'!BULLET</vt:lpstr>
      <vt:lpstr>'APPENDIX N-1 (ASIA - CARIBBEAN)'!BULLET</vt:lpstr>
      <vt:lpstr>'APPENDIX P-1 (USA-CARIB LATAM) '!BULLET</vt:lpstr>
      <vt:lpstr>'APPENDIX P-2 (CARIB LATAM-USA)'!BULLET</vt:lpstr>
      <vt:lpstr>'APPENDIX P-3 (PRICO&amp;USVI-LATAM)'!BULLET</vt:lpstr>
      <vt:lpstr>'APPENDIX P-4 (LATM-PRICO&amp;USVI) '!BULLET</vt:lpstr>
      <vt:lpstr>'FOREIGN TO FOREIGN'!BULLET</vt:lpstr>
      <vt:lpstr>BULLET</vt:lpstr>
      <vt:lpstr>Charges</vt:lpstr>
      <vt:lpstr>Container</vt:lpstr>
      <vt:lpstr>CST</vt:lpstr>
      <vt:lpstr>CURRENCY</vt:lpstr>
      <vt:lpstr>DAYS</vt:lpstr>
      <vt:lpstr>DDTARIFF</vt:lpstr>
      <vt:lpstr>DDTARIFFUS</vt:lpstr>
      <vt:lpstr>DDTARIFFUSE</vt:lpstr>
      <vt:lpstr>DDTARIFFUSI</vt:lpstr>
      <vt:lpstr>droppull</vt:lpstr>
      <vt:lpstr>EQTYPE</vt:lpstr>
      <vt:lpstr>Equip</vt:lpstr>
      <vt:lpstr>Exceptions</vt:lpstr>
      <vt:lpstr>EXPIMP</vt:lpstr>
      <vt:lpstr>GRIPSS</vt:lpstr>
      <vt:lpstr>GRIPSS_EQ</vt:lpstr>
      <vt:lpstr>Mode</vt:lpstr>
      <vt:lpstr>MQCType</vt:lpstr>
      <vt:lpstr>'Boiler Plate'!OLE_LINK1</vt:lpstr>
      <vt:lpstr>OOG</vt:lpstr>
      <vt:lpstr>OPREEFER</vt:lpstr>
      <vt:lpstr>'APPENDIX A-1 (USWC-ASIA)'!Print_Area</vt:lpstr>
      <vt:lpstr>'APPENDIX A-2 (USEC &amp; USGC-ASIA)'!Print_Area</vt:lpstr>
      <vt:lpstr>'APPENDIX B-1  (FE - USWC)'!Print_Area</vt:lpstr>
      <vt:lpstr>'APPENDIX B-2  (FE - USEC&amp;GC)'!Print_Area</vt:lpstr>
      <vt:lpstr>'APPENDIX C-1 (USA-MED)'!Print_Area</vt:lpstr>
      <vt:lpstr>'APPENDIX C-2 (USA-GULF&amp;RED SEA)'!Print_Area</vt:lpstr>
      <vt:lpstr>'APPENDIX C-3 (USWC-MEG &amp; MED)'!Print_Area</vt:lpstr>
      <vt:lpstr>'APPENDIX C-5 (USA-E &amp; W AFRICA)'!Print_Area</vt:lpstr>
      <vt:lpstr>'APPENDIX D-1 MED-US'!Print_Area</vt:lpstr>
      <vt:lpstr>'APPENDIX D-2 MED-USWC'!Print_Area</vt:lpstr>
      <vt:lpstr>'APPENDIX D-5 E &amp; W AFRICA-USA'!Print_Area</vt:lpstr>
      <vt:lpstr>'APPENDIX E-1 (USEC-ISC)'!Print_Area</vt:lpstr>
      <vt:lpstr>'APPENDIX E-2 (USWC-ISC)'!Print_Area</vt:lpstr>
      <vt:lpstr>'APPENDIX F-1 ISC-US'!Print_Area</vt:lpstr>
      <vt:lpstr>'APPENDIX F-2 ISC-USWC'!Print_Area</vt:lpstr>
      <vt:lpstr>'APPENDIX F-3 (ISC-USVI PR)'!Print_Area</vt:lpstr>
      <vt:lpstr>'APPENDIX G-1 (USA - N. Europe)'!Print_Area</vt:lpstr>
      <vt:lpstr>'APPENDIX H-1 NE-USEC'!Print_Area</vt:lpstr>
      <vt:lpstr>'APPENDIX H-2 NE-USWC'!Print_Area</vt:lpstr>
      <vt:lpstr>'APPENDIX I-1 (USWC-AUST &amp; NZD)'!Print_Area</vt:lpstr>
      <vt:lpstr>'APPENDIX I-2 (USEC-AUST &amp; NZD)'!Print_Area</vt:lpstr>
      <vt:lpstr>'APPENDIX J-1 RTW TO USA'!Print_Area</vt:lpstr>
      <vt:lpstr>'APPENDIX N-1 (ASIA - CARIBBEAN)'!Print_Area</vt:lpstr>
      <vt:lpstr>'APPENDIX P-1 (USA-CARIB LATAM) '!Print_Area</vt:lpstr>
      <vt:lpstr>'APPENDIX P-2 (CARIB LATAM-USA)'!Print_Area</vt:lpstr>
      <vt:lpstr>'APPENDIX P-3 (PRICO&amp;USVI-LATAM)'!Print_Area</vt:lpstr>
      <vt:lpstr>'APPENDIX P-4 (LATM-PRICO&amp;USVI) '!Print_Area</vt:lpstr>
      <vt:lpstr>Cover!Print_Area</vt:lpstr>
      <vt:lpstr>'FOREIGN TO FOREIGN'!Print_Area</vt:lpstr>
      <vt:lpstr>Listes!Print_Area</vt:lpstr>
      <vt:lpstr>Reefer</vt:lpstr>
      <vt:lpstr>SDD</vt:lpstr>
      <vt:lpstr>shipper</vt:lpstr>
      <vt:lpstr>ShipperCert</vt:lpstr>
      <vt:lpstr>ShipperOwn</vt:lpstr>
      <vt:lpstr>Type_note2</vt:lpstr>
      <vt:lpstr>YesNo</vt:lpstr>
    </vt:vector>
  </TitlesOfParts>
  <Company>CMA-CGM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Inbound Outound VR39</dc:title>
  <dc:creator>GENDER Charlie - NOR</dc:creator>
  <cp:lastModifiedBy>GENDER Charlie - NOR</cp:lastModifiedBy>
  <cp:lastPrinted>2022-01-11T20:32:56Z</cp:lastPrinted>
  <dcterms:created xsi:type="dcterms:W3CDTF">2001-10-02T15:11:11Z</dcterms:created>
  <dcterms:modified xsi:type="dcterms:W3CDTF">2022-06-20T19:01:22Z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0x010100C6A4C7CFE533404FB13F27B676F90DB4002FF9717D7369B1419AE9AEB7D3DD90E8</vt:lpwstr>
  </property>
</Properties>
</file>